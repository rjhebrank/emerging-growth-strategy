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niverse" sheetId="2" state="visible" r:id="rId2"/>
    <sheet name="Price History" sheetId="3" state="visible" r:id="rId3"/>
    <sheet name="Fundamentals" sheetId="4" state="visible" r:id="rId4"/>
    <sheet name="Factor Scores" sheetId="5" state="visible" r:id="rId5"/>
    <sheet name="Portfol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3" fontId="0" fillId="0" borderId="0" pivotButton="0" quotePrefix="0" xfId="0"/>
    <xf numFmtId="4" fontId="0" fillId="0" borderId="0" pivotButton="0" quotePrefix="0" xfId="0"/>
    <xf numFmtId="0" fontId="3" fillId="0" borderId="0" applyAlignment="1" pivotButton="0" quotePrefix="0" xfId="0">
      <alignment wrapText="1"/>
    </xf>
    <xf numFmtId="0" fontId="0" fillId="3" borderId="0" pivotButton="0" quotePrefix="0" xfId="0"/>
    <xf numFmtId="0" fontId="0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Calibri"/>
        <b val="1"/>
        <color rgb="000000FF"/>
        <sz val="11"/>
      </font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Template Builder</author>
  </authors>
  <commentList>
    <comment ref="B2" authorId="0" shapeId="0">
      <text>
        <t>Populate from Python engine or Price History sheet. 6-month return for each ticker.</t>
      </text>
    </comment>
    <comment ref="D2" authorId="0" shapeId="0">
      <text>
        <t>Link to Fundamentals sheet L column for corresponding ticker.</t>
      </text>
    </comment>
    <comment ref="F2" authorId="0" shapeId="0">
      <text>
        <t>Link to Fundamentals sheet N column for corresponding ticker.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Emerging Growth Strategy — Bloomberg Data Template</t>
        </is>
      </c>
    </row>
    <row r="3">
      <c r="A3" s="2" t="inlineStr">
        <is>
          <t>Generated: February 27, 2026</t>
        </is>
      </c>
    </row>
    <row r="5">
      <c r="A5" s="3" t="inlineStr">
        <is>
          <t>FIRST-TIME SETUP</t>
        </is>
      </c>
    </row>
    <row r="6">
      <c r="A6" s="2" t="inlineStr">
        <is>
          <t>1. Open this file on a computer with Bloomberg Terminal and Excel Add-in active</t>
        </is>
      </c>
    </row>
    <row r="7">
      <c r="A7" s="2" t="inlineStr">
        <is>
          <t>2. Go to the Universe sheet — the BDS formula in A2 will pull ~2,000 Russell 2000 tickers</t>
        </is>
      </c>
    </row>
    <row r="8">
      <c r="A8" s="2" t="inlineStr">
        <is>
          <t>3. Press Ctrl+Shift+R to refresh all Bloomberg formulas (wait 5-10 minutes)</t>
        </is>
      </c>
    </row>
    <row r="9">
      <c r="A9" s="2" t="inlineStr">
        <is>
          <t>4. After Universe populates, filter column K for TRUE to find qualifying tickers</t>
        </is>
      </c>
    </row>
    <row r="10">
      <c r="A10" s="2" t="inlineStr">
        <is>
          <t>5. Copy qualifying tickers to the "Ticker Input" columns on Price History (col I) and Fundamentals (col M) sheets</t>
        </is>
      </c>
    </row>
    <row r="11">
      <c r="A11" s="2" t="inlineStr">
        <is>
          <t>6. Press Ctrl+Shift+R again to populate price and fundamental data</t>
        </is>
      </c>
    </row>
    <row r="12">
      <c r="A12" s="2" t="inlineStr">
        <is>
          <t>7. Factor Scores and Portfolio sheets auto-calculate from the data</t>
        </is>
      </c>
    </row>
    <row r="14">
      <c r="A14" s="3" t="inlineStr">
        <is>
          <t>MONTHLY REFRESH</t>
        </is>
      </c>
    </row>
    <row r="15">
      <c r="A15" s="2" t="inlineStr">
        <is>
          <t>1. Open workbook on first trading day of month</t>
        </is>
      </c>
    </row>
    <row r="16">
      <c r="A16" s="2" t="inlineStr">
        <is>
          <t>2. Dates in BDH formulas use TODAY() — they auto-update</t>
        </is>
      </c>
    </row>
    <row r="17">
      <c r="A17" s="2" t="inlineStr">
        <is>
          <t>3. Press Ctrl+Shift+R to refresh all Bloomberg data</t>
        </is>
      </c>
    </row>
    <row r="18">
      <c r="A18" s="2" t="inlineStr">
        <is>
          <t>4. Check for #N/A errors — use alternative field codes from docs/06-bloomberg-data-pull.md</t>
        </is>
      </c>
    </row>
    <row r="19">
      <c r="A19" s="2" t="inlineStr">
        <is>
          <t>5. Save a dated copy (File → Save As → "Strategy_YYYY-MM-DD.xlsx")</t>
        </is>
      </c>
    </row>
    <row r="21">
      <c r="A21" s="3" t="inlineStr">
        <is>
          <t>TROUBLESHOOTING</t>
        </is>
      </c>
    </row>
    <row r="22">
      <c r="A22" s="2" t="inlineStr">
        <is>
          <t>#NAME? errors: Bloomberg Excel Add-in not loaded. Restart Excel with Bloomberg Terminal open.</t>
        </is>
      </c>
    </row>
    <row r="23">
      <c r="A23" s="2" t="inlineStr">
        <is>
          <t>#N/A errors: Field unavailable for that ticker. Try alternative fields listed in docs.</t>
        </is>
      </c>
    </row>
    <row r="24">
      <c r="A24" s="2" t="inlineStr">
        <is>
          <t>Slow refresh: Pull in batches — too many simultaneous Bloomberg requests cause timeouts.</t>
        </is>
      </c>
    </row>
    <row r="25">
      <c r="A25" s="2" t="inlineStr">
        <is>
          <t>See docs/06-bloomberg-data-pull.md for complete reference.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10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4" t="inlineStr">
        <is>
          <t>Ticker</t>
        </is>
      </c>
      <c r="B1" s="4" t="inlineStr">
        <is>
          <t>Market Cap ($M)</t>
        </is>
      </c>
      <c r="C1" s="4" t="inlineStr">
        <is>
          <t>Exchange</t>
        </is>
      </c>
      <c r="D1" s="4" t="inlineStr">
        <is>
          <t>Avg Vol (20d)</t>
        </is>
      </c>
      <c r="E1" s="4" t="inlineStr">
        <is>
          <t>Price</t>
        </is>
      </c>
      <c r="F1" s="4" t="inlineStr">
        <is>
          <t>Dollar Volume</t>
        </is>
      </c>
      <c r="G1" s="4" t="inlineStr">
        <is>
          <t>MktCap Pass</t>
        </is>
      </c>
      <c r="H1" s="4" t="inlineStr">
        <is>
          <t>Exchange Pass</t>
        </is>
      </c>
      <c r="I1" s="4" t="inlineStr">
        <is>
          <t>DolVol Pass</t>
        </is>
      </c>
      <c r="J1" s="4" t="inlineStr">
        <is>
          <t>Price Pass</t>
        </is>
      </c>
      <c r="K1" s="4" t="inlineStr">
        <is>
          <t>ALL PASS</t>
        </is>
      </c>
    </row>
    <row r="2">
      <c r="A2">
        <f>BDS("RTY Index","INDX_MEMBERS")</f>
        <v/>
      </c>
      <c r="B2" s="5">
        <f>BDP(A2&amp;" US Equity","CUR_MKT_CAP")</f>
        <v/>
      </c>
      <c r="C2">
        <f>BDP(A2&amp;" US Equity","EXCH_CODE")</f>
        <v/>
      </c>
      <c r="D2" s="5">
        <f>BDP(A2&amp;" US Equity","VOLUME_AVG_20D")</f>
        <v/>
      </c>
      <c r="E2" s="6">
        <f>BDP(A2&amp;" US Equity","PX_LAST")</f>
        <v/>
      </c>
      <c r="F2" s="5">
        <f>D2*E2</f>
        <v/>
      </c>
      <c r="G2">
        <f>AND(B2&gt;=50,B2&lt;=10000)</f>
        <v/>
      </c>
      <c r="H2">
        <f>OR(C2="NAS",C2="NYS",C2="ASE")</f>
        <v/>
      </c>
      <c r="I2">
        <f>F2&gt;=500000</f>
        <v/>
      </c>
      <c r="J2">
        <f>E2&gt;=2</f>
        <v/>
      </c>
      <c r="K2">
        <f>AND(G2,H2,I2,J2)</f>
        <v/>
      </c>
    </row>
    <row r="3">
      <c r="B3" s="5">
        <f>BDP(A3&amp;" US Equity","CUR_MKT_CAP")</f>
        <v/>
      </c>
      <c r="C3">
        <f>BDP(A3&amp;" US Equity","EXCH_CODE")</f>
        <v/>
      </c>
      <c r="D3" s="5">
        <f>BDP(A3&amp;" US Equity","VOLUME_AVG_20D")</f>
        <v/>
      </c>
      <c r="E3" s="6">
        <f>BDP(A3&amp;" US Equity","PX_LAST")</f>
        <v/>
      </c>
      <c r="F3" s="5">
        <f>D3*E3</f>
        <v/>
      </c>
      <c r="G3">
        <f>AND(B3&gt;=50,B3&lt;=10000)</f>
        <v/>
      </c>
      <c r="H3">
        <f>OR(C3="NAS",C3="NYS",C3="ASE")</f>
        <v/>
      </c>
      <c r="I3">
        <f>F3&gt;=500000</f>
        <v/>
      </c>
      <c r="J3">
        <f>E3&gt;=2</f>
        <v/>
      </c>
      <c r="K3">
        <f>AND(G3,H3,I3,J3)</f>
        <v/>
      </c>
    </row>
    <row r="4">
      <c r="B4" s="5">
        <f>BDP(A4&amp;" US Equity","CUR_MKT_CAP")</f>
        <v/>
      </c>
      <c r="C4">
        <f>BDP(A4&amp;" US Equity","EXCH_CODE")</f>
        <v/>
      </c>
      <c r="D4" s="5">
        <f>BDP(A4&amp;" US Equity","VOLUME_AVG_20D")</f>
        <v/>
      </c>
      <c r="E4" s="6">
        <f>BDP(A4&amp;" US Equity","PX_LAST")</f>
        <v/>
      </c>
      <c r="F4" s="5">
        <f>D4*E4</f>
        <v/>
      </c>
      <c r="G4">
        <f>AND(B4&gt;=50,B4&lt;=10000)</f>
        <v/>
      </c>
      <c r="H4">
        <f>OR(C4="NAS",C4="NYS",C4="ASE")</f>
        <v/>
      </c>
      <c r="I4">
        <f>F4&gt;=500000</f>
        <v/>
      </c>
      <c r="J4">
        <f>E4&gt;=2</f>
        <v/>
      </c>
      <c r="K4">
        <f>AND(G4,H4,I4,J4)</f>
        <v/>
      </c>
    </row>
    <row r="5">
      <c r="B5" s="5">
        <f>BDP(A5&amp;" US Equity","CUR_MKT_CAP")</f>
        <v/>
      </c>
      <c r="C5">
        <f>BDP(A5&amp;" US Equity","EXCH_CODE")</f>
        <v/>
      </c>
      <c r="D5" s="5">
        <f>BDP(A5&amp;" US Equity","VOLUME_AVG_20D")</f>
        <v/>
      </c>
      <c r="E5" s="6">
        <f>BDP(A5&amp;" US Equity","PX_LAST")</f>
        <v/>
      </c>
      <c r="F5" s="5">
        <f>D5*E5</f>
        <v/>
      </c>
      <c r="G5">
        <f>AND(B5&gt;=50,B5&lt;=10000)</f>
        <v/>
      </c>
      <c r="H5">
        <f>OR(C5="NAS",C5="NYS",C5="ASE")</f>
        <v/>
      </c>
      <c r="I5">
        <f>F5&gt;=500000</f>
        <v/>
      </c>
      <c r="J5">
        <f>E5&gt;=2</f>
        <v/>
      </c>
      <c r="K5">
        <f>AND(G5,H5,I5,J5)</f>
        <v/>
      </c>
    </row>
    <row r="6">
      <c r="B6" s="5">
        <f>BDP(A6&amp;" US Equity","CUR_MKT_CAP")</f>
        <v/>
      </c>
      <c r="C6">
        <f>BDP(A6&amp;" US Equity","EXCH_CODE")</f>
        <v/>
      </c>
      <c r="D6" s="5">
        <f>BDP(A6&amp;" US Equity","VOLUME_AVG_20D")</f>
        <v/>
      </c>
      <c r="E6" s="6">
        <f>BDP(A6&amp;" US Equity","PX_LAST")</f>
        <v/>
      </c>
      <c r="F6" s="5">
        <f>D6*E6</f>
        <v/>
      </c>
      <c r="G6">
        <f>AND(B6&gt;=50,B6&lt;=10000)</f>
        <v/>
      </c>
      <c r="H6">
        <f>OR(C6="NAS",C6="NYS",C6="ASE")</f>
        <v/>
      </c>
      <c r="I6">
        <f>F6&gt;=500000</f>
        <v/>
      </c>
      <c r="J6">
        <f>E6&gt;=2</f>
        <v/>
      </c>
      <c r="K6">
        <f>AND(G6,H6,I6,J6)</f>
        <v/>
      </c>
    </row>
    <row r="7">
      <c r="B7" s="5">
        <f>BDP(A7&amp;" US Equity","CUR_MKT_CAP")</f>
        <v/>
      </c>
      <c r="C7">
        <f>BDP(A7&amp;" US Equity","EXCH_CODE")</f>
        <v/>
      </c>
      <c r="D7" s="5">
        <f>BDP(A7&amp;" US Equity","VOLUME_AVG_20D")</f>
        <v/>
      </c>
      <c r="E7" s="6">
        <f>BDP(A7&amp;" US Equity","PX_LAST")</f>
        <v/>
      </c>
      <c r="F7" s="5">
        <f>D7*E7</f>
        <v/>
      </c>
      <c r="G7">
        <f>AND(B7&gt;=50,B7&lt;=10000)</f>
        <v/>
      </c>
      <c r="H7">
        <f>OR(C7="NAS",C7="NYS",C7="ASE")</f>
        <v/>
      </c>
      <c r="I7">
        <f>F7&gt;=500000</f>
        <v/>
      </c>
      <c r="J7">
        <f>E7&gt;=2</f>
        <v/>
      </c>
      <c r="K7">
        <f>AND(G7,H7,I7,J7)</f>
        <v/>
      </c>
    </row>
    <row r="8">
      <c r="B8" s="5">
        <f>BDP(A8&amp;" US Equity","CUR_MKT_CAP")</f>
        <v/>
      </c>
      <c r="C8">
        <f>BDP(A8&amp;" US Equity","EXCH_CODE")</f>
        <v/>
      </c>
      <c r="D8" s="5">
        <f>BDP(A8&amp;" US Equity","VOLUME_AVG_20D")</f>
        <v/>
      </c>
      <c r="E8" s="6">
        <f>BDP(A8&amp;" US Equity","PX_LAST")</f>
        <v/>
      </c>
      <c r="F8" s="5">
        <f>D8*E8</f>
        <v/>
      </c>
      <c r="G8">
        <f>AND(B8&gt;=50,B8&lt;=10000)</f>
        <v/>
      </c>
      <c r="H8">
        <f>OR(C8="NAS",C8="NYS",C8="ASE")</f>
        <v/>
      </c>
      <c r="I8">
        <f>F8&gt;=500000</f>
        <v/>
      </c>
      <c r="J8">
        <f>E8&gt;=2</f>
        <v/>
      </c>
      <c r="K8">
        <f>AND(G8,H8,I8,J8)</f>
        <v/>
      </c>
    </row>
    <row r="9">
      <c r="B9" s="5">
        <f>BDP(A9&amp;" US Equity","CUR_MKT_CAP")</f>
        <v/>
      </c>
      <c r="C9">
        <f>BDP(A9&amp;" US Equity","EXCH_CODE")</f>
        <v/>
      </c>
      <c r="D9" s="5">
        <f>BDP(A9&amp;" US Equity","VOLUME_AVG_20D")</f>
        <v/>
      </c>
      <c r="E9" s="6">
        <f>BDP(A9&amp;" US Equity","PX_LAST")</f>
        <v/>
      </c>
      <c r="F9" s="5">
        <f>D9*E9</f>
        <v/>
      </c>
      <c r="G9">
        <f>AND(B9&gt;=50,B9&lt;=10000)</f>
        <v/>
      </c>
      <c r="H9">
        <f>OR(C9="NAS",C9="NYS",C9="ASE")</f>
        <v/>
      </c>
      <c r="I9">
        <f>F9&gt;=500000</f>
        <v/>
      </c>
      <c r="J9">
        <f>E9&gt;=2</f>
        <v/>
      </c>
      <c r="K9">
        <f>AND(G9,H9,I9,J9)</f>
        <v/>
      </c>
    </row>
    <row r="10">
      <c r="B10" s="5">
        <f>BDP(A10&amp;" US Equity","CUR_MKT_CAP")</f>
        <v/>
      </c>
      <c r="C10">
        <f>BDP(A10&amp;" US Equity","EXCH_CODE")</f>
        <v/>
      </c>
      <c r="D10" s="5">
        <f>BDP(A10&amp;" US Equity","VOLUME_AVG_20D")</f>
        <v/>
      </c>
      <c r="E10" s="6">
        <f>BDP(A10&amp;" US Equity","PX_LAST")</f>
        <v/>
      </c>
      <c r="F10" s="5">
        <f>D10*E10</f>
        <v/>
      </c>
      <c r="G10">
        <f>AND(B10&gt;=50,B10&lt;=10000)</f>
        <v/>
      </c>
      <c r="H10">
        <f>OR(C10="NAS",C10="NYS",C10="ASE")</f>
        <v/>
      </c>
      <c r="I10">
        <f>F10&gt;=500000</f>
        <v/>
      </c>
      <c r="J10">
        <f>E10&gt;=2</f>
        <v/>
      </c>
      <c r="K10">
        <f>AND(G10,H10,I10,J10)</f>
        <v/>
      </c>
    </row>
    <row r="11">
      <c r="B11" s="5">
        <f>BDP(A11&amp;" US Equity","CUR_MKT_CAP")</f>
        <v/>
      </c>
      <c r="C11">
        <f>BDP(A11&amp;" US Equity","EXCH_CODE")</f>
        <v/>
      </c>
      <c r="D11" s="5">
        <f>BDP(A11&amp;" US Equity","VOLUME_AVG_20D")</f>
        <v/>
      </c>
      <c r="E11" s="6">
        <f>BDP(A11&amp;" US Equity","PX_LAST")</f>
        <v/>
      </c>
      <c r="F11" s="5">
        <f>D11*E11</f>
        <v/>
      </c>
      <c r="G11">
        <f>AND(B11&gt;=50,B11&lt;=10000)</f>
        <v/>
      </c>
      <c r="H11">
        <f>OR(C11="NAS",C11="NYS",C11="ASE")</f>
        <v/>
      </c>
      <c r="I11">
        <f>F11&gt;=500000</f>
        <v/>
      </c>
      <c r="J11">
        <f>E11&gt;=2</f>
        <v/>
      </c>
      <c r="K11">
        <f>AND(G11,H11,I11,J11)</f>
        <v/>
      </c>
    </row>
    <row r="12">
      <c r="B12" s="5">
        <f>BDP(A12&amp;" US Equity","CUR_MKT_CAP")</f>
        <v/>
      </c>
      <c r="C12">
        <f>BDP(A12&amp;" US Equity","EXCH_CODE")</f>
        <v/>
      </c>
      <c r="D12" s="5">
        <f>BDP(A12&amp;" US Equity","VOLUME_AVG_20D")</f>
        <v/>
      </c>
      <c r="E12" s="6">
        <f>BDP(A12&amp;" US Equity","PX_LAST")</f>
        <v/>
      </c>
      <c r="F12" s="5">
        <f>D12*E12</f>
        <v/>
      </c>
      <c r="G12">
        <f>AND(B12&gt;=50,B12&lt;=10000)</f>
        <v/>
      </c>
      <c r="H12">
        <f>OR(C12="NAS",C12="NYS",C12="ASE")</f>
        <v/>
      </c>
      <c r="I12">
        <f>F12&gt;=500000</f>
        <v/>
      </c>
      <c r="J12">
        <f>E12&gt;=2</f>
        <v/>
      </c>
      <c r="K12">
        <f>AND(G12,H12,I12,J12)</f>
        <v/>
      </c>
    </row>
    <row r="13">
      <c r="B13" s="5">
        <f>BDP(A13&amp;" US Equity","CUR_MKT_CAP")</f>
        <v/>
      </c>
      <c r="C13">
        <f>BDP(A13&amp;" US Equity","EXCH_CODE")</f>
        <v/>
      </c>
      <c r="D13" s="5">
        <f>BDP(A13&amp;" US Equity","VOLUME_AVG_20D")</f>
        <v/>
      </c>
      <c r="E13" s="6">
        <f>BDP(A13&amp;" US Equity","PX_LAST")</f>
        <v/>
      </c>
      <c r="F13" s="5">
        <f>D13*E13</f>
        <v/>
      </c>
      <c r="G13">
        <f>AND(B13&gt;=50,B13&lt;=10000)</f>
        <v/>
      </c>
      <c r="H13">
        <f>OR(C13="NAS",C13="NYS",C13="ASE")</f>
        <v/>
      </c>
      <c r="I13">
        <f>F13&gt;=500000</f>
        <v/>
      </c>
      <c r="J13">
        <f>E13&gt;=2</f>
        <v/>
      </c>
      <c r="K13">
        <f>AND(G13,H13,I13,J13)</f>
        <v/>
      </c>
    </row>
    <row r="14">
      <c r="B14" s="5">
        <f>BDP(A14&amp;" US Equity","CUR_MKT_CAP")</f>
        <v/>
      </c>
      <c r="C14">
        <f>BDP(A14&amp;" US Equity","EXCH_CODE")</f>
        <v/>
      </c>
      <c r="D14" s="5">
        <f>BDP(A14&amp;" US Equity","VOLUME_AVG_20D")</f>
        <v/>
      </c>
      <c r="E14" s="6">
        <f>BDP(A14&amp;" US Equity","PX_LAST")</f>
        <v/>
      </c>
      <c r="F14" s="5">
        <f>D14*E14</f>
        <v/>
      </c>
      <c r="G14">
        <f>AND(B14&gt;=50,B14&lt;=10000)</f>
        <v/>
      </c>
      <c r="H14">
        <f>OR(C14="NAS",C14="NYS",C14="ASE")</f>
        <v/>
      </c>
      <c r="I14">
        <f>F14&gt;=500000</f>
        <v/>
      </c>
      <c r="J14">
        <f>E14&gt;=2</f>
        <v/>
      </c>
      <c r="K14">
        <f>AND(G14,H14,I14,J14)</f>
        <v/>
      </c>
    </row>
    <row r="15">
      <c r="B15" s="5">
        <f>BDP(A15&amp;" US Equity","CUR_MKT_CAP")</f>
        <v/>
      </c>
      <c r="C15">
        <f>BDP(A15&amp;" US Equity","EXCH_CODE")</f>
        <v/>
      </c>
      <c r="D15" s="5">
        <f>BDP(A15&amp;" US Equity","VOLUME_AVG_20D")</f>
        <v/>
      </c>
      <c r="E15" s="6">
        <f>BDP(A15&amp;" US Equity","PX_LAST")</f>
        <v/>
      </c>
      <c r="F15" s="5">
        <f>D15*E15</f>
        <v/>
      </c>
      <c r="G15">
        <f>AND(B15&gt;=50,B15&lt;=10000)</f>
        <v/>
      </c>
      <c r="H15">
        <f>OR(C15="NAS",C15="NYS",C15="ASE")</f>
        <v/>
      </c>
      <c r="I15">
        <f>F15&gt;=500000</f>
        <v/>
      </c>
      <c r="J15">
        <f>E15&gt;=2</f>
        <v/>
      </c>
      <c r="K15">
        <f>AND(G15,H15,I15,J15)</f>
        <v/>
      </c>
    </row>
    <row r="16">
      <c r="B16" s="5">
        <f>BDP(A16&amp;" US Equity","CUR_MKT_CAP")</f>
        <v/>
      </c>
      <c r="C16">
        <f>BDP(A16&amp;" US Equity","EXCH_CODE")</f>
        <v/>
      </c>
      <c r="D16" s="5">
        <f>BDP(A16&amp;" US Equity","VOLUME_AVG_20D")</f>
        <v/>
      </c>
      <c r="E16" s="6">
        <f>BDP(A16&amp;" US Equity","PX_LAST")</f>
        <v/>
      </c>
      <c r="F16" s="5">
        <f>D16*E16</f>
        <v/>
      </c>
      <c r="G16">
        <f>AND(B16&gt;=50,B16&lt;=10000)</f>
        <v/>
      </c>
      <c r="H16">
        <f>OR(C16="NAS",C16="NYS",C16="ASE")</f>
        <v/>
      </c>
      <c r="I16">
        <f>F16&gt;=500000</f>
        <v/>
      </c>
      <c r="J16">
        <f>E16&gt;=2</f>
        <v/>
      </c>
      <c r="K16">
        <f>AND(G16,H16,I16,J16)</f>
        <v/>
      </c>
    </row>
    <row r="17">
      <c r="B17" s="5">
        <f>BDP(A17&amp;" US Equity","CUR_MKT_CAP")</f>
        <v/>
      </c>
      <c r="C17">
        <f>BDP(A17&amp;" US Equity","EXCH_CODE")</f>
        <v/>
      </c>
      <c r="D17" s="5">
        <f>BDP(A17&amp;" US Equity","VOLUME_AVG_20D")</f>
        <v/>
      </c>
      <c r="E17" s="6">
        <f>BDP(A17&amp;" US Equity","PX_LAST")</f>
        <v/>
      </c>
      <c r="F17" s="5">
        <f>D17*E17</f>
        <v/>
      </c>
      <c r="G17">
        <f>AND(B17&gt;=50,B17&lt;=10000)</f>
        <v/>
      </c>
      <c r="H17">
        <f>OR(C17="NAS",C17="NYS",C17="ASE")</f>
        <v/>
      </c>
      <c r="I17">
        <f>F17&gt;=500000</f>
        <v/>
      </c>
      <c r="J17">
        <f>E17&gt;=2</f>
        <v/>
      </c>
      <c r="K17">
        <f>AND(G17,H17,I17,J17)</f>
        <v/>
      </c>
    </row>
    <row r="18">
      <c r="B18" s="5">
        <f>BDP(A18&amp;" US Equity","CUR_MKT_CAP")</f>
        <v/>
      </c>
      <c r="C18">
        <f>BDP(A18&amp;" US Equity","EXCH_CODE")</f>
        <v/>
      </c>
      <c r="D18" s="5">
        <f>BDP(A18&amp;" US Equity","VOLUME_AVG_20D")</f>
        <v/>
      </c>
      <c r="E18" s="6">
        <f>BDP(A18&amp;" US Equity","PX_LAST")</f>
        <v/>
      </c>
      <c r="F18" s="5">
        <f>D18*E18</f>
        <v/>
      </c>
      <c r="G18">
        <f>AND(B18&gt;=50,B18&lt;=10000)</f>
        <v/>
      </c>
      <c r="H18">
        <f>OR(C18="NAS",C18="NYS",C18="ASE")</f>
        <v/>
      </c>
      <c r="I18">
        <f>F18&gt;=500000</f>
        <v/>
      </c>
      <c r="J18">
        <f>E18&gt;=2</f>
        <v/>
      </c>
      <c r="K18">
        <f>AND(G18,H18,I18,J18)</f>
        <v/>
      </c>
    </row>
    <row r="19">
      <c r="B19" s="5">
        <f>BDP(A19&amp;" US Equity","CUR_MKT_CAP")</f>
        <v/>
      </c>
      <c r="C19">
        <f>BDP(A19&amp;" US Equity","EXCH_CODE")</f>
        <v/>
      </c>
      <c r="D19" s="5">
        <f>BDP(A19&amp;" US Equity","VOLUME_AVG_20D")</f>
        <v/>
      </c>
      <c r="E19" s="6">
        <f>BDP(A19&amp;" US Equity","PX_LAST")</f>
        <v/>
      </c>
      <c r="F19" s="5">
        <f>D19*E19</f>
        <v/>
      </c>
      <c r="G19">
        <f>AND(B19&gt;=50,B19&lt;=10000)</f>
        <v/>
      </c>
      <c r="H19">
        <f>OR(C19="NAS",C19="NYS",C19="ASE")</f>
        <v/>
      </c>
      <c r="I19">
        <f>F19&gt;=500000</f>
        <v/>
      </c>
      <c r="J19">
        <f>E19&gt;=2</f>
        <v/>
      </c>
      <c r="K19">
        <f>AND(G19,H19,I19,J19)</f>
        <v/>
      </c>
    </row>
    <row r="20">
      <c r="B20" s="5">
        <f>BDP(A20&amp;" US Equity","CUR_MKT_CAP")</f>
        <v/>
      </c>
      <c r="C20">
        <f>BDP(A20&amp;" US Equity","EXCH_CODE")</f>
        <v/>
      </c>
      <c r="D20" s="5">
        <f>BDP(A20&amp;" US Equity","VOLUME_AVG_20D")</f>
        <v/>
      </c>
      <c r="E20" s="6">
        <f>BDP(A20&amp;" US Equity","PX_LAST")</f>
        <v/>
      </c>
      <c r="F20" s="5">
        <f>D20*E20</f>
        <v/>
      </c>
      <c r="G20">
        <f>AND(B20&gt;=50,B20&lt;=10000)</f>
        <v/>
      </c>
      <c r="H20">
        <f>OR(C20="NAS",C20="NYS",C20="ASE")</f>
        <v/>
      </c>
      <c r="I20">
        <f>F20&gt;=500000</f>
        <v/>
      </c>
      <c r="J20">
        <f>E20&gt;=2</f>
        <v/>
      </c>
      <c r="K20">
        <f>AND(G20,H20,I20,J20)</f>
        <v/>
      </c>
    </row>
    <row r="21">
      <c r="B21" s="5">
        <f>BDP(A21&amp;" US Equity","CUR_MKT_CAP")</f>
        <v/>
      </c>
      <c r="C21">
        <f>BDP(A21&amp;" US Equity","EXCH_CODE")</f>
        <v/>
      </c>
      <c r="D21" s="5">
        <f>BDP(A21&amp;" US Equity","VOLUME_AVG_20D")</f>
        <v/>
      </c>
      <c r="E21" s="6">
        <f>BDP(A21&amp;" US Equity","PX_LAST")</f>
        <v/>
      </c>
      <c r="F21" s="5">
        <f>D21*E21</f>
        <v/>
      </c>
      <c r="G21">
        <f>AND(B21&gt;=50,B21&lt;=10000)</f>
        <v/>
      </c>
      <c r="H21">
        <f>OR(C21="NAS",C21="NYS",C21="ASE")</f>
        <v/>
      </c>
      <c r="I21">
        <f>F21&gt;=500000</f>
        <v/>
      </c>
      <c r="J21">
        <f>E21&gt;=2</f>
        <v/>
      </c>
      <c r="K21">
        <f>AND(G21,H21,I21,J21)</f>
        <v/>
      </c>
    </row>
    <row r="22">
      <c r="B22" s="5">
        <f>BDP(A22&amp;" US Equity","CUR_MKT_CAP")</f>
        <v/>
      </c>
      <c r="C22">
        <f>BDP(A22&amp;" US Equity","EXCH_CODE")</f>
        <v/>
      </c>
      <c r="D22" s="5">
        <f>BDP(A22&amp;" US Equity","VOLUME_AVG_20D")</f>
        <v/>
      </c>
      <c r="E22" s="6">
        <f>BDP(A22&amp;" US Equity","PX_LAST")</f>
        <v/>
      </c>
      <c r="F22" s="5">
        <f>D22*E22</f>
        <v/>
      </c>
      <c r="G22">
        <f>AND(B22&gt;=50,B22&lt;=10000)</f>
        <v/>
      </c>
      <c r="H22">
        <f>OR(C22="NAS",C22="NYS",C22="ASE")</f>
        <v/>
      </c>
      <c r="I22">
        <f>F22&gt;=500000</f>
        <v/>
      </c>
      <c r="J22">
        <f>E22&gt;=2</f>
        <v/>
      </c>
      <c r="K22">
        <f>AND(G22,H22,I22,J22)</f>
        <v/>
      </c>
    </row>
    <row r="23">
      <c r="B23" s="5">
        <f>BDP(A23&amp;" US Equity","CUR_MKT_CAP")</f>
        <v/>
      </c>
      <c r="C23">
        <f>BDP(A23&amp;" US Equity","EXCH_CODE")</f>
        <v/>
      </c>
      <c r="D23" s="5">
        <f>BDP(A23&amp;" US Equity","VOLUME_AVG_20D")</f>
        <v/>
      </c>
      <c r="E23" s="6">
        <f>BDP(A23&amp;" US Equity","PX_LAST")</f>
        <v/>
      </c>
      <c r="F23" s="5">
        <f>D23*E23</f>
        <v/>
      </c>
      <c r="G23">
        <f>AND(B23&gt;=50,B23&lt;=10000)</f>
        <v/>
      </c>
      <c r="H23">
        <f>OR(C23="NAS",C23="NYS",C23="ASE")</f>
        <v/>
      </c>
      <c r="I23">
        <f>F23&gt;=500000</f>
        <v/>
      </c>
      <c r="J23">
        <f>E23&gt;=2</f>
        <v/>
      </c>
      <c r="K23">
        <f>AND(G23,H23,I23,J23)</f>
        <v/>
      </c>
    </row>
    <row r="24">
      <c r="B24" s="5">
        <f>BDP(A24&amp;" US Equity","CUR_MKT_CAP")</f>
        <v/>
      </c>
      <c r="C24">
        <f>BDP(A24&amp;" US Equity","EXCH_CODE")</f>
        <v/>
      </c>
      <c r="D24" s="5">
        <f>BDP(A24&amp;" US Equity","VOLUME_AVG_20D")</f>
        <v/>
      </c>
      <c r="E24" s="6">
        <f>BDP(A24&amp;" US Equity","PX_LAST")</f>
        <v/>
      </c>
      <c r="F24" s="5">
        <f>D24*E24</f>
        <v/>
      </c>
      <c r="G24">
        <f>AND(B24&gt;=50,B24&lt;=10000)</f>
        <v/>
      </c>
      <c r="H24">
        <f>OR(C24="NAS",C24="NYS",C24="ASE")</f>
        <v/>
      </c>
      <c r="I24">
        <f>F24&gt;=500000</f>
        <v/>
      </c>
      <c r="J24">
        <f>E24&gt;=2</f>
        <v/>
      </c>
      <c r="K24">
        <f>AND(G24,H24,I24,J24)</f>
        <v/>
      </c>
    </row>
    <row r="25">
      <c r="B25" s="5">
        <f>BDP(A25&amp;" US Equity","CUR_MKT_CAP")</f>
        <v/>
      </c>
      <c r="C25">
        <f>BDP(A25&amp;" US Equity","EXCH_CODE")</f>
        <v/>
      </c>
      <c r="D25" s="5">
        <f>BDP(A25&amp;" US Equity","VOLUME_AVG_20D")</f>
        <v/>
      </c>
      <c r="E25" s="6">
        <f>BDP(A25&amp;" US Equity","PX_LAST")</f>
        <v/>
      </c>
      <c r="F25" s="5">
        <f>D25*E25</f>
        <v/>
      </c>
      <c r="G25">
        <f>AND(B25&gt;=50,B25&lt;=10000)</f>
        <v/>
      </c>
      <c r="H25">
        <f>OR(C25="NAS",C25="NYS",C25="ASE")</f>
        <v/>
      </c>
      <c r="I25">
        <f>F25&gt;=500000</f>
        <v/>
      </c>
      <c r="J25">
        <f>E25&gt;=2</f>
        <v/>
      </c>
      <c r="K25">
        <f>AND(G25,H25,I25,J25)</f>
        <v/>
      </c>
    </row>
    <row r="26">
      <c r="B26" s="5">
        <f>BDP(A26&amp;" US Equity","CUR_MKT_CAP")</f>
        <v/>
      </c>
      <c r="C26">
        <f>BDP(A26&amp;" US Equity","EXCH_CODE")</f>
        <v/>
      </c>
      <c r="D26" s="5">
        <f>BDP(A26&amp;" US Equity","VOLUME_AVG_20D")</f>
        <v/>
      </c>
      <c r="E26" s="6">
        <f>BDP(A26&amp;" US Equity","PX_LAST")</f>
        <v/>
      </c>
      <c r="F26" s="5">
        <f>D26*E26</f>
        <v/>
      </c>
      <c r="G26">
        <f>AND(B26&gt;=50,B26&lt;=10000)</f>
        <v/>
      </c>
      <c r="H26">
        <f>OR(C26="NAS",C26="NYS",C26="ASE")</f>
        <v/>
      </c>
      <c r="I26">
        <f>F26&gt;=500000</f>
        <v/>
      </c>
      <c r="J26">
        <f>E26&gt;=2</f>
        <v/>
      </c>
      <c r="K26">
        <f>AND(G26,H26,I26,J26)</f>
        <v/>
      </c>
    </row>
    <row r="27">
      <c r="B27" s="5">
        <f>BDP(A27&amp;" US Equity","CUR_MKT_CAP")</f>
        <v/>
      </c>
      <c r="C27">
        <f>BDP(A27&amp;" US Equity","EXCH_CODE")</f>
        <v/>
      </c>
      <c r="D27" s="5">
        <f>BDP(A27&amp;" US Equity","VOLUME_AVG_20D")</f>
        <v/>
      </c>
      <c r="E27" s="6">
        <f>BDP(A27&amp;" US Equity","PX_LAST")</f>
        <v/>
      </c>
      <c r="F27" s="5">
        <f>D27*E27</f>
        <v/>
      </c>
      <c r="G27">
        <f>AND(B27&gt;=50,B27&lt;=10000)</f>
        <v/>
      </c>
      <c r="H27">
        <f>OR(C27="NAS",C27="NYS",C27="ASE")</f>
        <v/>
      </c>
      <c r="I27">
        <f>F27&gt;=500000</f>
        <v/>
      </c>
      <c r="J27">
        <f>E27&gt;=2</f>
        <v/>
      </c>
      <c r="K27">
        <f>AND(G27,H27,I27,J27)</f>
        <v/>
      </c>
    </row>
    <row r="28">
      <c r="B28" s="5">
        <f>BDP(A28&amp;" US Equity","CUR_MKT_CAP")</f>
        <v/>
      </c>
      <c r="C28">
        <f>BDP(A28&amp;" US Equity","EXCH_CODE")</f>
        <v/>
      </c>
      <c r="D28" s="5">
        <f>BDP(A28&amp;" US Equity","VOLUME_AVG_20D")</f>
        <v/>
      </c>
      <c r="E28" s="6">
        <f>BDP(A28&amp;" US Equity","PX_LAST")</f>
        <v/>
      </c>
      <c r="F28" s="5">
        <f>D28*E28</f>
        <v/>
      </c>
      <c r="G28">
        <f>AND(B28&gt;=50,B28&lt;=10000)</f>
        <v/>
      </c>
      <c r="H28">
        <f>OR(C28="NAS",C28="NYS",C28="ASE")</f>
        <v/>
      </c>
      <c r="I28">
        <f>F28&gt;=500000</f>
        <v/>
      </c>
      <c r="J28">
        <f>E28&gt;=2</f>
        <v/>
      </c>
      <c r="K28">
        <f>AND(G28,H28,I28,J28)</f>
        <v/>
      </c>
    </row>
    <row r="29">
      <c r="B29" s="5">
        <f>BDP(A29&amp;" US Equity","CUR_MKT_CAP")</f>
        <v/>
      </c>
      <c r="C29">
        <f>BDP(A29&amp;" US Equity","EXCH_CODE")</f>
        <v/>
      </c>
      <c r="D29" s="5">
        <f>BDP(A29&amp;" US Equity","VOLUME_AVG_20D")</f>
        <v/>
      </c>
      <c r="E29" s="6">
        <f>BDP(A29&amp;" US Equity","PX_LAST")</f>
        <v/>
      </c>
      <c r="F29" s="5">
        <f>D29*E29</f>
        <v/>
      </c>
      <c r="G29">
        <f>AND(B29&gt;=50,B29&lt;=10000)</f>
        <v/>
      </c>
      <c r="H29">
        <f>OR(C29="NAS",C29="NYS",C29="ASE")</f>
        <v/>
      </c>
      <c r="I29">
        <f>F29&gt;=500000</f>
        <v/>
      </c>
      <c r="J29">
        <f>E29&gt;=2</f>
        <v/>
      </c>
      <c r="K29">
        <f>AND(G29,H29,I29,J29)</f>
        <v/>
      </c>
    </row>
    <row r="30">
      <c r="B30" s="5">
        <f>BDP(A30&amp;" US Equity","CUR_MKT_CAP")</f>
        <v/>
      </c>
      <c r="C30">
        <f>BDP(A30&amp;" US Equity","EXCH_CODE")</f>
        <v/>
      </c>
      <c r="D30" s="5">
        <f>BDP(A30&amp;" US Equity","VOLUME_AVG_20D")</f>
        <v/>
      </c>
      <c r="E30" s="6">
        <f>BDP(A30&amp;" US Equity","PX_LAST")</f>
        <v/>
      </c>
      <c r="F30" s="5">
        <f>D30*E30</f>
        <v/>
      </c>
      <c r="G30">
        <f>AND(B30&gt;=50,B30&lt;=10000)</f>
        <v/>
      </c>
      <c r="H30">
        <f>OR(C30="NAS",C30="NYS",C30="ASE")</f>
        <v/>
      </c>
      <c r="I30">
        <f>F30&gt;=500000</f>
        <v/>
      </c>
      <c r="J30">
        <f>E30&gt;=2</f>
        <v/>
      </c>
      <c r="K30">
        <f>AND(G30,H30,I30,J30)</f>
        <v/>
      </c>
    </row>
    <row r="31">
      <c r="B31" s="5">
        <f>BDP(A31&amp;" US Equity","CUR_MKT_CAP")</f>
        <v/>
      </c>
      <c r="C31">
        <f>BDP(A31&amp;" US Equity","EXCH_CODE")</f>
        <v/>
      </c>
      <c r="D31" s="5">
        <f>BDP(A31&amp;" US Equity","VOLUME_AVG_20D")</f>
        <v/>
      </c>
      <c r="E31" s="6">
        <f>BDP(A31&amp;" US Equity","PX_LAST")</f>
        <v/>
      </c>
      <c r="F31" s="5">
        <f>D31*E31</f>
        <v/>
      </c>
      <c r="G31">
        <f>AND(B31&gt;=50,B31&lt;=10000)</f>
        <v/>
      </c>
      <c r="H31">
        <f>OR(C31="NAS",C31="NYS",C31="ASE")</f>
        <v/>
      </c>
      <c r="I31">
        <f>F31&gt;=500000</f>
        <v/>
      </c>
      <c r="J31">
        <f>E31&gt;=2</f>
        <v/>
      </c>
      <c r="K31">
        <f>AND(G31,H31,I31,J31)</f>
        <v/>
      </c>
    </row>
    <row r="32">
      <c r="B32" s="5">
        <f>BDP(A32&amp;" US Equity","CUR_MKT_CAP")</f>
        <v/>
      </c>
      <c r="C32">
        <f>BDP(A32&amp;" US Equity","EXCH_CODE")</f>
        <v/>
      </c>
      <c r="D32" s="5">
        <f>BDP(A32&amp;" US Equity","VOLUME_AVG_20D")</f>
        <v/>
      </c>
      <c r="E32" s="6">
        <f>BDP(A32&amp;" US Equity","PX_LAST")</f>
        <v/>
      </c>
      <c r="F32" s="5">
        <f>D32*E32</f>
        <v/>
      </c>
      <c r="G32">
        <f>AND(B32&gt;=50,B32&lt;=10000)</f>
        <v/>
      </c>
      <c r="H32">
        <f>OR(C32="NAS",C32="NYS",C32="ASE")</f>
        <v/>
      </c>
      <c r="I32">
        <f>F32&gt;=500000</f>
        <v/>
      </c>
      <c r="J32">
        <f>E32&gt;=2</f>
        <v/>
      </c>
      <c r="K32">
        <f>AND(G32,H32,I32,J32)</f>
        <v/>
      </c>
    </row>
    <row r="33">
      <c r="B33" s="5">
        <f>BDP(A33&amp;" US Equity","CUR_MKT_CAP")</f>
        <v/>
      </c>
      <c r="C33">
        <f>BDP(A33&amp;" US Equity","EXCH_CODE")</f>
        <v/>
      </c>
      <c r="D33" s="5">
        <f>BDP(A33&amp;" US Equity","VOLUME_AVG_20D")</f>
        <v/>
      </c>
      <c r="E33" s="6">
        <f>BDP(A33&amp;" US Equity","PX_LAST")</f>
        <v/>
      </c>
      <c r="F33" s="5">
        <f>D33*E33</f>
        <v/>
      </c>
      <c r="G33">
        <f>AND(B33&gt;=50,B33&lt;=10000)</f>
        <v/>
      </c>
      <c r="H33">
        <f>OR(C33="NAS",C33="NYS",C33="ASE")</f>
        <v/>
      </c>
      <c r="I33">
        <f>F33&gt;=500000</f>
        <v/>
      </c>
      <c r="J33">
        <f>E33&gt;=2</f>
        <v/>
      </c>
      <c r="K33">
        <f>AND(G33,H33,I33,J33)</f>
        <v/>
      </c>
    </row>
    <row r="34">
      <c r="B34" s="5">
        <f>BDP(A34&amp;" US Equity","CUR_MKT_CAP")</f>
        <v/>
      </c>
      <c r="C34">
        <f>BDP(A34&amp;" US Equity","EXCH_CODE")</f>
        <v/>
      </c>
      <c r="D34" s="5">
        <f>BDP(A34&amp;" US Equity","VOLUME_AVG_20D")</f>
        <v/>
      </c>
      <c r="E34" s="6">
        <f>BDP(A34&amp;" US Equity","PX_LAST")</f>
        <v/>
      </c>
      <c r="F34" s="5">
        <f>D34*E34</f>
        <v/>
      </c>
      <c r="G34">
        <f>AND(B34&gt;=50,B34&lt;=10000)</f>
        <v/>
      </c>
      <c r="H34">
        <f>OR(C34="NAS",C34="NYS",C34="ASE")</f>
        <v/>
      </c>
      <c r="I34">
        <f>F34&gt;=500000</f>
        <v/>
      </c>
      <c r="J34">
        <f>E34&gt;=2</f>
        <v/>
      </c>
      <c r="K34">
        <f>AND(G34,H34,I34,J34)</f>
        <v/>
      </c>
    </row>
    <row r="35">
      <c r="B35" s="5">
        <f>BDP(A35&amp;" US Equity","CUR_MKT_CAP")</f>
        <v/>
      </c>
      <c r="C35">
        <f>BDP(A35&amp;" US Equity","EXCH_CODE")</f>
        <v/>
      </c>
      <c r="D35" s="5">
        <f>BDP(A35&amp;" US Equity","VOLUME_AVG_20D")</f>
        <v/>
      </c>
      <c r="E35" s="6">
        <f>BDP(A35&amp;" US Equity","PX_LAST")</f>
        <v/>
      </c>
      <c r="F35" s="5">
        <f>D35*E35</f>
        <v/>
      </c>
      <c r="G35">
        <f>AND(B35&gt;=50,B35&lt;=10000)</f>
        <v/>
      </c>
      <c r="H35">
        <f>OR(C35="NAS",C35="NYS",C35="ASE")</f>
        <v/>
      </c>
      <c r="I35">
        <f>F35&gt;=500000</f>
        <v/>
      </c>
      <c r="J35">
        <f>E35&gt;=2</f>
        <v/>
      </c>
      <c r="K35">
        <f>AND(G35,H35,I35,J35)</f>
        <v/>
      </c>
    </row>
    <row r="36">
      <c r="B36" s="5">
        <f>BDP(A36&amp;" US Equity","CUR_MKT_CAP")</f>
        <v/>
      </c>
      <c r="C36">
        <f>BDP(A36&amp;" US Equity","EXCH_CODE")</f>
        <v/>
      </c>
      <c r="D36" s="5">
        <f>BDP(A36&amp;" US Equity","VOLUME_AVG_20D")</f>
        <v/>
      </c>
      <c r="E36" s="6">
        <f>BDP(A36&amp;" US Equity","PX_LAST")</f>
        <v/>
      </c>
      <c r="F36" s="5">
        <f>D36*E36</f>
        <v/>
      </c>
      <c r="G36">
        <f>AND(B36&gt;=50,B36&lt;=10000)</f>
        <v/>
      </c>
      <c r="H36">
        <f>OR(C36="NAS",C36="NYS",C36="ASE")</f>
        <v/>
      </c>
      <c r="I36">
        <f>F36&gt;=500000</f>
        <v/>
      </c>
      <c r="J36">
        <f>E36&gt;=2</f>
        <v/>
      </c>
      <c r="K36">
        <f>AND(G36,H36,I36,J36)</f>
        <v/>
      </c>
    </row>
    <row r="37">
      <c r="B37" s="5">
        <f>BDP(A37&amp;" US Equity","CUR_MKT_CAP")</f>
        <v/>
      </c>
      <c r="C37">
        <f>BDP(A37&amp;" US Equity","EXCH_CODE")</f>
        <v/>
      </c>
      <c r="D37" s="5">
        <f>BDP(A37&amp;" US Equity","VOLUME_AVG_20D")</f>
        <v/>
      </c>
      <c r="E37" s="6">
        <f>BDP(A37&amp;" US Equity","PX_LAST")</f>
        <v/>
      </c>
      <c r="F37" s="5">
        <f>D37*E37</f>
        <v/>
      </c>
      <c r="G37">
        <f>AND(B37&gt;=50,B37&lt;=10000)</f>
        <v/>
      </c>
      <c r="H37">
        <f>OR(C37="NAS",C37="NYS",C37="ASE")</f>
        <v/>
      </c>
      <c r="I37">
        <f>F37&gt;=500000</f>
        <v/>
      </c>
      <c r="J37">
        <f>E37&gt;=2</f>
        <v/>
      </c>
      <c r="K37">
        <f>AND(G37,H37,I37,J37)</f>
        <v/>
      </c>
    </row>
    <row r="38">
      <c r="B38" s="5">
        <f>BDP(A38&amp;" US Equity","CUR_MKT_CAP")</f>
        <v/>
      </c>
      <c r="C38">
        <f>BDP(A38&amp;" US Equity","EXCH_CODE")</f>
        <v/>
      </c>
      <c r="D38" s="5">
        <f>BDP(A38&amp;" US Equity","VOLUME_AVG_20D")</f>
        <v/>
      </c>
      <c r="E38" s="6">
        <f>BDP(A38&amp;" US Equity","PX_LAST")</f>
        <v/>
      </c>
      <c r="F38" s="5">
        <f>D38*E38</f>
        <v/>
      </c>
      <c r="G38">
        <f>AND(B38&gt;=50,B38&lt;=10000)</f>
        <v/>
      </c>
      <c r="H38">
        <f>OR(C38="NAS",C38="NYS",C38="ASE")</f>
        <v/>
      </c>
      <c r="I38">
        <f>F38&gt;=500000</f>
        <v/>
      </c>
      <c r="J38">
        <f>E38&gt;=2</f>
        <v/>
      </c>
      <c r="K38">
        <f>AND(G38,H38,I38,J38)</f>
        <v/>
      </c>
    </row>
    <row r="39">
      <c r="B39" s="5">
        <f>BDP(A39&amp;" US Equity","CUR_MKT_CAP")</f>
        <v/>
      </c>
      <c r="C39">
        <f>BDP(A39&amp;" US Equity","EXCH_CODE")</f>
        <v/>
      </c>
      <c r="D39" s="5">
        <f>BDP(A39&amp;" US Equity","VOLUME_AVG_20D")</f>
        <v/>
      </c>
      <c r="E39" s="6">
        <f>BDP(A39&amp;" US Equity","PX_LAST")</f>
        <v/>
      </c>
      <c r="F39" s="5">
        <f>D39*E39</f>
        <v/>
      </c>
      <c r="G39">
        <f>AND(B39&gt;=50,B39&lt;=10000)</f>
        <v/>
      </c>
      <c r="H39">
        <f>OR(C39="NAS",C39="NYS",C39="ASE")</f>
        <v/>
      </c>
      <c r="I39">
        <f>F39&gt;=500000</f>
        <v/>
      </c>
      <c r="J39">
        <f>E39&gt;=2</f>
        <v/>
      </c>
      <c r="K39">
        <f>AND(G39,H39,I39,J39)</f>
        <v/>
      </c>
    </row>
    <row r="40">
      <c r="B40" s="5">
        <f>BDP(A40&amp;" US Equity","CUR_MKT_CAP")</f>
        <v/>
      </c>
      <c r="C40">
        <f>BDP(A40&amp;" US Equity","EXCH_CODE")</f>
        <v/>
      </c>
      <c r="D40" s="5">
        <f>BDP(A40&amp;" US Equity","VOLUME_AVG_20D")</f>
        <v/>
      </c>
      <c r="E40" s="6">
        <f>BDP(A40&amp;" US Equity","PX_LAST")</f>
        <v/>
      </c>
      <c r="F40" s="5">
        <f>D40*E40</f>
        <v/>
      </c>
      <c r="G40">
        <f>AND(B40&gt;=50,B40&lt;=10000)</f>
        <v/>
      </c>
      <c r="H40">
        <f>OR(C40="NAS",C40="NYS",C40="ASE")</f>
        <v/>
      </c>
      <c r="I40">
        <f>F40&gt;=500000</f>
        <v/>
      </c>
      <c r="J40">
        <f>E40&gt;=2</f>
        <v/>
      </c>
      <c r="K40">
        <f>AND(G40,H40,I40,J40)</f>
        <v/>
      </c>
    </row>
    <row r="41">
      <c r="B41" s="5">
        <f>BDP(A41&amp;" US Equity","CUR_MKT_CAP")</f>
        <v/>
      </c>
      <c r="C41">
        <f>BDP(A41&amp;" US Equity","EXCH_CODE")</f>
        <v/>
      </c>
      <c r="D41" s="5">
        <f>BDP(A41&amp;" US Equity","VOLUME_AVG_20D")</f>
        <v/>
      </c>
      <c r="E41" s="6">
        <f>BDP(A41&amp;" US Equity","PX_LAST")</f>
        <v/>
      </c>
      <c r="F41" s="5">
        <f>D41*E41</f>
        <v/>
      </c>
      <c r="G41">
        <f>AND(B41&gt;=50,B41&lt;=10000)</f>
        <v/>
      </c>
      <c r="H41">
        <f>OR(C41="NAS",C41="NYS",C41="ASE")</f>
        <v/>
      </c>
      <c r="I41">
        <f>F41&gt;=500000</f>
        <v/>
      </c>
      <c r="J41">
        <f>E41&gt;=2</f>
        <v/>
      </c>
      <c r="K41">
        <f>AND(G41,H41,I41,J41)</f>
        <v/>
      </c>
    </row>
    <row r="42">
      <c r="B42" s="5">
        <f>BDP(A42&amp;" US Equity","CUR_MKT_CAP")</f>
        <v/>
      </c>
      <c r="C42">
        <f>BDP(A42&amp;" US Equity","EXCH_CODE")</f>
        <v/>
      </c>
      <c r="D42" s="5">
        <f>BDP(A42&amp;" US Equity","VOLUME_AVG_20D")</f>
        <v/>
      </c>
      <c r="E42" s="6">
        <f>BDP(A42&amp;" US Equity","PX_LAST")</f>
        <v/>
      </c>
      <c r="F42" s="5">
        <f>D42*E42</f>
        <v/>
      </c>
      <c r="G42">
        <f>AND(B42&gt;=50,B42&lt;=10000)</f>
        <v/>
      </c>
      <c r="H42">
        <f>OR(C42="NAS",C42="NYS",C42="ASE")</f>
        <v/>
      </c>
      <c r="I42">
        <f>F42&gt;=500000</f>
        <v/>
      </c>
      <c r="J42">
        <f>E42&gt;=2</f>
        <v/>
      </c>
      <c r="K42">
        <f>AND(G42,H42,I42,J42)</f>
        <v/>
      </c>
    </row>
    <row r="43">
      <c r="B43" s="5">
        <f>BDP(A43&amp;" US Equity","CUR_MKT_CAP")</f>
        <v/>
      </c>
      <c r="C43">
        <f>BDP(A43&amp;" US Equity","EXCH_CODE")</f>
        <v/>
      </c>
      <c r="D43" s="5">
        <f>BDP(A43&amp;" US Equity","VOLUME_AVG_20D")</f>
        <v/>
      </c>
      <c r="E43" s="6">
        <f>BDP(A43&amp;" US Equity","PX_LAST")</f>
        <v/>
      </c>
      <c r="F43" s="5">
        <f>D43*E43</f>
        <v/>
      </c>
      <c r="G43">
        <f>AND(B43&gt;=50,B43&lt;=10000)</f>
        <v/>
      </c>
      <c r="H43">
        <f>OR(C43="NAS",C43="NYS",C43="ASE")</f>
        <v/>
      </c>
      <c r="I43">
        <f>F43&gt;=500000</f>
        <v/>
      </c>
      <c r="J43">
        <f>E43&gt;=2</f>
        <v/>
      </c>
      <c r="K43">
        <f>AND(G43,H43,I43,J43)</f>
        <v/>
      </c>
    </row>
    <row r="44">
      <c r="B44" s="5">
        <f>BDP(A44&amp;" US Equity","CUR_MKT_CAP")</f>
        <v/>
      </c>
      <c r="C44">
        <f>BDP(A44&amp;" US Equity","EXCH_CODE")</f>
        <v/>
      </c>
      <c r="D44" s="5">
        <f>BDP(A44&amp;" US Equity","VOLUME_AVG_20D")</f>
        <v/>
      </c>
      <c r="E44" s="6">
        <f>BDP(A44&amp;" US Equity","PX_LAST")</f>
        <v/>
      </c>
      <c r="F44" s="5">
        <f>D44*E44</f>
        <v/>
      </c>
      <c r="G44">
        <f>AND(B44&gt;=50,B44&lt;=10000)</f>
        <v/>
      </c>
      <c r="H44">
        <f>OR(C44="NAS",C44="NYS",C44="ASE")</f>
        <v/>
      </c>
      <c r="I44">
        <f>F44&gt;=500000</f>
        <v/>
      </c>
      <c r="J44">
        <f>E44&gt;=2</f>
        <v/>
      </c>
      <c r="K44">
        <f>AND(G44,H44,I44,J44)</f>
        <v/>
      </c>
    </row>
    <row r="45">
      <c r="B45" s="5">
        <f>BDP(A45&amp;" US Equity","CUR_MKT_CAP")</f>
        <v/>
      </c>
      <c r="C45">
        <f>BDP(A45&amp;" US Equity","EXCH_CODE")</f>
        <v/>
      </c>
      <c r="D45" s="5">
        <f>BDP(A45&amp;" US Equity","VOLUME_AVG_20D")</f>
        <v/>
      </c>
      <c r="E45" s="6">
        <f>BDP(A45&amp;" US Equity","PX_LAST")</f>
        <v/>
      </c>
      <c r="F45" s="5">
        <f>D45*E45</f>
        <v/>
      </c>
      <c r="G45">
        <f>AND(B45&gt;=50,B45&lt;=10000)</f>
        <v/>
      </c>
      <c r="H45">
        <f>OR(C45="NAS",C45="NYS",C45="ASE")</f>
        <v/>
      </c>
      <c r="I45">
        <f>F45&gt;=500000</f>
        <v/>
      </c>
      <c r="J45">
        <f>E45&gt;=2</f>
        <v/>
      </c>
      <c r="K45">
        <f>AND(G45,H45,I45,J45)</f>
        <v/>
      </c>
    </row>
    <row r="46">
      <c r="B46" s="5">
        <f>BDP(A46&amp;" US Equity","CUR_MKT_CAP")</f>
        <v/>
      </c>
      <c r="C46">
        <f>BDP(A46&amp;" US Equity","EXCH_CODE")</f>
        <v/>
      </c>
      <c r="D46" s="5">
        <f>BDP(A46&amp;" US Equity","VOLUME_AVG_20D")</f>
        <v/>
      </c>
      <c r="E46" s="6">
        <f>BDP(A46&amp;" US Equity","PX_LAST")</f>
        <v/>
      </c>
      <c r="F46" s="5">
        <f>D46*E46</f>
        <v/>
      </c>
      <c r="G46">
        <f>AND(B46&gt;=50,B46&lt;=10000)</f>
        <v/>
      </c>
      <c r="H46">
        <f>OR(C46="NAS",C46="NYS",C46="ASE")</f>
        <v/>
      </c>
      <c r="I46">
        <f>F46&gt;=500000</f>
        <v/>
      </c>
      <c r="J46">
        <f>E46&gt;=2</f>
        <v/>
      </c>
      <c r="K46">
        <f>AND(G46,H46,I46,J46)</f>
        <v/>
      </c>
    </row>
    <row r="47">
      <c r="B47" s="5">
        <f>BDP(A47&amp;" US Equity","CUR_MKT_CAP")</f>
        <v/>
      </c>
      <c r="C47">
        <f>BDP(A47&amp;" US Equity","EXCH_CODE")</f>
        <v/>
      </c>
      <c r="D47" s="5">
        <f>BDP(A47&amp;" US Equity","VOLUME_AVG_20D")</f>
        <v/>
      </c>
      <c r="E47" s="6">
        <f>BDP(A47&amp;" US Equity","PX_LAST")</f>
        <v/>
      </c>
      <c r="F47" s="5">
        <f>D47*E47</f>
        <v/>
      </c>
      <c r="G47">
        <f>AND(B47&gt;=50,B47&lt;=10000)</f>
        <v/>
      </c>
      <c r="H47">
        <f>OR(C47="NAS",C47="NYS",C47="ASE")</f>
        <v/>
      </c>
      <c r="I47">
        <f>F47&gt;=500000</f>
        <v/>
      </c>
      <c r="J47">
        <f>E47&gt;=2</f>
        <v/>
      </c>
      <c r="K47">
        <f>AND(G47,H47,I47,J47)</f>
        <v/>
      </c>
    </row>
    <row r="48">
      <c r="B48" s="5">
        <f>BDP(A48&amp;" US Equity","CUR_MKT_CAP")</f>
        <v/>
      </c>
      <c r="C48">
        <f>BDP(A48&amp;" US Equity","EXCH_CODE")</f>
        <v/>
      </c>
      <c r="D48" s="5">
        <f>BDP(A48&amp;" US Equity","VOLUME_AVG_20D")</f>
        <v/>
      </c>
      <c r="E48" s="6">
        <f>BDP(A48&amp;" US Equity","PX_LAST")</f>
        <v/>
      </c>
      <c r="F48" s="5">
        <f>D48*E48</f>
        <v/>
      </c>
      <c r="G48">
        <f>AND(B48&gt;=50,B48&lt;=10000)</f>
        <v/>
      </c>
      <c r="H48">
        <f>OR(C48="NAS",C48="NYS",C48="ASE")</f>
        <v/>
      </c>
      <c r="I48">
        <f>F48&gt;=500000</f>
        <v/>
      </c>
      <c r="J48">
        <f>E48&gt;=2</f>
        <v/>
      </c>
      <c r="K48">
        <f>AND(G48,H48,I48,J48)</f>
        <v/>
      </c>
    </row>
    <row r="49">
      <c r="B49" s="5">
        <f>BDP(A49&amp;" US Equity","CUR_MKT_CAP")</f>
        <v/>
      </c>
      <c r="C49">
        <f>BDP(A49&amp;" US Equity","EXCH_CODE")</f>
        <v/>
      </c>
      <c r="D49" s="5">
        <f>BDP(A49&amp;" US Equity","VOLUME_AVG_20D")</f>
        <v/>
      </c>
      <c r="E49" s="6">
        <f>BDP(A49&amp;" US Equity","PX_LAST")</f>
        <v/>
      </c>
      <c r="F49" s="5">
        <f>D49*E49</f>
        <v/>
      </c>
      <c r="G49">
        <f>AND(B49&gt;=50,B49&lt;=10000)</f>
        <v/>
      </c>
      <c r="H49">
        <f>OR(C49="NAS",C49="NYS",C49="ASE")</f>
        <v/>
      </c>
      <c r="I49">
        <f>F49&gt;=500000</f>
        <v/>
      </c>
      <c r="J49">
        <f>E49&gt;=2</f>
        <v/>
      </c>
      <c r="K49">
        <f>AND(G49,H49,I49,J49)</f>
        <v/>
      </c>
    </row>
    <row r="50">
      <c r="B50" s="5">
        <f>BDP(A50&amp;" US Equity","CUR_MKT_CAP")</f>
        <v/>
      </c>
      <c r="C50">
        <f>BDP(A50&amp;" US Equity","EXCH_CODE")</f>
        <v/>
      </c>
      <c r="D50" s="5">
        <f>BDP(A50&amp;" US Equity","VOLUME_AVG_20D")</f>
        <v/>
      </c>
      <c r="E50" s="6">
        <f>BDP(A50&amp;" US Equity","PX_LAST")</f>
        <v/>
      </c>
      <c r="F50" s="5">
        <f>D50*E50</f>
        <v/>
      </c>
      <c r="G50">
        <f>AND(B50&gt;=50,B50&lt;=10000)</f>
        <v/>
      </c>
      <c r="H50">
        <f>OR(C50="NAS",C50="NYS",C50="ASE")</f>
        <v/>
      </c>
      <c r="I50">
        <f>F50&gt;=500000</f>
        <v/>
      </c>
      <c r="J50">
        <f>E50&gt;=2</f>
        <v/>
      </c>
      <c r="K50">
        <f>AND(G50,H50,I50,J50)</f>
        <v/>
      </c>
    </row>
    <row r="51">
      <c r="B51" s="5">
        <f>BDP(A51&amp;" US Equity","CUR_MKT_CAP")</f>
        <v/>
      </c>
      <c r="C51">
        <f>BDP(A51&amp;" US Equity","EXCH_CODE")</f>
        <v/>
      </c>
      <c r="D51" s="5">
        <f>BDP(A51&amp;" US Equity","VOLUME_AVG_20D")</f>
        <v/>
      </c>
      <c r="E51" s="6">
        <f>BDP(A51&amp;" US Equity","PX_LAST")</f>
        <v/>
      </c>
      <c r="F51" s="5">
        <f>D51*E51</f>
        <v/>
      </c>
      <c r="G51">
        <f>AND(B51&gt;=50,B51&lt;=10000)</f>
        <v/>
      </c>
      <c r="H51">
        <f>OR(C51="NAS",C51="NYS",C51="ASE")</f>
        <v/>
      </c>
      <c r="I51">
        <f>F51&gt;=500000</f>
        <v/>
      </c>
      <c r="J51">
        <f>E51&gt;=2</f>
        <v/>
      </c>
      <c r="K51">
        <f>AND(G51,H51,I51,J51)</f>
        <v/>
      </c>
    </row>
    <row r="52">
      <c r="B52" s="5">
        <f>BDP(A52&amp;" US Equity","CUR_MKT_CAP")</f>
        <v/>
      </c>
      <c r="C52">
        <f>BDP(A52&amp;" US Equity","EXCH_CODE")</f>
        <v/>
      </c>
      <c r="D52" s="5">
        <f>BDP(A52&amp;" US Equity","VOLUME_AVG_20D")</f>
        <v/>
      </c>
      <c r="E52" s="6">
        <f>BDP(A52&amp;" US Equity","PX_LAST")</f>
        <v/>
      </c>
      <c r="F52" s="5">
        <f>D52*E52</f>
        <v/>
      </c>
      <c r="G52">
        <f>AND(B52&gt;=50,B52&lt;=10000)</f>
        <v/>
      </c>
      <c r="H52">
        <f>OR(C52="NAS",C52="NYS",C52="ASE")</f>
        <v/>
      </c>
      <c r="I52">
        <f>F52&gt;=500000</f>
        <v/>
      </c>
      <c r="J52">
        <f>E52&gt;=2</f>
        <v/>
      </c>
      <c r="K52">
        <f>AND(G52,H52,I52,J52)</f>
        <v/>
      </c>
    </row>
    <row r="53">
      <c r="B53" s="5">
        <f>BDP(A53&amp;" US Equity","CUR_MKT_CAP")</f>
        <v/>
      </c>
      <c r="C53">
        <f>BDP(A53&amp;" US Equity","EXCH_CODE")</f>
        <v/>
      </c>
      <c r="D53" s="5">
        <f>BDP(A53&amp;" US Equity","VOLUME_AVG_20D")</f>
        <v/>
      </c>
      <c r="E53" s="6">
        <f>BDP(A53&amp;" US Equity","PX_LAST")</f>
        <v/>
      </c>
      <c r="F53" s="5">
        <f>D53*E53</f>
        <v/>
      </c>
      <c r="G53">
        <f>AND(B53&gt;=50,B53&lt;=10000)</f>
        <v/>
      </c>
      <c r="H53">
        <f>OR(C53="NAS",C53="NYS",C53="ASE")</f>
        <v/>
      </c>
      <c r="I53">
        <f>F53&gt;=500000</f>
        <v/>
      </c>
      <c r="J53">
        <f>E53&gt;=2</f>
        <v/>
      </c>
      <c r="K53">
        <f>AND(G53,H53,I53,J53)</f>
        <v/>
      </c>
    </row>
    <row r="54">
      <c r="B54" s="5">
        <f>BDP(A54&amp;" US Equity","CUR_MKT_CAP")</f>
        <v/>
      </c>
      <c r="C54">
        <f>BDP(A54&amp;" US Equity","EXCH_CODE")</f>
        <v/>
      </c>
      <c r="D54" s="5">
        <f>BDP(A54&amp;" US Equity","VOLUME_AVG_20D")</f>
        <v/>
      </c>
      <c r="E54" s="6">
        <f>BDP(A54&amp;" US Equity","PX_LAST")</f>
        <v/>
      </c>
      <c r="F54" s="5">
        <f>D54*E54</f>
        <v/>
      </c>
      <c r="G54">
        <f>AND(B54&gt;=50,B54&lt;=10000)</f>
        <v/>
      </c>
      <c r="H54">
        <f>OR(C54="NAS",C54="NYS",C54="ASE")</f>
        <v/>
      </c>
      <c r="I54">
        <f>F54&gt;=500000</f>
        <v/>
      </c>
      <c r="J54">
        <f>E54&gt;=2</f>
        <v/>
      </c>
      <c r="K54">
        <f>AND(G54,H54,I54,J54)</f>
        <v/>
      </c>
    </row>
    <row r="55">
      <c r="B55" s="5">
        <f>BDP(A55&amp;" US Equity","CUR_MKT_CAP")</f>
        <v/>
      </c>
      <c r="C55">
        <f>BDP(A55&amp;" US Equity","EXCH_CODE")</f>
        <v/>
      </c>
      <c r="D55" s="5">
        <f>BDP(A55&amp;" US Equity","VOLUME_AVG_20D")</f>
        <v/>
      </c>
      <c r="E55" s="6">
        <f>BDP(A55&amp;" US Equity","PX_LAST")</f>
        <v/>
      </c>
      <c r="F55" s="5">
        <f>D55*E55</f>
        <v/>
      </c>
      <c r="G55">
        <f>AND(B55&gt;=50,B55&lt;=10000)</f>
        <v/>
      </c>
      <c r="H55">
        <f>OR(C55="NAS",C55="NYS",C55="ASE")</f>
        <v/>
      </c>
      <c r="I55">
        <f>F55&gt;=500000</f>
        <v/>
      </c>
      <c r="J55">
        <f>E55&gt;=2</f>
        <v/>
      </c>
      <c r="K55">
        <f>AND(G55,H55,I55,J55)</f>
        <v/>
      </c>
    </row>
    <row r="56">
      <c r="B56" s="5">
        <f>BDP(A56&amp;" US Equity","CUR_MKT_CAP")</f>
        <v/>
      </c>
      <c r="C56">
        <f>BDP(A56&amp;" US Equity","EXCH_CODE")</f>
        <v/>
      </c>
      <c r="D56" s="5">
        <f>BDP(A56&amp;" US Equity","VOLUME_AVG_20D")</f>
        <v/>
      </c>
      <c r="E56" s="6">
        <f>BDP(A56&amp;" US Equity","PX_LAST")</f>
        <v/>
      </c>
      <c r="F56" s="5">
        <f>D56*E56</f>
        <v/>
      </c>
      <c r="G56">
        <f>AND(B56&gt;=50,B56&lt;=10000)</f>
        <v/>
      </c>
      <c r="H56">
        <f>OR(C56="NAS",C56="NYS",C56="ASE")</f>
        <v/>
      </c>
      <c r="I56">
        <f>F56&gt;=500000</f>
        <v/>
      </c>
      <c r="J56">
        <f>E56&gt;=2</f>
        <v/>
      </c>
      <c r="K56">
        <f>AND(G56,H56,I56,J56)</f>
        <v/>
      </c>
    </row>
    <row r="57">
      <c r="B57" s="5">
        <f>BDP(A57&amp;" US Equity","CUR_MKT_CAP")</f>
        <v/>
      </c>
      <c r="C57">
        <f>BDP(A57&amp;" US Equity","EXCH_CODE")</f>
        <v/>
      </c>
      <c r="D57" s="5">
        <f>BDP(A57&amp;" US Equity","VOLUME_AVG_20D")</f>
        <v/>
      </c>
      <c r="E57" s="6">
        <f>BDP(A57&amp;" US Equity","PX_LAST")</f>
        <v/>
      </c>
      <c r="F57" s="5">
        <f>D57*E57</f>
        <v/>
      </c>
      <c r="G57">
        <f>AND(B57&gt;=50,B57&lt;=10000)</f>
        <v/>
      </c>
      <c r="H57">
        <f>OR(C57="NAS",C57="NYS",C57="ASE")</f>
        <v/>
      </c>
      <c r="I57">
        <f>F57&gt;=500000</f>
        <v/>
      </c>
      <c r="J57">
        <f>E57&gt;=2</f>
        <v/>
      </c>
      <c r="K57">
        <f>AND(G57,H57,I57,J57)</f>
        <v/>
      </c>
    </row>
    <row r="58">
      <c r="B58" s="5">
        <f>BDP(A58&amp;" US Equity","CUR_MKT_CAP")</f>
        <v/>
      </c>
      <c r="C58">
        <f>BDP(A58&amp;" US Equity","EXCH_CODE")</f>
        <v/>
      </c>
      <c r="D58" s="5">
        <f>BDP(A58&amp;" US Equity","VOLUME_AVG_20D")</f>
        <v/>
      </c>
      <c r="E58" s="6">
        <f>BDP(A58&amp;" US Equity","PX_LAST")</f>
        <v/>
      </c>
      <c r="F58" s="5">
        <f>D58*E58</f>
        <v/>
      </c>
      <c r="G58">
        <f>AND(B58&gt;=50,B58&lt;=10000)</f>
        <v/>
      </c>
      <c r="H58">
        <f>OR(C58="NAS",C58="NYS",C58="ASE")</f>
        <v/>
      </c>
      <c r="I58">
        <f>F58&gt;=500000</f>
        <v/>
      </c>
      <c r="J58">
        <f>E58&gt;=2</f>
        <v/>
      </c>
      <c r="K58">
        <f>AND(G58,H58,I58,J58)</f>
        <v/>
      </c>
    </row>
    <row r="59">
      <c r="B59" s="5">
        <f>BDP(A59&amp;" US Equity","CUR_MKT_CAP")</f>
        <v/>
      </c>
      <c r="C59">
        <f>BDP(A59&amp;" US Equity","EXCH_CODE")</f>
        <v/>
      </c>
      <c r="D59" s="5">
        <f>BDP(A59&amp;" US Equity","VOLUME_AVG_20D")</f>
        <v/>
      </c>
      <c r="E59" s="6">
        <f>BDP(A59&amp;" US Equity","PX_LAST")</f>
        <v/>
      </c>
      <c r="F59" s="5">
        <f>D59*E59</f>
        <v/>
      </c>
      <c r="G59">
        <f>AND(B59&gt;=50,B59&lt;=10000)</f>
        <v/>
      </c>
      <c r="H59">
        <f>OR(C59="NAS",C59="NYS",C59="ASE")</f>
        <v/>
      </c>
      <c r="I59">
        <f>F59&gt;=500000</f>
        <v/>
      </c>
      <c r="J59">
        <f>E59&gt;=2</f>
        <v/>
      </c>
      <c r="K59">
        <f>AND(G59,H59,I59,J59)</f>
        <v/>
      </c>
    </row>
    <row r="60">
      <c r="B60" s="5">
        <f>BDP(A60&amp;" US Equity","CUR_MKT_CAP")</f>
        <v/>
      </c>
      <c r="C60">
        <f>BDP(A60&amp;" US Equity","EXCH_CODE")</f>
        <v/>
      </c>
      <c r="D60" s="5">
        <f>BDP(A60&amp;" US Equity","VOLUME_AVG_20D")</f>
        <v/>
      </c>
      <c r="E60" s="6">
        <f>BDP(A60&amp;" US Equity","PX_LAST")</f>
        <v/>
      </c>
      <c r="F60" s="5">
        <f>D60*E60</f>
        <v/>
      </c>
      <c r="G60">
        <f>AND(B60&gt;=50,B60&lt;=10000)</f>
        <v/>
      </c>
      <c r="H60">
        <f>OR(C60="NAS",C60="NYS",C60="ASE")</f>
        <v/>
      </c>
      <c r="I60">
        <f>F60&gt;=500000</f>
        <v/>
      </c>
      <c r="J60">
        <f>E60&gt;=2</f>
        <v/>
      </c>
      <c r="K60">
        <f>AND(G60,H60,I60,J60)</f>
        <v/>
      </c>
    </row>
    <row r="61">
      <c r="B61" s="5">
        <f>BDP(A61&amp;" US Equity","CUR_MKT_CAP")</f>
        <v/>
      </c>
      <c r="C61">
        <f>BDP(A61&amp;" US Equity","EXCH_CODE")</f>
        <v/>
      </c>
      <c r="D61" s="5">
        <f>BDP(A61&amp;" US Equity","VOLUME_AVG_20D")</f>
        <v/>
      </c>
      <c r="E61" s="6">
        <f>BDP(A61&amp;" US Equity","PX_LAST")</f>
        <v/>
      </c>
      <c r="F61" s="5">
        <f>D61*E61</f>
        <v/>
      </c>
      <c r="G61">
        <f>AND(B61&gt;=50,B61&lt;=10000)</f>
        <v/>
      </c>
      <c r="H61">
        <f>OR(C61="NAS",C61="NYS",C61="ASE")</f>
        <v/>
      </c>
      <c r="I61">
        <f>F61&gt;=500000</f>
        <v/>
      </c>
      <c r="J61">
        <f>E61&gt;=2</f>
        <v/>
      </c>
      <c r="K61">
        <f>AND(G61,H61,I61,J61)</f>
        <v/>
      </c>
    </row>
    <row r="62">
      <c r="B62" s="5">
        <f>BDP(A62&amp;" US Equity","CUR_MKT_CAP")</f>
        <v/>
      </c>
      <c r="C62">
        <f>BDP(A62&amp;" US Equity","EXCH_CODE")</f>
        <v/>
      </c>
      <c r="D62" s="5">
        <f>BDP(A62&amp;" US Equity","VOLUME_AVG_20D")</f>
        <v/>
      </c>
      <c r="E62" s="6">
        <f>BDP(A62&amp;" US Equity","PX_LAST")</f>
        <v/>
      </c>
      <c r="F62" s="5">
        <f>D62*E62</f>
        <v/>
      </c>
      <c r="G62">
        <f>AND(B62&gt;=50,B62&lt;=10000)</f>
        <v/>
      </c>
      <c r="H62">
        <f>OR(C62="NAS",C62="NYS",C62="ASE")</f>
        <v/>
      </c>
      <c r="I62">
        <f>F62&gt;=500000</f>
        <v/>
      </c>
      <c r="J62">
        <f>E62&gt;=2</f>
        <v/>
      </c>
      <c r="K62">
        <f>AND(G62,H62,I62,J62)</f>
        <v/>
      </c>
    </row>
    <row r="63">
      <c r="B63" s="5">
        <f>BDP(A63&amp;" US Equity","CUR_MKT_CAP")</f>
        <v/>
      </c>
      <c r="C63">
        <f>BDP(A63&amp;" US Equity","EXCH_CODE")</f>
        <v/>
      </c>
      <c r="D63" s="5">
        <f>BDP(A63&amp;" US Equity","VOLUME_AVG_20D")</f>
        <v/>
      </c>
      <c r="E63" s="6">
        <f>BDP(A63&amp;" US Equity","PX_LAST")</f>
        <v/>
      </c>
      <c r="F63" s="5">
        <f>D63*E63</f>
        <v/>
      </c>
      <c r="G63">
        <f>AND(B63&gt;=50,B63&lt;=10000)</f>
        <v/>
      </c>
      <c r="H63">
        <f>OR(C63="NAS",C63="NYS",C63="ASE")</f>
        <v/>
      </c>
      <c r="I63">
        <f>F63&gt;=500000</f>
        <v/>
      </c>
      <c r="J63">
        <f>E63&gt;=2</f>
        <v/>
      </c>
      <c r="K63">
        <f>AND(G63,H63,I63,J63)</f>
        <v/>
      </c>
    </row>
    <row r="64">
      <c r="B64" s="5">
        <f>BDP(A64&amp;" US Equity","CUR_MKT_CAP")</f>
        <v/>
      </c>
      <c r="C64">
        <f>BDP(A64&amp;" US Equity","EXCH_CODE")</f>
        <v/>
      </c>
      <c r="D64" s="5">
        <f>BDP(A64&amp;" US Equity","VOLUME_AVG_20D")</f>
        <v/>
      </c>
      <c r="E64" s="6">
        <f>BDP(A64&amp;" US Equity","PX_LAST")</f>
        <v/>
      </c>
      <c r="F64" s="5">
        <f>D64*E64</f>
        <v/>
      </c>
      <c r="G64">
        <f>AND(B64&gt;=50,B64&lt;=10000)</f>
        <v/>
      </c>
      <c r="H64">
        <f>OR(C64="NAS",C64="NYS",C64="ASE")</f>
        <v/>
      </c>
      <c r="I64">
        <f>F64&gt;=500000</f>
        <v/>
      </c>
      <c r="J64">
        <f>E64&gt;=2</f>
        <v/>
      </c>
      <c r="K64">
        <f>AND(G64,H64,I64,J64)</f>
        <v/>
      </c>
    </row>
    <row r="65">
      <c r="B65" s="5">
        <f>BDP(A65&amp;" US Equity","CUR_MKT_CAP")</f>
        <v/>
      </c>
      <c r="C65">
        <f>BDP(A65&amp;" US Equity","EXCH_CODE")</f>
        <v/>
      </c>
      <c r="D65" s="5">
        <f>BDP(A65&amp;" US Equity","VOLUME_AVG_20D")</f>
        <v/>
      </c>
      <c r="E65" s="6">
        <f>BDP(A65&amp;" US Equity","PX_LAST")</f>
        <v/>
      </c>
      <c r="F65" s="5">
        <f>D65*E65</f>
        <v/>
      </c>
      <c r="G65">
        <f>AND(B65&gt;=50,B65&lt;=10000)</f>
        <v/>
      </c>
      <c r="H65">
        <f>OR(C65="NAS",C65="NYS",C65="ASE")</f>
        <v/>
      </c>
      <c r="I65">
        <f>F65&gt;=500000</f>
        <v/>
      </c>
      <c r="J65">
        <f>E65&gt;=2</f>
        <v/>
      </c>
      <c r="K65">
        <f>AND(G65,H65,I65,J65)</f>
        <v/>
      </c>
    </row>
    <row r="66">
      <c r="B66" s="5">
        <f>BDP(A66&amp;" US Equity","CUR_MKT_CAP")</f>
        <v/>
      </c>
      <c r="C66">
        <f>BDP(A66&amp;" US Equity","EXCH_CODE")</f>
        <v/>
      </c>
      <c r="D66" s="5">
        <f>BDP(A66&amp;" US Equity","VOLUME_AVG_20D")</f>
        <v/>
      </c>
      <c r="E66" s="6">
        <f>BDP(A66&amp;" US Equity","PX_LAST")</f>
        <v/>
      </c>
      <c r="F66" s="5">
        <f>D66*E66</f>
        <v/>
      </c>
      <c r="G66">
        <f>AND(B66&gt;=50,B66&lt;=10000)</f>
        <v/>
      </c>
      <c r="H66">
        <f>OR(C66="NAS",C66="NYS",C66="ASE")</f>
        <v/>
      </c>
      <c r="I66">
        <f>F66&gt;=500000</f>
        <v/>
      </c>
      <c r="J66">
        <f>E66&gt;=2</f>
        <v/>
      </c>
      <c r="K66">
        <f>AND(G66,H66,I66,J66)</f>
        <v/>
      </c>
    </row>
    <row r="67">
      <c r="B67" s="5">
        <f>BDP(A67&amp;" US Equity","CUR_MKT_CAP")</f>
        <v/>
      </c>
      <c r="C67">
        <f>BDP(A67&amp;" US Equity","EXCH_CODE")</f>
        <v/>
      </c>
      <c r="D67" s="5">
        <f>BDP(A67&amp;" US Equity","VOLUME_AVG_20D")</f>
        <v/>
      </c>
      <c r="E67" s="6">
        <f>BDP(A67&amp;" US Equity","PX_LAST")</f>
        <v/>
      </c>
      <c r="F67" s="5">
        <f>D67*E67</f>
        <v/>
      </c>
      <c r="G67">
        <f>AND(B67&gt;=50,B67&lt;=10000)</f>
        <v/>
      </c>
      <c r="H67">
        <f>OR(C67="NAS",C67="NYS",C67="ASE")</f>
        <v/>
      </c>
      <c r="I67">
        <f>F67&gt;=500000</f>
        <v/>
      </c>
      <c r="J67">
        <f>E67&gt;=2</f>
        <v/>
      </c>
      <c r="K67">
        <f>AND(G67,H67,I67,J67)</f>
        <v/>
      </c>
    </row>
    <row r="68">
      <c r="B68" s="5">
        <f>BDP(A68&amp;" US Equity","CUR_MKT_CAP")</f>
        <v/>
      </c>
      <c r="C68">
        <f>BDP(A68&amp;" US Equity","EXCH_CODE")</f>
        <v/>
      </c>
      <c r="D68" s="5">
        <f>BDP(A68&amp;" US Equity","VOLUME_AVG_20D")</f>
        <v/>
      </c>
      <c r="E68" s="6">
        <f>BDP(A68&amp;" US Equity","PX_LAST")</f>
        <v/>
      </c>
      <c r="F68" s="5">
        <f>D68*E68</f>
        <v/>
      </c>
      <c r="G68">
        <f>AND(B68&gt;=50,B68&lt;=10000)</f>
        <v/>
      </c>
      <c r="H68">
        <f>OR(C68="NAS",C68="NYS",C68="ASE")</f>
        <v/>
      </c>
      <c r="I68">
        <f>F68&gt;=500000</f>
        <v/>
      </c>
      <c r="J68">
        <f>E68&gt;=2</f>
        <v/>
      </c>
      <c r="K68">
        <f>AND(G68,H68,I68,J68)</f>
        <v/>
      </c>
    </row>
    <row r="69">
      <c r="B69" s="5">
        <f>BDP(A69&amp;" US Equity","CUR_MKT_CAP")</f>
        <v/>
      </c>
      <c r="C69">
        <f>BDP(A69&amp;" US Equity","EXCH_CODE")</f>
        <v/>
      </c>
      <c r="D69" s="5">
        <f>BDP(A69&amp;" US Equity","VOLUME_AVG_20D")</f>
        <v/>
      </c>
      <c r="E69" s="6">
        <f>BDP(A69&amp;" US Equity","PX_LAST")</f>
        <v/>
      </c>
      <c r="F69" s="5">
        <f>D69*E69</f>
        <v/>
      </c>
      <c r="G69">
        <f>AND(B69&gt;=50,B69&lt;=10000)</f>
        <v/>
      </c>
      <c r="H69">
        <f>OR(C69="NAS",C69="NYS",C69="ASE")</f>
        <v/>
      </c>
      <c r="I69">
        <f>F69&gt;=500000</f>
        <v/>
      </c>
      <c r="J69">
        <f>E69&gt;=2</f>
        <v/>
      </c>
      <c r="K69">
        <f>AND(G69,H69,I69,J69)</f>
        <v/>
      </c>
    </row>
    <row r="70">
      <c r="B70" s="5">
        <f>BDP(A70&amp;" US Equity","CUR_MKT_CAP")</f>
        <v/>
      </c>
      <c r="C70">
        <f>BDP(A70&amp;" US Equity","EXCH_CODE")</f>
        <v/>
      </c>
      <c r="D70" s="5">
        <f>BDP(A70&amp;" US Equity","VOLUME_AVG_20D")</f>
        <v/>
      </c>
      <c r="E70" s="6">
        <f>BDP(A70&amp;" US Equity","PX_LAST")</f>
        <v/>
      </c>
      <c r="F70" s="5">
        <f>D70*E70</f>
        <v/>
      </c>
      <c r="G70">
        <f>AND(B70&gt;=50,B70&lt;=10000)</f>
        <v/>
      </c>
      <c r="H70">
        <f>OR(C70="NAS",C70="NYS",C70="ASE")</f>
        <v/>
      </c>
      <c r="I70">
        <f>F70&gt;=500000</f>
        <v/>
      </c>
      <c r="J70">
        <f>E70&gt;=2</f>
        <v/>
      </c>
      <c r="K70">
        <f>AND(G70,H70,I70,J70)</f>
        <v/>
      </c>
    </row>
    <row r="71">
      <c r="B71" s="5">
        <f>BDP(A71&amp;" US Equity","CUR_MKT_CAP")</f>
        <v/>
      </c>
      <c r="C71">
        <f>BDP(A71&amp;" US Equity","EXCH_CODE")</f>
        <v/>
      </c>
      <c r="D71" s="5">
        <f>BDP(A71&amp;" US Equity","VOLUME_AVG_20D")</f>
        <v/>
      </c>
      <c r="E71" s="6">
        <f>BDP(A71&amp;" US Equity","PX_LAST")</f>
        <v/>
      </c>
      <c r="F71" s="5">
        <f>D71*E71</f>
        <v/>
      </c>
      <c r="G71">
        <f>AND(B71&gt;=50,B71&lt;=10000)</f>
        <v/>
      </c>
      <c r="H71">
        <f>OR(C71="NAS",C71="NYS",C71="ASE")</f>
        <v/>
      </c>
      <c r="I71">
        <f>F71&gt;=500000</f>
        <v/>
      </c>
      <c r="J71">
        <f>E71&gt;=2</f>
        <v/>
      </c>
      <c r="K71">
        <f>AND(G71,H71,I71,J71)</f>
        <v/>
      </c>
    </row>
    <row r="72">
      <c r="B72" s="5">
        <f>BDP(A72&amp;" US Equity","CUR_MKT_CAP")</f>
        <v/>
      </c>
      <c r="C72">
        <f>BDP(A72&amp;" US Equity","EXCH_CODE")</f>
        <v/>
      </c>
      <c r="D72" s="5">
        <f>BDP(A72&amp;" US Equity","VOLUME_AVG_20D")</f>
        <v/>
      </c>
      <c r="E72" s="6">
        <f>BDP(A72&amp;" US Equity","PX_LAST")</f>
        <v/>
      </c>
      <c r="F72" s="5">
        <f>D72*E72</f>
        <v/>
      </c>
      <c r="G72">
        <f>AND(B72&gt;=50,B72&lt;=10000)</f>
        <v/>
      </c>
      <c r="H72">
        <f>OR(C72="NAS",C72="NYS",C72="ASE")</f>
        <v/>
      </c>
      <c r="I72">
        <f>F72&gt;=500000</f>
        <v/>
      </c>
      <c r="J72">
        <f>E72&gt;=2</f>
        <v/>
      </c>
      <c r="K72">
        <f>AND(G72,H72,I72,J72)</f>
        <v/>
      </c>
    </row>
    <row r="73">
      <c r="B73" s="5">
        <f>BDP(A73&amp;" US Equity","CUR_MKT_CAP")</f>
        <v/>
      </c>
      <c r="C73">
        <f>BDP(A73&amp;" US Equity","EXCH_CODE")</f>
        <v/>
      </c>
      <c r="D73" s="5">
        <f>BDP(A73&amp;" US Equity","VOLUME_AVG_20D")</f>
        <v/>
      </c>
      <c r="E73" s="6">
        <f>BDP(A73&amp;" US Equity","PX_LAST")</f>
        <v/>
      </c>
      <c r="F73" s="5">
        <f>D73*E73</f>
        <v/>
      </c>
      <c r="G73">
        <f>AND(B73&gt;=50,B73&lt;=10000)</f>
        <v/>
      </c>
      <c r="H73">
        <f>OR(C73="NAS",C73="NYS",C73="ASE")</f>
        <v/>
      </c>
      <c r="I73">
        <f>F73&gt;=500000</f>
        <v/>
      </c>
      <c r="J73">
        <f>E73&gt;=2</f>
        <v/>
      </c>
      <c r="K73">
        <f>AND(G73,H73,I73,J73)</f>
        <v/>
      </c>
    </row>
    <row r="74">
      <c r="B74" s="5">
        <f>BDP(A74&amp;" US Equity","CUR_MKT_CAP")</f>
        <v/>
      </c>
      <c r="C74">
        <f>BDP(A74&amp;" US Equity","EXCH_CODE")</f>
        <v/>
      </c>
      <c r="D74" s="5">
        <f>BDP(A74&amp;" US Equity","VOLUME_AVG_20D")</f>
        <v/>
      </c>
      <c r="E74" s="6">
        <f>BDP(A74&amp;" US Equity","PX_LAST")</f>
        <v/>
      </c>
      <c r="F74" s="5">
        <f>D74*E74</f>
        <v/>
      </c>
      <c r="G74">
        <f>AND(B74&gt;=50,B74&lt;=10000)</f>
        <v/>
      </c>
      <c r="H74">
        <f>OR(C74="NAS",C74="NYS",C74="ASE")</f>
        <v/>
      </c>
      <c r="I74">
        <f>F74&gt;=500000</f>
        <v/>
      </c>
      <c r="J74">
        <f>E74&gt;=2</f>
        <v/>
      </c>
      <c r="K74">
        <f>AND(G74,H74,I74,J74)</f>
        <v/>
      </c>
    </row>
    <row r="75">
      <c r="B75" s="5">
        <f>BDP(A75&amp;" US Equity","CUR_MKT_CAP")</f>
        <v/>
      </c>
      <c r="C75">
        <f>BDP(A75&amp;" US Equity","EXCH_CODE")</f>
        <v/>
      </c>
      <c r="D75" s="5">
        <f>BDP(A75&amp;" US Equity","VOLUME_AVG_20D")</f>
        <v/>
      </c>
      <c r="E75" s="6">
        <f>BDP(A75&amp;" US Equity","PX_LAST")</f>
        <v/>
      </c>
      <c r="F75" s="5">
        <f>D75*E75</f>
        <v/>
      </c>
      <c r="G75">
        <f>AND(B75&gt;=50,B75&lt;=10000)</f>
        <v/>
      </c>
      <c r="H75">
        <f>OR(C75="NAS",C75="NYS",C75="ASE")</f>
        <v/>
      </c>
      <c r="I75">
        <f>F75&gt;=500000</f>
        <v/>
      </c>
      <c r="J75">
        <f>E75&gt;=2</f>
        <v/>
      </c>
      <c r="K75">
        <f>AND(G75,H75,I75,J75)</f>
        <v/>
      </c>
    </row>
    <row r="76">
      <c r="B76" s="5">
        <f>BDP(A76&amp;" US Equity","CUR_MKT_CAP")</f>
        <v/>
      </c>
      <c r="C76">
        <f>BDP(A76&amp;" US Equity","EXCH_CODE")</f>
        <v/>
      </c>
      <c r="D76" s="5">
        <f>BDP(A76&amp;" US Equity","VOLUME_AVG_20D")</f>
        <v/>
      </c>
      <c r="E76" s="6">
        <f>BDP(A76&amp;" US Equity","PX_LAST")</f>
        <v/>
      </c>
      <c r="F76" s="5">
        <f>D76*E76</f>
        <v/>
      </c>
      <c r="G76">
        <f>AND(B76&gt;=50,B76&lt;=10000)</f>
        <v/>
      </c>
      <c r="H76">
        <f>OR(C76="NAS",C76="NYS",C76="ASE")</f>
        <v/>
      </c>
      <c r="I76">
        <f>F76&gt;=500000</f>
        <v/>
      </c>
      <c r="J76">
        <f>E76&gt;=2</f>
        <v/>
      </c>
      <c r="K76">
        <f>AND(G76,H76,I76,J76)</f>
        <v/>
      </c>
    </row>
    <row r="77">
      <c r="B77" s="5">
        <f>BDP(A77&amp;" US Equity","CUR_MKT_CAP")</f>
        <v/>
      </c>
      <c r="C77">
        <f>BDP(A77&amp;" US Equity","EXCH_CODE")</f>
        <v/>
      </c>
      <c r="D77" s="5">
        <f>BDP(A77&amp;" US Equity","VOLUME_AVG_20D")</f>
        <v/>
      </c>
      <c r="E77" s="6">
        <f>BDP(A77&amp;" US Equity","PX_LAST")</f>
        <v/>
      </c>
      <c r="F77" s="5">
        <f>D77*E77</f>
        <v/>
      </c>
      <c r="G77">
        <f>AND(B77&gt;=50,B77&lt;=10000)</f>
        <v/>
      </c>
      <c r="H77">
        <f>OR(C77="NAS",C77="NYS",C77="ASE")</f>
        <v/>
      </c>
      <c r="I77">
        <f>F77&gt;=500000</f>
        <v/>
      </c>
      <c r="J77">
        <f>E77&gt;=2</f>
        <v/>
      </c>
      <c r="K77">
        <f>AND(G77,H77,I77,J77)</f>
        <v/>
      </c>
    </row>
    <row r="78">
      <c r="B78" s="5">
        <f>BDP(A78&amp;" US Equity","CUR_MKT_CAP")</f>
        <v/>
      </c>
      <c r="C78">
        <f>BDP(A78&amp;" US Equity","EXCH_CODE")</f>
        <v/>
      </c>
      <c r="D78" s="5">
        <f>BDP(A78&amp;" US Equity","VOLUME_AVG_20D")</f>
        <v/>
      </c>
      <c r="E78" s="6">
        <f>BDP(A78&amp;" US Equity","PX_LAST")</f>
        <v/>
      </c>
      <c r="F78" s="5">
        <f>D78*E78</f>
        <v/>
      </c>
      <c r="G78">
        <f>AND(B78&gt;=50,B78&lt;=10000)</f>
        <v/>
      </c>
      <c r="H78">
        <f>OR(C78="NAS",C78="NYS",C78="ASE")</f>
        <v/>
      </c>
      <c r="I78">
        <f>F78&gt;=500000</f>
        <v/>
      </c>
      <c r="J78">
        <f>E78&gt;=2</f>
        <v/>
      </c>
      <c r="K78">
        <f>AND(G78,H78,I78,J78)</f>
        <v/>
      </c>
    </row>
    <row r="79">
      <c r="B79" s="5">
        <f>BDP(A79&amp;" US Equity","CUR_MKT_CAP")</f>
        <v/>
      </c>
      <c r="C79">
        <f>BDP(A79&amp;" US Equity","EXCH_CODE")</f>
        <v/>
      </c>
      <c r="D79" s="5">
        <f>BDP(A79&amp;" US Equity","VOLUME_AVG_20D")</f>
        <v/>
      </c>
      <c r="E79" s="6">
        <f>BDP(A79&amp;" US Equity","PX_LAST")</f>
        <v/>
      </c>
      <c r="F79" s="5">
        <f>D79*E79</f>
        <v/>
      </c>
      <c r="G79">
        <f>AND(B79&gt;=50,B79&lt;=10000)</f>
        <v/>
      </c>
      <c r="H79">
        <f>OR(C79="NAS",C79="NYS",C79="ASE")</f>
        <v/>
      </c>
      <c r="I79">
        <f>F79&gt;=500000</f>
        <v/>
      </c>
      <c r="J79">
        <f>E79&gt;=2</f>
        <v/>
      </c>
      <c r="K79">
        <f>AND(G79,H79,I79,J79)</f>
        <v/>
      </c>
    </row>
    <row r="80">
      <c r="B80" s="5">
        <f>BDP(A80&amp;" US Equity","CUR_MKT_CAP")</f>
        <v/>
      </c>
      <c r="C80">
        <f>BDP(A80&amp;" US Equity","EXCH_CODE")</f>
        <v/>
      </c>
      <c r="D80" s="5">
        <f>BDP(A80&amp;" US Equity","VOLUME_AVG_20D")</f>
        <v/>
      </c>
      <c r="E80" s="6">
        <f>BDP(A80&amp;" US Equity","PX_LAST")</f>
        <v/>
      </c>
      <c r="F80" s="5">
        <f>D80*E80</f>
        <v/>
      </c>
      <c r="G80">
        <f>AND(B80&gt;=50,B80&lt;=10000)</f>
        <v/>
      </c>
      <c r="H80">
        <f>OR(C80="NAS",C80="NYS",C80="ASE")</f>
        <v/>
      </c>
      <c r="I80">
        <f>F80&gt;=500000</f>
        <v/>
      </c>
      <c r="J80">
        <f>E80&gt;=2</f>
        <v/>
      </c>
      <c r="K80">
        <f>AND(G80,H80,I80,J80)</f>
        <v/>
      </c>
    </row>
    <row r="81">
      <c r="B81" s="5">
        <f>BDP(A81&amp;" US Equity","CUR_MKT_CAP")</f>
        <v/>
      </c>
      <c r="C81">
        <f>BDP(A81&amp;" US Equity","EXCH_CODE")</f>
        <v/>
      </c>
      <c r="D81" s="5">
        <f>BDP(A81&amp;" US Equity","VOLUME_AVG_20D")</f>
        <v/>
      </c>
      <c r="E81" s="6">
        <f>BDP(A81&amp;" US Equity","PX_LAST")</f>
        <v/>
      </c>
      <c r="F81" s="5">
        <f>D81*E81</f>
        <v/>
      </c>
      <c r="G81">
        <f>AND(B81&gt;=50,B81&lt;=10000)</f>
        <v/>
      </c>
      <c r="H81">
        <f>OR(C81="NAS",C81="NYS",C81="ASE")</f>
        <v/>
      </c>
      <c r="I81">
        <f>F81&gt;=500000</f>
        <v/>
      </c>
      <c r="J81">
        <f>E81&gt;=2</f>
        <v/>
      </c>
      <c r="K81">
        <f>AND(G81,H81,I81,J81)</f>
        <v/>
      </c>
    </row>
    <row r="82">
      <c r="B82" s="5">
        <f>BDP(A82&amp;" US Equity","CUR_MKT_CAP")</f>
        <v/>
      </c>
      <c r="C82">
        <f>BDP(A82&amp;" US Equity","EXCH_CODE")</f>
        <v/>
      </c>
      <c r="D82" s="5">
        <f>BDP(A82&amp;" US Equity","VOLUME_AVG_20D")</f>
        <v/>
      </c>
      <c r="E82" s="6">
        <f>BDP(A82&amp;" US Equity","PX_LAST")</f>
        <v/>
      </c>
      <c r="F82" s="5">
        <f>D82*E82</f>
        <v/>
      </c>
      <c r="G82">
        <f>AND(B82&gt;=50,B82&lt;=10000)</f>
        <v/>
      </c>
      <c r="H82">
        <f>OR(C82="NAS",C82="NYS",C82="ASE")</f>
        <v/>
      </c>
      <c r="I82">
        <f>F82&gt;=500000</f>
        <v/>
      </c>
      <c r="J82">
        <f>E82&gt;=2</f>
        <v/>
      </c>
      <c r="K82">
        <f>AND(G82,H82,I82,J82)</f>
        <v/>
      </c>
    </row>
    <row r="83">
      <c r="B83" s="5">
        <f>BDP(A83&amp;" US Equity","CUR_MKT_CAP")</f>
        <v/>
      </c>
      <c r="C83">
        <f>BDP(A83&amp;" US Equity","EXCH_CODE")</f>
        <v/>
      </c>
      <c r="D83" s="5">
        <f>BDP(A83&amp;" US Equity","VOLUME_AVG_20D")</f>
        <v/>
      </c>
      <c r="E83" s="6">
        <f>BDP(A83&amp;" US Equity","PX_LAST")</f>
        <v/>
      </c>
      <c r="F83" s="5">
        <f>D83*E83</f>
        <v/>
      </c>
      <c r="G83">
        <f>AND(B83&gt;=50,B83&lt;=10000)</f>
        <v/>
      </c>
      <c r="H83">
        <f>OR(C83="NAS",C83="NYS",C83="ASE")</f>
        <v/>
      </c>
      <c r="I83">
        <f>F83&gt;=500000</f>
        <v/>
      </c>
      <c r="J83">
        <f>E83&gt;=2</f>
        <v/>
      </c>
      <c r="K83">
        <f>AND(G83,H83,I83,J83)</f>
        <v/>
      </c>
    </row>
    <row r="84">
      <c r="B84" s="5">
        <f>BDP(A84&amp;" US Equity","CUR_MKT_CAP")</f>
        <v/>
      </c>
      <c r="C84">
        <f>BDP(A84&amp;" US Equity","EXCH_CODE")</f>
        <v/>
      </c>
      <c r="D84" s="5">
        <f>BDP(A84&amp;" US Equity","VOLUME_AVG_20D")</f>
        <v/>
      </c>
      <c r="E84" s="6">
        <f>BDP(A84&amp;" US Equity","PX_LAST")</f>
        <v/>
      </c>
      <c r="F84" s="5">
        <f>D84*E84</f>
        <v/>
      </c>
      <c r="G84">
        <f>AND(B84&gt;=50,B84&lt;=10000)</f>
        <v/>
      </c>
      <c r="H84">
        <f>OR(C84="NAS",C84="NYS",C84="ASE")</f>
        <v/>
      </c>
      <c r="I84">
        <f>F84&gt;=500000</f>
        <v/>
      </c>
      <c r="J84">
        <f>E84&gt;=2</f>
        <v/>
      </c>
      <c r="K84">
        <f>AND(G84,H84,I84,J84)</f>
        <v/>
      </c>
    </row>
    <row r="85">
      <c r="B85" s="5">
        <f>BDP(A85&amp;" US Equity","CUR_MKT_CAP")</f>
        <v/>
      </c>
      <c r="C85">
        <f>BDP(A85&amp;" US Equity","EXCH_CODE")</f>
        <v/>
      </c>
      <c r="D85" s="5">
        <f>BDP(A85&amp;" US Equity","VOLUME_AVG_20D")</f>
        <v/>
      </c>
      <c r="E85" s="6">
        <f>BDP(A85&amp;" US Equity","PX_LAST")</f>
        <v/>
      </c>
      <c r="F85" s="5">
        <f>D85*E85</f>
        <v/>
      </c>
      <c r="G85">
        <f>AND(B85&gt;=50,B85&lt;=10000)</f>
        <v/>
      </c>
      <c r="H85">
        <f>OR(C85="NAS",C85="NYS",C85="ASE")</f>
        <v/>
      </c>
      <c r="I85">
        <f>F85&gt;=500000</f>
        <v/>
      </c>
      <c r="J85">
        <f>E85&gt;=2</f>
        <v/>
      </c>
      <c r="K85">
        <f>AND(G85,H85,I85,J85)</f>
        <v/>
      </c>
    </row>
    <row r="86">
      <c r="B86" s="5">
        <f>BDP(A86&amp;" US Equity","CUR_MKT_CAP")</f>
        <v/>
      </c>
      <c r="C86">
        <f>BDP(A86&amp;" US Equity","EXCH_CODE")</f>
        <v/>
      </c>
      <c r="D86" s="5">
        <f>BDP(A86&amp;" US Equity","VOLUME_AVG_20D")</f>
        <v/>
      </c>
      <c r="E86" s="6">
        <f>BDP(A86&amp;" US Equity","PX_LAST")</f>
        <v/>
      </c>
      <c r="F86" s="5">
        <f>D86*E86</f>
        <v/>
      </c>
      <c r="G86">
        <f>AND(B86&gt;=50,B86&lt;=10000)</f>
        <v/>
      </c>
      <c r="H86">
        <f>OR(C86="NAS",C86="NYS",C86="ASE")</f>
        <v/>
      </c>
      <c r="I86">
        <f>F86&gt;=500000</f>
        <v/>
      </c>
      <c r="J86">
        <f>E86&gt;=2</f>
        <v/>
      </c>
      <c r="K86">
        <f>AND(G86,H86,I86,J86)</f>
        <v/>
      </c>
    </row>
    <row r="87">
      <c r="B87" s="5">
        <f>BDP(A87&amp;" US Equity","CUR_MKT_CAP")</f>
        <v/>
      </c>
      <c r="C87">
        <f>BDP(A87&amp;" US Equity","EXCH_CODE")</f>
        <v/>
      </c>
      <c r="D87" s="5">
        <f>BDP(A87&amp;" US Equity","VOLUME_AVG_20D")</f>
        <v/>
      </c>
      <c r="E87" s="6">
        <f>BDP(A87&amp;" US Equity","PX_LAST")</f>
        <v/>
      </c>
      <c r="F87" s="5">
        <f>D87*E87</f>
        <v/>
      </c>
      <c r="G87">
        <f>AND(B87&gt;=50,B87&lt;=10000)</f>
        <v/>
      </c>
      <c r="H87">
        <f>OR(C87="NAS",C87="NYS",C87="ASE")</f>
        <v/>
      </c>
      <c r="I87">
        <f>F87&gt;=500000</f>
        <v/>
      </c>
      <c r="J87">
        <f>E87&gt;=2</f>
        <v/>
      </c>
      <c r="K87">
        <f>AND(G87,H87,I87,J87)</f>
        <v/>
      </c>
    </row>
    <row r="88">
      <c r="B88" s="5">
        <f>BDP(A88&amp;" US Equity","CUR_MKT_CAP")</f>
        <v/>
      </c>
      <c r="C88">
        <f>BDP(A88&amp;" US Equity","EXCH_CODE")</f>
        <v/>
      </c>
      <c r="D88" s="5">
        <f>BDP(A88&amp;" US Equity","VOLUME_AVG_20D")</f>
        <v/>
      </c>
      <c r="E88" s="6">
        <f>BDP(A88&amp;" US Equity","PX_LAST")</f>
        <v/>
      </c>
      <c r="F88" s="5">
        <f>D88*E88</f>
        <v/>
      </c>
      <c r="G88">
        <f>AND(B88&gt;=50,B88&lt;=10000)</f>
        <v/>
      </c>
      <c r="H88">
        <f>OR(C88="NAS",C88="NYS",C88="ASE")</f>
        <v/>
      </c>
      <c r="I88">
        <f>F88&gt;=500000</f>
        <v/>
      </c>
      <c r="J88">
        <f>E88&gt;=2</f>
        <v/>
      </c>
      <c r="K88">
        <f>AND(G88,H88,I88,J88)</f>
        <v/>
      </c>
    </row>
    <row r="89">
      <c r="B89" s="5">
        <f>BDP(A89&amp;" US Equity","CUR_MKT_CAP")</f>
        <v/>
      </c>
      <c r="C89">
        <f>BDP(A89&amp;" US Equity","EXCH_CODE")</f>
        <v/>
      </c>
      <c r="D89" s="5">
        <f>BDP(A89&amp;" US Equity","VOLUME_AVG_20D")</f>
        <v/>
      </c>
      <c r="E89" s="6">
        <f>BDP(A89&amp;" US Equity","PX_LAST")</f>
        <v/>
      </c>
      <c r="F89" s="5">
        <f>D89*E89</f>
        <v/>
      </c>
      <c r="G89">
        <f>AND(B89&gt;=50,B89&lt;=10000)</f>
        <v/>
      </c>
      <c r="H89">
        <f>OR(C89="NAS",C89="NYS",C89="ASE")</f>
        <v/>
      </c>
      <c r="I89">
        <f>F89&gt;=500000</f>
        <v/>
      </c>
      <c r="J89">
        <f>E89&gt;=2</f>
        <v/>
      </c>
      <c r="K89">
        <f>AND(G89,H89,I89,J89)</f>
        <v/>
      </c>
    </row>
    <row r="90">
      <c r="B90" s="5">
        <f>BDP(A90&amp;" US Equity","CUR_MKT_CAP")</f>
        <v/>
      </c>
      <c r="C90">
        <f>BDP(A90&amp;" US Equity","EXCH_CODE")</f>
        <v/>
      </c>
      <c r="D90" s="5">
        <f>BDP(A90&amp;" US Equity","VOLUME_AVG_20D")</f>
        <v/>
      </c>
      <c r="E90" s="6">
        <f>BDP(A90&amp;" US Equity","PX_LAST")</f>
        <v/>
      </c>
      <c r="F90" s="5">
        <f>D90*E90</f>
        <v/>
      </c>
      <c r="G90">
        <f>AND(B90&gt;=50,B90&lt;=10000)</f>
        <v/>
      </c>
      <c r="H90">
        <f>OR(C90="NAS",C90="NYS",C90="ASE")</f>
        <v/>
      </c>
      <c r="I90">
        <f>F90&gt;=500000</f>
        <v/>
      </c>
      <c r="J90">
        <f>E90&gt;=2</f>
        <v/>
      </c>
      <c r="K90">
        <f>AND(G90,H90,I90,J90)</f>
        <v/>
      </c>
    </row>
    <row r="91">
      <c r="B91" s="5">
        <f>BDP(A91&amp;" US Equity","CUR_MKT_CAP")</f>
        <v/>
      </c>
      <c r="C91">
        <f>BDP(A91&amp;" US Equity","EXCH_CODE")</f>
        <v/>
      </c>
      <c r="D91" s="5">
        <f>BDP(A91&amp;" US Equity","VOLUME_AVG_20D")</f>
        <v/>
      </c>
      <c r="E91" s="6">
        <f>BDP(A91&amp;" US Equity","PX_LAST")</f>
        <v/>
      </c>
      <c r="F91" s="5">
        <f>D91*E91</f>
        <v/>
      </c>
      <c r="G91">
        <f>AND(B91&gt;=50,B91&lt;=10000)</f>
        <v/>
      </c>
      <c r="H91">
        <f>OR(C91="NAS",C91="NYS",C91="ASE")</f>
        <v/>
      </c>
      <c r="I91">
        <f>F91&gt;=500000</f>
        <v/>
      </c>
      <c r="J91">
        <f>E91&gt;=2</f>
        <v/>
      </c>
      <c r="K91">
        <f>AND(G91,H91,I91,J91)</f>
        <v/>
      </c>
    </row>
    <row r="92">
      <c r="B92" s="5">
        <f>BDP(A92&amp;" US Equity","CUR_MKT_CAP")</f>
        <v/>
      </c>
      <c r="C92">
        <f>BDP(A92&amp;" US Equity","EXCH_CODE")</f>
        <v/>
      </c>
      <c r="D92" s="5">
        <f>BDP(A92&amp;" US Equity","VOLUME_AVG_20D")</f>
        <v/>
      </c>
      <c r="E92" s="6">
        <f>BDP(A92&amp;" US Equity","PX_LAST")</f>
        <v/>
      </c>
      <c r="F92" s="5">
        <f>D92*E92</f>
        <v/>
      </c>
      <c r="G92">
        <f>AND(B92&gt;=50,B92&lt;=10000)</f>
        <v/>
      </c>
      <c r="H92">
        <f>OR(C92="NAS",C92="NYS",C92="ASE")</f>
        <v/>
      </c>
      <c r="I92">
        <f>F92&gt;=500000</f>
        <v/>
      </c>
      <c r="J92">
        <f>E92&gt;=2</f>
        <v/>
      </c>
      <c r="K92">
        <f>AND(G92,H92,I92,J92)</f>
        <v/>
      </c>
    </row>
    <row r="93">
      <c r="B93" s="5">
        <f>BDP(A93&amp;" US Equity","CUR_MKT_CAP")</f>
        <v/>
      </c>
      <c r="C93">
        <f>BDP(A93&amp;" US Equity","EXCH_CODE")</f>
        <v/>
      </c>
      <c r="D93" s="5">
        <f>BDP(A93&amp;" US Equity","VOLUME_AVG_20D")</f>
        <v/>
      </c>
      <c r="E93" s="6">
        <f>BDP(A93&amp;" US Equity","PX_LAST")</f>
        <v/>
      </c>
      <c r="F93" s="5">
        <f>D93*E93</f>
        <v/>
      </c>
      <c r="G93">
        <f>AND(B93&gt;=50,B93&lt;=10000)</f>
        <v/>
      </c>
      <c r="H93">
        <f>OR(C93="NAS",C93="NYS",C93="ASE")</f>
        <v/>
      </c>
      <c r="I93">
        <f>F93&gt;=500000</f>
        <v/>
      </c>
      <c r="J93">
        <f>E93&gt;=2</f>
        <v/>
      </c>
      <c r="K93">
        <f>AND(G93,H93,I93,J93)</f>
        <v/>
      </c>
    </row>
    <row r="94">
      <c r="B94" s="5">
        <f>BDP(A94&amp;" US Equity","CUR_MKT_CAP")</f>
        <v/>
      </c>
      <c r="C94">
        <f>BDP(A94&amp;" US Equity","EXCH_CODE")</f>
        <v/>
      </c>
      <c r="D94" s="5">
        <f>BDP(A94&amp;" US Equity","VOLUME_AVG_20D")</f>
        <v/>
      </c>
      <c r="E94" s="6">
        <f>BDP(A94&amp;" US Equity","PX_LAST")</f>
        <v/>
      </c>
      <c r="F94" s="5">
        <f>D94*E94</f>
        <v/>
      </c>
      <c r="G94">
        <f>AND(B94&gt;=50,B94&lt;=10000)</f>
        <v/>
      </c>
      <c r="H94">
        <f>OR(C94="NAS",C94="NYS",C94="ASE")</f>
        <v/>
      </c>
      <c r="I94">
        <f>F94&gt;=500000</f>
        <v/>
      </c>
      <c r="J94">
        <f>E94&gt;=2</f>
        <v/>
      </c>
      <c r="K94">
        <f>AND(G94,H94,I94,J94)</f>
        <v/>
      </c>
    </row>
    <row r="95">
      <c r="B95" s="5">
        <f>BDP(A95&amp;" US Equity","CUR_MKT_CAP")</f>
        <v/>
      </c>
      <c r="C95">
        <f>BDP(A95&amp;" US Equity","EXCH_CODE")</f>
        <v/>
      </c>
      <c r="D95" s="5">
        <f>BDP(A95&amp;" US Equity","VOLUME_AVG_20D")</f>
        <v/>
      </c>
      <c r="E95" s="6">
        <f>BDP(A95&amp;" US Equity","PX_LAST")</f>
        <v/>
      </c>
      <c r="F95" s="5">
        <f>D95*E95</f>
        <v/>
      </c>
      <c r="G95">
        <f>AND(B95&gt;=50,B95&lt;=10000)</f>
        <v/>
      </c>
      <c r="H95">
        <f>OR(C95="NAS",C95="NYS",C95="ASE")</f>
        <v/>
      </c>
      <c r="I95">
        <f>F95&gt;=500000</f>
        <v/>
      </c>
      <c r="J95">
        <f>E95&gt;=2</f>
        <v/>
      </c>
      <c r="K95">
        <f>AND(G95,H95,I95,J95)</f>
        <v/>
      </c>
    </row>
    <row r="96">
      <c r="B96" s="5">
        <f>BDP(A96&amp;" US Equity","CUR_MKT_CAP")</f>
        <v/>
      </c>
      <c r="C96">
        <f>BDP(A96&amp;" US Equity","EXCH_CODE")</f>
        <v/>
      </c>
      <c r="D96" s="5">
        <f>BDP(A96&amp;" US Equity","VOLUME_AVG_20D")</f>
        <v/>
      </c>
      <c r="E96" s="6">
        <f>BDP(A96&amp;" US Equity","PX_LAST")</f>
        <v/>
      </c>
      <c r="F96" s="5">
        <f>D96*E96</f>
        <v/>
      </c>
      <c r="G96">
        <f>AND(B96&gt;=50,B96&lt;=10000)</f>
        <v/>
      </c>
      <c r="H96">
        <f>OR(C96="NAS",C96="NYS",C96="ASE")</f>
        <v/>
      </c>
      <c r="I96">
        <f>F96&gt;=500000</f>
        <v/>
      </c>
      <c r="J96">
        <f>E96&gt;=2</f>
        <v/>
      </c>
      <c r="K96">
        <f>AND(G96,H96,I96,J96)</f>
        <v/>
      </c>
    </row>
    <row r="97">
      <c r="B97" s="5">
        <f>BDP(A97&amp;" US Equity","CUR_MKT_CAP")</f>
        <v/>
      </c>
      <c r="C97">
        <f>BDP(A97&amp;" US Equity","EXCH_CODE")</f>
        <v/>
      </c>
      <c r="D97" s="5">
        <f>BDP(A97&amp;" US Equity","VOLUME_AVG_20D")</f>
        <v/>
      </c>
      <c r="E97" s="6">
        <f>BDP(A97&amp;" US Equity","PX_LAST")</f>
        <v/>
      </c>
      <c r="F97" s="5">
        <f>D97*E97</f>
        <v/>
      </c>
      <c r="G97">
        <f>AND(B97&gt;=50,B97&lt;=10000)</f>
        <v/>
      </c>
      <c r="H97">
        <f>OR(C97="NAS",C97="NYS",C97="ASE")</f>
        <v/>
      </c>
      <c r="I97">
        <f>F97&gt;=500000</f>
        <v/>
      </c>
      <c r="J97">
        <f>E97&gt;=2</f>
        <v/>
      </c>
      <c r="K97">
        <f>AND(G97,H97,I97,J97)</f>
        <v/>
      </c>
    </row>
    <row r="98">
      <c r="B98" s="5">
        <f>BDP(A98&amp;" US Equity","CUR_MKT_CAP")</f>
        <v/>
      </c>
      <c r="C98">
        <f>BDP(A98&amp;" US Equity","EXCH_CODE")</f>
        <v/>
      </c>
      <c r="D98" s="5">
        <f>BDP(A98&amp;" US Equity","VOLUME_AVG_20D")</f>
        <v/>
      </c>
      <c r="E98" s="6">
        <f>BDP(A98&amp;" US Equity","PX_LAST")</f>
        <v/>
      </c>
      <c r="F98" s="5">
        <f>D98*E98</f>
        <v/>
      </c>
      <c r="G98">
        <f>AND(B98&gt;=50,B98&lt;=10000)</f>
        <v/>
      </c>
      <c r="H98">
        <f>OR(C98="NAS",C98="NYS",C98="ASE")</f>
        <v/>
      </c>
      <c r="I98">
        <f>F98&gt;=500000</f>
        <v/>
      </c>
      <c r="J98">
        <f>E98&gt;=2</f>
        <v/>
      </c>
      <c r="K98">
        <f>AND(G98,H98,I98,J98)</f>
        <v/>
      </c>
    </row>
    <row r="99">
      <c r="B99" s="5">
        <f>BDP(A99&amp;" US Equity","CUR_MKT_CAP")</f>
        <v/>
      </c>
      <c r="C99">
        <f>BDP(A99&amp;" US Equity","EXCH_CODE")</f>
        <v/>
      </c>
      <c r="D99" s="5">
        <f>BDP(A99&amp;" US Equity","VOLUME_AVG_20D")</f>
        <v/>
      </c>
      <c r="E99" s="6">
        <f>BDP(A99&amp;" US Equity","PX_LAST")</f>
        <v/>
      </c>
      <c r="F99" s="5">
        <f>D99*E99</f>
        <v/>
      </c>
      <c r="G99">
        <f>AND(B99&gt;=50,B99&lt;=10000)</f>
        <v/>
      </c>
      <c r="H99">
        <f>OR(C99="NAS",C99="NYS",C99="ASE")</f>
        <v/>
      </c>
      <c r="I99">
        <f>F99&gt;=500000</f>
        <v/>
      </c>
      <c r="J99">
        <f>E99&gt;=2</f>
        <v/>
      </c>
      <c r="K99">
        <f>AND(G99,H99,I99,J99)</f>
        <v/>
      </c>
    </row>
    <row r="100">
      <c r="B100" s="5">
        <f>BDP(A100&amp;" US Equity","CUR_MKT_CAP")</f>
        <v/>
      </c>
      <c r="C100">
        <f>BDP(A100&amp;" US Equity","EXCH_CODE")</f>
        <v/>
      </c>
      <c r="D100" s="5">
        <f>BDP(A100&amp;" US Equity","VOLUME_AVG_20D")</f>
        <v/>
      </c>
      <c r="E100" s="6">
        <f>BDP(A100&amp;" US Equity","PX_LAST")</f>
        <v/>
      </c>
      <c r="F100" s="5">
        <f>D100*E100</f>
        <v/>
      </c>
      <c r="G100">
        <f>AND(B100&gt;=50,B100&lt;=10000)</f>
        <v/>
      </c>
      <c r="H100">
        <f>OR(C100="NAS",C100="NYS",C100="ASE")</f>
        <v/>
      </c>
      <c r="I100">
        <f>F100&gt;=500000</f>
        <v/>
      </c>
      <c r="J100">
        <f>E100&gt;=2</f>
        <v/>
      </c>
      <c r="K100">
        <f>AND(G100,H100,I100,J100)</f>
        <v/>
      </c>
    </row>
    <row r="101">
      <c r="B101" s="5">
        <f>BDP(A101&amp;" US Equity","CUR_MKT_CAP")</f>
        <v/>
      </c>
      <c r="C101">
        <f>BDP(A101&amp;" US Equity","EXCH_CODE")</f>
        <v/>
      </c>
      <c r="D101" s="5">
        <f>BDP(A101&amp;" US Equity","VOLUME_AVG_20D")</f>
        <v/>
      </c>
      <c r="E101" s="6">
        <f>BDP(A101&amp;" US Equity","PX_LAST")</f>
        <v/>
      </c>
      <c r="F101" s="5">
        <f>D101*E101</f>
        <v/>
      </c>
      <c r="G101">
        <f>AND(B101&gt;=50,B101&lt;=10000)</f>
        <v/>
      </c>
      <c r="H101">
        <f>OR(C101="NAS",C101="NYS",C101="ASE")</f>
        <v/>
      </c>
      <c r="I101">
        <f>F101&gt;=500000</f>
        <v/>
      </c>
      <c r="J101">
        <f>E101&gt;=2</f>
        <v/>
      </c>
      <c r="K101">
        <f>AND(G101,H101,I101,J101)</f>
        <v/>
      </c>
    </row>
    <row r="102">
      <c r="B102" s="5">
        <f>BDP(A102&amp;" US Equity","CUR_MKT_CAP")</f>
        <v/>
      </c>
      <c r="C102">
        <f>BDP(A102&amp;" US Equity","EXCH_CODE")</f>
        <v/>
      </c>
      <c r="D102" s="5">
        <f>BDP(A102&amp;" US Equity","VOLUME_AVG_20D")</f>
        <v/>
      </c>
      <c r="E102" s="6">
        <f>BDP(A102&amp;" US Equity","PX_LAST")</f>
        <v/>
      </c>
      <c r="F102" s="5">
        <f>D102*E102</f>
        <v/>
      </c>
      <c r="G102">
        <f>AND(B102&gt;=50,B102&lt;=10000)</f>
        <v/>
      </c>
      <c r="H102">
        <f>OR(C102="NAS",C102="NYS",C102="ASE")</f>
        <v/>
      </c>
      <c r="I102">
        <f>F102&gt;=500000</f>
        <v/>
      </c>
      <c r="J102">
        <f>E102&gt;=2</f>
        <v/>
      </c>
      <c r="K102">
        <f>AND(G102,H102,I102,J102)</f>
        <v/>
      </c>
    </row>
    <row r="103">
      <c r="B103" s="5">
        <f>BDP(A103&amp;" US Equity","CUR_MKT_CAP")</f>
        <v/>
      </c>
      <c r="C103">
        <f>BDP(A103&amp;" US Equity","EXCH_CODE")</f>
        <v/>
      </c>
      <c r="D103" s="5">
        <f>BDP(A103&amp;" US Equity","VOLUME_AVG_20D")</f>
        <v/>
      </c>
      <c r="E103" s="6">
        <f>BDP(A103&amp;" US Equity","PX_LAST")</f>
        <v/>
      </c>
      <c r="F103" s="5">
        <f>D103*E103</f>
        <v/>
      </c>
      <c r="G103">
        <f>AND(B103&gt;=50,B103&lt;=10000)</f>
        <v/>
      </c>
      <c r="H103">
        <f>OR(C103="NAS",C103="NYS",C103="ASE")</f>
        <v/>
      </c>
      <c r="I103">
        <f>F103&gt;=500000</f>
        <v/>
      </c>
      <c r="J103">
        <f>E103&gt;=2</f>
        <v/>
      </c>
      <c r="K103">
        <f>AND(G103,H103,I103,J103)</f>
        <v/>
      </c>
    </row>
    <row r="104">
      <c r="B104" s="5">
        <f>BDP(A104&amp;" US Equity","CUR_MKT_CAP")</f>
        <v/>
      </c>
      <c r="C104">
        <f>BDP(A104&amp;" US Equity","EXCH_CODE")</f>
        <v/>
      </c>
      <c r="D104" s="5">
        <f>BDP(A104&amp;" US Equity","VOLUME_AVG_20D")</f>
        <v/>
      </c>
      <c r="E104" s="6">
        <f>BDP(A104&amp;" US Equity","PX_LAST")</f>
        <v/>
      </c>
      <c r="F104" s="5">
        <f>D104*E104</f>
        <v/>
      </c>
      <c r="G104">
        <f>AND(B104&gt;=50,B104&lt;=10000)</f>
        <v/>
      </c>
      <c r="H104">
        <f>OR(C104="NAS",C104="NYS",C104="ASE")</f>
        <v/>
      </c>
      <c r="I104">
        <f>F104&gt;=500000</f>
        <v/>
      </c>
      <c r="J104">
        <f>E104&gt;=2</f>
        <v/>
      </c>
      <c r="K104">
        <f>AND(G104,H104,I104,J104)</f>
        <v/>
      </c>
    </row>
    <row r="105">
      <c r="B105" s="5">
        <f>BDP(A105&amp;" US Equity","CUR_MKT_CAP")</f>
        <v/>
      </c>
      <c r="C105">
        <f>BDP(A105&amp;" US Equity","EXCH_CODE")</f>
        <v/>
      </c>
      <c r="D105" s="5">
        <f>BDP(A105&amp;" US Equity","VOLUME_AVG_20D")</f>
        <v/>
      </c>
      <c r="E105" s="6">
        <f>BDP(A105&amp;" US Equity","PX_LAST")</f>
        <v/>
      </c>
      <c r="F105" s="5">
        <f>D105*E105</f>
        <v/>
      </c>
      <c r="G105">
        <f>AND(B105&gt;=50,B105&lt;=10000)</f>
        <v/>
      </c>
      <c r="H105">
        <f>OR(C105="NAS",C105="NYS",C105="ASE")</f>
        <v/>
      </c>
      <c r="I105">
        <f>F105&gt;=500000</f>
        <v/>
      </c>
      <c r="J105">
        <f>E105&gt;=2</f>
        <v/>
      </c>
      <c r="K105">
        <f>AND(G105,H105,I105,J105)</f>
        <v/>
      </c>
    </row>
    <row r="106">
      <c r="B106" s="5">
        <f>BDP(A106&amp;" US Equity","CUR_MKT_CAP")</f>
        <v/>
      </c>
      <c r="C106">
        <f>BDP(A106&amp;" US Equity","EXCH_CODE")</f>
        <v/>
      </c>
      <c r="D106" s="5">
        <f>BDP(A106&amp;" US Equity","VOLUME_AVG_20D")</f>
        <v/>
      </c>
      <c r="E106" s="6">
        <f>BDP(A106&amp;" US Equity","PX_LAST")</f>
        <v/>
      </c>
      <c r="F106" s="5">
        <f>D106*E106</f>
        <v/>
      </c>
      <c r="G106">
        <f>AND(B106&gt;=50,B106&lt;=10000)</f>
        <v/>
      </c>
      <c r="H106">
        <f>OR(C106="NAS",C106="NYS",C106="ASE")</f>
        <v/>
      </c>
      <c r="I106">
        <f>F106&gt;=500000</f>
        <v/>
      </c>
      <c r="J106">
        <f>E106&gt;=2</f>
        <v/>
      </c>
      <c r="K106">
        <f>AND(G106,H106,I106,J106)</f>
        <v/>
      </c>
    </row>
    <row r="107">
      <c r="B107" s="5">
        <f>BDP(A107&amp;" US Equity","CUR_MKT_CAP")</f>
        <v/>
      </c>
      <c r="C107">
        <f>BDP(A107&amp;" US Equity","EXCH_CODE")</f>
        <v/>
      </c>
      <c r="D107" s="5">
        <f>BDP(A107&amp;" US Equity","VOLUME_AVG_20D")</f>
        <v/>
      </c>
      <c r="E107" s="6">
        <f>BDP(A107&amp;" US Equity","PX_LAST")</f>
        <v/>
      </c>
      <c r="F107" s="5">
        <f>D107*E107</f>
        <v/>
      </c>
      <c r="G107">
        <f>AND(B107&gt;=50,B107&lt;=10000)</f>
        <v/>
      </c>
      <c r="H107">
        <f>OR(C107="NAS",C107="NYS",C107="ASE")</f>
        <v/>
      </c>
      <c r="I107">
        <f>F107&gt;=500000</f>
        <v/>
      </c>
      <c r="J107">
        <f>E107&gt;=2</f>
        <v/>
      </c>
      <c r="K107">
        <f>AND(G107,H107,I107,J107)</f>
        <v/>
      </c>
    </row>
    <row r="108">
      <c r="B108" s="5">
        <f>BDP(A108&amp;" US Equity","CUR_MKT_CAP")</f>
        <v/>
      </c>
      <c r="C108">
        <f>BDP(A108&amp;" US Equity","EXCH_CODE")</f>
        <v/>
      </c>
      <c r="D108" s="5">
        <f>BDP(A108&amp;" US Equity","VOLUME_AVG_20D")</f>
        <v/>
      </c>
      <c r="E108" s="6">
        <f>BDP(A108&amp;" US Equity","PX_LAST")</f>
        <v/>
      </c>
      <c r="F108" s="5">
        <f>D108*E108</f>
        <v/>
      </c>
      <c r="G108">
        <f>AND(B108&gt;=50,B108&lt;=10000)</f>
        <v/>
      </c>
      <c r="H108">
        <f>OR(C108="NAS",C108="NYS",C108="ASE")</f>
        <v/>
      </c>
      <c r="I108">
        <f>F108&gt;=500000</f>
        <v/>
      </c>
      <c r="J108">
        <f>E108&gt;=2</f>
        <v/>
      </c>
      <c r="K108">
        <f>AND(G108,H108,I108,J108)</f>
        <v/>
      </c>
    </row>
    <row r="109">
      <c r="B109" s="5">
        <f>BDP(A109&amp;" US Equity","CUR_MKT_CAP")</f>
        <v/>
      </c>
      <c r="C109">
        <f>BDP(A109&amp;" US Equity","EXCH_CODE")</f>
        <v/>
      </c>
      <c r="D109" s="5">
        <f>BDP(A109&amp;" US Equity","VOLUME_AVG_20D")</f>
        <v/>
      </c>
      <c r="E109" s="6">
        <f>BDP(A109&amp;" US Equity","PX_LAST")</f>
        <v/>
      </c>
      <c r="F109" s="5">
        <f>D109*E109</f>
        <v/>
      </c>
      <c r="G109">
        <f>AND(B109&gt;=50,B109&lt;=10000)</f>
        <v/>
      </c>
      <c r="H109">
        <f>OR(C109="NAS",C109="NYS",C109="ASE")</f>
        <v/>
      </c>
      <c r="I109">
        <f>F109&gt;=500000</f>
        <v/>
      </c>
      <c r="J109">
        <f>E109&gt;=2</f>
        <v/>
      </c>
      <c r="K109">
        <f>AND(G109,H109,I109,J109)</f>
        <v/>
      </c>
    </row>
    <row r="110">
      <c r="B110" s="5">
        <f>BDP(A110&amp;" US Equity","CUR_MKT_CAP")</f>
        <v/>
      </c>
      <c r="C110">
        <f>BDP(A110&amp;" US Equity","EXCH_CODE")</f>
        <v/>
      </c>
      <c r="D110" s="5">
        <f>BDP(A110&amp;" US Equity","VOLUME_AVG_20D")</f>
        <v/>
      </c>
      <c r="E110" s="6">
        <f>BDP(A110&amp;" US Equity","PX_LAST")</f>
        <v/>
      </c>
      <c r="F110" s="5">
        <f>D110*E110</f>
        <v/>
      </c>
      <c r="G110">
        <f>AND(B110&gt;=50,B110&lt;=10000)</f>
        <v/>
      </c>
      <c r="H110">
        <f>OR(C110="NAS",C110="NYS",C110="ASE")</f>
        <v/>
      </c>
      <c r="I110">
        <f>F110&gt;=500000</f>
        <v/>
      </c>
      <c r="J110">
        <f>E110&gt;=2</f>
        <v/>
      </c>
      <c r="K110">
        <f>AND(G110,H110,I110,J110)</f>
        <v/>
      </c>
    </row>
    <row r="111">
      <c r="B111" s="5">
        <f>BDP(A111&amp;" US Equity","CUR_MKT_CAP")</f>
        <v/>
      </c>
      <c r="C111">
        <f>BDP(A111&amp;" US Equity","EXCH_CODE")</f>
        <v/>
      </c>
      <c r="D111" s="5">
        <f>BDP(A111&amp;" US Equity","VOLUME_AVG_20D")</f>
        <v/>
      </c>
      <c r="E111" s="6">
        <f>BDP(A111&amp;" US Equity","PX_LAST")</f>
        <v/>
      </c>
      <c r="F111" s="5">
        <f>D111*E111</f>
        <v/>
      </c>
      <c r="G111">
        <f>AND(B111&gt;=50,B111&lt;=10000)</f>
        <v/>
      </c>
      <c r="H111">
        <f>OR(C111="NAS",C111="NYS",C111="ASE")</f>
        <v/>
      </c>
      <c r="I111">
        <f>F111&gt;=500000</f>
        <v/>
      </c>
      <c r="J111">
        <f>E111&gt;=2</f>
        <v/>
      </c>
      <c r="K111">
        <f>AND(G111,H111,I111,J111)</f>
        <v/>
      </c>
    </row>
    <row r="112">
      <c r="B112" s="5">
        <f>BDP(A112&amp;" US Equity","CUR_MKT_CAP")</f>
        <v/>
      </c>
      <c r="C112">
        <f>BDP(A112&amp;" US Equity","EXCH_CODE")</f>
        <v/>
      </c>
      <c r="D112" s="5">
        <f>BDP(A112&amp;" US Equity","VOLUME_AVG_20D")</f>
        <v/>
      </c>
      <c r="E112" s="6">
        <f>BDP(A112&amp;" US Equity","PX_LAST")</f>
        <v/>
      </c>
      <c r="F112" s="5">
        <f>D112*E112</f>
        <v/>
      </c>
      <c r="G112">
        <f>AND(B112&gt;=50,B112&lt;=10000)</f>
        <v/>
      </c>
      <c r="H112">
        <f>OR(C112="NAS",C112="NYS",C112="ASE")</f>
        <v/>
      </c>
      <c r="I112">
        <f>F112&gt;=500000</f>
        <v/>
      </c>
      <c r="J112">
        <f>E112&gt;=2</f>
        <v/>
      </c>
      <c r="K112">
        <f>AND(G112,H112,I112,J112)</f>
        <v/>
      </c>
    </row>
    <row r="113">
      <c r="B113" s="5">
        <f>BDP(A113&amp;" US Equity","CUR_MKT_CAP")</f>
        <v/>
      </c>
      <c r="C113">
        <f>BDP(A113&amp;" US Equity","EXCH_CODE")</f>
        <v/>
      </c>
      <c r="D113" s="5">
        <f>BDP(A113&amp;" US Equity","VOLUME_AVG_20D")</f>
        <v/>
      </c>
      <c r="E113" s="6">
        <f>BDP(A113&amp;" US Equity","PX_LAST")</f>
        <v/>
      </c>
      <c r="F113" s="5">
        <f>D113*E113</f>
        <v/>
      </c>
      <c r="G113">
        <f>AND(B113&gt;=50,B113&lt;=10000)</f>
        <v/>
      </c>
      <c r="H113">
        <f>OR(C113="NAS",C113="NYS",C113="ASE")</f>
        <v/>
      </c>
      <c r="I113">
        <f>F113&gt;=500000</f>
        <v/>
      </c>
      <c r="J113">
        <f>E113&gt;=2</f>
        <v/>
      </c>
      <c r="K113">
        <f>AND(G113,H113,I113,J113)</f>
        <v/>
      </c>
    </row>
    <row r="114">
      <c r="B114" s="5">
        <f>BDP(A114&amp;" US Equity","CUR_MKT_CAP")</f>
        <v/>
      </c>
      <c r="C114">
        <f>BDP(A114&amp;" US Equity","EXCH_CODE")</f>
        <v/>
      </c>
      <c r="D114" s="5">
        <f>BDP(A114&amp;" US Equity","VOLUME_AVG_20D")</f>
        <v/>
      </c>
      <c r="E114" s="6">
        <f>BDP(A114&amp;" US Equity","PX_LAST")</f>
        <v/>
      </c>
      <c r="F114" s="5">
        <f>D114*E114</f>
        <v/>
      </c>
      <c r="G114">
        <f>AND(B114&gt;=50,B114&lt;=10000)</f>
        <v/>
      </c>
      <c r="H114">
        <f>OR(C114="NAS",C114="NYS",C114="ASE")</f>
        <v/>
      </c>
      <c r="I114">
        <f>F114&gt;=500000</f>
        <v/>
      </c>
      <c r="J114">
        <f>E114&gt;=2</f>
        <v/>
      </c>
      <c r="K114">
        <f>AND(G114,H114,I114,J114)</f>
        <v/>
      </c>
    </row>
    <row r="115">
      <c r="B115" s="5">
        <f>BDP(A115&amp;" US Equity","CUR_MKT_CAP")</f>
        <v/>
      </c>
      <c r="C115">
        <f>BDP(A115&amp;" US Equity","EXCH_CODE")</f>
        <v/>
      </c>
      <c r="D115" s="5">
        <f>BDP(A115&amp;" US Equity","VOLUME_AVG_20D")</f>
        <v/>
      </c>
      <c r="E115" s="6">
        <f>BDP(A115&amp;" US Equity","PX_LAST")</f>
        <v/>
      </c>
      <c r="F115" s="5">
        <f>D115*E115</f>
        <v/>
      </c>
      <c r="G115">
        <f>AND(B115&gt;=50,B115&lt;=10000)</f>
        <v/>
      </c>
      <c r="H115">
        <f>OR(C115="NAS",C115="NYS",C115="ASE")</f>
        <v/>
      </c>
      <c r="I115">
        <f>F115&gt;=500000</f>
        <v/>
      </c>
      <c r="J115">
        <f>E115&gt;=2</f>
        <v/>
      </c>
      <c r="K115">
        <f>AND(G115,H115,I115,J115)</f>
        <v/>
      </c>
    </row>
    <row r="116">
      <c r="B116" s="5">
        <f>BDP(A116&amp;" US Equity","CUR_MKT_CAP")</f>
        <v/>
      </c>
      <c r="C116">
        <f>BDP(A116&amp;" US Equity","EXCH_CODE")</f>
        <v/>
      </c>
      <c r="D116" s="5">
        <f>BDP(A116&amp;" US Equity","VOLUME_AVG_20D")</f>
        <v/>
      </c>
      <c r="E116" s="6">
        <f>BDP(A116&amp;" US Equity","PX_LAST")</f>
        <v/>
      </c>
      <c r="F116" s="5">
        <f>D116*E116</f>
        <v/>
      </c>
      <c r="G116">
        <f>AND(B116&gt;=50,B116&lt;=10000)</f>
        <v/>
      </c>
      <c r="H116">
        <f>OR(C116="NAS",C116="NYS",C116="ASE")</f>
        <v/>
      </c>
      <c r="I116">
        <f>F116&gt;=500000</f>
        <v/>
      </c>
      <c r="J116">
        <f>E116&gt;=2</f>
        <v/>
      </c>
      <c r="K116">
        <f>AND(G116,H116,I116,J116)</f>
        <v/>
      </c>
    </row>
    <row r="117">
      <c r="B117" s="5">
        <f>BDP(A117&amp;" US Equity","CUR_MKT_CAP")</f>
        <v/>
      </c>
      <c r="C117">
        <f>BDP(A117&amp;" US Equity","EXCH_CODE")</f>
        <v/>
      </c>
      <c r="D117" s="5">
        <f>BDP(A117&amp;" US Equity","VOLUME_AVG_20D")</f>
        <v/>
      </c>
      <c r="E117" s="6">
        <f>BDP(A117&amp;" US Equity","PX_LAST")</f>
        <v/>
      </c>
      <c r="F117" s="5">
        <f>D117*E117</f>
        <v/>
      </c>
      <c r="G117">
        <f>AND(B117&gt;=50,B117&lt;=10000)</f>
        <v/>
      </c>
      <c r="H117">
        <f>OR(C117="NAS",C117="NYS",C117="ASE")</f>
        <v/>
      </c>
      <c r="I117">
        <f>F117&gt;=500000</f>
        <v/>
      </c>
      <c r="J117">
        <f>E117&gt;=2</f>
        <v/>
      </c>
      <c r="K117">
        <f>AND(G117,H117,I117,J117)</f>
        <v/>
      </c>
    </row>
    <row r="118">
      <c r="B118" s="5">
        <f>BDP(A118&amp;" US Equity","CUR_MKT_CAP")</f>
        <v/>
      </c>
      <c r="C118">
        <f>BDP(A118&amp;" US Equity","EXCH_CODE")</f>
        <v/>
      </c>
      <c r="D118" s="5">
        <f>BDP(A118&amp;" US Equity","VOLUME_AVG_20D")</f>
        <v/>
      </c>
      <c r="E118" s="6">
        <f>BDP(A118&amp;" US Equity","PX_LAST")</f>
        <v/>
      </c>
      <c r="F118" s="5">
        <f>D118*E118</f>
        <v/>
      </c>
      <c r="G118">
        <f>AND(B118&gt;=50,B118&lt;=10000)</f>
        <v/>
      </c>
      <c r="H118">
        <f>OR(C118="NAS",C118="NYS",C118="ASE")</f>
        <v/>
      </c>
      <c r="I118">
        <f>F118&gt;=500000</f>
        <v/>
      </c>
      <c r="J118">
        <f>E118&gt;=2</f>
        <v/>
      </c>
      <c r="K118">
        <f>AND(G118,H118,I118,J118)</f>
        <v/>
      </c>
    </row>
    <row r="119">
      <c r="B119" s="5">
        <f>BDP(A119&amp;" US Equity","CUR_MKT_CAP")</f>
        <v/>
      </c>
      <c r="C119">
        <f>BDP(A119&amp;" US Equity","EXCH_CODE")</f>
        <v/>
      </c>
      <c r="D119" s="5">
        <f>BDP(A119&amp;" US Equity","VOLUME_AVG_20D")</f>
        <v/>
      </c>
      <c r="E119" s="6">
        <f>BDP(A119&amp;" US Equity","PX_LAST")</f>
        <v/>
      </c>
      <c r="F119" s="5">
        <f>D119*E119</f>
        <v/>
      </c>
      <c r="G119">
        <f>AND(B119&gt;=50,B119&lt;=10000)</f>
        <v/>
      </c>
      <c r="H119">
        <f>OR(C119="NAS",C119="NYS",C119="ASE")</f>
        <v/>
      </c>
      <c r="I119">
        <f>F119&gt;=500000</f>
        <v/>
      </c>
      <c r="J119">
        <f>E119&gt;=2</f>
        <v/>
      </c>
      <c r="K119">
        <f>AND(G119,H119,I119,J119)</f>
        <v/>
      </c>
    </row>
    <row r="120">
      <c r="B120" s="5">
        <f>BDP(A120&amp;" US Equity","CUR_MKT_CAP")</f>
        <v/>
      </c>
      <c r="C120">
        <f>BDP(A120&amp;" US Equity","EXCH_CODE")</f>
        <v/>
      </c>
      <c r="D120" s="5">
        <f>BDP(A120&amp;" US Equity","VOLUME_AVG_20D")</f>
        <v/>
      </c>
      <c r="E120" s="6">
        <f>BDP(A120&amp;" US Equity","PX_LAST")</f>
        <v/>
      </c>
      <c r="F120" s="5">
        <f>D120*E120</f>
        <v/>
      </c>
      <c r="G120">
        <f>AND(B120&gt;=50,B120&lt;=10000)</f>
        <v/>
      </c>
      <c r="H120">
        <f>OR(C120="NAS",C120="NYS",C120="ASE")</f>
        <v/>
      </c>
      <c r="I120">
        <f>F120&gt;=500000</f>
        <v/>
      </c>
      <c r="J120">
        <f>E120&gt;=2</f>
        <v/>
      </c>
      <c r="K120">
        <f>AND(G120,H120,I120,J120)</f>
        <v/>
      </c>
    </row>
    <row r="121">
      <c r="B121" s="5">
        <f>BDP(A121&amp;" US Equity","CUR_MKT_CAP")</f>
        <v/>
      </c>
      <c r="C121">
        <f>BDP(A121&amp;" US Equity","EXCH_CODE")</f>
        <v/>
      </c>
      <c r="D121" s="5">
        <f>BDP(A121&amp;" US Equity","VOLUME_AVG_20D")</f>
        <v/>
      </c>
      <c r="E121" s="6">
        <f>BDP(A121&amp;" US Equity","PX_LAST")</f>
        <v/>
      </c>
      <c r="F121" s="5">
        <f>D121*E121</f>
        <v/>
      </c>
      <c r="G121">
        <f>AND(B121&gt;=50,B121&lt;=10000)</f>
        <v/>
      </c>
      <c r="H121">
        <f>OR(C121="NAS",C121="NYS",C121="ASE")</f>
        <v/>
      </c>
      <c r="I121">
        <f>F121&gt;=500000</f>
        <v/>
      </c>
      <c r="J121">
        <f>E121&gt;=2</f>
        <v/>
      </c>
      <c r="K121">
        <f>AND(G121,H121,I121,J121)</f>
        <v/>
      </c>
    </row>
    <row r="122">
      <c r="B122" s="5">
        <f>BDP(A122&amp;" US Equity","CUR_MKT_CAP")</f>
        <v/>
      </c>
      <c r="C122">
        <f>BDP(A122&amp;" US Equity","EXCH_CODE")</f>
        <v/>
      </c>
      <c r="D122" s="5">
        <f>BDP(A122&amp;" US Equity","VOLUME_AVG_20D")</f>
        <v/>
      </c>
      <c r="E122" s="6">
        <f>BDP(A122&amp;" US Equity","PX_LAST")</f>
        <v/>
      </c>
      <c r="F122" s="5">
        <f>D122*E122</f>
        <v/>
      </c>
      <c r="G122">
        <f>AND(B122&gt;=50,B122&lt;=10000)</f>
        <v/>
      </c>
      <c r="H122">
        <f>OR(C122="NAS",C122="NYS",C122="ASE")</f>
        <v/>
      </c>
      <c r="I122">
        <f>F122&gt;=500000</f>
        <v/>
      </c>
      <c r="J122">
        <f>E122&gt;=2</f>
        <v/>
      </c>
      <c r="K122">
        <f>AND(G122,H122,I122,J122)</f>
        <v/>
      </c>
    </row>
    <row r="123">
      <c r="B123" s="5">
        <f>BDP(A123&amp;" US Equity","CUR_MKT_CAP")</f>
        <v/>
      </c>
      <c r="C123">
        <f>BDP(A123&amp;" US Equity","EXCH_CODE")</f>
        <v/>
      </c>
      <c r="D123" s="5">
        <f>BDP(A123&amp;" US Equity","VOLUME_AVG_20D")</f>
        <v/>
      </c>
      <c r="E123" s="6">
        <f>BDP(A123&amp;" US Equity","PX_LAST")</f>
        <v/>
      </c>
      <c r="F123" s="5">
        <f>D123*E123</f>
        <v/>
      </c>
      <c r="G123">
        <f>AND(B123&gt;=50,B123&lt;=10000)</f>
        <v/>
      </c>
      <c r="H123">
        <f>OR(C123="NAS",C123="NYS",C123="ASE")</f>
        <v/>
      </c>
      <c r="I123">
        <f>F123&gt;=500000</f>
        <v/>
      </c>
      <c r="J123">
        <f>E123&gt;=2</f>
        <v/>
      </c>
      <c r="K123">
        <f>AND(G123,H123,I123,J123)</f>
        <v/>
      </c>
    </row>
    <row r="124">
      <c r="B124" s="5">
        <f>BDP(A124&amp;" US Equity","CUR_MKT_CAP")</f>
        <v/>
      </c>
      <c r="C124">
        <f>BDP(A124&amp;" US Equity","EXCH_CODE")</f>
        <v/>
      </c>
      <c r="D124" s="5">
        <f>BDP(A124&amp;" US Equity","VOLUME_AVG_20D")</f>
        <v/>
      </c>
      <c r="E124" s="6">
        <f>BDP(A124&amp;" US Equity","PX_LAST")</f>
        <v/>
      </c>
      <c r="F124" s="5">
        <f>D124*E124</f>
        <v/>
      </c>
      <c r="G124">
        <f>AND(B124&gt;=50,B124&lt;=10000)</f>
        <v/>
      </c>
      <c r="H124">
        <f>OR(C124="NAS",C124="NYS",C124="ASE")</f>
        <v/>
      </c>
      <c r="I124">
        <f>F124&gt;=500000</f>
        <v/>
      </c>
      <c r="J124">
        <f>E124&gt;=2</f>
        <v/>
      </c>
      <c r="K124">
        <f>AND(G124,H124,I124,J124)</f>
        <v/>
      </c>
    </row>
    <row r="125">
      <c r="B125" s="5">
        <f>BDP(A125&amp;" US Equity","CUR_MKT_CAP")</f>
        <v/>
      </c>
      <c r="C125">
        <f>BDP(A125&amp;" US Equity","EXCH_CODE")</f>
        <v/>
      </c>
      <c r="D125" s="5">
        <f>BDP(A125&amp;" US Equity","VOLUME_AVG_20D")</f>
        <v/>
      </c>
      <c r="E125" s="6">
        <f>BDP(A125&amp;" US Equity","PX_LAST")</f>
        <v/>
      </c>
      <c r="F125" s="5">
        <f>D125*E125</f>
        <v/>
      </c>
      <c r="G125">
        <f>AND(B125&gt;=50,B125&lt;=10000)</f>
        <v/>
      </c>
      <c r="H125">
        <f>OR(C125="NAS",C125="NYS",C125="ASE")</f>
        <v/>
      </c>
      <c r="I125">
        <f>F125&gt;=500000</f>
        <v/>
      </c>
      <c r="J125">
        <f>E125&gt;=2</f>
        <v/>
      </c>
      <c r="K125">
        <f>AND(G125,H125,I125,J125)</f>
        <v/>
      </c>
    </row>
    <row r="126">
      <c r="B126" s="5">
        <f>BDP(A126&amp;" US Equity","CUR_MKT_CAP")</f>
        <v/>
      </c>
      <c r="C126">
        <f>BDP(A126&amp;" US Equity","EXCH_CODE")</f>
        <v/>
      </c>
      <c r="D126" s="5">
        <f>BDP(A126&amp;" US Equity","VOLUME_AVG_20D")</f>
        <v/>
      </c>
      <c r="E126" s="6">
        <f>BDP(A126&amp;" US Equity","PX_LAST")</f>
        <v/>
      </c>
      <c r="F126" s="5">
        <f>D126*E126</f>
        <v/>
      </c>
      <c r="G126">
        <f>AND(B126&gt;=50,B126&lt;=10000)</f>
        <v/>
      </c>
      <c r="H126">
        <f>OR(C126="NAS",C126="NYS",C126="ASE")</f>
        <v/>
      </c>
      <c r="I126">
        <f>F126&gt;=500000</f>
        <v/>
      </c>
      <c r="J126">
        <f>E126&gt;=2</f>
        <v/>
      </c>
      <c r="K126">
        <f>AND(G126,H126,I126,J126)</f>
        <v/>
      </c>
    </row>
    <row r="127">
      <c r="B127" s="5">
        <f>BDP(A127&amp;" US Equity","CUR_MKT_CAP")</f>
        <v/>
      </c>
      <c r="C127">
        <f>BDP(A127&amp;" US Equity","EXCH_CODE")</f>
        <v/>
      </c>
      <c r="D127" s="5">
        <f>BDP(A127&amp;" US Equity","VOLUME_AVG_20D")</f>
        <v/>
      </c>
      <c r="E127" s="6">
        <f>BDP(A127&amp;" US Equity","PX_LAST")</f>
        <v/>
      </c>
      <c r="F127" s="5">
        <f>D127*E127</f>
        <v/>
      </c>
      <c r="G127">
        <f>AND(B127&gt;=50,B127&lt;=10000)</f>
        <v/>
      </c>
      <c r="H127">
        <f>OR(C127="NAS",C127="NYS",C127="ASE")</f>
        <v/>
      </c>
      <c r="I127">
        <f>F127&gt;=500000</f>
        <v/>
      </c>
      <c r="J127">
        <f>E127&gt;=2</f>
        <v/>
      </c>
      <c r="K127">
        <f>AND(G127,H127,I127,J127)</f>
        <v/>
      </c>
    </row>
    <row r="128">
      <c r="B128" s="5">
        <f>BDP(A128&amp;" US Equity","CUR_MKT_CAP")</f>
        <v/>
      </c>
      <c r="C128">
        <f>BDP(A128&amp;" US Equity","EXCH_CODE")</f>
        <v/>
      </c>
      <c r="D128" s="5">
        <f>BDP(A128&amp;" US Equity","VOLUME_AVG_20D")</f>
        <v/>
      </c>
      <c r="E128" s="6">
        <f>BDP(A128&amp;" US Equity","PX_LAST")</f>
        <v/>
      </c>
      <c r="F128" s="5">
        <f>D128*E128</f>
        <v/>
      </c>
      <c r="G128">
        <f>AND(B128&gt;=50,B128&lt;=10000)</f>
        <v/>
      </c>
      <c r="H128">
        <f>OR(C128="NAS",C128="NYS",C128="ASE")</f>
        <v/>
      </c>
      <c r="I128">
        <f>F128&gt;=500000</f>
        <v/>
      </c>
      <c r="J128">
        <f>E128&gt;=2</f>
        <v/>
      </c>
      <c r="K128">
        <f>AND(G128,H128,I128,J128)</f>
        <v/>
      </c>
    </row>
    <row r="129">
      <c r="B129" s="5">
        <f>BDP(A129&amp;" US Equity","CUR_MKT_CAP")</f>
        <v/>
      </c>
      <c r="C129">
        <f>BDP(A129&amp;" US Equity","EXCH_CODE")</f>
        <v/>
      </c>
      <c r="D129" s="5">
        <f>BDP(A129&amp;" US Equity","VOLUME_AVG_20D")</f>
        <v/>
      </c>
      <c r="E129" s="6">
        <f>BDP(A129&amp;" US Equity","PX_LAST")</f>
        <v/>
      </c>
      <c r="F129" s="5">
        <f>D129*E129</f>
        <v/>
      </c>
      <c r="G129">
        <f>AND(B129&gt;=50,B129&lt;=10000)</f>
        <v/>
      </c>
      <c r="H129">
        <f>OR(C129="NAS",C129="NYS",C129="ASE")</f>
        <v/>
      </c>
      <c r="I129">
        <f>F129&gt;=500000</f>
        <v/>
      </c>
      <c r="J129">
        <f>E129&gt;=2</f>
        <v/>
      </c>
      <c r="K129">
        <f>AND(G129,H129,I129,J129)</f>
        <v/>
      </c>
    </row>
    <row r="130">
      <c r="B130" s="5">
        <f>BDP(A130&amp;" US Equity","CUR_MKT_CAP")</f>
        <v/>
      </c>
      <c r="C130">
        <f>BDP(A130&amp;" US Equity","EXCH_CODE")</f>
        <v/>
      </c>
      <c r="D130" s="5">
        <f>BDP(A130&amp;" US Equity","VOLUME_AVG_20D")</f>
        <v/>
      </c>
      <c r="E130" s="6">
        <f>BDP(A130&amp;" US Equity","PX_LAST")</f>
        <v/>
      </c>
      <c r="F130" s="5">
        <f>D130*E130</f>
        <v/>
      </c>
      <c r="G130">
        <f>AND(B130&gt;=50,B130&lt;=10000)</f>
        <v/>
      </c>
      <c r="H130">
        <f>OR(C130="NAS",C130="NYS",C130="ASE")</f>
        <v/>
      </c>
      <c r="I130">
        <f>F130&gt;=500000</f>
        <v/>
      </c>
      <c r="J130">
        <f>E130&gt;=2</f>
        <v/>
      </c>
      <c r="K130">
        <f>AND(G130,H130,I130,J130)</f>
        <v/>
      </c>
    </row>
    <row r="131">
      <c r="B131" s="5">
        <f>BDP(A131&amp;" US Equity","CUR_MKT_CAP")</f>
        <v/>
      </c>
      <c r="C131">
        <f>BDP(A131&amp;" US Equity","EXCH_CODE")</f>
        <v/>
      </c>
      <c r="D131" s="5">
        <f>BDP(A131&amp;" US Equity","VOLUME_AVG_20D")</f>
        <v/>
      </c>
      <c r="E131" s="6">
        <f>BDP(A131&amp;" US Equity","PX_LAST")</f>
        <v/>
      </c>
      <c r="F131" s="5">
        <f>D131*E131</f>
        <v/>
      </c>
      <c r="G131">
        <f>AND(B131&gt;=50,B131&lt;=10000)</f>
        <v/>
      </c>
      <c r="H131">
        <f>OR(C131="NAS",C131="NYS",C131="ASE")</f>
        <v/>
      </c>
      <c r="I131">
        <f>F131&gt;=500000</f>
        <v/>
      </c>
      <c r="J131">
        <f>E131&gt;=2</f>
        <v/>
      </c>
      <c r="K131">
        <f>AND(G131,H131,I131,J131)</f>
        <v/>
      </c>
    </row>
    <row r="132">
      <c r="B132" s="5">
        <f>BDP(A132&amp;" US Equity","CUR_MKT_CAP")</f>
        <v/>
      </c>
      <c r="C132">
        <f>BDP(A132&amp;" US Equity","EXCH_CODE")</f>
        <v/>
      </c>
      <c r="D132" s="5">
        <f>BDP(A132&amp;" US Equity","VOLUME_AVG_20D")</f>
        <v/>
      </c>
      <c r="E132" s="6">
        <f>BDP(A132&amp;" US Equity","PX_LAST")</f>
        <v/>
      </c>
      <c r="F132" s="5">
        <f>D132*E132</f>
        <v/>
      </c>
      <c r="G132">
        <f>AND(B132&gt;=50,B132&lt;=10000)</f>
        <v/>
      </c>
      <c r="H132">
        <f>OR(C132="NAS",C132="NYS",C132="ASE")</f>
        <v/>
      </c>
      <c r="I132">
        <f>F132&gt;=500000</f>
        <v/>
      </c>
      <c r="J132">
        <f>E132&gt;=2</f>
        <v/>
      </c>
      <c r="K132">
        <f>AND(G132,H132,I132,J132)</f>
        <v/>
      </c>
    </row>
    <row r="133">
      <c r="B133" s="5">
        <f>BDP(A133&amp;" US Equity","CUR_MKT_CAP")</f>
        <v/>
      </c>
      <c r="C133">
        <f>BDP(A133&amp;" US Equity","EXCH_CODE")</f>
        <v/>
      </c>
      <c r="D133" s="5">
        <f>BDP(A133&amp;" US Equity","VOLUME_AVG_20D")</f>
        <v/>
      </c>
      <c r="E133" s="6">
        <f>BDP(A133&amp;" US Equity","PX_LAST")</f>
        <v/>
      </c>
      <c r="F133" s="5">
        <f>D133*E133</f>
        <v/>
      </c>
      <c r="G133">
        <f>AND(B133&gt;=50,B133&lt;=10000)</f>
        <v/>
      </c>
      <c r="H133">
        <f>OR(C133="NAS",C133="NYS",C133="ASE")</f>
        <v/>
      </c>
      <c r="I133">
        <f>F133&gt;=500000</f>
        <v/>
      </c>
      <c r="J133">
        <f>E133&gt;=2</f>
        <v/>
      </c>
      <c r="K133">
        <f>AND(G133,H133,I133,J133)</f>
        <v/>
      </c>
    </row>
    <row r="134">
      <c r="B134" s="5">
        <f>BDP(A134&amp;" US Equity","CUR_MKT_CAP")</f>
        <v/>
      </c>
      <c r="C134">
        <f>BDP(A134&amp;" US Equity","EXCH_CODE")</f>
        <v/>
      </c>
      <c r="D134" s="5">
        <f>BDP(A134&amp;" US Equity","VOLUME_AVG_20D")</f>
        <v/>
      </c>
      <c r="E134" s="6">
        <f>BDP(A134&amp;" US Equity","PX_LAST")</f>
        <v/>
      </c>
      <c r="F134" s="5">
        <f>D134*E134</f>
        <v/>
      </c>
      <c r="G134">
        <f>AND(B134&gt;=50,B134&lt;=10000)</f>
        <v/>
      </c>
      <c r="H134">
        <f>OR(C134="NAS",C134="NYS",C134="ASE")</f>
        <v/>
      </c>
      <c r="I134">
        <f>F134&gt;=500000</f>
        <v/>
      </c>
      <c r="J134">
        <f>E134&gt;=2</f>
        <v/>
      </c>
      <c r="K134">
        <f>AND(G134,H134,I134,J134)</f>
        <v/>
      </c>
    </row>
    <row r="135">
      <c r="B135" s="5">
        <f>BDP(A135&amp;" US Equity","CUR_MKT_CAP")</f>
        <v/>
      </c>
      <c r="C135">
        <f>BDP(A135&amp;" US Equity","EXCH_CODE")</f>
        <v/>
      </c>
      <c r="D135" s="5">
        <f>BDP(A135&amp;" US Equity","VOLUME_AVG_20D")</f>
        <v/>
      </c>
      <c r="E135" s="6">
        <f>BDP(A135&amp;" US Equity","PX_LAST")</f>
        <v/>
      </c>
      <c r="F135" s="5">
        <f>D135*E135</f>
        <v/>
      </c>
      <c r="G135">
        <f>AND(B135&gt;=50,B135&lt;=10000)</f>
        <v/>
      </c>
      <c r="H135">
        <f>OR(C135="NAS",C135="NYS",C135="ASE")</f>
        <v/>
      </c>
      <c r="I135">
        <f>F135&gt;=500000</f>
        <v/>
      </c>
      <c r="J135">
        <f>E135&gt;=2</f>
        <v/>
      </c>
      <c r="K135">
        <f>AND(G135,H135,I135,J135)</f>
        <v/>
      </c>
    </row>
    <row r="136">
      <c r="B136" s="5">
        <f>BDP(A136&amp;" US Equity","CUR_MKT_CAP")</f>
        <v/>
      </c>
      <c r="C136">
        <f>BDP(A136&amp;" US Equity","EXCH_CODE")</f>
        <v/>
      </c>
      <c r="D136" s="5">
        <f>BDP(A136&amp;" US Equity","VOLUME_AVG_20D")</f>
        <v/>
      </c>
      <c r="E136" s="6">
        <f>BDP(A136&amp;" US Equity","PX_LAST")</f>
        <v/>
      </c>
      <c r="F136" s="5">
        <f>D136*E136</f>
        <v/>
      </c>
      <c r="G136">
        <f>AND(B136&gt;=50,B136&lt;=10000)</f>
        <v/>
      </c>
      <c r="H136">
        <f>OR(C136="NAS",C136="NYS",C136="ASE")</f>
        <v/>
      </c>
      <c r="I136">
        <f>F136&gt;=500000</f>
        <v/>
      </c>
      <c r="J136">
        <f>E136&gt;=2</f>
        <v/>
      </c>
      <c r="K136">
        <f>AND(G136,H136,I136,J136)</f>
        <v/>
      </c>
    </row>
    <row r="137">
      <c r="B137" s="5">
        <f>BDP(A137&amp;" US Equity","CUR_MKT_CAP")</f>
        <v/>
      </c>
      <c r="C137">
        <f>BDP(A137&amp;" US Equity","EXCH_CODE")</f>
        <v/>
      </c>
      <c r="D137" s="5">
        <f>BDP(A137&amp;" US Equity","VOLUME_AVG_20D")</f>
        <v/>
      </c>
      <c r="E137" s="6">
        <f>BDP(A137&amp;" US Equity","PX_LAST")</f>
        <v/>
      </c>
      <c r="F137" s="5">
        <f>D137*E137</f>
        <v/>
      </c>
      <c r="G137">
        <f>AND(B137&gt;=50,B137&lt;=10000)</f>
        <v/>
      </c>
      <c r="H137">
        <f>OR(C137="NAS",C137="NYS",C137="ASE")</f>
        <v/>
      </c>
      <c r="I137">
        <f>F137&gt;=500000</f>
        <v/>
      </c>
      <c r="J137">
        <f>E137&gt;=2</f>
        <v/>
      </c>
      <c r="K137">
        <f>AND(G137,H137,I137,J137)</f>
        <v/>
      </c>
    </row>
    <row r="138">
      <c r="B138" s="5">
        <f>BDP(A138&amp;" US Equity","CUR_MKT_CAP")</f>
        <v/>
      </c>
      <c r="C138">
        <f>BDP(A138&amp;" US Equity","EXCH_CODE")</f>
        <v/>
      </c>
      <c r="D138" s="5">
        <f>BDP(A138&amp;" US Equity","VOLUME_AVG_20D")</f>
        <v/>
      </c>
      <c r="E138" s="6">
        <f>BDP(A138&amp;" US Equity","PX_LAST")</f>
        <v/>
      </c>
      <c r="F138" s="5">
        <f>D138*E138</f>
        <v/>
      </c>
      <c r="G138">
        <f>AND(B138&gt;=50,B138&lt;=10000)</f>
        <v/>
      </c>
      <c r="H138">
        <f>OR(C138="NAS",C138="NYS",C138="ASE")</f>
        <v/>
      </c>
      <c r="I138">
        <f>F138&gt;=500000</f>
        <v/>
      </c>
      <c r="J138">
        <f>E138&gt;=2</f>
        <v/>
      </c>
      <c r="K138">
        <f>AND(G138,H138,I138,J138)</f>
        <v/>
      </c>
    </row>
    <row r="139">
      <c r="B139" s="5">
        <f>BDP(A139&amp;" US Equity","CUR_MKT_CAP")</f>
        <v/>
      </c>
      <c r="C139">
        <f>BDP(A139&amp;" US Equity","EXCH_CODE")</f>
        <v/>
      </c>
      <c r="D139" s="5">
        <f>BDP(A139&amp;" US Equity","VOLUME_AVG_20D")</f>
        <v/>
      </c>
      <c r="E139" s="6">
        <f>BDP(A139&amp;" US Equity","PX_LAST")</f>
        <v/>
      </c>
      <c r="F139" s="5">
        <f>D139*E139</f>
        <v/>
      </c>
      <c r="G139">
        <f>AND(B139&gt;=50,B139&lt;=10000)</f>
        <v/>
      </c>
      <c r="H139">
        <f>OR(C139="NAS",C139="NYS",C139="ASE")</f>
        <v/>
      </c>
      <c r="I139">
        <f>F139&gt;=500000</f>
        <v/>
      </c>
      <c r="J139">
        <f>E139&gt;=2</f>
        <v/>
      </c>
      <c r="K139">
        <f>AND(G139,H139,I139,J139)</f>
        <v/>
      </c>
    </row>
    <row r="140">
      <c r="B140" s="5">
        <f>BDP(A140&amp;" US Equity","CUR_MKT_CAP")</f>
        <v/>
      </c>
      <c r="C140">
        <f>BDP(A140&amp;" US Equity","EXCH_CODE")</f>
        <v/>
      </c>
      <c r="D140" s="5">
        <f>BDP(A140&amp;" US Equity","VOLUME_AVG_20D")</f>
        <v/>
      </c>
      <c r="E140" s="6">
        <f>BDP(A140&amp;" US Equity","PX_LAST")</f>
        <v/>
      </c>
      <c r="F140" s="5">
        <f>D140*E140</f>
        <v/>
      </c>
      <c r="G140">
        <f>AND(B140&gt;=50,B140&lt;=10000)</f>
        <v/>
      </c>
      <c r="H140">
        <f>OR(C140="NAS",C140="NYS",C140="ASE")</f>
        <v/>
      </c>
      <c r="I140">
        <f>F140&gt;=500000</f>
        <v/>
      </c>
      <c r="J140">
        <f>E140&gt;=2</f>
        <v/>
      </c>
      <c r="K140">
        <f>AND(G140,H140,I140,J140)</f>
        <v/>
      </c>
    </row>
    <row r="141">
      <c r="B141" s="5">
        <f>BDP(A141&amp;" US Equity","CUR_MKT_CAP")</f>
        <v/>
      </c>
      <c r="C141">
        <f>BDP(A141&amp;" US Equity","EXCH_CODE")</f>
        <v/>
      </c>
      <c r="D141" s="5">
        <f>BDP(A141&amp;" US Equity","VOLUME_AVG_20D")</f>
        <v/>
      </c>
      <c r="E141" s="6">
        <f>BDP(A141&amp;" US Equity","PX_LAST")</f>
        <v/>
      </c>
      <c r="F141" s="5">
        <f>D141*E141</f>
        <v/>
      </c>
      <c r="G141">
        <f>AND(B141&gt;=50,B141&lt;=10000)</f>
        <v/>
      </c>
      <c r="H141">
        <f>OR(C141="NAS",C141="NYS",C141="ASE")</f>
        <v/>
      </c>
      <c r="I141">
        <f>F141&gt;=500000</f>
        <v/>
      </c>
      <c r="J141">
        <f>E141&gt;=2</f>
        <v/>
      </c>
      <c r="K141">
        <f>AND(G141,H141,I141,J141)</f>
        <v/>
      </c>
    </row>
    <row r="142">
      <c r="B142" s="5">
        <f>BDP(A142&amp;" US Equity","CUR_MKT_CAP")</f>
        <v/>
      </c>
      <c r="C142">
        <f>BDP(A142&amp;" US Equity","EXCH_CODE")</f>
        <v/>
      </c>
      <c r="D142" s="5">
        <f>BDP(A142&amp;" US Equity","VOLUME_AVG_20D")</f>
        <v/>
      </c>
      <c r="E142" s="6">
        <f>BDP(A142&amp;" US Equity","PX_LAST")</f>
        <v/>
      </c>
      <c r="F142" s="5">
        <f>D142*E142</f>
        <v/>
      </c>
      <c r="G142">
        <f>AND(B142&gt;=50,B142&lt;=10000)</f>
        <v/>
      </c>
      <c r="H142">
        <f>OR(C142="NAS",C142="NYS",C142="ASE")</f>
        <v/>
      </c>
      <c r="I142">
        <f>F142&gt;=500000</f>
        <v/>
      </c>
      <c r="J142">
        <f>E142&gt;=2</f>
        <v/>
      </c>
      <c r="K142">
        <f>AND(G142,H142,I142,J142)</f>
        <v/>
      </c>
    </row>
    <row r="143">
      <c r="B143" s="5">
        <f>BDP(A143&amp;" US Equity","CUR_MKT_CAP")</f>
        <v/>
      </c>
      <c r="C143">
        <f>BDP(A143&amp;" US Equity","EXCH_CODE")</f>
        <v/>
      </c>
      <c r="D143" s="5">
        <f>BDP(A143&amp;" US Equity","VOLUME_AVG_20D")</f>
        <v/>
      </c>
      <c r="E143" s="6">
        <f>BDP(A143&amp;" US Equity","PX_LAST")</f>
        <v/>
      </c>
      <c r="F143" s="5">
        <f>D143*E143</f>
        <v/>
      </c>
      <c r="G143">
        <f>AND(B143&gt;=50,B143&lt;=10000)</f>
        <v/>
      </c>
      <c r="H143">
        <f>OR(C143="NAS",C143="NYS",C143="ASE")</f>
        <v/>
      </c>
      <c r="I143">
        <f>F143&gt;=500000</f>
        <v/>
      </c>
      <c r="J143">
        <f>E143&gt;=2</f>
        <v/>
      </c>
      <c r="K143">
        <f>AND(G143,H143,I143,J143)</f>
        <v/>
      </c>
    </row>
    <row r="144">
      <c r="B144" s="5">
        <f>BDP(A144&amp;" US Equity","CUR_MKT_CAP")</f>
        <v/>
      </c>
      <c r="C144">
        <f>BDP(A144&amp;" US Equity","EXCH_CODE")</f>
        <v/>
      </c>
      <c r="D144" s="5">
        <f>BDP(A144&amp;" US Equity","VOLUME_AVG_20D")</f>
        <v/>
      </c>
      <c r="E144" s="6">
        <f>BDP(A144&amp;" US Equity","PX_LAST")</f>
        <v/>
      </c>
      <c r="F144" s="5">
        <f>D144*E144</f>
        <v/>
      </c>
      <c r="G144">
        <f>AND(B144&gt;=50,B144&lt;=10000)</f>
        <v/>
      </c>
      <c r="H144">
        <f>OR(C144="NAS",C144="NYS",C144="ASE")</f>
        <v/>
      </c>
      <c r="I144">
        <f>F144&gt;=500000</f>
        <v/>
      </c>
      <c r="J144">
        <f>E144&gt;=2</f>
        <v/>
      </c>
      <c r="K144">
        <f>AND(G144,H144,I144,J144)</f>
        <v/>
      </c>
    </row>
    <row r="145">
      <c r="B145" s="5">
        <f>BDP(A145&amp;" US Equity","CUR_MKT_CAP")</f>
        <v/>
      </c>
      <c r="C145">
        <f>BDP(A145&amp;" US Equity","EXCH_CODE")</f>
        <v/>
      </c>
      <c r="D145" s="5">
        <f>BDP(A145&amp;" US Equity","VOLUME_AVG_20D")</f>
        <v/>
      </c>
      <c r="E145" s="6">
        <f>BDP(A145&amp;" US Equity","PX_LAST")</f>
        <v/>
      </c>
      <c r="F145" s="5">
        <f>D145*E145</f>
        <v/>
      </c>
      <c r="G145">
        <f>AND(B145&gt;=50,B145&lt;=10000)</f>
        <v/>
      </c>
      <c r="H145">
        <f>OR(C145="NAS",C145="NYS",C145="ASE")</f>
        <v/>
      </c>
      <c r="I145">
        <f>F145&gt;=500000</f>
        <v/>
      </c>
      <c r="J145">
        <f>E145&gt;=2</f>
        <v/>
      </c>
      <c r="K145">
        <f>AND(G145,H145,I145,J145)</f>
        <v/>
      </c>
    </row>
    <row r="146">
      <c r="B146" s="5">
        <f>BDP(A146&amp;" US Equity","CUR_MKT_CAP")</f>
        <v/>
      </c>
      <c r="C146">
        <f>BDP(A146&amp;" US Equity","EXCH_CODE")</f>
        <v/>
      </c>
      <c r="D146" s="5">
        <f>BDP(A146&amp;" US Equity","VOLUME_AVG_20D")</f>
        <v/>
      </c>
      <c r="E146" s="6">
        <f>BDP(A146&amp;" US Equity","PX_LAST")</f>
        <v/>
      </c>
      <c r="F146" s="5">
        <f>D146*E146</f>
        <v/>
      </c>
      <c r="G146">
        <f>AND(B146&gt;=50,B146&lt;=10000)</f>
        <v/>
      </c>
      <c r="H146">
        <f>OR(C146="NAS",C146="NYS",C146="ASE")</f>
        <v/>
      </c>
      <c r="I146">
        <f>F146&gt;=500000</f>
        <v/>
      </c>
      <c r="J146">
        <f>E146&gt;=2</f>
        <v/>
      </c>
      <c r="K146">
        <f>AND(G146,H146,I146,J146)</f>
        <v/>
      </c>
    </row>
    <row r="147">
      <c r="B147" s="5">
        <f>BDP(A147&amp;" US Equity","CUR_MKT_CAP")</f>
        <v/>
      </c>
      <c r="C147">
        <f>BDP(A147&amp;" US Equity","EXCH_CODE")</f>
        <v/>
      </c>
      <c r="D147" s="5">
        <f>BDP(A147&amp;" US Equity","VOLUME_AVG_20D")</f>
        <v/>
      </c>
      <c r="E147" s="6">
        <f>BDP(A147&amp;" US Equity","PX_LAST")</f>
        <v/>
      </c>
      <c r="F147" s="5">
        <f>D147*E147</f>
        <v/>
      </c>
      <c r="G147">
        <f>AND(B147&gt;=50,B147&lt;=10000)</f>
        <v/>
      </c>
      <c r="H147">
        <f>OR(C147="NAS",C147="NYS",C147="ASE")</f>
        <v/>
      </c>
      <c r="I147">
        <f>F147&gt;=500000</f>
        <v/>
      </c>
      <c r="J147">
        <f>E147&gt;=2</f>
        <v/>
      </c>
      <c r="K147">
        <f>AND(G147,H147,I147,J147)</f>
        <v/>
      </c>
    </row>
    <row r="148">
      <c r="B148" s="5">
        <f>BDP(A148&amp;" US Equity","CUR_MKT_CAP")</f>
        <v/>
      </c>
      <c r="C148">
        <f>BDP(A148&amp;" US Equity","EXCH_CODE")</f>
        <v/>
      </c>
      <c r="D148" s="5">
        <f>BDP(A148&amp;" US Equity","VOLUME_AVG_20D")</f>
        <v/>
      </c>
      <c r="E148" s="6">
        <f>BDP(A148&amp;" US Equity","PX_LAST")</f>
        <v/>
      </c>
      <c r="F148" s="5">
        <f>D148*E148</f>
        <v/>
      </c>
      <c r="G148">
        <f>AND(B148&gt;=50,B148&lt;=10000)</f>
        <v/>
      </c>
      <c r="H148">
        <f>OR(C148="NAS",C148="NYS",C148="ASE")</f>
        <v/>
      </c>
      <c r="I148">
        <f>F148&gt;=500000</f>
        <v/>
      </c>
      <c r="J148">
        <f>E148&gt;=2</f>
        <v/>
      </c>
      <c r="K148">
        <f>AND(G148,H148,I148,J148)</f>
        <v/>
      </c>
    </row>
    <row r="149">
      <c r="B149" s="5">
        <f>BDP(A149&amp;" US Equity","CUR_MKT_CAP")</f>
        <v/>
      </c>
      <c r="C149">
        <f>BDP(A149&amp;" US Equity","EXCH_CODE")</f>
        <v/>
      </c>
      <c r="D149" s="5">
        <f>BDP(A149&amp;" US Equity","VOLUME_AVG_20D")</f>
        <v/>
      </c>
      <c r="E149" s="6">
        <f>BDP(A149&amp;" US Equity","PX_LAST")</f>
        <v/>
      </c>
      <c r="F149" s="5">
        <f>D149*E149</f>
        <v/>
      </c>
      <c r="G149">
        <f>AND(B149&gt;=50,B149&lt;=10000)</f>
        <v/>
      </c>
      <c r="H149">
        <f>OR(C149="NAS",C149="NYS",C149="ASE")</f>
        <v/>
      </c>
      <c r="I149">
        <f>F149&gt;=500000</f>
        <v/>
      </c>
      <c r="J149">
        <f>E149&gt;=2</f>
        <v/>
      </c>
      <c r="K149">
        <f>AND(G149,H149,I149,J149)</f>
        <v/>
      </c>
    </row>
    <row r="150">
      <c r="B150" s="5">
        <f>BDP(A150&amp;" US Equity","CUR_MKT_CAP")</f>
        <v/>
      </c>
      <c r="C150">
        <f>BDP(A150&amp;" US Equity","EXCH_CODE")</f>
        <v/>
      </c>
      <c r="D150" s="5">
        <f>BDP(A150&amp;" US Equity","VOLUME_AVG_20D")</f>
        <v/>
      </c>
      <c r="E150" s="6">
        <f>BDP(A150&amp;" US Equity","PX_LAST")</f>
        <v/>
      </c>
      <c r="F150" s="5">
        <f>D150*E150</f>
        <v/>
      </c>
      <c r="G150">
        <f>AND(B150&gt;=50,B150&lt;=10000)</f>
        <v/>
      </c>
      <c r="H150">
        <f>OR(C150="NAS",C150="NYS",C150="ASE")</f>
        <v/>
      </c>
      <c r="I150">
        <f>F150&gt;=500000</f>
        <v/>
      </c>
      <c r="J150">
        <f>E150&gt;=2</f>
        <v/>
      </c>
      <c r="K150">
        <f>AND(G150,H150,I150,J150)</f>
        <v/>
      </c>
    </row>
    <row r="151">
      <c r="B151" s="5">
        <f>BDP(A151&amp;" US Equity","CUR_MKT_CAP")</f>
        <v/>
      </c>
      <c r="C151">
        <f>BDP(A151&amp;" US Equity","EXCH_CODE")</f>
        <v/>
      </c>
      <c r="D151" s="5">
        <f>BDP(A151&amp;" US Equity","VOLUME_AVG_20D")</f>
        <v/>
      </c>
      <c r="E151" s="6">
        <f>BDP(A151&amp;" US Equity","PX_LAST")</f>
        <v/>
      </c>
      <c r="F151" s="5">
        <f>D151*E151</f>
        <v/>
      </c>
      <c r="G151">
        <f>AND(B151&gt;=50,B151&lt;=10000)</f>
        <v/>
      </c>
      <c r="H151">
        <f>OR(C151="NAS",C151="NYS",C151="ASE")</f>
        <v/>
      </c>
      <c r="I151">
        <f>F151&gt;=500000</f>
        <v/>
      </c>
      <c r="J151">
        <f>E151&gt;=2</f>
        <v/>
      </c>
      <c r="K151">
        <f>AND(G151,H151,I151,J151)</f>
        <v/>
      </c>
    </row>
    <row r="152">
      <c r="B152" s="5">
        <f>BDP(A152&amp;" US Equity","CUR_MKT_CAP")</f>
        <v/>
      </c>
      <c r="C152">
        <f>BDP(A152&amp;" US Equity","EXCH_CODE")</f>
        <v/>
      </c>
      <c r="D152" s="5">
        <f>BDP(A152&amp;" US Equity","VOLUME_AVG_20D")</f>
        <v/>
      </c>
      <c r="E152" s="6">
        <f>BDP(A152&amp;" US Equity","PX_LAST")</f>
        <v/>
      </c>
      <c r="F152" s="5">
        <f>D152*E152</f>
        <v/>
      </c>
      <c r="G152">
        <f>AND(B152&gt;=50,B152&lt;=10000)</f>
        <v/>
      </c>
      <c r="H152">
        <f>OR(C152="NAS",C152="NYS",C152="ASE")</f>
        <v/>
      </c>
      <c r="I152">
        <f>F152&gt;=500000</f>
        <v/>
      </c>
      <c r="J152">
        <f>E152&gt;=2</f>
        <v/>
      </c>
      <c r="K152">
        <f>AND(G152,H152,I152,J152)</f>
        <v/>
      </c>
    </row>
    <row r="153">
      <c r="B153" s="5">
        <f>BDP(A153&amp;" US Equity","CUR_MKT_CAP")</f>
        <v/>
      </c>
      <c r="C153">
        <f>BDP(A153&amp;" US Equity","EXCH_CODE")</f>
        <v/>
      </c>
      <c r="D153" s="5">
        <f>BDP(A153&amp;" US Equity","VOLUME_AVG_20D")</f>
        <v/>
      </c>
      <c r="E153" s="6">
        <f>BDP(A153&amp;" US Equity","PX_LAST")</f>
        <v/>
      </c>
      <c r="F153" s="5">
        <f>D153*E153</f>
        <v/>
      </c>
      <c r="G153">
        <f>AND(B153&gt;=50,B153&lt;=10000)</f>
        <v/>
      </c>
      <c r="H153">
        <f>OR(C153="NAS",C153="NYS",C153="ASE")</f>
        <v/>
      </c>
      <c r="I153">
        <f>F153&gt;=500000</f>
        <v/>
      </c>
      <c r="J153">
        <f>E153&gt;=2</f>
        <v/>
      </c>
      <c r="K153">
        <f>AND(G153,H153,I153,J153)</f>
        <v/>
      </c>
    </row>
    <row r="154">
      <c r="B154" s="5">
        <f>BDP(A154&amp;" US Equity","CUR_MKT_CAP")</f>
        <v/>
      </c>
      <c r="C154">
        <f>BDP(A154&amp;" US Equity","EXCH_CODE")</f>
        <v/>
      </c>
      <c r="D154" s="5">
        <f>BDP(A154&amp;" US Equity","VOLUME_AVG_20D")</f>
        <v/>
      </c>
      <c r="E154" s="6">
        <f>BDP(A154&amp;" US Equity","PX_LAST")</f>
        <v/>
      </c>
      <c r="F154" s="5">
        <f>D154*E154</f>
        <v/>
      </c>
      <c r="G154">
        <f>AND(B154&gt;=50,B154&lt;=10000)</f>
        <v/>
      </c>
      <c r="H154">
        <f>OR(C154="NAS",C154="NYS",C154="ASE")</f>
        <v/>
      </c>
      <c r="I154">
        <f>F154&gt;=500000</f>
        <v/>
      </c>
      <c r="J154">
        <f>E154&gt;=2</f>
        <v/>
      </c>
      <c r="K154">
        <f>AND(G154,H154,I154,J154)</f>
        <v/>
      </c>
    </row>
    <row r="155">
      <c r="B155" s="5">
        <f>BDP(A155&amp;" US Equity","CUR_MKT_CAP")</f>
        <v/>
      </c>
      <c r="C155">
        <f>BDP(A155&amp;" US Equity","EXCH_CODE")</f>
        <v/>
      </c>
      <c r="D155" s="5">
        <f>BDP(A155&amp;" US Equity","VOLUME_AVG_20D")</f>
        <v/>
      </c>
      <c r="E155" s="6">
        <f>BDP(A155&amp;" US Equity","PX_LAST")</f>
        <v/>
      </c>
      <c r="F155" s="5">
        <f>D155*E155</f>
        <v/>
      </c>
      <c r="G155">
        <f>AND(B155&gt;=50,B155&lt;=10000)</f>
        <v/>
      </c>
      <c r="H155">
        <f>OR(C155="NAS",C155="NYS",C155="ASE")</f>
        <v/>
      </c>
      <c r="I155">
        <f>F155&gt;=500000</f>
        <v/>
      </c>
      <c r="J155">
        <f>E155&gt;=2</f>
        <v/>
      </c>
      <c r="K155">
        <f>AND(G155,H155,I155,J155)</f>
        <v/>
      </c>
    </row>
    <row r="156">
      <c r="B156" s="5">
        <f>BDP(A156&amp;" US Equity","CUR_MKT_CAP")</f>
        <v/>
      </c>
      <c r="C156">
        <f>BDP(A156&amp;" US Equity","EXCH_CODE")</f>
        <v/>
      </c>
      <c r="D156" s="5">
        <f>BDP(A156&amp;" US Equity","VOLUME_AVG_20D")</f>
        <v/>
      </c>
      <c r="E156" s="6">
        <f>BDP(A156&amp;" US Equity","PX_LAST")</f>
        <v/>
      </c>
      <c r="F156" s="5">
        <f>D156*E156</f>
        <v/>
      </c>
      <c r="G156">
        <f>AND(B156&gt;=50,B156&lt;=10000)</f>
        <v/>
      </c>
      <c r="H156">
        <f>OR(C156="NAS",C156="NYS",C156="ASE")</f>
        <v/>
      </c>
      <c r="I156">
        <f>F156&gt;=500000</f>
        <v/>
      </c>
      <c r="J156">
        <f>E156&gt;=2</f>
        <v/>
      </c>
      <c r="K156">
        <f>AND(G156,H156,I156,J156)</f>
        <v/>
      </c>
    </row>
    <row r="157">
      <c r="B157" s="5">
        <f>BDP(A157&amp;" US Equity","CUR_MKT_CAP")</f>
        <v/>
      </c>
      <c r="C157">
        <f>BDP(A157&amp;" US Equity","EXCH_CODE")</f>
        <v/>
      </c>
      <c r="D157" s="5">
        <f>BDP(A157&amp;" US Equity","VOLUME_AVG_20D")</f>
        <v/>
      </c>
      <c r="E157" s="6">
        <f>BDP(A157&amp;" US Equity","PX_LAST")</f>
        <v/>
      </c>
      <c r="F157" s="5">
        <f>D157*E157</f>
        <v/>
      </c>
      <c r="G157">
        <f>AND(B157&gt;=50,B157&lt;=10000)</f>
        <v/>
      </c>
      <c r="H157">
        <f>OR(C157="NAS",C157="NYS",C157="ASE")</f>
        <v/>
      </c>
      <c r="I157">
        <f>F157&gt;=500000</f>
        <v/>
      </c>
      <c r="J157">
        <f>E157&gt;=2</f>
        <v/>
      </c>
      <c r="K157">
        <f>AND(G157,H157,I157,J157)</f>
        <v/>
      </c>
    </row>
    <row r="158">
      <c r="B158" s="5">
        <f>BDP(A158&amp;" US Equity","CUR_MKT_CAP")</f>
        <v/>
      </c>
      <c r="C158">
        <f>BDP(A158&amp;" US Equity","EXCH_CODE")</f>
        <v/>
      </c>
      <c r="D158" s="5">
        <f>BDP(A158&amp;" US Equity","VOLUME_AVG_20D")</f>
        <v/>
      </c>
      <c r="E158" s="6">
        <f>BDP(A158&amp;" US Equity","PX_LAST")</f>
        <v/>
      </c>
      <c r="F158" s="5">
        <f>D158*E158</f>
        <v/>
      </c>
      <c r="G158">
        <f>AND(B158&gt;=50,B158&lt;=10000)</f>
        <v/>
      </c>
      <c r="H158">
        <f>OR(C158="NAS",C158="NYS",C158="ASE")</f>
        <v/>
      </c>
      <c r="I158">
        <f>F158&gt;=500000</f>
        <v/>
      </c>
      <c r="J158">
        <f>E158&gt;=2</f>
        <v/>
      </c>
      <c r="K158">
        <f>AND(G158,H158,I158,J158)</f>
        <v/>
      </c>
    </row>
    <row r="159">
      <c r="B159" s="5">
        <f>BDP(A159&amp;" US Equity","CUR_MKT_CAP")</f>
        <v/>
      </c>
      <c r="C159">
        <f>BDP(A159&amp;" US Equity","EXCH_CODE")</f>
        <v/>
      </c>
      <c r="D159" s="5">
        <f>BDP(A159&amp;" US Equity","VOLUME_AVG_20D")</f>
        <v/>
      </c>
      <c r="E159" s="6">
        <f>BDP(A159&amp;" US Equity","PX_LAST")</f>
        <v/>
      </c>
      <c r="F159" s="5">
        <f>D159*E159</f>
        <v/>
      </c>
      <c r="G159">
        <f>AND(B159&gt;=50,B159&lt;=10000)</f>
        <v/>
      </c>
      <c r="H159">
        <f>OR(C159="NAS",C159="NYS",C159="ASE")</f>
        <v/>
      </c>
      <c r="I159">
        <f>F159&gt;=500000</f>
        <v/>
      </c>
      <c r="J159">
        <f>E159&gt;=2</f>
        <v/>
      </c>
      <c r="K159">
        <f>AND(G159,H159,I159,J159)</f>
        <v/>
      </c>
    </row>
    <row r="160">
      <c r="B160" s="5">
        <f>BDP(A160&amp;" US Equity","CUR_MKT_CAP")</f>
        <v/>
      </c>
      <c r="C160">
        <f>BDP(A160&amp;" US Equity","EXCH_CODE")</f>
        <v/>
      </c>
      <c r="D160" s="5">
        <f>BDP(A160&amp;" US Equity","VOLUME_AVG_20D")</f>
        <v/>
      </c>
      <c r="E160" s="6">
        <f>BDP(A160&amp;" US Equity","PX_LAST")</f>
        <v/>
      </c>
      <c r="F160" s="5">
        <f>D160*E160</f>
        <v/>
      </c>
      <c r="G160">
        <f>AND(B160&gt;=50,B160&lt;=10000)</f>
        <v/>
      </c>
      <c r="H160">
        <f>OR(C160="NAS",C160="NYS",C160="ASE")</f>
        <v/>
      </c>
      <c r="I160">
        <f>F160&gt;=500000</f>
        <v/>
      </c>
      <c r="J160">
        <f>E160&gt;=2</f>
        <v/>
      </c>
      <c r="K160">
        <f>AND(G160,H160,I160,J160)</f>
        <v/>
      </c>
    </row>
    <row r="161">
      <c r="B161" s="5">
        <f>BDP(A161&amp;" US Equity","CUR_MKT_CAP")</f>
        <v/>
      </c>
      <c r="C161">
        <f>BDP(A161&amp;" US Equity","EXCH_CODE")</f>
        <v/>
      </c>
      <c r="D161" s="5">
        <f>BDP(A161&amp;" US Equity","VOLUME_AVG_20D")</f>
        <v/>
      </c>
      <c r="E161" s="6">
        <f>BDP(A161&amp;" US Equity","PX_LAST")</f>
        <v/>
      </c>
      <c r="F161" s="5">
        <f>D161*E161</f>
        <v/>
      </c>
      <c r="G161">
        <f>AND(B161&gt;=50,B161&lt;=10000)</f>
        <v/>
      </c>
      <c r="H161">
        <f>OR(C161="NAS",C161="NYS",C161="ASE")</f>
        <v/>
      </c>
      <c r="I161">
        <f>F161&gt;=500000</f>
        <v/>
      </c>
      <c r="J161">
        <f>E161&gt;=2</f>
        <v/>
      </c>
      <c r="K161">
        <f>AND(G161,H161,I161,J161)</f>
        <v/>
      </c>
    </row>
    <row r="162">
      <c r="B162" s="5">
        <f>BDP(A162&amp;" US Equity","CUR_MKT_CAP")</f>
        <v/>
      </c>
      <c r="C162">
        <f>BDP(A162&amp;" US Equity","EXCH_CODE")</f>
        <v/>
      </c>
      <c r="D162" s="5">
        <f>BDP(A162&amp;" US Equity","VOLUME_AVG_20D")</f>
        <v/>
      </c>
      <c r="E162" s="6">
        <f>BDP(A162&amp;" US Equity","PX_LAST")</f>
        <v/>
      </c>
      <c r="F162" s="5">
        <f>D162*E162</f>
        <v/>
      </c>
      <c r="G162">
        <f>AND(B162&gt;=50,B162&lt;=10000)</f>
        <v/>
      </c>
      <c r="H162">
        <f>OR(C162="NAS",C162="NYS",C162="ASE")</f>
        <v/>
      </c>
      <c r="I162">
        <f>F162&gt;=500000</f>
        <v/>
      </c>
      <c r="J162">
        <f>E162&gt;=2</f>
        <v/>
      </c>
      <c r="K162">
        <f>AND(G162,H162,I162,J162)</f>
        <v/>
      </c>
    </row>
    <row r="163">
      <c r="B163" s="5">
        <f>BDP(A163&amp;" US Equity","CUR_MKT_CAP")</f>
        <v/>
      </c>
      <c r="C163">
        <f>BDP(A163&amp;" US Equity","EXCH_CODE")</f>
        <v/>
      </c>
      <c r="D163" s="5">
        <f>BDP(A163&amp;" US Equity","VOLUME_AVG_20D")</f>
        <v/>
      </c>
      <c r="E163" s="6">
        <f>BDP(A163&amp;" US Equity","PX_LAST")</f>
        <v/>
      </c>
      <c r="F163" s="5">
        <f>D163*E163</f>
        <v/>
      </c>
      <c r="G163">
        <f>AND(B163&gt;=50,B163&lt;=10000)</f>
        <v/>
      </c>
      <c r="H163">
        <f>OR(C163="NAS",C163="NYS",C163="ASE")</f>
        <v/>
      </c>
      <c r="I163">
        <f>F163&gt;=500000</f>
        <v/>
      </c>
      <c r="J163">
        <f>E163&gt;=2</f>
        <v/>
      </c>
      <c r="K163">
        <f>AND(G163,H163,I163,J163)</f>
        <v/>
      </c>
    </row>
    <row r="164">
      <c r="B164" s="5">
        <f>BDP(A164&amp;" US Equity","CUR_MKT_CAP")</f>
        <v/>
      </c>
      <c r="C164">
        <f>BDP(A164&amp;" US Equity","EXCH_CODE")</f>
        <v/>
      </c>
      <c r="D164" s="5">
        <f>BDP(A164&amp;" US Equity","VOLUME_AVG_20D")</f>
        <v/>
      </c>
      <c r="E164" s="6">
        <f>BDP(A164&amp;" US Equity","PX_LAST")</f>
        <v/>
      </c>
      <c r="F164" s="5">
        <f>D164*E164</f>
        <v/>
      </c>
      <c r="G164">
        <f>AND(B164&gt;=50,B164&lt;=10000)</f>
        <v/>
      </c>
      <c r="H164">
        <f>OR(C164="NAS",C164="NYS",C164="ASE")</f>
        <v/>
      </c>
      <c r="I164">
        <f>F164&gt;=500000</f>
        <v/>
      </c>
      <c r="J164">
        <f>E164&gt;=2</f>
        <v/>
      </c>
      <c r="K164">
        <f>AND(G164,H164,I164,J164)</f>
        <v/>
      </c>
    </row>
    <row r="165">
      <c r="B165" s="5">
        <f>BDP(A165&amp;" US Equity","CUR_MKT_CAP")</f>
        <v/>
      </c>
      <c r="C165">
        <f>BDP(A165&amp;" US Equity","EXCH_CODE")</f>
        <v/>
      </c>
      <c r="D165" s="5">
        <f>BDP(A165&amp;" US Equity","VOLUME_AVG_20D")</f>
        <v/>
      </c>
      <c r="E165" s="6">
        <f>BDP(A165&amp;" US Equity","PX_LAST")</f>
        <v/>
      </c>
      <c r="F165" s="5">
        <f>D165*E165</f>
        <v/>
      </c>
      <c r="G165">
        <f>AND(B165&gt;=50,B165&lt;=10000)</f>
        <v/>
      </c>
      <c r="H165">
        <f>OR(C165="NAS",C165="NYS",C165="ASE")</f>
        <v/>
      </c>
      <c r="I165">
        <f>F165&gt;=500000</f>
        <v/>
      </c>
      <c r="J165">
        <f>E165&gt;=2</f>
        <v/>
      </c>
      <c r="K165">
        <f>AND(G165,H165,I165,J165)</f>
        <v/>
      </c>
    </row>
    <row r="166">
      <c r="B166" s="5">
        <f>BDP(A166&amp;" US Equity","CUR_MKT_CAP")</f>
        <v/>
      </c>
      <c r="C166">
        <f>BDP(A166&amp;" US Equity","EXCH_CODE")</f>
        <v/>
      </c>
      <c r="D166" s="5">
        <f>BDP(A166&amp;" US Equity","VOLUME_AVG_20D")</f>
        <v/>
      </c>
      <c r="E166" s="6">
        <f>BDP(A166&amp;" US Equity","PX_LAST")</f>
        <v/>
      </c>
      <c r="F166" s="5">
        <f>D166*E166</f>
        <v/>
      </c>
      <c r="G166">
        <f>AND(B166&gt;=50,B166&lt;=10000)</f>
        <v/>
      </c>
      <c r="H166">
        <f>OR(C166="NAS",C166="NYS",C166="ASE")</f>
        <v/>
      </c>
      <c r="I166">
        <f>F166&gt;=500000</f>
        <v/>
      </c>
      <c r="J166">
        <f>E166&gt;=2</f>
        <v/>
      </c>
      <c r="K166">
        <f>AND(G166,H166,I166,J166)</f>
        <v/>
      </c>
    </row>
    <row r="167">
      <c r="B167" s="5">
        <f>BDP(A167&amp;" US Equity","CUR_MKT_CAP")</f>
        <v/>
      </c>
      <c r="C167">
        <f>BDP(A167&amp;" US Equity","EXCH_CODE")</f>
        <v/>
      </c>
      <c r="D167" s="5">
        <f>BDP(A167&amp;" US Equity","VOLUME_AVG_20D")</f>
        <v/>
      </c>
      <c r="E167" s="6">
        <f>BDP(A167&amp;" US Equity","PX_LAST")</f>
        <v/>
      </c>
      <c r="F167" s="5">
        <f>D167*E167</f>
        <v/>
      </c>
      <c r="G167">
        <f>AND(B167&gt;=50,B167&lt;=10000)</f>
        <v/>
      </c>
      <c r="H167">
        <f>OR(C167="NAS",C167="NYS",C167="ASE")</f>
        <v/>
      </c>
      <c r="I167">
        <f>F167&gt;=500000</f>
        <v/>
      </c>
      <c r="J167">
        <f>E167&gt;=2</f>
        <v/>
      </c>
      <c r="K167">
        <f>AND(G167,H167,I167,J167)</f>
        <v/>
      </c>
    </row>
    <row r="168">
      <c r="B168" s="5">
        <f>BDP(A168&amp;" US Equity","CUR_MKT_CAP")</f>
        <v/>
      </c>
      <c r="C168">
        <f>BDP(A168&amp;" US Equity","EXCH_CODE")</f>
        <v/>
      </c>
      <c r="D168" s="5">
        <f>BDP(A168&amp;" US Equity","VOLUME_AVG_20D")</f>
        <v/>
      </c>
      <c r="E168" s="6">
        <f>BDP(A168&amp;" US Equity","PX_LAST")</f>
        <v/>
      </c>
      <c r="F168" s="5">
        <f>D168*E168</f>
        <v/>
      </c>
      <c r="G168">
        <f>AND(B168&gt;=50,B168&lt;=10000)</f>
        <v/>
      </c>
      <c r="H168">
        <f>OR(C168="NAS",C168="NYS",C168="ASE")</f>
        <v/>
      </c>
      <c r="I168">
        <f>F168&gt;=500000</f>
        <v/>
      </c>
      <c r="J168">
        <f>E168&gt;=2</f>
        <v/>
      </c>
      <c r="K168">
        <f>AND(G168,H168,I168,J168)</f>
        <v/>
      </c>
    </row>
    <row r="169">
      <c r="B169" s="5">
        <f>BDP(A169&amp;" US Equity","CUR_MKT_CAP")</f>
        <v/>
      </c>
      <c r="C169">
        <f>BDP(A169&amp;" US Equity","EXCH_CODE")</f>
        <v/>
      </c>
      <c r="D169" s="5">
        <f>BDP(A169&amp;" US Equity","VOLUME_AVG_20D")</f>
        <v/>
      </c>
      <c r="E169" s="6">
        <f>BDP(A169&amp;" US Equity","PX_LAST")</f>
        <v/>
      </c>
      <c r="F169" s="5">
        <f>D169*E169</f>
        <v/>
      </c>
      <c r="G169">
        <f>AND(B169&gt;=50,B169&lt;=10000)</f>
        <v/>
      </c>
      <c r="H169">
        <f>OR(C169="NAS",C169="NYS",C169="ASE")</f>
        <v/>
      </c>
      <c r="I169">
        <f>F169&gt;=500000</f>
        <v/>
      </c>
      <c r="J169">
        <f>E169&gt;=2</f>
        <v/>
      </c>
      <c r="K169">
        <f>AND(G169,H169,I169,J169)</f>
        <v/>
      </c>
    </row>
    <row r="170">
      <c r="B170" s="5">
        <f>BDP(A170&amp;" US Equity","CUR_MKT_CAP")</f>
        <v/>
      </c>
      <c r="C170">
        <f>BDP(A170&amp;" US Equity","EXCH_CODE")</f>
        <v/>
      </c>
      <c r="D170" s="5">
        <f>BDP(A170&amp;" US Equity","VOLUME_AVG_20D")</f>
        <v/>
      </c>
      <c r="E170" s="6">
        <f>BDP(A170&amp;" US Equity","PX_LAST")</f>
        <v/>
      </c>
      <c r="F170" s="5">
        <f>D170*E170</f>
        <v/>
      </c>
      <c r="G170">
        <f>AND(B170&gt;=50,B170&lt;=10000)</f>
        <v/>
      </c>
      <c r="H170">
        <f>OR(C170="NAS",C170="NYS",C170="ASE")</f>
        <v/>
      </c>
      <c r="I170">
        <f>F170&gt;=500000</f>
        <v/>
      </c>
      <c r="J170">
        <f>E170&gt;=2</f>
        <v/>
      </c>
      <c r="K170">
        <f>AND(G170,H170,I170,J170)</f>
        <v/>
      </c>
    </row>
    <row r="171">
      <c r="B171" s="5">
        <f>BDP(A171&amp;" US Equity","CUR_MKT_CAP")</f>
        <v/>
      </c>
      <c r="C171">
        <f>BDP(A171&amp;" US Equity","EXCH_CODE")</f>
        <v/>
      </c>
      <c r="D171" s="5">
        <f>BDP(A171&amp;" US Equity","VOLUME_AVG_20D")</f>
        <v/>
      </c>
      <c r="E171" s="6">
        <f>BDP(A171&amp;" US Equity","PX_LAST")</f>
        <v/>
      </c>
      <c r="F171" s="5">
        <f>D171*E171</f>
        <v/>
      </c>
      <c r="G171">
        <f>AND(B171&gt;=50,B171&lt;=10000)</f>
        <v/>
      </c>
      <c r="H171">
        <f>OR(C171="NAS",C171="NYS",C171="ASE")</f>
        <v/>
      </c>
      <c r="I171">
        <f>F171&gt;=500000</f>
        <v/>
      </c>
      <c r="J171">
        <f>E171&gt;=2</f>
        <v/>
      </c>
      <c r="K171">
        <f>AND(G171,H171,I171,J171)</f>
        <v/>
      </c>
    </row>
    <row r="172">
      <c r="B172" s="5">
        <f>BDP(A172&amp;" US Equity","CUR_MKT_CAP")</f>
        <v/>
      </c>
      <c r="C172">
        <f>BDP(A172&amp;" US Equity","EXCH_CODE")</f>
        <v/>
      </c>
      <c r="D172" s="5">
        <f>BDP(A172&amp;" US Equity","VOLUME_AVG_20D")</f>
        <v/>
      </c>
      <c r="E172" s="6">
        <f>BDP(A172&amp;" US Equity","PX_LAST")</f>
        <v/>
      </c>
      <c r="F172" s="5">
        <f>D172*E172</f>
        <v/>
      </c>
      <c r="G172">
        <f>AND(B172&gt;=50,B172&lt;=10000)</f>
        <v/>
      </c>
      <c r="H172">
        <f>OR(C172="NAS",C172="NYS",C172="ASE")</f>
        <v/>
      </c>
      <c r="I172">
        <f>F172&gt;=500000</f>
        <v/>
      </c>
      <c r="J172">
        <f>E172&gt;=2</f>
        <v/>
      </c>
      <c r="K172">
        <f>AND(G172,H172,I172,J172)</f>
        <v/>
      </c>
    </row>
    <row r="173">
      <c r="B173" s="5">
        <f>BDP(A173&amp;" US Equity","CUR_MKT_CAP")</f>
        <v/>
      </c>
      <c r="C173">
        <f>BDP(A173&amp;" US Equity","EXCH_CODE")</f>
        <v/>
      </c>
      <c r="D173" s="5">
        <f>BDP(A173&amp;" US Equity","VOLUME_AVG_20D")</f>
        <v/>
      </c>
      <c r="E173" s="6">
        <f>BDP(A173&amp;" US Equity","PX_LAST")</f>
        <v/>
      </c>
      <c r="F173" s="5">
        <f>D173*E173</f>
        <v/>
      </c>
      <c r="G173">
        <f>AND(B173&gt;=50,B173&lt;=10000)</f>
        <v/>
      </c>
      <c r="H173">
        <f>OR(C173="NAS",C173="NYS",C173="ASE")</f>
        <v/>
      </c>
      <c r="I173">
        <f>F173&gt;=500000</f>
        <v/>
      </c>
      <c r="J173">
        <f>E173&gt;=2</f>
        <v/>
      </c>
      <c r="K173">
        <f>AND(G173,H173,I173,J173)</f>
        <v/>
      </c>
    </row>
    <row r="174">
      <c r="B174" s="5">
        <f>BDP(A174&amp;" US Equity","CUR_MKT_CAP")</f>
        <v/>
      </c>
      <c r="C174">
        <f>BDP(A174&amp;" US Equity","EXCH_CODE")</f>
        <v/>
      </c>
      <c r="D174" s="5">
        <f>BDP(A174&amp;" US Equity","VOLUME_AVG_20D")</f>
        <v/>
      </c>
      <c r="E174" s="6">
        <f>BDP(A174&amp;" US Equity","PX_LAST")</f>
        <v/>
      </c>
      <c r="F174" s="5">
        <f>D174*E174</f>
        <v/>
      </c>
      <c r="G174">
        <f>AND(B174&gt;=50,B174&lt;=10000)</f>
        <v/>
      </c>
      <c r="H174">
        <f>OR(C174="NAS",C174="NYS",C174="ASE")</f>
        <v/>
      </c>
      <c r="I174">
        <f>F174&gt;=500000</f>
        <v/>
      </c>
      <c r="J174">
        <f>E174&gt;=2</f>
        <v/>
      </c>
      <c r="K174">
        <f>AND(G174,H174,I174,J174)</f>
        <v/>
      </c>
    </row>
    <row r="175">
      <c r="B175" s="5">
        <f>BDP(A175&amp;" US Equity","CUR_MKT_CAP")</f>
        <v/>
      </c>
      <c r="C175">
        <f>BDP(A175&amp;" US Equity","EXCH_CODE")</f>
        <v/>
      </c>
      <c r="D175" s="5">
        <f>BDP(A175&amp;" US Equity","VOLUME_AVG_20D")</f>
        <v/>
      </c>
      <c r="E175" s="6">
        <f>BDP(A175&amp;" US Equity","PX_LAST")</f>
        <v/>
      </c>
      <c r="F175" s="5">
        <f>D175*E175</f>
        <v/>
      </c>
      <c r="G175">
        <f>AND(B175&gt;=50,B175&lt;=10000)</f>
        <v/>
      </c>
      <c r="H175">
        <f>OR(C175="NAS",C175="NYS",C175="ASE")</f>
        <v/>
      </c>
      <c r="I175">
        <f>F175&gt;=500000</f>
        <v/>
      </c>
      <c r="J175">
        <f>E175&gt;=2</f>
        <v/>
      </c>
      <c r="K175">
        <f>AND(G175,H175,I175,J175)</f>
        <v/>
      </c>
    </row>
    <row r="176">
      <c r="B176" s="5">
        <f>BDP(A176&amp;" US Equity","CUR_MKT_CAP")</f>
        <v/>
      </c>
      <c r="C176">
        <f>BDP(A176&amp;" US Equity","EXCH_CODE")</f>
        <v/>
      </c>
      <c r="D176" s="5">
        <f>BDP(A176&amp;" US Equity","VOLUME_AVG_20D")</f>
        <v/>
      </c>
      <c r="E176" s="6">
        <f>BDP(A176&amp;" US Equity","PX_LAST")</f>
        <v/>
      </c>
      <c r="F176" s="5">
        <f>D176*E176</f>
        <v/>
      </c>
      <c r="G176">
        <f>AND(B176&gt;=50,B176&lt;=10000)</f>
        <v/>
      </c>
      <c r="H176">
        <f>OR(C176="NAS",C176="NYS",C176="ASE")</f>
        <v/>
      </c>
      <c r="I176">
        <f>F176&gt;=500000</f>
        <v/>
      </c>
      <c r="J176">
        <f>E176&gt;=2</f>
        <v/>
      </c>
      <c r="K176">
        <f>AND(G176,H176,I176,J176)</f>
        <v/>
      </c>
    </row>
    <row r="177">
      <c r="B177" s="5">
        <f>BDP(A177&amp;" US Equity","CUR_MKT_CAP")</f>
        <v/>
      </c>
      <c r="C177">
        <f>BDP(A177&amp;" US Equity","EXCH_CODE")</f>
        <v/>
      </c>
      <c r="D177" s="5">
        <f>BDP(A177&amp;" US Equity","VOLUME_AVG_20D")</f>
        <v/>
      </c>
      <c r="E177" s="6">
        <f>BDP(A177&amp;" US Equity","PX_LAST")</f>
        <v/>
      </c>
      <c r="F177" s="5">
        <f>D177*E177</f>
        <v/>
      </c>
      <c r="G177">
        <f>AND(B177&gt;=50,B177&lt;=10000)</f>
        <v/>
      </c>
      <c r="H177">
        <f>OR(C177="NAS",C177="NYS",C177="ASE")</f>
        <v/>
      </c>
      <c r="I177">
        <f>F177&gt;=500000</f>
        <v/>
      </c>
      <c r="J177">
        <f>E177&gt;=2</f>
        <v/>
      </c>
      <c r="K177">
        <f>AND(G177,H177,I177,J177)</f>
        <v/>
      </c>
    </row>
    <row r="178">
      <c r="B178" s="5">
        <f>BDP(A178&amp;" US Equity","CUR_MKT_CAP")</f>
        <v/>
      </c>
      <c r="C178">
        <f>BDP(A178&amp;" US Equity","EXCH_CODE")</f>
        <v/>
      </c>
      <c r="D178" s="5">
        <f>BDP(A178&amp;" US Equity","VOLUME_AVG_20D")</f>
        <v/>
      </c>
      <c r="E178" s="6">
        <f>BDP(A178&amp;" US Equity","PX_LAST")</f>
        <v/>
      </c>
      <c r="F178" s="5">
        <f>D178*E178</f>
        <v/>
      </c>
      <c r="G178">
        <f>AND(B178&gt;=50,B178&lt;=10000)</f>
        <v/>
      </c>
      <c r="H178">
        <f>OR(C178="NAS",C178="NYS",C178="ASE")</f>
        <v/>
      </c>
      <c r="I178">
        <f>F178&gt;=500000</f>
        <v/>
      </c>
      <c r="J178">
        <f>E178&gt;=2</f>
        <v/>
      </c>
      <c r="K178">
        <f>AND(G178,H178,I178,J178)</f>
        <v/>
      </c>
    </row>
    <row r="179">
      <c r="B179" s="5">
        <f>BDP(A179&amp;" US Equity","CUR_MKT_CAP")</f>
        <v/>
      </c>
      <c r="C179">
        <f>BDP(A179&amp;" US Equity","EXCH_CODE")</f>
        <v/>
      </c>
      <c r="D179" s="5">
        <f>BDP(A179&amp;" US Equity","VOLUME_AVG_20D")</f>
        <v/>
      </c>
      <c r="E179" s="6">
        <f>BDP(A179&amp;" US Equity","PX_LAST")</f>
        <v/>
      </c>
      <c r="F179" s="5">
        <f>D179*E179</f>
        <v/>
      </c>
      <c r="G179">
        <f>AND(B179&gt;=50,B179&lt;=10000)</f>
        <v/>
      </c>
      <c r="H179">
        <f>OR(C179="NAS",C179="NYS",C179="ASE")</f>
        <v/>
      </c>
      <c r="I179">
        <f>F179&gt;=500000</f>
        <v/>
      </c>
      <c r="J179">
        <f>E179&gt;=2</f>
        <v/>
      </c>
      <c r="K179">
        <f>AND(G179,H179,I179,J179)</f>
        <v/>
      </c>
    </row>
    <row r="180">
      <c r="B180" s="5">
        <f>BDP(A180&amp;" US Equity","CUR_MKT_CAP")</f>
        <v/>
      </c>
      <c r="C180">
        <f>BDP(A180&amp;" US Equity","EXCH_CODE")</f>
        <v/>
      </c>
      <c r="D180" s="5">
        <f>BDP(A180&amp;" US Equity","VOLUME_AVG_20D")</f>
        <v/>
      </c>
      <c r="E180" s="6">
        <f>BDP(A180&amp;" US Equity","PX_LAST")</f>
        <v/>
      </c>
      <c r="F180" s="5">
        <f>D180*E180</f>
        <v/>
      </c>
      <c r="G180">
        <f>AND(B180&gt;=50,B180&lt;=10000)</f>
        <v/>
      </c>
      <c r="H180">
        <f>OR(C180="NAS",C180="NYS",C180="ASE")</f>
        <v/>
      </c>
      <c r="I180">
        <f>F180&gt;=500000</f>
        <v/>
      </c>
      <c r="J180">
        <f>E180&gt;=2</f>
        <v/>
      </c>
      <c r="K180">
        <f>AND(G180,H180,I180,J180)</f>
        <v/>
      </c>
    </row>
    <row r="181">
      <c r="B181" s="5">
        <f>BDP(A181&amp;" US Equity","CUR_MKT_CAP")</f>
        <v/>
      </c>
      <c r="C181">
        <f>BDP(A181&amp;" US Equity","EXCH_CODE")</f>
        <v/>
      </c>
      <c r="D181" s="5">
        <f>BDP(A181&amp;" US Equity","VOLUME_AVG_20D")</f>
        <v/>
      </c>
      <c r="E181" s="6">
        <f>BDP(A181&amp;" US Equity","PX_LAST")</f>
        <v/>
      </c>
      <c r="F181" s="5">
        <f>D181*E181</f>
        <v/>
      </c>
      <c r="G181">
        <f>AND(B181&gt;=50,B181&lt;=10000)</f>
        <v/>
      </c>
      <c r="H181">
        <f>OR(C181="NAS",C181="NYS",C181="ASE")</f>
        <v/>
      </c>
      <c r="I181">
        <f>F181&gt;=500000</f>
        <v/>
      </c>
      <c r="J181">
        <f>E181&gt;=2</f>
        <v/>
      </c>
      <c r="K181">
        <f>AND(G181,H181,I181,J181)</f>
        <v/>
      </c>
    </row>
    <row r="182">
      <c r="B182" s="5">
        <f>BDP(A182&amp;" US Equity","CUR_MKT_CAP")</f>
        <v/>
      </c>
      <c r="C182">
        <f>BDP(A182&amp;" US Equity","EXCH_CODE")</f>
        <v/>
      </c>
      <c r="D182" s="5">
        <f>BDP(A182&amp;" US Equity","VOLUME_AVG_20D")</f>
        <v/>
      </c>
      <c r="E182" s="6">
        <f>BDP(A182&amp;" US Equity","PX_LAST")</f>
        <v/>
      </c>
      <c r="F182" s="5">
        <f>D182*E182</f>
        <v/>
      </c>
      <c r="G182">
        <f>AND(B182&gt;=50,B182&lt;=10000)</f>
        <v/>
      </c>
      <c r="H182">
        <f>OR(C182="NAS",C182="NYS",C182="ASE")</f>
        <v/>
      </c>
      <c r="I182">
        <f>F182&gt;=500000</f>
        <v/>
      </c>
      <c r="J182">
        <f>E182&gt;=2</f>
        <v/>
      </c>
      <c r="K182">
        <f>AND(G182,H182,I182,J182)</f>
        <v/>
      </c>
    </row>
    <row r="183">
      <c r="B183" s="5">
        <f>BDP(A183&amp;" US Equity","CUR_MKT_CAP")</f>
        <v/>
      </c>
      <c r="C183">
        <f>BDP(A183&amp;" US Equity","EXCH_CODE")</f>
        <v/>
      </c>
      <c r="D183" s="5">
        <f>BDP(A183&amp;" US Equity","VOLUME_AVG_20D")</f>
        <v/>
      </c>
      <c r="E183" s="6">
        <f>BDP(A183&amp;" US Equity","PX_LAST")</f>
        <v/>
      </c>
      <c r="F183" s="5">
        <f>D183*E183</f>
        <v/>
      </c>
      <c r="G183">
        <f>AND(B183&gt;=50,B183&lt;=10000)</f>
        <v/>
      </c>
      <c r="H183">
        <f>OR(C183="NAS",C183="NYS",C183="ASE")</f>
        <v/>
      </c>
      <c r="I183">
        <f>F183&gt;=500000</f>
        <v/>
      </c>
      <c r="J183">
        <f>E183&gt;=2</f>
        <v/>
      </c>
      <c r="K183">
        <f>AND(G183,H183,I183,J183)</f>
        <v/>
      </c>
    </row>
    <row r="184">
      <c r="B184" s="5">
        <f>BDP(A184&amp;" US Equity","CUR_MKT_CAP")</f>
        <v/>
      </c>
      <c r="C184">
        <f>BDP(A184&amp;" US Equity","EXCH_CODE")</f>
        <v/>
      </c>
      <c r="D184" s="5">
        <f>BDP(A184&amp;" US Equity","VOLUME_AVG_20D")</f>
        <v/>
      </c>
      <c r="E184" s="6">
        <f>BDP(A184&amp;" US Equity","PX_LAST")</f>
        <v/>
      </c>
      <c r="F184" s="5">
        <f>D184*E184</f>
        <v/>
      </c>
      <c r="G184">
        <f>AND(B184&gt;=50,B184&lt;=10000)</f>
        <v/>
      </c>
      <c r="H184">
        <f>OR(C184="NAS",C184="NYS",C184="ASE")</f>
        <v/>
      </c>
      <c r="I184">
        <f>F184&gt;=500000</f>
        <v/>
      </c>
      <c r="J184">
        <f>E184&gt;=2</f>
        <v/>
      </c>
      <c r="K184">
        <f>AND(G184,H184,I184,J184)</f>
        <v/>
      </c>
    </row>
    <row r="185">
      <c r="B185" s="5">
        <f>BDP(A185&amp;" US Equity","CUR_MKT_CAP")</f>
        <v/>
      </c>
      <c r="C185">
        <f>BDP(A185&amp;" US Equity","EXCH_CODE")</f>
        <v/>
      </c>
      <c r="D185" s="5">
        <f>BDP(A185&amp;" US Equity","VOLUME_AVG_20D")</f>
        <v/>
      </c>
      <c r="E185" s="6">
        <f>BDP(A185&amp;" US Equity","PX_LAST")</f>
        <v/>
      </c>
      <c r="F185" s="5">
        <f>D185*E185</f>
        <v/>
      </c>
      <c r="G185">
        <f>AND(B185&gt;=50,B185&lt;=10000)</f>
        <v/>
      </c>
      <c r="H185">
        <f>OR(C185="NAS",C185="NYS",C185="ASE")</f>
        <v/>
      </c>
      <c r="I185">
        <f>F185&gt;=500000</f>
        <v/>
      </c>
      <c r="J185">
        <f>E185&gt;=2</f>
        <v/>
      </c>
      <c r="K185">
        <f>AND(G185,H185,I185,J185)</f>
        <v/>
      </c>
    </row>
    <row r="186">
      <c r="B186" s="5">
        <f>BDP(A186&amp;" US Equity","CUR_MKT_CAP")</f>
        <v/>
      </c>
      <c r="C186">
        <f>BDP(A186&amp;" US Equity","EXCH_CODE")</f>
        <v/>
      </c>
      <c r="D186" s="5">
        <f>BDP(A186&amp;" US Equity","VOLUME_AVG_20D")</f>
        <v/>
      </c>
      <c r="E186" s="6">
        <f>BDP(A186&amp;" US Equity","PX_LAST")</f>
        <v/>
      </c>
      <c r="F186" s="5">
        <f>D186*E186</f>
        <v/>
      </c>
      <c r="G186">
        <f>AND(B186&gt;=50,B186&lt;=10000)</f>
        <v/>
      </c>
      <c r="H186">
        <f>OR(C186="NAS",C186="NYS",C186="ASE")</f>
        <v/>
      </c>
      <c r="I186">
        <f>F186&gt;=500000</f>
        <v/>
      </c>
      <c r="J186">
        <f>E186&gt;=2</f>
        <v/>
      </c>
      <c r="K186">
        <f>AND(G186,H186,I186,J186)</f>
        <v/>
      </c>
    </row>
    <row r="187">
      <c r="B187" s="5">
        <f>BDP(A187&amp;" US Equity","CUR_MKT_CAP")</f>
        <v/>
      </c>
      <c r="C187">
        <f>BDP(A187&amp;" US Equity","EXCH_CODE")</f>
        <v/>
      </c>
      <c r="D187" s="5">
        <f>BDP(A187&amp;" US Equity","VOLUME_AVG_20D")</f>
        <v/>
      </c>
      <c r="E187" s="6">
        <f>BDP(A187&amp;" US Equity","PX_LAST")</f>
        <v/>
      </c>
      <c r="F187" s="5">
        <f>D187*E187</f>
        <v/>
      </c>
      <c r="G187">
        <f>AND(B187&gt;=50,B187&lt;=10000)</f>
        <v/>
      </c>
      <c r="H187">
        <f>OR(C187="NAS",C187="NYS",C187="ASE")</f>
        <v/>
      </c>
      <c r="I187">
        <f>F187&gt;=500000</f>
        <v/>
      </c>
      <c r="J187">
        <f>E187&gt;=2</f>
        <v/>
      </c>
      <c r="K187">
        <f>AND(G187,H187,I187,J187)</f>
        <v/>
      </c>
    </row>
    <row r="188">
      <c r="B188" s="5">
        <f>BDP(A188&amp;" US Equity","CUR_MKT_CAP")</f>
        <v/>
      </c>
      <c r="C188">
        <f>BDP(A188&amp;" US Equity","EXCH_CODE")</f>
        <v/>
      </c>
      <c r="D188" s="5">
        <f>BDP(A188&amp;" US Equity","VOLUME_AVG_20D")</f>
        <v/>
      </c>
      <c r="E188" s="6">
        <f>BDP(A188&amp;" US Equity","PX_LAST")</f>
        <v/>
      </c>
      <c r="F188" s="5">
        <f>D188*E188</f>
        <v/>
      </c>
      <c r="G188">
        <f>AND(B188&gt;=50,B188&lt;=10000)</f>
        <v/>
      </c>
      <c r="H188">
        <f>OR(C188="NAS",C188="NYS",C188="ASE")</f>
        <v/>
      </c>
      <c r="I188">
        <f>F188&gt;=500000</f>
        <v/>
      </c>
      <c r="J188">
        <f>E188&gt;=2</f>
        <v/>
      </c>
      <c r="K188">
        <f>AND(G188,H188,I188,J188)</f>
        <v/>
      </c>
    </row>
    <row r="189">
      <c r="B189" s="5">
        <f>BDP(A189&amp;" US Equity","CUR_MKT_CAP")</f>
        <v/>
      </c>
      <c r="C189">
        <f>BDP(A189&amp;" US Equity","EXCH_CODE")</f>
        <v/>
      </c>
      <c r="D189" s="5">
        <f>BDP(A189&amp;" US Equity","VOLUME_AVG_20D")</f>
        <v/>
      </c>
      <c r="E189" s="6">
        <f>BDP(A189&amp;" US Equity","PX_LAST")</f>
        <v/>
      </c>
      <c r="F189" s="5">
        <f>D189*E189</f>
        <v/>
      </c>
      <c r="G189">
        <f>AND(B189&gt;=50,B189&lt;=10000)</f>
        <v/>
      </c>
      <c r="H189">
        <f>OR(C189="NAS",C189="NYS",C189="ASE")</f>
        <v/>
      </c>
      <c r="I189">
        <f>F189&gt;=500000</f>
        <v/>
      </c>
      <c r="J189">
        <f>E189&gt;=2</f>
        <v/>
      </c>
      <c r="K189">
        <f>AND(G189,H189,I189,J189)</f>
        <v/>
      </c>
    </row>
    <row r="190">
      <c r="B190" s="5">
        <f>BDP(A190&amp;" US Equity","CUR_MKT_CAP")</f>
        <v/>
      </c>
      <c r="C190">
        <f>BDP(A190&amp;" US Equity","EXCH_CODE")</f>
        <v/>
      </c>
      <c r="D190" s="5">
        <f>BDP(A190&amp;" US Equity","VOLUME_AVG_20D")</f>
        <v/>
      </c>
      <c r="E190" s="6">
        <f>BDP(A190&amp;" US Equity","PX_LAST")</f>
        <v/>
      </c>
      <c r="F190" s="5">
        <f>D190*E190</f>
        <v/>
      </c>
      <c r="G190">
        <f>AND(B190&gt;=50,B190&lt;=10000)</f>
        <v/>
      </c>
      <c r="H190">
        <f>OR(C190="NAS",C190="NYS",C190="ASE")</f>
        <v/>
      </c>
      <c r="I190">
        <f>F190&gt;=500000</f>
        <v/>
      </c>
      <c r="J190">
        <f>E190&gt;=2</f>
        <v/>
      </c>
      <c r="K190">
        <f>AND(G190,H190,I190,J190)</f>
        <v/>
      </c>
    </row>
    <row r="191">
      <c r="B191" s="5">
        <f>BDP(A191&amp;" US Equity","CUR_MKT_CAP")</f>
        <v/>
      </c>
      <c r="C191">
        <f>BDP(A191&amp;" US Equity","EXCH_CODE")</f>
        <v/>
      </c>
      <c r="D191" s="5">
        <f>BDP(A191&amp;" US Equity","VOLUME_AVG_20D")</f>
        <v/>
      </c>
      <c r="E191" s="6">
        <f>BDP(A191&amp;" US Equity","PX_LAST")</f>
        <v/>
      </c>
      <c r="F191" s="5">
        <f>D191*E191</f>
        <v/>
      </c>
      <c r="G191">
        <f>AND(B191&gt;=50,B191&lt;=10000)</f>
        <v/>
      </c>
      <c r="H191">
        <f>OR(C191="NAS",C191="NYS",C191="ASE")</f>
        <v/>
      </c>
      <c r="I191">
        <f>F191&gt;=500000</f>
        <v/>
      </c>
      <c r="J191">
        <f>E191&gt;=2</f>
        <v/>
      </c>
      <c r="K191">
        <f>AND(G191,H191,I191,J191)</f>
        <v/>
      </c>
    </row>
    <row r="192">
      <c r="B192" s="5">
        <f>BDP(A192&amp;" US Equity","CUR_MKT_CAP")</f>
        <v/>
      </c>
      <c r="C192">
        <f>BDP(A192&amp;" US Equity","EXCH_CODE")</f>
        <v/>
      </c>
      <c r="D192" s="5">
        <f>BDP(A192&amp;" US Equity","VOLUME_AVG_20D")</f>
        <v/>
      </c>
      <c r="E192" s="6">
        <f>BDP(A192&amp;" US Equity","PX_LAST")</f>
        <v/>
      </c>
      <c r="F192" s="5">
        <f>D192*E192</f>
        <v/>
      </c>
      <c r="G192">
        <f>AND(B192&gt;=50,B192&lt;=10000)</f>
        <v/>
      </c>
      <c r="H192">
        <f>OR(C192="NAS",C192="NYS",C192="ASE")</f>
        <v/>
      </c>
      <c r="I192">
        <f>F192&gt;=500000</f>
        <v/>
      </c>
      <c r="J192">
        <f>E192&gt;=2</f>
        <v/>
      </c>
      <c r="K192">
        <f>AND(G192,H192,I192,J192)</f>
        <v/>
      </c>
    </row>
    <row r="193">
      <c r="B193" s="5">
        <f>BDP(A193&amp;" US Equity","CUR_MKT_CAP")</f>
        <v/>
      </c>
      <c r="C193">
        <f>BDP(A193&amp;" US Equity","EXCH_CODE")</f>
        <v/>
      </c>
      <c r="D193" s="5">
        <f>BDP(A193&amp;" US Equity","VOLUME_AVG_20D")</f>
        <v/>
      </c>
      <c r="E193" s="6">
        <f>BDP(A193&amp;" US Equity","PX_LAST")</f>
        <v/>
      </c>
      <c r="F193" s="5">
        <f>D193*E193</f>
        <v/>
      </c>
      <c r="G193">
        <f>AND(B193&gt;=50,B193&lt;=10000)</f>
        <v/>
      </c>
      <c r="H193">
        <f>OR(C193="NAS",C193="NYS",C193="ASE")</f>
        <v/>
      </c>
      <c r="I193">
        <f>F193&gt;=500000</f>
        <v/>
      </c>
      <c r="J193">
        <f>E193&gt;=2</f>
        <v/>
      </c>
      <c r="K193">
        <f>AND(G193,H193,I193,J193)</f>
        <v/>
      </c>
    </row>
    <row r="194">
      <c r="B194" s="5">
        <f>BDP(A194&amp;" US Equity","CUR_MKT_CAP")</f>
        <v/>
      </c>
      <c r="C194">
        <f>BDP(A194&amp;" US Equity","EXCH_CODE")</f>
        <v/>
      </c>
      <c r="D194" s="5">
        <f>BDP(A194&amp;" US Equity","VOLUME_AVG_20D")</f>
        <v/>
      </c>
      <c r="E194" s="6">
        <f>BDP(A194&amp;" US Equity","PX_LAST")</f>
        <v/>
      </c>
      <c r="F194" s="5">
        <f>D194*E194</f>
        <v/>
      </c>
      <c r="G194">
        <f>AND(B194&gt;=50,B194&lt;=10000)</f>
        <v/>
      </c>
      <c r="H194">
        <f>OR(C194="NAS",C194="NYS",C194="ASE")</f>
        <v/>
      </c>
      <c r="I194">
        <f>F194&gt;=500000</f>
        <v/>
      </c>
      <c r="J194">
        <f>E194&gt;=2</f>
        <v/>
      </c>
      <c r="K194">
        <f>AND(G194,H194,I194,J194)</f>
        <v/>
      </c>
    </row>
    <row r="195">
      <c r="B195" s="5">
        <f>BDP(A195&amp;" US Equity","CUR_MKT_CAP")</f>
        <v/>
      </c>
      <c r="C195">
        <f>BDP(A195&amp;" US Equity","EXCH_CODE")</f>
        <v/>
      </c>
      <c r="D195" s="5">
        <f>BDP(A195&amp;" US Equity","VOLUME_AVG_20D")</f>
        <v/>
      </c>
      <c r="E195" s="6">
        <f>BDP(A195&amp;" US Equity","PX_LAST")</f>
        <v/>
      </c>
      <c r="F195" s="5">
        <f>D195*E195</f>
        <v/>
      </c>
      <c r="G195">
        <f>AND(B195&gt;=50,B195&lt;=10000)</f>
        <v/>
      </c>
      <c r="H195">
        <f>OR(C195="NAS",C195="NYS",C195="ASE")</f>
        <v/>
      </c>
      <c r="I195">
        <f>F195&gt;=500000</f>
        <v/>
      </c>
      <c r="J195">
        <f>E195&gt;=2</f>
        <v/>
      </c>
      <c r="K195">
        <f>AND(G195,H195,I195,J195)</f>
        <v/>
      </c>
    </row>
    <row r="196">
      <c r="B196" s="5">
        <f>BDP(A196&amp;" US Equity","CUR_MKT_CAP")</f>
        <v/>
      </c>
      <c r="C196">
        <f>BDP(A196&amp;" US Equity","EXCH_CODE")</f>
        <v/>
      </c>
      <c r="D196" s="5">
        <f>BDP(A196&amp;" US Equity","VOLUME_AVG_20D")</f>
        <v/>
      </c>
      <c r="E196" s="6">
        <f>BDP(A196&amp;" US Equity","PX_LAST")</f>
        <v/>
      </c>
      <c r="F196" s="5">
        <f>D196*E196</f>
        <v/>
      </c>
      <c r="G196">
        <f>AND(B196&gt;=50,B196&lt;=10000)</f>
        <v/>
      </c>
      <c r="H196">
        <f>OR(C196="NAS",C196="NYS",C196="ASE")</f>
        <v/>
      </c>
      <c r="I196">
        <f>F196&gt;=500000</f>
        <v/>
      </c>
      <c r="J196">
        <f>E196&gt;=2</f>
        <v/>
      </c>
      <c r="K196">
        <f>AND(G196,H196,I196,J196)</f>
        <v/>
      </c>
    </row>
    <row r="197">
      <c r="B197" s="5">
        <f>BDP(A197&amp;" US Equity","CUR_MKT_CAP")</f>
        <v/>
      </c>
      <c r="C197">
        <f>BDP(A197&amp;" US Equity","EXCH_CODE")</f>
        <v/>
      </c>
      <c r="D197" s="5">
        <f>BDP(A197&amp;" US Equity","VOLUME_AVG_20D")</f>
        <v/>
      </c>
      <c r="E197" s="6">
        <f>BDP(A197&amp;" US Equity","PX_LAST")</f>
        <v/>
      </c>
      <c r="F197" s="5">
        <f>D197*E197</f>
        <v/>
      </c>
      <c r="G197">
        <f>AND(B197&gt;=50,B197&lt;=10000)</f>
        <v/>
      </c>
      <c r="H197">
        <f>OR(C197="NAS",C197="NYS",C197="ASE")</f>
        <v/>
      </c>
      <c r="I197">
        <f>F197&gt;=500000</f>
        <v/>
      </c>
      <c r="J197">
        <f>E197&gt;=2</f>
        <v/>
      </c>
      <c r="K197">
        <f>AND(G197,H197,I197,J197)</f>
        <v/>
      </c>
    </row>
    <row r="198">
      <c r="B198" s="5">
        <f>BDP(A198&amp;" US Equity","CUR_MKT_CAP")</f>
        <v/>
      </c>
      <c r="C198">
        <f>BDP(A198&amp;" US Equity","EXCH_CODE")</f>
        <v/>
      </c>
      <c r="D198" s="5">
        <f>BDP(A198&amp;" US Equity","VOLUME_AVG_20D")</f>
        <v/>
      </c>
      <c r="E198" s="6">
        <f>BDP(A198&amp;" US Equity","PX_LAST")</f>
        <v/>
      </c>
      <c r="F198" s="5">
        <f>D198*E198</f>
        <v/>
      </c>
      <c r="G198">
        <f>AND(B198&gt;=50,B198&lt;=10000)</f>
        <v/>
      </c>
      <c r="H198">
        <f>OR(C198="NAS",C198="NYS",C198="ASE")</f>
        <v/>
      </c>
      <c r="I198">
        <f>F198&gt;=500000</f>
        <v/>
      </c>
      <c r="J198">
        <f>E198&gt;=2</f>
        <v/>
      </c>
      <c r="K198">
        <f>AND(G198,H198,I198,J198)</f>
        <v/>
      </c>
    </row>
    <row r="199">
      <c r="B199" s="5">
        <f>BDP(A199&amp;" US Equity","CUR_MKT_CAP")</f>
        <v/>
      </c>
      <c r="C199">
        <f>BDP(A199&amp;" US Equity","EXCH_CODE")</f>
        <v/>
      </c>
      <c r="D199" s="5">
        <f>BDP(A199&amp;" US Equity","VOLUME_AVG_20D")</f>
        <v/>
      </c>
      <c r="E199" s="6">
        <f>BDP(A199&amp;" US Equity","PX_LAST")</f>
        <v/>
      </c>
      <c r="F199" s="5">
        <f>D199*E199</f>
        <v/>
      </c>
      <c r="G199">
        <f>AND(B199&gt;=50,B199&lt;=10000)</f>
        <v/>
      </c>
      <c r="H199">
        <f>OR(C199="NAS",C199="NYS",C199="ASE")</f>
        <v/>
      </c>
      <c r="I199">
        <f>F199&gt;=500000</f>
        <v/>
      </c>
      <c r="J199">
        <f>E199&gt;=2</f>
        <v/>
      </c>
      <c r="K199">
        <f>AND(G199,H199,I199,J199)</f>
        <v/>
      </c>
    </row>
    <row r="200">
      <c r="B200" s="5">
        <f>BDP(A200&amp;" US Equity","CUR_MKT_CAP")</f>
        <v/>
      </c>
      <c r="C200">
        <f>BDP(A200&amp;" US Equity","EXCH_CODE")</f>
        <v/>
      </c>
      <c r="D200" s="5">
        <f>BDP(A200&amp;" US Equity","VOLUME_AVG_20D")</f>
        <v/>
      </c>
      <c r="E200" s="6">
        <f>BDP(A200&amp;" US Equity","PX_LAST")</f>
        <v/>
      </c>
      <c r="F200" s="5">
        <f>D200*E200</f>
        <v/>
      </c>
      <c r="G200">
        <f>AND(B200&gt;=50,B200&lt;=10000)</f>
        <v/>
      </c>
      <c r="H200">
        <f>OR(C200="NAS",C200="NYS",C200="ASE")</f>
        <v/>
      </c>
      <c r="I200">
        <f>F200&gt;=500000</f>
        <v/>
      </c>
      <c r="J200">
        <f>E200&gt;=2</f>
        <v/>
      </c>
      <c r="K200">
        <f>AND(G200,H200,I200,J200)</f>
        <v/>
      </c>
    </row>
    <row r="201">
      <c r="B201" s="5">
        <f>BDP(A201&amp;" US Equity","CUR_MKT_CAP")</f>
        <v/>
      </c>
      <c r="C201">
        <f>BDP(A201&amp;" US Equity","EXCH_CODE")</f>
        <v/>
      </c>
      <c r="D201" s="5">
        <f>BDP(A201&amp;" US Equity","VOLUME_AVG_20D")</f>
        <v/>
      </c>
      <c r="E201" s="6">
        <f>BDP(A201&amp;" US Equity","PX_LAST")</f>
        <v/>
      </c>
      <c r="F201" s="5">
        <f>D201*E201</f>
        <v/>
      </c>
      <c r="G201">
        <f>AND(B201&gt;=50,B201&lt;=10000)</f>
        <v/>
      </c>
      <c r="H201">
        <f>OR(C201="NAS",C201="NYS",C201="ASE")</f>
        <v/>
      </c>
      <c r="I201">
        <f>F201&gt;=500000</f>
        <v/>
      </c>
      <c r="J201">
        <f>E201&gt;=2</f>
        <v/>
      </c>
      <c r="K201">
        <f>AND(G201,H201,I201,J201)</f>
        <v/>
      </c>
    </row>
    <row r="202">
      <c r="B202" s="5">
        <f>BDP(A202&amp;" US Equity","CUR_MKT_CAP")</f>
        <v/>
      </c>
      <c r="C202">
        <f>BDP(A202&amp;" US Equity","EXCH_CODE")</f>
        <v/>
      </c>
      <c r="D202" s="5">
        <f>BDP(A202&amp;" US Equity","VOLUME_AVG_20D")</f>
        <v/>
      </c>
      <c r="E202" s="6">
        <f>BDP(A202&amp;" US Equity","PX_LAST")</f>
        <v/>
      </c>
      <c r="F202" s="5">
        <f>D202*E202</f>
        <v/>
      </c>
      <c r="G202">
        <f>AND(B202&gt;=50,B202&lt;=10000)</f>
        <v/>
      </c>
      <c r="H202">
        <f>OR(C202="NAS",C202="NYS",C202="ASE")</f>
        <v/>
      </c>
      <c r="I202">
        <f>F202&gt;=500000</f>
        <v/>
      </c>
      <c r="J202">
        <f>E202&gt;=2</f>
        <v/>
      </c>
      <c r="K202">
        <f>AND(G202,H202,I202,J202)</f>
        <v/>
      </c>
    </row>
    <row r="203">
      <c r="B203" s="5">
        <f>BDP(A203&amp;" US Equity","CUR_MKT_CAP")</f>
        <v/>
      </c>
      <c r="C203">
        <f>BDP(A203&amp;" US Equity","EXCH_CODE")</f>
        <v/>
      </c>
      <c r="D203" s="5">
        <f>BDP(A203&amp;" US Equity","VOLUME_AVG_20D")</f>
        <v/>
      </c>
      <c r="E203" s="6">
        <f>BDP(A203&amp;" US Equity","PX_LAST")</f>
        <v/>
      </c>
      <c r="F203" s="5">
        <f>D203*E203</f>
        <v/>
      </c>
      <c r="G203">
        <f>AND(B203&gt;=50,B203&lt;=10000)</f>
        <v/>
      </c>
      <c r="H203">
        <f>OR(C203="NAS",C203="NYS",C203="ASE")</f>
        <v/>
      </c>
      <c r="I203">
        <f>F203&gt;=500000</f>
        <v/>
      </c>
      <c r="J203">
        <f>E203&gt;=2</f>
        <v/>
      </c>
      <c r="K203">
        <f>AND(G203,H203,I203,J203)</f>
        <v/>
      </c>
    </row>
    <row r="204">
      <c r="B204" s="5">
        <f>BDP(A204&amp;" US Equity","CUR_MKT_CAP")</f>
        <v/>
      </c>
      <c r="C204">
        <f>BDP(A204&amp;" US Equity","EXCH_CODE")</f>
        <v/>
      </c>
      <c r="D204" s="5">
        <f>BDP(A204&amp;" US Equity","VOLUME_AVG_20D")</f>
        <v/>
      </c>
      <c r="E204" s="6">
        <f>BDP(A204&amp;" US Equity","PX_LAST")</f>
        <v/>
      </c>
      <c r="F204" s="5">
        <f>D204*E204</f>
        <v/>
      </c>
      <c r="G204">
        <f>AND(B204&gt;=50,B204&lt;=10000)</f>
        <v/>
      </c>
      <c r="H204">
        <f>OR(C204="NAS",C204="NYS",C204="ASE")</f>
        <v/>
      </c>
      <c r="I204">
        <f>F204&gt;=500000</f>
        <v/>
      </c>
      <c r="J204">
        <f>E204&gt;=2</f>
        <v/>
      </c>
      <c r="K204">
        <f>AND(G204,H204,I204,J204)</f>
        <v/>
      </c>
    </row>
    <row r="205">
      <c r="B205" s="5">
        <f>BDP(A205&amp;" US Equity","CUR_MKT_CAP")</f>
        <v/>
      </c>
      <c r="C205">
        <f>BDP(A205&amp;" US Equity","EXCH_CODE")</f>
        <v/>
      </c>
      <c r="D205" s="5">
        <f>BDP(A205&amp;" US Equity","VOLUME_AVG_20D")</f>
        <v/>
      </c>
      <c r="E205" s="6">
        <f>BDP(A205&amp;" US Equity","PX_LAST")</f>
        <v/>
      </c>
      <c r="F205" s="5">
        <f>D205*E205</f>
        <v/>
      </c>
      <c r="G205">
        <f>AND(B205&gt;=50,B205&lt;=10000)</f>
        <v/>
      </c>
      <c r="H205">
        <f>OR(C205="NAS",C205="NYS",C205="ASE")</f>
        <v/>
      </c>
      <c r="I205">
        <f>F205&gt;=500000</f>
        <v/>
      </c>
      <c r="J205">
        <f>E205&gt;=2</f>
        <v/>
      </c>
      <c r="K205">
        <f>AND(G205,H205,I205,J205)</f>
        <v/>
      </c>
    </row>
    <row r="206">
      <c r="B206" s="5">
        <f>BDP(A206&amp;" US Equity","CUR_MKT_CAP")</f>
        <v/>
      </c>
      <c r="C206">
        <f>BDP(A206&amp;" US Equity","EXCH_CODE")</f>
        <v/>
      </c>
      <c r="D206" s="5">
        <f>BDP(A206&amp;" US Equity","VOLUME_AVG_20D")</f>
        <v/>
      </c>
      <c r="E206" s="6">
        <f>BDP(A206&amp;" US Equity","PX_LAST")</f>
        <v/>
      </c>
      <c r="F206" s="5">
        <f>D206*E206</f>
        <v/>
      </c>
      <c r="G206">
        <f>AND(B206&gt;=50,B206&lt;=10000)</f>
        <v/>
      </c>
      <c r="H206">
        <f>OR(C206="NAS",C206="NYS",C206="ASE")</f>
        <v/>
      </c>
      <c r="I206">
        <f>F206&gt;=500000</f>
        <v/>
      </c>
      <c r="J206">
        <f>E206&gt;=2</f>
        <v/>
      </c>
      <c r="K206">
        <f>AND(G206,H206,I206,J206)</f>
        <v/>
      </c>
    </row>
    <row r="207">
      <c r="B207" s="5">
        <f>BDP(A207&amp;" US Equity","CUR_MKT_CAP")</f>
        <v/>
      </c>
      <c r="C207">
        <f>BDP(A207&amp;" US Equity","EXCH_CODE")</f>
        <v/>
      </c>
      <c r="D207" s="5">
        <f>BDP(A207&amp;" US Equity","VOLUME_AVG_20D")</f>
        <v/>
      </c>
      <c r="E207" s="6">
        <f>BDP(A207&amp;" US Equity","PX_LAST")</f>
        <v/>
      </c>
      <c r="F207" s="5">
        <f>D207*E207</f>
        <v/>
      </c>
      <c r="G207">
        <f>AND(B207&gt;=50,B207&lt;=10000)</f>
        <v/>
      </c>
      <c r="H207">
        <f>OR(C207="NAS",C207="NYS",C207="ASE")</f>
        <v/>
      </c>
      <c r="I207">
        <f>F207&gt;=500000</f>
        <v/>
      </c>
      <c r="J207">
        <f>E207&gt;=2</f>
        <v/>
      </c>
      <c r="K207">
        <f>AND(G207,H207,I207,J207)</f>
        <v/>
      </c>
    </row>
    <row r="208">
      <c r="B208" s="5">
        <f>BDP(A208&amp;" US Equity","CUR_MKT_CAP")</f>
        <v/>
      </c>
      <c r="C208">
        <f>BDP(A208&amp;" US Equity","EXCH_CODE")</f>
        <v/>
      </c>
      <c r="D208" s="5">
        <f>BDP(A208&amp;" US Equity","VOLUME_AVG_20D")</f>
        <v/>
      </c>
      <c r="E208" s="6">
        <f>BDP(A208&amp;" US Equity","PX_LAST")</f>
        <v/>
      </c>
      <c r="F208" s="5">
        <f>D208*E208</f>
        <v/>
      </c>
      <c r="G208">
        <f>AND(B208&gt;=50,B208&lt;=10000)</f>
        <v/>
      </c>
      <c r="H208">
        <f>OR(C208="NAS",C208="NYS",C208="ASE")</f>
        <v/>
      </c>
      <c r="I208">
        <f>F208&gt;=500000</f>
        <v/>
      </c>
      <c r="J208">
        <f>E208&gt;=2</f>
        <v/>
      </c>
      <c r="K208">
        <f>AND(G208,H208,I208,J208)</f>
        <v/>
      </c>
    </row>
    <row r="209">
      <c r="B209" s="5">
        <f>BDP(A209&amp;" US Equity","CUR_MKT_CAP")</f>
        <v/>
      </c>
      <c r="C209">
        <f>BDP(A209&amp;" US Equity","EXCH_CODE")</f>
        <v/>
      </c>
      <c r="D209" s="5">
        <f>BDP(A209&amp;" US Equity","VOLUME_AVG_20D")</f>
        <v/>
      </c>
      <c r="E209" s="6">
        <f>BDP(A209&amp;" US Equity","PX_LAST")</f>
        <v/>
      </c>
      <c r="F209" s="5">
        <f>D209*E209</f>
        <v/>
      </c>
      <c r="G209">
        <f>AND(B209&gt;=50,B209&lt;=10000)</f>
        <v/>
      </c>
      <c r="H209">
        <f>OR(C209="NAS",C209="NYS",C209="ASE")</f>
        <v/>
      </c>
      <c r="I209">
        <f>F209&gt;=500000</f>
        <v/>
      </c>
      <c r="J209">
        <f>E209&gt;=2</f>
        <v/>
      </c>
      <c r="K209">
        <f>AND(G209,H209,I209,J209)</f>
        <v/>
      </c>
    </row>
    <row r="210">
      <c r="B210" s="5">
        <f>BDP(A210&amp;" US Equity","CUR_MKT_CAP")</f>
        <v/>
      </c>
      <c r="C210">
        <f>BDP(A210&amp;" US Equity","EXCH_CODE")</f>
        <v/>
      </c>
      <c r="D210" s="5">
        <f>BDP(A210&amp;" US Equity","VOLUME_AVG_20D")</f>
        <v/>
      </c>
      <c r="E210" s="6">
        <f>BDP(A210&amp;" US Equity","PX_LAST")</f>
        <v/>
      </c>
      <c r="F210" s="5">
        <f>D210*E210</f>
        <v/>
      </c>
      <c r="G210">
        <f>AND(B210&gt;=50,B210&lt;=10000)</f>
        <v/>
      </c>
      <c r="H210">
        <f>OR(C210="NAS",C210="NYS",C210="ASE")</f>
        <v/>
      </c>
      <c r="I210">
        <f>F210&gt;=500000</f>
        <v/>
      </c>
      <c r="J210">
        <f>E210&gt;=2</f>
        <v/>
      </c>
      <c r="K210">
        <f>AND(G210,H210,I210,J210)</f>
        <v/>
      </c>
    </row>
    <row r="211">
      <c r="B211" s="5">
        <f>BDP(A211&amp;" US Equity","CUR_MKT_CAP")</f>
        <v/>
      </c>
      <c r="C211">
        <f>BDP(A211&amp;" US Equity","EXCH_CODE")</f>
        <v/>
      </c>
      <c r="D211" s="5">
        <f>BDP(A211&amp;" US Equity","VOLUME_AVG_20D")</f>
        <v/>
      </c>
      <c r="E211" s="6">
        <f>BDP(A211&amp;" US Equity","PX_LAST")</f>
        <v/>
      </c>
      <c r="F211" s="5">
        <f>D211*E211</f>
        <v/>
      </c>
      <c r="G211">
        <f>AND(B211&gt;=50,B211&lt;=10000)</f>
        <v/>
      </c>
      <c r="H211">
        <f>OR(C211="NAS",C211="NYS",C211="ASE")</f>
        <v/>
      </c>
      <c r="I211">
        <f>F211&gt;=500000</f>
        <v/>
      </c>
      <c r="J211">
        <f>E211&gt;=2</f>
        <v/>
      </c>
      <c r="K211">
        <f>AND(G211,H211,I211,J211)</f>
        <v/>
      </c>
    </row>
    <row r="212">
      <c r="B212" s="5">
        <f>BDP(A212&amp;" US Equity","CUR_MKT_CAP")</f>
        <v/>
      </c>
      <c r="C212">
        <f>BDP(A212&amp;" US Equity","EXCH_CODE")</f>
        <v/>
      </c>
      <c r="D212" s="5">
        <f>BDP(A212&amp;" US Equity","VOLUME_AVG_20D")</f>
        <v/>
      </c>
      <c r="E212" s="6">
        <f>BDP(A212&amp;" US Equity","PX_LAST")</f>
        <v/>
      </c>
      <c r="F212" s="5">
        <f>D212*E212</f>
        <v/>
      </c>
      <c r="G212">
        <f>AND(B212&gt;=50,B212&lt;=10000)</f>
        <v/>
      </c>
      <c r="H212">
        <f>OR(C212="NAS",C212="NYS",C212="ASE")</f>
        <v/>
      </c>
      <c r="I212">
        <f>F212&gt;=500000</f>
        <v/>
      </c>
      <c r="J212">
        <f>E212&gt;=2</f>
        <v/>
      </c>
      <c r="K212">
        <f>AND(G212,H212,I212,J212)</f>
        <v/>
      </c>
    </row>
    <row r="213">
      <c r="B213" s="5">
        <f>BDP(A213&amp;" US Equity","CUR_MKT_CAP")</f>
        <v/>
      </c>
      <c r="C213">
        <f>BDP(A213&amp;" US Equity","EXCH_CODE")</f>
        <v/>
      </c>
      <c r="D213" s="5">
        <f>BDP(A213&amp;" US Equity","VOLUME_AVG_20D")</f>
        <v/>
      </c>
      <c r="E213" s="6">
        <f>BDP(A213&amp;" US Equity","PX_LAST")</f>
        <v/>
      </c>
      <c r="F213" s="5">
        <f>D213*E213</f>
        <v/>
      </c>
      <c r="G213">
        <f>AND(B213&gt;=50,B213&lt;=10000)</f>
        <v/>
      </c>
      <c r="H213">
        <f>OR(C213="NAS",C213="NYS",C213="ASE")</f>
        <v/>
      </c>
      <c r="I213">
        <f>F213&gt;=500000</f>
        <v/>
      </c>
      <c r="J213">
        <f>E213&gt;=2</f>
        <v/>
      </c>
      <c r="K213">
        <f>AND(G213,H213,I213,J213)</f>
        <v/>
      </c>
    </row>
    <row r="214">
      <c r="B214" s="5">
        <f>BDP(A214&amp;" US Equity","CUR_MKT_CAP")</f>
        <v/>
      </c>
      <c r="C214">
        <f>BDP(A214&amp;" US Equity","EXCH_CODE")</f>
        <v/>
      </c>
      <c r="D214" s="5">
        <f>BDP(A214&amp;" US Equity","VOLUME_AVG_20D")</f>
        <v/>
      </c>
      <c r="E214" s="6">
        <f>BDP(A214&amp;" US Equity","PX_LAST")</f>
        <v/>
      </c>
      <c r="F214" s="5">
        <f>D214*E214</f>
        <v/>
      </c>
      <c r="G214">
        <f>AND(B214&gt;=50,B214&lt;=10000)</f>
        <v/>
      </c>
      <c r="H214">
        <f>OR(C214="NAS",C214="NYS",C214="ASE")</f>
        <v/>
      </c>
      <c r="I214">
        <f>F214&gt;=500000</f>
        <v/>
      </c>
      <c r="J214">
        <f>E214&gt;=2</f>
        <v/>
      </c>
      <c r="K214">
        <f>AND(G214,H214,I214,J214)</f>
        <v/>
      </c>
    </row>
    <row r="215">
      <c r="B215" s="5">
        <f>BDP(A215&amp;" US Equity","CUR_MKT_CAP")</f>
        <v/>
      </c>
      <c r="C215">
        <f>BDP(A215&amp;" US Equity","EXCH_CODE")</f>
        <v/>
      </c>
      <c r="D215" s="5">
        <f>BDP(A215&amp;" US Equity","VOLUME_AVG_20D")</f>
        <v/>
      </c>
      <c r="E215" s="6">
        <f>BDP(A215&amp;" US Equity","PX_LAST")</f>
        <v/>
      </c>
      <c r="F215" s="5">
        <f>D215*E215</f>
        <v/>
      </c>
      <c r="G215">
        <f>AND(B215&gt;=50,B215&lt;=10000)</f>
        <v/>
      </c>
      <c r="H215">
        <f>OR(C215="NAS",C215="NYS",C215="ASE")</f>
        <v/>
      </c>
      <c r="I215">
        <f>F215&gt;=500000</f>
        <v/>
      </c>
      <c r="J215">
        <f>E215&gt;=2</f>
        <v/>
      </c>
      <c r="K215">
        <f>AND(G215,H215,I215,J215)</f>
        <v/>
      </c>
    </row>
    <row r="216">
      <c r="B216" s="5">
        <f>BDP(A216&amp;" US Equity","CUR_MKT_CAP")</f>
        <v/>
      </c>
      <c r="C216">
        <f>BDP(A216&amp;" US Equity","EXCH_CODE")</f>
        <v/>
      </c>
      <c r="D216" s="5">
        <f>BDP(A216&amp;" US Equity","VOLUME_AVG_20D")</f>
        <v/>
      </c>
      <c r="E216" s="6">
        <f>BDP(A216&amp;" US Equity","PX_LAST")</f>
        <v/>
      </c>
      <c r="F216" s="5">
        <f>D216*E216</f>
        <v/>
      </c>
      <c r="G216">
        <f>AND(B216&gt;=50,B216&lt;=10000)</f>
        <v/>
      </c>
      <c r="H216">
        <f>OR(C216="NAS",C216="NYS",C216="ASE")</f>
        <v/>
      </c>
      <c r="I216">
        <f>F216&gt;=500000</f>
        <v/>
      </c>
      <c r="J216">
        <f>E216&gt;=2</f>
        <v/>
      </c>
      <c r="K216">
        <f>AND(G216,H216,I216,J216)</f>
        <v/>
      </c>
    </row>
    <row r="217">
      <c r="B217" s="5">
        <f>BDP(A217&amp;" US Equity","CUR_MKT_CAP")</f>
        <v/>
      </c>
      <c r="C217">
        <f>BDP(A217&amp;" US Equity","EXCH_CODE")</f>
        <v/>
      </c>
      <c r="D217" s="5">
        <f>BDP(A217&amp;" US Equity","VOLUME_AVG_20D")</f>
        <v/>
      </c>
      <c r="E217" s="6">
        <f>BDP(A217&amp;" US Equity","PX_LAST")</f>
        <v/>
      </c>
      <c r="F217" s="5">
        <f>D217*E217</f>
        <v/>
      </c>
      <c r="G217">
        <f>AND(B217&gt;=50,B217&lt;=10000)</f>
        <v/>
      </c>
      <c r="H217">
        <f>OR(C217="NAS",C217="NYS",C217="ASE")</f>
        <v/>
      </c>
      <c r="I217">
        <f>F217&gt;=500000</f>
        <v/>
      </c>
      <c r="J217">
        <f>E217&gt;=2</f>
        <v/>
      </c>
      <c r="K217">
        <f>AND(G217,H217,I217,J217)</f>
        <v/>
      </c>
    </row>
    <row r="218">
      <c r="B218" s="5">
        <f>BDP(A218&amp;" US Equity","CUR_MKT_CAP")</f>
        <v/>
      </c>
      <c r="C218">
        <f>BDP(A218&amp;" US Equity","EXCH_CODE")</f>
        <v/>
      </c>
      <c r="D218" s="5">
        <f>BDP(A218&amp;" US Equity","VOLUME_AVG_20D")</f>
        <v/>
      </c>
      <c r="E218" s="6">
        <f>BDP(A218&amp;" US Equity","PX_LAST")</f>
        <v/>
      </c>
      <c r="F218" s="5">
        <f>D218*E218</f>
        <v/>
      </c>
      <c r="G218">
        <f>AND(B218&gt;=50,B218&lt;=10000)</f>
        <v/>
      </c>
      <c r="H218">
        <f>OR(C218="NAS",C218="NYS",C218="ASE")</f>
        <v/>
      </c>
      <c r="I218">
        <f>F218&gt;=500000</f>
        <v/>
      </c>
      <c r="J218">
        <f>E218&gt;=2</f>
        <v/>
      </c>
      <c r="K218">
        <f>AND(G218,H218,I218,J218)</f>
        <v/>
      </c>
    </row>
    <row r="219">
      <c r="B219" s="5">
        <f>BDP(A219&amp;" US Equity","CUR_MKT_CAP")</f>
        <v/>
      </c>
      <c r="C219">
        <f>BDP(A219&amp;" US Equity","EXCH_CODE")</f>
        <v/>
      </c>
      <c r="D219" s="5">
        <f>BDP(A219&amp;" US Equity","VOLUME_AVG_20D")</f>
        <v/>
      </c>
      <c r="E219" s="6">
        <f>BDP(A219&amp;" US Equity","PX_LAST")</f>
        <v/>
      </c>
      <c r="F219" s="5">
        <f>D219*E219</f>
        <v/>
      </c>
      <c r="G219">
        <f>AND(B219&gt;=50,B219&lt;=10000)</f>
        <v/>
      </c>
      <c r="H219">
        <f>OR(C219="NAS",C219="NYS",C219="ASE")</f>
        <v/>
      </c>
      <c r="I219">
        <f>F219&gt;=500000</f>
        <v/>
      </c>
      <c r="J219">
        <f>E219&gt;=2</f>
        <v/>
      </c>
      <c r="K219">
        <f>AND(G219,H219,I219,J219)</f>
        <v/>
      </c>
    </row>
    <row r="220">
      <c r="B220" s="5">
        <f>BDP(A220&amp;" US Equity","CUR_MKT_CAP")</f>
        <v/>
      </c>
      <c r="C220">
        <f>BDP(A220&amp;" US Equity","EXCH_CODE")</f>
        <v/>
      </c>
      <c r="D220" s="5">
        <f>BDP(A220&amp;" US Equity","VOLUME_AVG_20D")</f>
        <v/>
      </c>
      <c r="E220" s="6">
        <f>BDP(A220&amp;" US Equity","PX_LAST")</f>
        <v/>
      </c>
      <c r="F220" s="5">
        <f>D220*E220</f>
        <v/>
      </c>
      <c r="G220">
        <f>AND(B220&gt;=50,B220&lt;=10000)</f>
        <v/>
      </c>
      <c r="H220">
        <f>OR(C220="NAS",C220="NYS",C220="ASE")</f>
        <v/>
      </c>
      <c r="I220">
        <f>F220&gt;=500000</f>
        <v/>
      </c>
      <c r="J220">
        <f>E220&gt;=2</f>
        <v/>
      </c>
      <c r="K220">
        <f>AND(G220,H220,I220,J220)</f>
        <v/>
      </c>
    </row>
    <row r="221">
      <c r="B221" s="5">
        <f>BDP(A221&amp;" US Equity","CUR_MKT_CAP")</f>
        <v/>
      </c>
      <c r="C221">
        <f>BDP(A221&amp;" US Equity","EXCH_CODE")</f>
        <v/>
      </c>
      <c r="D221" s="5">
        <f>BDP(A221&amp;" US Equity","VOLUME_AVG_20D")</f>
        <v/>
      </c>
      <c r="E221" s="6">
        <f>BDP(A221&amp;" US Equity","PX_LAST")</f>
        <v/>
      </c>
      <c r="F221" s="5">
        <f>D221*E221</f>
        <v/>
      </c>
      <c r="G221">
        <f>AND(B221&gt;=50,B221&lt;=10000)</f>
        <v/>
      </c>
      <c r="H221">
        <f>OR(C221="NAS",C221="NYS",C221="ASE")</f>
        <v/>
      </c>
      <c r="I221">
        <f>F221&gt;=500000</f>
        <v/>
      </c>
      <c r="J221">
        <f>E221&gt;=2</f>
        <v/>
      </c>
      <c r="K221">
        <f>AND(G221,H221,I221,J221)</f>
        <v/>
      </c>
    </row>
    <row r="222">
      <c r="B222" s="5">
        <f>BDP(A222&amp;" US Equity","CUR_MKT_CAP")</f>
        <v/>
      </c>
      <c r="C222">
        <f>BDP(A222&amp;" US Equity","EXCH_CODE")</f>
        <v/>
      </c>
      <c r="D222" s="5">
        <f>BDP(A222&amp;" US Equity","VOLUME_AVG_20D")</f>
        <v/>
      </c>
      <c r="E222" s="6">
        <f>BDP(A222&amp;" US Equity","PX_LAST")</f>
        <v/>
      </c>
      <c r="F222" s="5">
        <f>D222*E222</f>
        <v/>
      </c>
      <c r="G222">
        <f>AND(B222&gt;=50,B222&lt;=10000)</f>
        <v/>
      </c>
      <c r="H222">
        <f>OR(C222="NAS",C222="NYS",C222="ASE")</f>
        <v/>
      </c>
      <c r="I222">
        <f>F222&gt;=500000</f>
        <v/>
      </c>
      <c r="J222">
        <f>E222&gt;=2</f>
        <v/>
      </c>
      <c r="K222">
        <f>AND(G222,H222,I222,J222)</f>
        <v/>
      </c>
    </row>
    <row r="223">
      <c r="B223" s="5">
        <f>BDP(A223&amp;" US Equity","CUR_MKT_CAP")</f>
        <v/>
      </c>
      <c r="C223">
        <f>BDP(A223&amp;" US Equity","EXCH_CODE")</f>
        <v/>
      </c>
      <c r="D223" s="5">
        <f>BDP(A223&amp;" US Equity","VOLUME_AVG_20D")</f>
        <v/>
      </c>
      <c r="E223" s="6">
        <f>BDP(A223&amp;" US Equity","PX_LAST")</f>
        <v/>
      </c>
      <c r="F223" s="5">
        <f>D223*E223</f>
        <v/>
      </c>
      <c r="G223">
        <f>AND(B223&gt;=50,B223&lt;=10000)</f>
        <v/>
      </c>
      <c r="H223">
        <f>OR(C223="NAS",C223="NYS",C223="ASE")</f>
        <v/>
      </c>
      <c r="I223">
        <f>F223&gt;=500000</f>
        <v/>
      </c>
      <c r="J223">
        <f>E223&gt;=2</f>
        <v/>
      </c>
      <c r="K223">
        <f>AND(G223,H223,I223,J223)</f>
        <v/>
      </c>
    </row>
    <row r="224">
      <c r="B224" s="5">
        <f>BDP(A224&amp;" US Equity","CUR_MKT_CAP")</f>
        <v/>
      </c>
      <c r="C224">
        <f>BDP(A224&amp;" US Equity","EXCH_CODE")</f>
        <v/>
      </c>
      <c r="D224" s="5">
        <f>BDP(A224&amp;" US Equity","VOLUME_AVG_20D")</f>
        <v/>
      </c>
      <c r="E224" s="6">
        <f>BDP(A224&amp;" US Equity","PX_LAST")</f>
        <v/>
      </c>
      <c r="F224" s="5">
        <f>D224*E224</f>
        <v/>
      </c>
      <c r="G224">
        <f>AND(B224&gt;=50,B224&lt;=10000)</f>
        <v/>
      </c>
      <c r="H224">
        <f>OR(C224="NAS",C224="NYS",C224="ASE")</f>
        <v/>
      </c>
      <c r="I224">
        <f>F224&gt;=500000</f>
        <v/>
      </c>
      <c r="J224">
        <f>E224&gt;=2</f>
        <v/>
      </c>
      <c r="K224">
        <f>AND(G224,H224,I224,J224)</f>
        <v/>
      </c>
    </row>
    <row r="225">
      <c r="B225" s="5">
        <f>BDP(A225&amp;" US Equity","CUR_MKT_CAP")</f>
        <v/>
      </c>
      <c r="C225">
        <f>BDP(A225&amp;" US Equity","EXCH_CODE")</f>
        <v/>
      </c>
      <c r="D225" s="5">
        <f>BDP(A225&amp;" US Equity","VOLUME_AVG_20D")</f>
        <v/>
      </c>
      <c r="E225" s="6">
        <f>BDP(A225&amp;" US Equity","PX_LAST")</f>
        <v/>
      </c>
      <c r="F225" s="5">
        <f>D225*E225</f>
        <v/>
      </c>
      <c r="G225">
        <f>AND(B225&gt;=50,B225&lt;=10000)</f>
        <v/>
      </c>
      <c r="H225">
        <f>OR(C225="NAS",C225="NYS",C225="ASE")</f>
        <v/>
      </c>
      <c r="I225">
        <f>F225&gt;=500000</f>
        <v/>
      </c>
      <c r="J225">
        <f>E225&gt;=2</f>
        <v/>
      </c>
      <c r="K225">
        <f>AND(G225,H225,I225,J225)</f>
        <v/>
      </c>
    </row>
    <row r="226">
      <c r="B226" s="5">
        <f>BDP(A226&amp;" US Equity","CUR_MKT_CAP")</f>
        <v/>
      </c>
      <c r="C226">
        <f>BDP(A226&amp;" US Equity","EXCH_CODE")</f>
        <v/>
      </c>
      <c r="D226" s="5">
        <f>BDP(A226&amp;" US Equity","VOLUME_AVG_20D")</f>
        <v/>
      </c>
      <c r="E226" s="6">
        <f>BDP(A226&amp;" US Equity","PX_LAST")</f>
        <v/>
      </c>
      <c r="F226" s="5">
        <f>D226*E226</f>
        <v/>
      </c>
      <c r="G226">
        <f>AND(B226&gt;=50,B226&lt;=10000)</f>
        <v/>
      </c>
      <c r="H226">
        <f>OR(C226="NAS",C226="NYS",C226="ASE")</f>
        <v/>
      </c>
      <c r="I226">
        <f>F226&gt;=500000</f>
        <v/>
      </c>
      <c r="J226">
        <f>E226&gt;=2</f>
        <v/>
      </c>
      <c r="K226">
        <f>AND(G226,H226,I226,J226)</f>
        <v/>
      </c>
    </row>
    <row r="227">
      <c r="B227" s="5">
        <f>BDP(A227&amp;" US Equity","CUR_MKT_CAP")</f>
        <v/>
      </c>
      <c r="C227">
        <f>BDP(A227&amp;" US Equity","EXCH_CODE")</f>
        <v/>
      </c>
      <c r="D227" s="5">
        <f>BDP(A227&amp;" US Equity","VOLUME_AVG_20D")</f>
        <v/>
      </c>
      <c r="E227" s="6">
        <f>BDP(A227&amp;" US Equity","PX_LAST")</f>
        <v/>
      </c>
      <c r="F227" s="5">
        <f>D227*E227</f>
        <v/>
      </c>
      <c r="G227">
        <f>AND(B227&gt;=50,B227&lt;=10000)</f>
        <v/>
      </c>
      <c r="H227">
        <f>OR(C227="NAS",C227="NYS",C227="ASE")</f>
        <v/>
      </c>
      <c r="I227">
        <f>F227&gt;=500000</f>
        <v/>
      </c>
      <c r="J227">
        <f>E227&gt;=2</f>
        <v/>
      </c>
      <c r="K227">
        <f>AND(G227,H227,I227,J227)</f>
        <v/>
      </c>
    </row>
    <row r="228">
      <c r="B228" s="5">
        <f>BDP(A228&amp;" US Equity","CUR_MKT_CAP")</f>
        <v/>
      </c>
      <c r="C228">
        <f>BDP(A228&amp;" US Equity","EXCH_CODE")</f>
        <v/>
      </c>
      <c r="D228" s="5">
        <f>BDP(A228&amp;" US Equity","VOLUME_AVG_20D")</f>
        <v/>
      </c>
      <c r="E228" s="6">
        <f>BDP(A228&amp;" US Equity","PX_LAST")</f>
        <v/>
      </c>
      <c r="F228" s="5">
        <f>D228*E228</f>
        <v/>
      </c>
      <c r="G228">
        <f>AND(B228&gt;=50,B228&lt;=10000)</f>
        <v/>
      </c>
      <c r="H228">
        <f>OR(C228="NAS",C228="NYS",C228="ASE")</f>
        <v/>
      </c>
      <c r="I228">
        <f>F228&gt;=500000</f>
        <v/>
      </c>
      <c r="J228">
        <f>E228&gt;=2</f>
        <v/>
      </c>
      <c r="K228">
        <f>AND(G228,H228,I228,J228)</f>
        <v/>
      </c>
    </row>
    <row r="229">
      <c r="B229" s="5">
        <f>BDP(A229&amp;" US Equity","CUR_MKT_CAP")</f>
        <v/>
      </c>
      <c r="C229">
        <f>BDP(A229&amp;" US Equity","EXCH_CODE")</f>
        <v/>
      </c>
      <c r="D229" s="5">
        <f>BDP(A229&amp;" US Equity","VOLUME_AVG_20D")</f>
        <v/>
      </c>
      <c r="E229" s="6">
        <f>BDP(A229&amp;" US Equity","PX_LAST")</f>
        <v/>
      </c>
      <c r="F229" s="5">
        <f>D229*E229</f>
        <v/>
      </c>
      <c r="G229">
        <f>AND(B229&gt;=50,B229&lt;=10000)</f>
        <v/>
      </c>
      <c r="H229">
        <f>OR(C229="NAS",C229="NYS",C229="ASE")</f>
        <v/>
      </c>
      <c r="I229">
        <f>F229&gt;=500000</f>
        <v/>
      </c>
      <c r="J229">
        <f>E229&gt;=2</f>
        <v/>
      </c>
      <c r="K229">
        <f>AND(G229,H229,I229,J229)</f>
        <v/>
      </c>
    </row>
    <row r="230">
      <c r="B230" s="5">
        <f>BDP(A230&amp;" US Equity","CUR_MKT_CAP")</f>
        <v/>
      </c>
      <c r="C230">
        <f>BDP(A230&amp;" US Equity","EXCH_CODE")</f>
        <v/>
      </c>
      <c r="D230" s="5">
        <f>BDP(A230&amp;" US Equity","VOLUME_AVG_20D")</f>
        <v/>
      </c>
      <c r="E230" s="6">
        <f>BDP(A230&amp;" US Equity","PX_LAST")</f>
        <v/>
      </c>
      <c r="F230" s="5">
        <f>D230*E230</f>
        <v/>
      </c>
      <c r="G230">
        <f>AND(B230&gt;=50,B230&lt;=10000)</f>
        <v/>
      </c>
      <c r="H230">
        <f>OR(C230="NAS",C230="NYS",C230="ASE")</f>
        <v/>
      </c>
      <c r="I230">
        <f>F230&gt;=500000</f>
        <v/>
      </c>
      <c r="J230">
        <f>E230&gt;=2</f>
        <v/>
      </c>
      <c r="K230">
        <f>AND(G230,H230,I230,J230)</f>
        <v/>
      </c>
    </row>
    <row r="231">
      <c r="B231" s="5">
        <f>BDP(A231&amp;" US Equity","CUR_MKT_CAP")</f>
        <v/>
      </c>
      <c r="C231">
        <f>BDP(A231&amp;" US Equity","EXCH_CODE")</f>
        <v/>
      </c>
      <c r="D231" s="5">
        <f>BDP(A231&amp;" US Equity","VOLUME_AVG_20D")</f>
        <v/>
      </c>
      <c r="E231" s="6">
        <f>BDP(A231&amp;" US Equity","PX_LAST")</f>
        <v/>
      </c>
      <c r="F231" s="5">
        <f>D231*E231</f>
        <v/>
      </c>
      <c r="G231">
        <f>AND(B231&gt;=50,B231&lt;=10000)</f>
        <v/>
      </c>
      <c r="H231">
        <f>OR(C231="NAS",C231="NYS",C231="ASE")</f>
        <v/>
      </c>
      <c r="I231">
        <f>F231&gt;=500000</f>
        <v/>
      </c>
      <c r="J231">
        <f>E231&gt;=2</f>
        <v/>
      </c>
      <c r="K231">
        <f>AND(G231,H231,I231,J231)</f>
        <v/>
      </c>
    </row>
    <row r="232">
      <c r="B232" s="5">
        <f>BDP(A232&amp;" US Equity","CUR_MKT_CAP")</f>
        <v/>
      </c>
      <c r="C232">
        <f>BDP(A232&amp;" US Equity","EXCH_CODE")</f>
        <v/>
      </c>
      <c r="D232" s="5">
        <f>BDP(A232&amp;" US Equity","VOLUME_AVG_20D")</f>
        <v/>
      </c>
      <c r="E232" s="6">
        <f>BDP(A232&amp;" US Equity","PX_LAST")</f>
        <v/>
      </c>
      <c r="F232" s="5">
        <f>D232*E232</f>
        <v/>
      </c>
      <c r="G232">
        <f>AND(B232&gt;=50,B232&lt;=10000)</f>
        <v/>
      </c>
      <c r="H232">
        <f>OR(C232="NAS",C232="NYS",C232="ASE")</f>
        <v/>
      </c>
      <c r="I232">
        <f>F232&gt;=500000</f>
        <v/>
      </c>
      <c r="J232">
        <f>E232&gt;=2</f>
        <v/>
      </c>
      <c r="K232">
        <f>AND(G232,H232,I232,J232)</f>
        <v/>
      </c>
    </row>
    <row r="233">
      <c r="B233" s="5">
        <f>BDP(A233&amp;" US Equity","CUR_MKT_CAP")</f>
        <v/>
      </c>
      <c r="C233">
        <f>BDP(A233&amp;" US Equity","EXCH_CODE")</f>
        <v/>
      </c>
      <c r="D233" s="5">
        <f>BDP(A233&amp;" US Equity","VOLUME_AVG_20D")</f>
        <v/>
      </c>
      <c r="E233" s="6">
        <f>BDP(A233&amp;" US Equity","PX_LAST")</f>
        <v/>
      </c>
      <c r="F233" s="5">
        <f>D233*E233</f>
        <v/>
      </c>
      <c r="G233">
        <f>AND(B233&gt;=50,B233&lt;=10000)</f>
        <v/>
      </c>
      <c r="H233">
        <f>OR(C233="NAS",C233="NYS",C233="ASE")</f>
        <v/>
      </c>
      <c r="I233">
        <f>F233&gt;=500000</f>
        <v/>
      </c>
      <c r="J233">
        <f>E233&gt;=2</f>
        <v/>
      </c>
      <c r="K233">
        <f>AND(G233,H233,I233,J233)</f>
        <v/>
      </c>
    </row>
    <row r="234">
      <c r="B234" s="5">
        <f>BDP(A234&amp;" US Equity","CUR_MKT_CAP")</f>
        <v/>
      </c>
      <c r="C234">
        <f>BDP(A234&amp;" US Equity","EXCH_CODE")</f>
        <v/>
      </c>
      <c r="D234" s="5">
        <f>BDP(A234&amp;" US Equity","VOLUME_AVG_20D")</f>
        <v/>
      </c>
      <c r="E234" s="6">
        <f>BDP(A234&amp;" US Equity","PX_LAST")</f>
        <v/>
      </c>
      <c r="F234" s="5">
        <f>D234*E234</f>
        <v/>
      </c>
      <c r="G234">
        <f>AND(B234&gt;=50,B234&lt;=10000)</f>
        <v/>
      </c>
      <c r="H234">
        <f>OR(C234="NAS",C234="NYS",C234="ASE")</f>
        <v/>
      </c>
      <c r="I234">
        <f>F234&gt;=500000</f>
        <v/>
      </c>
      <c r="J234">
        <f>E234&gt;=2</f>
        <v/>
      </c>
      <c r="K234">
        <f>AND(G234,H234,I234,J234)</f>
        <v/>
      </c>
    </row>
    <row r="235">
      <c r="B235" s="5">
        <f>BDP(A235&amp;" US Equity","CUR_MKT_CAP")</f>
        <v/>
      </c>
      <c r="C235">
        <f>BDP(A235&amp;" US Equity","EXCH_CODE")</f>
        <v/>
      </c>
      <c r="D235" s="5">
        <f>BDP(A235&amp;" US Equity","VOLUME_AVG_20D")</f>
        <v/>
      </c>
      <c r="E235" s="6">
        <f>BDP(A235&amp;" US Equity","PX_LAST")</f>
        <v/>
      </c>
      <c r="F235" s="5">
        <f>D235*E235</f>
        <v/>
      </c>
      <c r="G235">
        <f>AND(B235&gt;=50,B235&lt;=10000)</f>
        <v/>
      </c>
      <c r="H235">
        <f>OR(C235="NAS",C235="NYS",C235="ASE")</f>
        <v/>
      </c>
      <c r="I235">
        <f>F235&gt;=500000</f>
        <v/>
      </c>
      <c r="J235">
        <f>E235&gt;=2</f>
        <v/>
      </c>
      <c r="K235">
        <f>AND(G235,H235,I235,J235)</f>
        <v/>
      </c>
    </row>
    <row r="236">
      <c r="B236" s="5">
        <f>BDP(A236&amp;" US Equity","CUR_MKT_CAP")</f>
        <v/>
      </c>
      <c r="C236">
        <f>BDP(A236&amp;" US Equity","EXCH_CODE")</f>
        <v/>
      </c>
      <c r="D236" s="5">
        <f>BDP(A236&amp;" US Equity","VOLUME_AVG_20D")</f>
        <v/>
      </c>
      <c r="E236" s="6">
        <f>BDP(A236&amp;" US Equity","PX_LAST")</f>
        <v/>
      </c>
      <c r="F236" s="5">
        <f>D236*E236</f>
        <v/>
      </c>
      <c r="G236">
        <f>AND(B236&gt;=50,B236&lt;=10000)</f>
        <v/>
      </c>
      <c r="H236">
        <f>OR(C236="NAS",C236="NYS",C236="ASE")</f>
        <v/>
      </c>
      <c r="I236">
        <f>F236&gt;=500000</f>
        <v/>
      </c>
      <c r="J236">
        <f>E236&gt;=2</f>
        <v/>
      </c>
      <c r="K236">
        <f>AND(G236,H236,I236,J236)</f>
        <v/>
      </c>
    </row>
    <row r="237">
      <c r="B237" s="5">
        <f>BDP(A237&amp;" US Equity","CUR_MKT_CAP")</f>
        <v/>
      </c>
      <c r="C237">
        <f>BDP(A237&amp;" US Equity","EXCH_CODE")</f>
        <v/>
      </c>
      <c r="D237" s="5">
        <f>BDP(A237&amp;" US Equity","VOLUME_AVG_20D")</f>
        <v/>
      </c>
      <c r="E237" s="6">
        <f>BDP(A237&amp;" US Equity","PX_LAST")</f>
        <v/>
      </c>
      <c r="F237" s="5">
        <f>D237*E237</f>
        <v/>
      </c>
      <c r="G237">
        <f>AND(B237&gt;=50,B237&lt;=10000)</f>
        <v/>
      </c>
      <c r="H237">
        <f>OR(C237="NAS",C237="NYS",C237="ASE")</f>
        <v/>
      </c>
      <c r="I237">
        <f>F237&gt;=500000</f>
        <v/>
      </c>
      <c r="J237">
        <f>E237&gt;=2</f>
        <v/>
      </c>
      <c r="K237">
        <f>AND(G237,H237,I237,J237)</f>
        <v/>
      </c>
    </row>
    <row r="238">
      <c r="B238" s="5">
        <f>BDP(A238&amp;" US Equity","CUR_MKT_CAP")</f>
        <v/>
      </c>
      <c r="C238">
        <f>BDP(A238&amp;" US Equity","EXCH_CODE")</f>
        <v/>
      </c>
      <c r="D238" s="5">
        <f>BDP(A238&amp;" US Equity","VOLUME_AVG_20D")</f>
        <v/>
      </c>
      <c r="E238" s="6">
        <f>BDP(A238&amp;" US Equity","PX_LAST")</f>
        <v/>
      </c>
      <c r="F238" s="5">
        <f>D238*E238</f>
        <v/>
      </c>
      <c r="G238">
        <f>AND(B238&gt;=50,B238&lt;=10000)</f>
        <v/>
      </c>
      <c r="H238">
        <f>OR(C238="NAS",C238="NYS",C238="ASE")</f>
        <v/>
      </c>
      <c r="I238">
        <f>F238&gt;=500000</f>
        <v/>
      </c>
      <c r="J238">
        <f>E238&gt;=2</f>
        <v/>
      </c>
      <c r="K238">
        <f>AND(G238,H238,I238,J238)</f>
        <v/>
      </c>
    </row>
    <row r="239">
      <c r="B239" s="5">
        <f>BDP(A239&amp;" US Equity","CUR_MKT_CAP")</f>
        <v/>
      </c>
      <c r="C239">
        <f>BDP(A239&amp;" US Equity","EXCH_CODE")</f>
        <v/>
      </c>
      <c r="D239" s="5">
        <f>BDP(A239&amp;" US Equity","VOLUME_AVG_20D")</f>
        <v/>
      </c>
      <c r="E239" s="6">
        <f>BDP(A239&amp;" US Equity","PX_LAST")</f>
        <v/>
      </c>
      <c r="F239" s="5">
        <f>D239*E239</f>
        <v/>
      </c>
      <c r="G239">
        <f>AND(B239&gt;=50,B239&lt;=10000)</f>
        <v/>
      </c>
      <c r="H239">
        <f>OR(C239="NAS",C239="NYS",C239="ASE")</f>
        <v/>
      </c>
      <c r="I239">
        <f>F239&gt;=500000</f>
        <v/>
      </c>
      <c r="J239">
        <f>E239&gt;=2</f>
        <v/>
      </c>
      <c r="K239">
        <f>AND(G239,H239,I239,J239)</f>
        <v/>
      </c>
    </row>
    <row r="240">
      <c r="B240" s="5">
        <f>BDP(A240&amp;" US Equity","CUR_MKT_CAP")</f>
        <v/>
      </c>
      <c r="C240">
        <f>BDP(A240&amp;" US Equity","EXCH_CODE")</f>
        <v/>
      </c>
      <c r="D240" s="5">
        <f>BDP(A240&amp;" US Equity","VOLUME_AVG_20D")</f>
        <v/>
      </c>
      <c r="E240" s="6">
        <f>BDP(A240&amp;" US Equity","PX_LAST")</f>
        <v/>
      </c>
      <c r="F240" s="5">
        <f>D240*E240</f>
        <v/>
      </c>
      <c r="G240">
        <f>AND(B240&gt;=50,B240&lt;=10000)</f>
        <v/>
      </c>
      <c r="H240">
        <f>OR(C240="NAS",C240="NYS",C240="ASE")</f>
        <v/>
      </c>
      <c r="I240">
        <f>F240&gt;=500000</f>
        <v/>
      </c>
      <c r="J240">
        <f>E240&gt;=2</f>
        <v/>
      </c>
      <c r="K240">
        <f>AND(G240,H240,I240,J240)</f>
        <v/>
      </c>
    </row>
    <row r="241">
      <c r="B241" s="5">
        <f>BDP(A241&amp;" US Equity","CUR_MKT_CAP")</f>
        <v/>
      </c>
      <c r="C241">
        <f>BDP(A241&amp;" US Equity","EXCH_CODE")</f>
        <v/>
      </c>
      <c r="D241" s="5">
        <f>BDP(A241&amp;" US Equity","VOLUME_AVG_20D")</f>
        <v/>
      </c>
      <c r="E241" s="6">
        <f>BDP(A241&amp;" US Equity","PX_LAST")</f>
        <v/>
      </c>
      <c r="F241" s="5">
        <f>D241*E241</f>
        <v/>
      </c>
      <c r="G241">
        <f>AND(B241&gt;=50,B241&lt;=10000)</f>
        <v/>
      </c>
      <c r="H241">
        <f>OR(C241="NAS",C241="NYS",C241="ASE")</f>
        <v/>
      </c>
      <c r="I241">
        <f>F241&gt;=500000</f>
        <v/>
      </c>
      <c r="J241">
        <f>E241&gt;=2</f>
        <v/>
      </c>
      <c r="K241">
        <f>AND(G241,H241,I241,J241)</f>
        <v/>
      </c>
    </row>
    <row r="242">
      <c r="B242" s="5">
        <f>BDP(A242&amp;" US Equity","CUR_MKT_CAP")</f>
        <v/>
      </c>
      <c r="C242">
        <f>BDP(A242&amp;" US Equity","EXCH_CODE")</f>
        <v/>
      </c>
      <c r="D242" s="5">
        <f>BDP(A242&amp;" US Equity","VOLUME_AVG_20D")</f>
        <v/>
      </c>
      <c r="E242" s="6">
        <f>BDP(A242&amp;" US Equity","PX_LAST")</f>
        <v/>
      </c>
      <c r="F242" s="5">
        <f>D242*E242</f>
        <v/>
      </c>
      <c r="G242">
        <f>AND(B242&gt;=50,B242&lt;=10000)</f>
        <v/>
      </c>
      <c r="H242">
        <f>OR(C242="NAS",C242="NYS",C242="ASE")</f>
        <v/>
      </c>
      <c r="I242">
        <f>F242&gt;=500000</f>
        <v/>
      </c>
      <c r="J242">
        <f>E242&gt;=2</f>
        <v/>
      </c>
      <c r="K242">
        <f>AND(G242,H242,I242,J242)</f>
        <v/>
      </c>
    </row>
    <row r="243">
      <c r="B243" s="5">
        <f>BDP(A243&amp;" US Equity","CUR_MKT_CAP")</f>
        <v/>
      </c>
      <c r="C243">
        <f>BDP(A243&amp;" US Equity","EXCH_CODE")</f>
        <v/>
      </c>
      <c r="D243" s="5">
        <f>BDP(A243&amp;" US Equity","VOLUME_AVG_20D")</f>
        <v/>
      </c>
      <c r="E243" s="6">
        <f>BDP(A243&amp;" US Equity","PX_LAST")</f>
        <v/>
      </c>
      <c r="F243" s="5">
        <f>D243*E243</f>
        <v/>
      </c>
      <c r="G243">
        <f>AND(B243&gt;=50,B243&lt;=10000)</f>
        <v/>
      </c>
      <c r="H243">
        <f>OR(C243="NAS",C243="NYS",C243="ASE")</f>
        <v/>
      </c>
      <c r="I243">
        <f>F243&gt;=500000</f>
        <v/>
      </c>
      <c r="J243">
        <f>E243&gt;=2</f>
        <v/>
      </c>
      <c r="K243">
        <f>AND(G243,H243,I243,J243)</f>
        <v/>
      </c>
    </row>
    <row r="244">
      <c r="B244" s="5">
        <f>BDP(A244&amp;" US Equity","CUR_MKT_CAP")</f>
        <v/>
      </c>
      <c r="C244">
        <f>BDP(A244&amp;" US Equity","EXCH_CODE")</f>
        <v/>
      </c>
      <c r="D244" s="5">
        <f>BDP(A244&amp;" US Equity","VOLUME_AVG_20D")</f>
        <v/>
      </c>
      <c r="E244" s="6">
        <f>BDP(A244&amp;" US Equity","PX_LAST")</f>
        <v/>
      </c>
      <c r="F244" s="5">
        <f>D244*E244</f>
        <v/>
      </c>
      <c r="G244">
        <f>AND(B244&gt;=50,B244&lt;=10000)</f>
        <v/>
      </c>
      <c r="H244">
        <f>OR(C244="NAS",C244="NYS",C244="ASE")</f>
        <v/>
      </c>
      <c r="I244">
        <f>F244&gt;=500000</f>
        <v/>
      </c>
      <c r="J244">
        <f>E244&gt;=2</f>
        <v/>
      </c>
      <c r="K244">
        <f>AND(G244,H244,I244,J244)</f>
        <v/>
      </c>
    </row>
    <row r="245">
      <c r="B245" s="5">
        <f>BDP(A245&amp;" US Equity","CUR_MKT_CAP")</f>
        <v/>
      </c>
      <c r="C245">
        <f>BDP(A245&amp;" US Equity","EXCH_CODE")</f>
        <v/>
      </c>
      <c r="D245" s="5">
        <f>BDP(A245&amp;" US Equity","VOLUME_AVG_20D")</f>
        <v/>
      </c>
      <c r="E245" s="6">
        <f>BDP(A245&amp;" US Equity","PX_LAST")</f>
        <v/>
      </c>
      <c r="F245" s="5">
        <f>D245*E245</f>
        <v/>
      </c>
      <c r="G245">
        <f>AND(B245&gt;=50,B245&lt;=10000)</f>
        <v/>
      </c>
      <c r="H245">
        <f>OR(C245="NAS",C245="NYS",C245="ASE")</f>
        <v/>
      </c>
      <c r="I245">
        <f>F245&gt;=500000</f>
        <v/>
      </c>
      <c r="J245">
        <f>E245&gt;=2</f>
        <v/>
      </c>
      <c r="K245">
        <f>AND(G245,H245,I245,J245)</f>
        <v/>
      </c>
    </row>
    <row r="246">
      <c r="B246" s="5">
        <f>BDP(A246&amp;" US Equity","CUR_MKT_CAP")</f>
        <v/>
      </c>
      <c r="C246">
        <f>BDP(A246&amp;" US Equity","EXCH_CODE")</f>
        <v/>
      </c>
      <c r="D246" s="5">
        <f>BDP(A246&amp;" US Equity","VOLUME_AVG_20D")</f>
        <v/>
      </c>
      <c r="E246" s="6">
        <f>BDP(A246&amp;" US Equity","PX_LAST")</f>
        <v/>
      </c>
      <c r="F246" s="5">
        <f>D246*E246</f>
        <v/>
      </c>
      <c r="G246">
        <f>AND(B246&gt;=50,B246&lt;=10000)</f>
        <v/>
      </c>
      <c r="H246">
        <f>OR(C246="NAS",C246="NYS",C246="ASE")</f>
        <v/>
      </c>
      <c r="I246">
        <f>F246&gt;=500000</f>
        <v/>
      </c>
      <c r="J246">
        <f>E246&gt;=2</f>
        <v/>
      </c>
      <c r="K246">
        <f>AND(G246,H246,I246,J246)</f>
        <v/>
      </c>
    </row>
    <row r="247">
      <c r="B247" s="5">
        <f>BDP(A247&amp;" US Equity","CUR_MKT_CAP")</f>
        <v/>
      </c>
      <c r="C247">
        <f>BDP(A247&amp;" US Equity","EXCH_CODE")</f>
        <v/>
      </c>
      <c r="D247" s="5">
        <f>BDP(A247&amp;" US Equity","VOLUME_AVG_20D")</f>
        <v/>
      </c>
      <c r="E247" s="6">
        <f>BDP(A247&amp;" US Equity","PX_LAST")</f>
        <v/>
      </c>
      <c r="F247" s="5">
        <f>D247*E247</f>
        <v/>
      </c>
      <c r="G247">
        <f>AND(B247&gt;=50,B247&lt;=10000)</f>
        <v/>
      </c>
      <c r="H247">
        <f>OR(C247="NAS",C247="NYS",C247="ASE")</f>
        <v/>
      </c>
      <c r="I247">
        <f>F247&gt;=500000</f>
        <v/>
      </c>
      <c r="J247">
        <f>E247&gt;=2</f>
        <v/>
      </c>
      <c r="K247">
        <f>AND(G247,H247,I247,J247)</f>
        <v/>
      </c>
    </row>
    <row r="248">
      <c r="B248" s="5">
        <f>BDP(A248&amp;" US Equity","CUR_MKT_CAP")</f>
        <v/>
      </c>
      <c r="C248">
        <f>BDP(A248&amp;" US Equity","EXCH_CODE")</f>
        <v/>
      </c>
      <c r="D248" s="5">
        <f>BDP(A248&amp;" US Equity","VOLUME_AVG_20D")</f>
        <v/>
      </c>
      <c r="E248" s="6">
        <f>BDP(A248&amp;" US Equity","PX_LAST")</f>
        <v/>
      </c>
      <c r="F248" s="5">
        <f>D248*E248</f>
        <v/>
      </c>
      <c r="G248">
        <f>AND(B248&gt;=50,B248&lt;=10000)</f>
        <v/>
      </c>
      <c r="H248">
        <f>OR(C248="NAS",C248="NYS",C248="ASE")</f>
        <v/>
      </c>
      <c r="I248">
        <f>F248&gt;=500000</f>
        <v/>
      </c>
      <c r="J248">
        <f>E248&gt;=2</f>
        <v/>
      </c>
      <c r="K248">
        <f>AND(G248,H248,I248,J248)</f>
        <v/>
      </c>
    </row>
    <row r="249">
      <c r="B249" s="5">
        <f>BDP(A249&amp;" US Equity","CUR_MKT_CAP")</f>
        <v/>
      </c>
      <c r="C249">
        <f>BDP(A249&amp;" US Equity","EXCH_CODE")</f>
        <v/>
      </c>
      <c r="D249" s="5">
        <f>BDP(A249&amp;" US Equity","VOLUME_AVG_20D")</f>
        <v/>
      </c>
      <c r="E249" s="6">
        <f>BDP(A249&amp;" US Equity","PX_LAST")</f>
        <v/>
      </c>
      <c r="F249" s="5">
        <f>D249*E249</f>
        <v/>
      </c>
      <c r="G249">
        <f>AND(B249&gt;=50,B249&lt;=10000)</f>
        <v/>
      </c>
      <c r="H249">
        <f>OR(C249="NAS",C249="NYS",C249="ASE")</f>
        <v/>
      </c>
      <c r="I249">
        <f>F249&gt;=500000</f>
        <v/>
      </c>
      <c r="J249">
        <f>E249&gt;=2</f>
        <v/>
      </c>
      <c r="K249">
        <f>AND(G249,H249,I249,J249)</f>
        <v/>
      </c>
    </row>
    <row r="250">
      <c r="B250" s="5">
        <f>BDP(A250&amp;" US Equity","CUR_MKT_CAP")</f>
        <v/>
      </c>
      <c r="C250">
        <f>BDP(A250&amp;" US Equity","EXCH_CODE")</f>
        <v/>
      </c>
      <c r="D250" s="5">
        <f>BDP(A250&amp;" US Equity","VOLUME_AVG_20D")</f>
        <v/>
      </c>
      <c r="E250" s="6">
        <f>BDP(A250&amp;" US Equity","PX_LAST")</f>
        <v/>
      </c>
      <c r="F250" s="5">
        <f>D250*E250</f>
        <v/>
      </c>
      <c r="G250">
        <f>AND(B250&gt;=50,B250&lt;=10000)</f>
        <v/>
      </c>
      <c r="H250">
        <f>OR(C250="NAS",C250="NYS",C250="ASE")</f>
        <v/>
      </c>
      <c r="I250">
        <f>F250&gt;=500000</f>
        <v/>
      </c>
      <c r="J250">
        <f>E250&gt;=2</f>
        <v/>
      </c>
      <c r="K250">
        <f>AND(G250,H250,I250,J250)</f>
        <v/>
      </c>
    </row>
    <row r="251">
      <c r="B251" s="5">
        <f>BDP(A251&amp;" US Equity","CUR_MKT_CAP")</f>
        <v/>
      </c>
      <c r="C251">
        <f>BDP(A251&amp;" US Equity","EXCH_CODE")</f>
        <v/>
      </c>
      <c r="D251" s="5">
        <f>BDP(A251&amp;" US Equity","VOLUME_AVG_20D")</f>
        <v/>
      </c>
      <c r="E251" s="6">
        <f>BDP(A251&amp;" US Equity","PX_LAST")</f>
        <v/>
      </c>
      <c r="F251" s="5">
        <f>D251*E251</f>
        <v/>
      </c>
      <c r="G251">
        <f>AND(B251&gt;=50,B251&lt;=10000)</f>
        <v/>
      </c>
      <c r="H251">
        <f>OR(C251="NAS",C251="NYS",C251="ASE")</f>
        <v/>
      </c>
      <c r="I251">
        <f>F251&gt;=500000</f>
        <v/>
      </c>
      <c r="J251">
        <f>E251&gt;=2</f>
        <v/>
      </c>
      <c r="K251">
        <f>AND(G251,H251,I251,J251)</f>
        <v/>
      </c>
    </row>
    <row r="252">
      <c r="B252" s="5">
        <f>BDP(A252&amp;" US Equity","CUR_MKT_CAP")</f>
        <v/>
      </c>
      <c r="C252">
        <f>BDP(A252&amp;" US Equity","EXCH_CODE")</f>
        <v/>
      </c>
      <c r="D252" s="5">
        <f>BDP(A252&amp;" US Equity","VOLUME_AVG_20D")</f>
        <v/>
      </c>
      <c r="E252" s="6">
        <f>BDP(A252&amp;" US Equity","PX_LAST")</f>
        <v/>
      </c>
      <c r="F252" s="5">
        <f>D252*E252</f>
        <v/>
      </c>
      <c r="G252">
        <f>AND(B252&gt;=50,B252&lt;=10000)</f>
        <v/>
      </c>
      <c r="H252">
        <f>OR(C252="NAS",C252="NYS",C252="ASE")</f>
        <v/>
      </c>
      <c r="I252">
        <f>F252&gt;=500000</f>
        <v/>
      </c>
      <c r="J252">
        <f>E252&gt;=2</f>
        <v/>
      </c>
      <c r="K252">
        <f>AND(G252,H252,I252,J252)</f>
        <v/>
      </c>
    </row>
    <row r="253">
      <c r="B253" s="5">
        <f>BDP(A253&amp;" US Equity","CUR_MKT_CAP")</f>
        <v/>
      </c>
      <c r="C253">
        <f>BDP(A253&amp;" US Equity","EXCH_CODE")</f>
        <v/>
      </c>
      <c r="D253" s="5">
        <f>BDP(A253&amp;" US Equity","VOLUME_AVG_20D")</f>
        <v/>
      </c>
      <c r="E253" s="6">
        <f>BDP(A253&amp;" US Equity","PX_LAST")</f>
        <v/>
      </c>
      <c r="F253" s="5">
        <f>D253*E253</f>
        <v/>
      </c>
      <c r="G253">
        <f>AND(B253&gt;=50,B253&lt;=10000)</f>
        <v/>
      </c>
      <c r="H253">
        <f>OR(C253="NAS",C253="NYS",C253="ASE")</f>
        <v/>
      </c>
      <c r="I253">
        <f>F253&gt;=500000</f>
        <v/>
      </c>
      <c r="J253">
        <f>E253&gt;=2</f>
        <v/>
      </c>
      <c r="K253">
        <f>AND(G253,H253,I253,J253)</f>
        <v/>
      </c>
    </row>
    <row r="254">
      <c r="B254" s="5">
        <f>BDP(A254&amp;" US Equity","CUR_MKT_CAP")</f>
        <v/>
      </c>
      <c r="C254">
        <f>BDP(A254&amp;" US Equity","EXCH_CODE")</f>
        <v/>
      </c>
      <c r="D254" s="5">
        <f>BDP(A254&amp;" US Equity","VOLUME_AVG_20D")</f>
        <v/>
      </c>
      <c r="E254" s="6">
        <f>BDP(A254&amp;" US Equity","PX_LAST")</f>
        <v/>
      </c>
      <c r="F254" s="5">
        <f>D254*E254</f>
        <v/>
      </c>
      <c r="G254">
        <f>AND(B254&gt;=50,B254&lt;=10000)</f>
        <v/>
      </c>
      <c r="H254">
        <f>OR(C254="NAS",C254="NYS",C254="ASE")</f>
        <v/>
      </c>
      <c r="I254">
        <f>F254&gt;=500000</f>
        <v/>
      </c>
      <c r="J254">
        <f>E254&gt;=2</f>
        <v/>
      </c>
      <c r="K254">
        <f>AND(G254,H254,I254,J254)</f>
        <v/>
      </c>
    </row>
    <row r="255">
      <c r="B255" s="5">
        <f>BDP(A255&amp;" US Equity","CUR_MKT_CAP")</f>
        <v/>
      </c>
      <c r="C255">
        <f>BDP(A255&amp;" US Equity","EXCH_CODE")</f>
        <v/>
      </c>
      <c r="D255" s="5">
        <f>BDP(A255&amp;" US Equity","VOLUME_AVG_20D")</f>
        <v/>
      </c>
      <c r="E255" s="6">
        <f>BDP(A255&amp;" US Equity","PX_LAST")</f>
        <v/>
      </c>
      <c r="F255" s="5">
        <f>D255*E255</f>
        <v/>
      </c>
      <c r="G255">
        <f>AND(B255&gt;=50,B255&lt;=10000)</f>
        <v/>
      </c>
      <c r="H255">
        <f>OR(C255="NAS",C255="NYS",C255="ASE")</f>
        <v/>
      </c>
      <c r="I255">
        <f>F255&gt;=500000</f>
        <v/>
      </c>
      <c r="J255">
        <f>E255&gt;=2</f>
        <v/>
      </c>
      <c r="K255">
        <f>AND(G255,H255,I255,J255)</f>
        <v/>
      </c>
    </row>
    <row r="256">
      <c r="B256" s="5">
        <f>BDP(A256&amp;" US Equity","CUR_MKT_CAP")</f>
        <v/>
      </c>
      <c r="C256">
        <f>BDP(A256&amp;" US Equity","EXCH_CODE")</f>
        <v/>
      </c>
      <c r="D256" s="5">
        <f>BDP(A256&amp;" US Equity","VOLUME_AVG_20D")</f>
        <v/>
      </c>
      <c r="E256" s="6">
        <f>BDP(A256&amp;" US Equity","PX_LAST")</f>
        <v/>
      </c>
      <c r="F256" s="5">
        <f>D256*E256</f>
        <v/>
      </c>
      <c r="G256">
        <f>AND(B256&gt;=50,B256&lt;=10000)</f>
        <v/>
      </c>
      <c r="H256">
        <f>OR(C256="NAS",C256="NYS",C256="ASE")</f>
        <v/>
      </c>
      <c r="I256">
        <f>F256&gt;=500000</f>
        <v/>
      </c>
      <c r="J256">
        <f>E256&gt;=2</f>
        <v/>
      </c>
      <c r="K256">
        <f>AND(G256,H256,I256,J256)</f>
        <v/>
      </c>
    </row>
    <row r="257">
      <c r="B257" s="5">
        <f>BDP(A257&amp;" US Equity","CUR_MKT_CAP")</f>
        <v/>
      </c>
      <c r="C257">
        <f>BDP(A257&amp;" US Equity","EXCH_CODE")</f>
        <v/>
      </c>
      <c r="D257" s="5">
        <f>BDP(A257&amp;" US Equity","VOLUME_AVG_20D")</f>
        <v/>
      </c>
      <c r="E257" s="6">
        <f>BDP(A257&amp;" US Equity","PX_LAST")</f>
        <v/>
      </c>
      <c r="F257" s="5">
        <f>D257*E257</f>
        <v/>
      </c>
      <c r="G257">
        <f>AND(B257&gt;=50,B257&lt;=10000)</f>
        <v/>
      </c>
      <c r="H257">
        <f>OR(C257="NAS",C257="NYS",C257="ASE")</f>
        <v/>
      </c>
      <c r="I257">
        <f>F257&gt;=500000</f>
        <v/>
      </c>
      <c r="J257">
        <f>E257&gt;=2</f>
        <v/>
      </c>
      <c r="K257">
        <f>AND(G257,H257,I257,J257)</f>
        <v/>
      </c>
    </row>
    <row r="258">
      <c r="B258" s="5">
        <f>BDP(A258&amp;" US Equity","CUR_MKT_CAP")</f>
        <v/>
      </c>
      <c r="C258">
        <f>BDP(A258&amp;" US Equity","EXCH_CODE")</f>
        <v/>
      </c>
      <c r="D258" s="5">
        <f>BDP(A258&amp;" US Equity","VOLUME_AVG_20D")</f>
        <v/>
      </c>
      <c r="E258" s="6">
        <f>BDP(A258&amp;" US Equity","PX_LAST")</f>
        <v/>
      </c>
      <c r="F258" s="5">
        <f>D258*E258</f>
        <v/>
      </c>
      <c r="G258">
        <f>AND(B258&gt;=50,B258&lt;=10000)</f>
        <v/>
      </c>
      <c r="H258">
        <f>OR(C258="NAS",C258="NYS",C258="ASE")</f>
        <v/>
      </c>
      <c r="I258">
        <f>F258&gt;=500000</f>
        <v/>
      </c>
      <c r="J258">
        <f>E258&gt;=2</f>
        <v/>
      </c>
      <c r="K258">
        <f>AND(G258,H258,I258,J258)</f>
        <v/>
      </c>
    </row>
    <row r="259">
      <c r="B259" s="5">
        <f>BDP(A259&amp;" US Equity","CUR_MKT_CAP")</f>
        <v/>
      </c>
      <c r="C259">
        <f>BDP(A259&amp;" US Equity","EXCH_CODE")</f>
        <v/>
      </c>
      <c r="D259" s="5">
        <f>BDP(A259&amp;" US Equity","VOLUME_AVG_20D")</f>
        <v/>
      </c>
      <c r="E259" s="6">
        <f>BDP(A259&amp;" US Equity","PX_LAST")</f>
        <v/>
      </c>
      <c r="F259" s="5">
        <f>D259*E259</f>
        <v/>
      </c>
      <c r="G259">
        <f>AND(B259&gt;=50,B259&lt;=10000)</f>
        <v/>
      </c>
      <c r="H259">
        <f>OR(C259="NAS",C259="NYS",C259="ASE")</f>
        <v/>
      </c>
      <c r="I259">
        <f>F259&gt;=500000</f>
        <v/>
      </c>
      <c r="J259">
        <f>E259&gt;=2</f>
        <v/>
      </c>
      <c r="K259">
        <f>AND(G259,H259,I259,J259)</f>
        <v/>
      </c>
    </row>
    <row r="260">
      <c r="B260" s="5">
        <f>BDP(A260&amp;" US Equity","CUR_MKT_CAP")</f>
        <v/>
      </c>
      <c r="C260">
        <f>BDP(A260&amp;" US Equity","EXCH_CODE")</f>
        <v/>
      </c>
      <c r="D260" s="5">
        <f>BDP(A260&amp;" US Equity","VOLUME_AVG_20D")</f>
        <v/>
      </c>
      <c r="E260" s="6">
        <f>BDP(A260&amp;" US Equity","PX_LAST")</f>
        <v/>
      </c>
      <c r="F260" s="5">
        <f>D260*E260</f>
        <v/>
      </c>
      <c r="G260">
        <f>AND(B260&gt;=50,B260&lt;=10000)</f>
        <v/>
      </c>
      <c r="H260">
        <f>OR(C260="NAS",C260="NYS",C260="ASE")</f>
        <v/>
      </c>
      <c r="I260">
        <f>F260&gt;=500000</f>
        <v/>
      </c>
      <c r="J260">
        <f>E260&gt;=2</f>
        <v/>
      </c>
      <c r="K260">
        <f>AND(G260,H260,I260,J260)</f>
        <v/>
      </c>
    </row>
    <row r="261">
      <c r="B261" s="5">
        <f>BDP(A261&amp;" US Equity","CUR_MKT_CAP")</f>
        <v/>
      </c>
      <c r="C261">
        <f>BDP(A261&amp;" US Equity","EXCH_CODE")</f>
        <v/>
      </c>
      <c r="D261" s="5">
        <f>BDP(A261&amp;" US Equity","VOLUME_AVG_20D")</f>
        <v/>
      </c>
      <c r="E261" s="6">
        <f>BDP(A261&amp;" US Equity","PX_LAST")</f>
        <v/>
      </c>
      <c r="F261" s="5">
        <f>D261*E261</f>
        <v/>
      </c>
      <c r="G261">
        <f>AND(B261&gt;=50,B261&lt;=10000)</f>
        <v/>
      </c>
      <c r="H261">
        <f>OR(C261="NAS",C261="NYS",C261="ASE")</f>
        <v/>
      </c>
      <c r="I261">
        <f>F261&gt;=500000</f>
        <v/>
      </c>
      <c r="J261">
        <f>E261&gt;=2</f>
        <v/>
      </c>
      <c r="K261">
        <f>AND(G261,H261,I261,J261)</f>
        <v/>
      </c>
    </row>
    <row r="262">
      <c r="B262" s="5">
        <f>BDP(A262&amp;" US Equity","CUR_MKT_CAP")</f>
        <v/>
      </c>
      <c r="C262">
        <f>BDP(A262&amp;" US Equity","EXCH_CODE")</f>
        <v/>
      </c>
      <c r="D262" s="5">
        <f>BDP(A262&amp;" US Equity","VOLUME_AVG_20D")</f>
        <v/>
      </c>
      <c r="E262" s="6">
        <f>BDP(A262&amp;" US Equity","PX_LAST")</f>
        <v/>
      </c>
      <c r="F262" s="5">
        <f>D262*E262</f>
        <v/>
      </c>
      <c r="G262">
        <f>AND(B262&gt;=50,B262&lt;=10000)</f>
        <v/>
      </c>
      <c r="H262">
        <f>OR(C262="NAS",C262="NYS",C262="ASE")</f>
        <v/>
      </c>
      <c r="I262">
        <f>F262&gt;=500000</f>
        <v/>
      </c>
      <c r="J262">
        <f>E262&gt;=2</f>
        <v/>
      </c>
      <c r="K262">
        <f>AND(G262,H262,I262,J262)</f>
        <v/>
      </c>
    </row>
    <row r="263">
      <c r="B263" s="5">
        <f>BDP(A263&amp;" US Equity","CUR_MKT_CAP")</f>
        <v/>
      </c>
      <c r="C263">
        <f>BDP(A263&amp;" US Equity","EXCH_CODE")</f>
        <v/>
      </c>
      <c r="D263" s="5">
        <f>BDP(A263&amp;" US Equity","VOLUME_AVG_20D")</f>
        <v/>
      </c>
      <c r="E263" s="6">
        <f>BDP(A263&amp;" US Equity","PX_LAST")</f>
        <v/>
      </c>
      <c r="F263" s="5">
        <f>D263*E263</f>
        <v/>
      </c>
      <c r="G263">
        <f>AND(B263&gt;=50,B263&lt;=10000)</f>
        <v/>
      </c>
      <c r="H263">
        <f>OR(C263="NAS",C263="NYS",C263="ASE")</f>
        <v/>
      </c>
      <c r="I263">
        <f>F263&gt;=500000</f>
        <v/>
      </c>
      <c r="J263">
        <f>E263&gt;=2</f>
        <v/>
      </c>
      <c r="K263">
        <f>AND(G263,H263,I263,J263)</f>
        <v/>
      </c>
    </row>
    <row r="264">
      <c r="B264" s="5">
        <f>BDP(A264&amp;" US Equity","CUR_MKT_CAP")</f>
        <v/>
      </c>
      <c r="C264">
        <f>BDP(A264&amp;" US Equity","EXCH_CODE")</f>
        <v/>
      </c>
      <c r="D264" s="5">
        <f>BDP(A264&amp;" US Equity","VOLUME_AVG_20D")</f>
        <v/>
      </c>
      <c r="E264" s="6">
        <f>BDP(A264&amp;" US Equity","PX_LAST")</f>
        <v/>
      </c>
      <c r="F264" s="5">
        <f>D264*E264</f>
        <v/>
      </c>
      <c r="G264">
        <f>AND(B264&gt;=50,B264&lt;=10000)</f>
        <v/>
      </c>
      <c r="H264">
        <f>OR(C264="NAS",C264="NYS",C264="ASE")</f>
        <v/>
      </c>
      <c r="I264">
        <f>F264&gt;=500000</f>
        <v/>
      </c>
      <c r="J264">
        <f>E264&gt;=2</f>
        <v/>
      </c>
      <c r="K264">
        <f>AND(G264,H264,I264,J264)</f>
        <v/>
      </c>
    </row>
    <row r="265">
      <c r="B265" s="5">
        <f>BDP(A265&amp;" US Equity","CUR_MKT_CAP")</f>
        <v/>
      </c>
      <c r="C265">
        <f>BDP(A265&amp;" US Equity","EXCH_CODE")</f>
        <v/>
      </c>
      <c r="D265" s="5">
        <f>BDP(A265&amp;" US Equity","VOLUME_AVG_20D")</f>
        <v/>
      </c>
      <c r="E265" s="6">
        <f>BDP(A265&amp;" US Equity","PX_LAST")</f>
        <v/>
      </c>
      <c r="F265" s="5">
        <f>D265*E265</f>
        <v/>
      </c>
      <c r="G265">
        <f>AND(B265&gt;=50,B265&lt;=10000)</f>
        <v/>
      </c>
      <c r="H265">
        <f>OR(C265="NAS",C265="NYS",C265="ASE")</f>
        <v/>
      </c>
      <c r="I265">
        <f>F265&gt;=500000</f>
        <v/>
      </c>
      <c r="J265">
        <f>E265&gt;=2</f>
        <v/>
      </c>
      <c r="K265">
        <f>AND(G265,H265,I265,J265)</f>
        <v/>
      </c>
    </row>
    <row r="266">
      <c r="B266" s="5">
        <f>BDP(A266&amp;" US Equity","CUR_MKT_CAP")</f>
        <v/>
      </c>
      <c r="C266">
        <f>BDP(A266&amp;" US Equity","EXCH_CODE")</f>
        <v/>
      </c>
      <c r="D266" s="5">
        <f>BDP(A266&amp;" US Equity","VOLUME_AVG_20D")</f>
        <v/>
      </c>
      <c r="E266" s="6">
        <f>BDP(A266&amp;" US Equity","PX_LAST")</f>
        <v/>
      </c>
      <c r="F266" s="5">
        <f>D266*E266</f>
        <v/>
      </c>
      <c r="G266">
        <f>AND(B266&gt;=50,B266&lt;=10000)</f>
        <v/>
      </c>
      <c r="H266">
        <f>OR(C266="NAS",C266="NYS",C266="ASE")</f>
        <v/>
      </c>
      <c r="I266">
        <f>F266&gt;=500000</f>
        <v/>
      </c>
      <c r="J266">
        <f>E266&gt;=2</f>
        <v/>
      </c>
      <c r="K266">
        <f>AND(G266,H266,I266,J266)</f>
        <v/>
      </c>
    </row>
    <row r="267">
      <c r="B267" s="5">
        <f>BDP(A267&amp;" US Equity","CUR_MKT_CAP")</f>
        <v/>
      </c>
      <c r="C267">
        <f>BDP(A267&amp;" US Equity","EXCH_CODE")</f>
        <v/>
      </c>
      <c r="D267" s="5">
        <f>BDP(A267&amp;" US Equity","VOLUME_AVG_20D")</f>
        <v/>
      </c>
      <c r="E267" s="6">
        <f>BDP(A267&amp;" US Equity","PX_LAST")</f>
        <v/>
      </c>
      <c r="F267" s="5">
        <f>D267*E267</f>
        <v/>
      </c>
      <c r="G267">
        <f>AND(B267&gt;=50,B267&lt;=10000)</f>
        <v/>
      </c>
      <c r="H267">
        <f>OR(C267="NAS",C267="NYS",C267="ASE")</f>
        <v/>
      </c>
      <c r="I267">
        <f>F267&gt;=500000</f>
        <v/>
      </c>
      <c r="J267">
        <f>E267&gt;=2</f>
        <v/>
      </c>
      <c r="K267">
        <f>AND(G267,H267,I267,J267)</f>
        <v/>
      </c>
    </row>
    <row r="268">
      <c r="B268" s="5">
        <f>BDP(A268&amp;" US Equity","CUR_MKT_CAP")</f>
        <v/>
      </c>
      <c r="C268">
        <f>BDP(A268&amp;" US Equity","EXCH_CODE")</f>
        <v/>
      </c>
      <c r="D268" s="5">
        <f>BDP(A268&amp;" US Equity","VOLUME_AVG_20D")</f>
        <v/>
      </c>
      <c r="E268" s="6">
        <f>BDP(A268&amp;" US Equity","PX_LAST")</f>
        <v/>
      </c>
      <c r="F268" s="5">
        <f>D268*E268</f>
        <v/>
      </c>
      <c r="G268">
        <f>AND(B268&gt;=50,B268&lt;=10000)</f>
        <v/>
      </c>
      <c r="H268">
        <f>OR(C268="NAS",C268="NYS",C268="ASE")</f>
        <v/>
      </c>
      <c r="I268">
        <f>F268&gt;=500000</f>
        <v/>
      </c>
      <c r="J268">
        <f>E268&gt;=2</f>
        <v/>
      </c>
      <c r="K268">
        <f>AND(G268,H268,I268,J268)</f>
        <v/>
      </c>
    </row>
    <row r="269">
      <c r="B269" s="5">
        <f>BDP(A269&amp;" US Equity","CUR_MKT_CAP")</f>
        <v/>
      </c>
      <c r="C269">
        <f>BDP(A269&amp;" US Equity","EXCH_CODE")</f>
        <v/>
      </c>
      <c r="D269" s="5">
        <f>BDP(A269&amp;" US Equity","VOLUME_AVG_20D")</f>
        <v/>
      </c>
      <c r="E269" s="6">
        <f>BDP(A269&amp;" US Equity","PX_LAST")</f>
        <v/>
      </c>
      <c r="F269" s="5">
        <f>D269*E269</f>
        <v/>
      </c>
      <c r="G269">
        <f>AND(B269&gt;=50,B269&lt;=10000)</f>
        <v/>
      </c>
      <c r="H269">
        <f>OR(C269="NAS",C269="NYS",C269="ASE")</f>
        <v/>
      </c>
      <c r="I269">
        <f>F269&gt;=500000</f>
        <v/>
      </c>
      <c r="J269">
        <f>E269&gt;=2</f>
        <v/>
      </c>
      <c r="K269">
        <f>AND(G269,H269,I269,J269)</f>
        <v/>
      </c>
    </row>
    <row r="270">
      <c r="B270" s="5">
        <f>BDP(A270&amp;" US Equity","CUR_MKT_CAP")</f>
        <v/>
      </c>
      <c r="C270">
        <f>BDP(A270&amp;" US Equity","EXCH_CODE")</f>
        <v/>
      </c>
      <c r="D270" s="5">
        <f>BDP(A270&amp;" US Equity","VOLUME_AVG_20D")</f>
        <v/>
      </c>
      <c r="E270" s="6">
        <f>BDP(A270&amp;" US Equity","PX_LAST")</f>
        <v/>
      </c>
      <c r="F270" s="5">
        <f>D270*E270</f>
        <v/>
      </c>
      <c r="G270">
        <f>AND(B270&gt;=50,B270&lt;=10000)</f>
        <v/>
      </c>
      <c r="H270">
        <f>OR(C270="NAS",C270="NYS",C270="ASE")</f>
        <v/>
      </c>
      <c r="I270">
        <f>F270&gt;=500000</f>
        <v/>
      </c>
      <c r="J270">
        <f>E270&gt;=2</f>
        <v/>
      </c>
      <c r="K270">
        <f>AND(G270,H270,I270,J270)</f>
        <v/>
      </c>
    </row>
    <row r="271">
      <c r="B271" s="5">
        <f>BDP(A271&amp;" US Equity","CUR_MKT_CAP")</f>
        <v/>
      </c>
      <c r="C271">
        <f>BDP(A271&amp;" US Equity","EXCH_CODE")</f>
        <v/>
      </c>
      <c r="D271" s="5">
        <f>BDP(A271&amp;" US Equity","VOLUME_AVG_20D")</f>
        <v/>
      </c>
      <c r="E271" s="6">
        <f>BDP(A271&amp;" US Equity","PX_LAST")</f>
        <v/>
      </c>
      <c r="F271" s="5">
        <f>D271*E271</f>
        <v/>
      </c>
      <c r="G271">
        <f>AND(B271&gt;=50,B271&lt;=10000)</f>
        <v/>
      </c>
      <c r="H271">
        <f>OR(C271="NAS",C271="NYS",C271="ASE")</f>
        <v/>
      </c>
      <c r="I271">
        <f>F271&gt;=500000</f>
        <v/>
      </c>
      <c r="J271">
        <f>E271&gt;=2</f>
        <v/>
      </c>
      <c r="K271">
        <f>AND(G271,H271,I271,J271)</f>
        <v/>
      </c>
    </row>
    <row r="272">
      <c r="B272" s="5">
        <f>BDP(A272&amp;" US Equity","CUR_MKT_CAP")</f>
        <v/>
      </c>
      <c r="C272">
        <f>BDP(A272&amp;" US Equity","EXCH_CODE")</f>
        <v/>
      </c>
      <c r="D272" s="5">
        <f>BDP(A272&amp;" US Equity","VOLUME_AVG_20D")</f>
        <v/>
      </c>
      <c r="E272" s="6">
        <f>BDP(A272&amp;" US Equity","PX_LAST")</f>
        <v/>
      </c>
      <c r="F272" s="5">
        <f>D272*E272</f>
        <v/>
      </c>
      <c r="G272">
        <f>AND(B272&gt;=50,B272&lt;=10000)</f>
        <v/>
      </c>
      <c r="H272">
        <f>OR(C272="NAS",C272="NYS",C272="ASE")</f>
        <v/>
      </c>
      <c r="I272">
        <f>F272&gt;=500000</f>
        <v/>
      </c>
      <c r="J272">
        <f>E272&gt;=2</f>
        <v/>
      </c>
      <c r="K272">
        <f>AND(G272,H272,I272,J272)</f>
        <v/>
      </c>
    </row>
    <row r="273">
      <c r="B273" s="5">
        <f>BDP(A273&amp;" US Equity","CUR_MKT_CAP")</f>
        <v/>
      </c>
      <c r="C273">
        <f>BDP(A273&amp;" US Equity","EXCH_CODE")</f>
        <v/>
      </c>
      <c r="D273" s="5">
        <f>BDP(A273&amp;" US Equity","VOLUME_AVG_20D")</f>
        <v/>
      </c>
      <c r="E273" s="6">
        <f>BDP(A273&amp;" US Equity","PX_LAST")</f>
        <v/>
      </c>
      <c r="F273" s="5">
        <f>D273*E273</f>
        <v/>
      </c>
      <c r="G273">
        <f>AND(B273&gt;=50,B273&lt;=10000)</f>
        <v/>
      </c>
      <c r="H273">
        <f>OR(C273="NAS",C273="NYS",C273="ASE")</f>
        <v/>
      </c>
      <c r="I273">
        <f>F273&gt;=500000</f>
        <v/>
      </c>
      <c r="J273">
        <f>E273&gt;=2</f>
        <v/>
      </c>
      <c r="K273">
        <f>AND(G273,H273,I273,J273)</f>
        <v/>
      </c>
    </row>
    <row r="274">
      <c r="B274" s="5">
        <f>BDP(A274&amp;" US Equity","CUR_MKT_CAP")</f>
        <v/>
      </c>
      <c r="C274">
        <f>BDP(A274&amp;" US Equity","EXCH_CODE")</f>
        <v/>
      </c>
      <c r="D274" s="5">
        <f>BDP(A274&amp;" US Equity","VOLUME_AVG_20D")</f>
        <v/>
      </c>
      <c r="E274" s="6">
        <f>BDP(A274&amp;" US Equity","PX_LAST")</f>
        <v/>
      </c>
      <c r="F274" s="5">
        <f>D274*E274</f>
        <v/>
      </c>
      <c r="G274">
        <f>AND(B274&gt;=50,B274&lt;=10000)</f>
        <v/>
      </c>
      <c r="H274">
        <f>OR(C274="NAS",C274="NYS",C274="ASE")</f>
        <v/>
      </c>
      <c r="I274">
        <f>F274&gt;=500000</f>
        <v/>
      </c>
      <c r="J274">
        <f>E274&gt;=2</f>
        <v/>
      </c>
      <c r="K274">
        <f>AND(G274,H274,I274,J274)</f>
        <v/>
      </c>
    </row>
    <row r="275">
      <c r="B275" s="5">
        <f>BDP(A275&amp;" US Equity","CUR_MKT_CAP")</f>
        <v/>
      </c>
      <c r="C275">
        <f>BDP(A275&amp;" US Equity","EXCH_CODE")</f>
        <v/>
      </c>
      <c r="D275" s="5">
        <f>BDP(A275&amp;" US Equity","VOLUME_AVG_20D")</f>
        <v/>
      </c>
      <c r="E275" s="6">
        <f>BDP(A275&amp;" US Equity","PX_LAST")</f>
        <v/>
      </c>
      <c r="F275" s="5">
        <f>D275*E275</f>
        <v/>
      </c>
      <c r="G275">
        <f>AND(B275&gt;=50,B275&lt;=10000)</f>
        <v/>
      </c>
      <c r="H275">
        <f>OR(C275="NAS",C275="NYS",C275="ASE")</f>
        <v/>
      </c>
      <c r="I275">
        <f>F275&gt;=500000</f>
        <v/>
      </c>
      <c r="J275">
        <f>E275&gt;=2</f>
        <v/>
      </c>
      <c r="K275">
        <f>AND(G275,H275,I275,J275)</f>
        <v/>
      </c>
    </row>
    <row r="276">
      <c r="B276" s="5">
        <f>BDP(A276&amp;" US Equity","CUR_MKT_CAP")</f>
        <v/>
      </c>
      <c r="C276">
        <f>BDP(A276&amp;" US Equity","EXCH_CODE")</f>
        <v/>
      </c>
      <c r="D276" s="5">
        <f>BDP(A276&amp;" US Equity","VOLUME_AVG_20D")</f>
        <v/>
      </c>
      <c r="E276" s="6">
        <f>BDP(A276&amp;" US Equity","PX_LAST")</f>
        <v/>
      </c>
      <c r="F276" s="5">
        <f>D276*E276</f>
        <v/>
      </c>
      <c r="G276">
        <f>AND(B276&gt;=50,B276&lt;=10000)</f>
        <v/>
      </c>
      <c r="H276">
        <f>OR(C276="NAS",C276="NYS",C276="ASE")</f>
        <v/>
      </c>
      <c r="I276">
        <f>F276&gt;=500000</f>
        <v/>
      </c>
      <c r="J276">
        <f>E276&gt;=2</f>
        <v/>
      </c>
      <c r="K276">
        <f>AND(G276,H276,I276,J276)</f>
        <v/>
      </c>
    </row>
    <row r="277">
      <c r="B277" s="5">
        <f>BDP(A277&amp;" US Equity","CUR_MKT_CAP")</f>
        <v/>
      </c>
      <c r="C277">
        <f>BDP(A277&amp;" US Equity","EXCH_CODE")</f>
        <v/>
      </c>
      <c r="D277" s="5">
        <f>BDP(A277&amp;" US Equity","VOLUME_AVG_20D")</f>
        <v/>
      </c>
      <c r="E277" s="6">
        <f>BDP(A277&amp;" US Equity","PX_LAST")</f>
        <v/>
      </c>
      <c r="F277" s="5">
        <f>D277*E277</f>
        <v/>
      </c>
      <c r="G277">
        <f>AND(B277&gt;=50,B277&lt;=10000)</f>
        <v/>
      </c>
      <c r="H277">
        <f>OR(C277="NAS",C277="NYS",C277="ASE")</f>
        <v/>
      </c>
      <c r="I277">
        <f>F277&gt;=500000</f>
        <v/>
      </c>
      <c r="J277">
        <f>E277&gt;=2</f>
        <v/>
      </c>
      <c r="K277">
        <f>AND(G277,H277,I277,J277)</f>
        <v/>
      </c>
    </row>
    <row r="278">
      <c r="B278" s="5">
        <f>BDP(A278&amp;" US Equity","CUR_MKT_CAP")</f>
        <v/>
      </c>
      <c r="C278">
        <f>BDP(A278&amp;" US Equity","EXCH_CODE")</f>
        <v/>
      </c>
      <c r="D278" s="5">
        <f>BDP(A278&amp;" US Equity","VOLUME_AVG_20D")</f>
        <v/>
      </c>
      <c r="E278" s="6">
        <f>BDP(A278&amp;" US Equity","PX_LAST")</f>
        <v/>
      </c>
      <c r="F278" s="5">
        <f>D278*E278</f>
        <v/>
      </c>
      <c r="G278">
        <f>AND(B278&gt;=50,B278&lt;=10000)</f>
        <v/>
      </c>
      <c r="H278">
        <f>OR(C278="NAS",C278="NYS",C278="ASE")</f>
        <v/>
      </c>
      <c r="I278">
        <f>F278&gt;=500000</f>
        <v/>
      </c>
      <c r="J278">
        <f>E278&gt;=2</f>
        <v/>
      </c>
      <c r="K278">
        <f>AND(G278,H278,I278,J278)</f>
        <v/>
      </c>
    </row>
    <row r="279">
      <c r="B279" s="5">
        <f>BDP(A279&amp;" US Equity","CUR_MKT_CAP")</f>
        <v/>
      </c>
      <c r="C279">
        <f>BDP(A279&amp;" US Equity","EXCH_CODE")</f>
        <v/>
      </c>
      <c r="D279" s="5">
        <f>BDP(A279&amp;" US Equity","VOLUME_AVG_20D")</f>
        <v/>
      </c>
      <c r="E279" s="6">
        <f>BDP(A279&amp;" US Equity","PX_LAST")</f>
        <v/>
      </c>
      <c r="F279" s="5">
        <f>D279*E279</f>
        <v/>
      </c>
      <c r="G279">
        <f>AND(B279&gt;=50,B279&lt;=10000)</f>
        <v/>
      </c>
      <c r="H279">
        <f>OR(C279="NAS",C279="NYS",C279="ASE")</f>
        <v/>
      </c>
      <c r="I279">
        <f>F279&gt;=500000</f>
        <v/>
      </c>
      <c r="J279">
        <f>E279&gt;=2</f>
        <v/>
      </c>
      <c r="K279">
        <f>AND(G279,H279,I279,J279)</f>
        <v/>
      </c>
    </row>
    <row r="280">
      <c r="B280" s="5">
        <f>BDP(A280&amp;" US Equity","CUR_MKT_CAP")</f>
        <v/>
      </c>
      <c r="C280">
        <f>BDP(A280&amp;" US Equity","EXCH_CODE")</f>
        <v/>
      </c>
      <c r="D280" s="5">
        <f>BDP(A280&amp;" US Equity","VOLUME_AVG_20D")</f>
        <v/>
      </c>
      <c r="E280" s="6">
        <f>BDP(A280&amp;" US Equity","PX_LAST")</f>
        <v/>
      </c>
      <c r="F280" s="5">
        <f>D280*E280</f>
        <v/>
      </c>
      <c r="G280">
        <f>AND(B280&gt;=50,B280&lt;=10000)</f>
        <v/>
      </c>
      <c r="H280">
        <f>OR(C280="NAS",C280="NYS",C280="ASE")</f>
        <v/>
      </c>
      <c r="I280">
        <f>F280&gt;=500000</f>
        <v/>
      </c>
      <c r="J280">
        <f>E280&gt;=2</f>
        <v/>
      </c>
      <c r="K280">
        <f>AND(G280,H280,I280,J280)</f>
        <v/>
      </c>
    </row>
    <row r="281">
      <c r="B281" s="5">
        <f>BDP(A281&amp;" US Equity","CUR_MKT_CAP")</f>
        <v/>
      </c>
      <c r="C281">
        <f>BDP(A281&amp;" US Equity","EXCH_CODE")</f>
        <v/>
      </c>
      <c r="D281" s="5">
        <f>BDP(A281&amp;" US Equity","VOLUME_AVG_20D")</f>
        <v/>
      </c>
      <c r="E281" s="6">
        <f>BDP(A281&amp;" US Equity","PX_LAST")</f>
        <v/>
      </c>
      <c r="F281" s="5">
        <f>D281*E281</f>
        <v/>
      </c>
      <c r="G281">
        <f>AND(B281&gt;=50,B281&lt;=10000)</f>
        <v/>
      </c>
      <c r="H281">
        <f>OR(C281="NAS",C281="NYS",C281="ASE")</f>
        <v/>
      </c>
      <c r="I281">
        <f>F281&gt;=500000</f>
        <v/>
      </c>
      <c r="J281">
        <f>E281&gt;=2</f>
        <v/>
      </c>
      <c r="K281">
        <f>AND(G281,H281,I281,J281)</f>
        <v/>
      </c>
    </row>
    <row r="282">
      <c r="B282" s="5">
        <f>BDP(A282&amp;" US Equity","CUR_MKT_CAP")</f>
        <v/>
      </c>
      <c r="C282">
        <f>BDP(A282&amp;" US Equity","EXCH_CODE")</f>
        <v/>
      </c>
      <c r="D282" s="5">
        <f>BDP(A282&amp;" US Equity","VOLUME_AVG_20D")</f>
        <v/>
      </c>
      <c r="E282" s="6">
        <f>BDP(A282&amp;" US Equity","PX_LAST")</f>
        <v/>
      </c>
      <c r="F282" s="5">
        <f>D282*E282</f>
        <v/>
      </c>
      <c r="G282">
        <f>AND(B282&gt;=50,B282&lt;=10000)</f>
        <v/>
      </c>
      <c r="H282">
        <f>OR(C282="NAS",C282="NYS",C282="ASE")</f>
        <v/>
      </c>
      <c r="I282">
        <f>F282&gt;=500000</f>
        <v/>
      </c>
      <c r="J282">
        <f>E282&gt;=2</f>
        <v/>
      </c>
      <c r="K282">
        <f>AND(G282,H282,I282,J282)</f>
        <v/>
      </c>
    </row>
    <row r="283">
      <c r="B283" s="5">
        <f>BDP(A283&amp;" US Equity","CUR_MKT_CAP")</f>
        <v/>
      </c>
      <c r="C283">
        <f>BDP(A283&amp;" US Equity","EXCH_CODE")</f>
        <v/>
      </c>
      <c r="D283" s="5">
        <f>BDP(A283&amp;" US Equity","VOLUME_AVG_20D")</f>
        <v/>
      </c>
      <c r="E283" s="6">
        <f>BDP(A283&amp;" US Equity","PX_LAST")</f>
        <v/>
      </c>
      <c r="F283" s="5">
        <f>D283*E283</f>
        <v/>
      </c>
      <c r="G283">
        <f>AND(B283&gt;=50,B283&lt;=10000)</f>
        <v/>
      </c>
      <c r="H283">
        <f>OR(C283="NAS",C283="NYS",C283="ASE")</f>
        <v/>
      </c>
      <c r="I283">
        <f>F283&gt;=500000</f>
        <v/>
      </c>
      <c r="J283">
        <f>E283&gt;=2</f>
        <v/>
      </c>
      <c r="K283">
        <f>AND(G283,H283,I283,J283)</f>
        <v/>
      </c>
    </row>
    <row r="284">
      <c r="B284" s="5">
        <f>BDP(A284&amp;" US Equity","CUR_MKT_CAP")</f>
        <v/>
      </c>
      <c r="C284">
        <f>BDP(A284&amp;" US Equity","EXCH_CODE")</f>
        <v/>
      </c>
      <c r="D284" s="5">
        <f>BDP(A284&amp;" US Equity","VOLUME_AVG_20D")</f>
        <v/>
      </c>
      <c r="E284" s="6">
        <f>BDP(A284&amp;" US Equity","PX_LAST")</f>
        <v/>
      </c>
      <c r="F284" s="5">
        <f>D284*E284</f>
        <v/>
      </c>
      <c r="G284">
        <f>AND(B284&gt;=50,B284&lt;=10000)</f>
        <v/>
      </c>
      <c r="H284">
        <f>OR(C284="NAS",C284="NYS",C284="ASE")</f>
        <v/>
      </c>
      <c r="I284">
        <f>F284&gt;=500000</f>
        <v/>
      </c>
      <c r="J284">
        <f>E284&gt;=2</f>
        <v/>
      </c>
      <c r="K284">
        <f>AND(G284,H284,I284,J284)</f>
        <v/>
      </c>
    </row>
    <row r="285">
      <c r="B285" s="5">
        <f>BDP(A285&amp;" US Equity","CUR_MKT_CAP")</f>
        <v/>
      </c>
      <c r="C285">
        <f>BDP(A285&amp;" US Equity","EXCH_CODE")</f>
        <v/>
      </c>
      <c r="D285" s="5">
        <f>BDP(A285&amp;" US Equity","VOLUME_AVG_20D")</f>
        <v/>
      </c>
      <c r="E285" s="6">
        <f>BDP(A285&amp;" US Equity","PX_LAST")</f>
        <v/>
      </c>
      <c r="F285" s="5">
        <f>D285*E285</f>
        <v/>
      </c>
      <c r="G285">
        <f>AND(B285&gt;=50,B285&lt;=10000)</f>
        <v/>
      </c>
      <c r="H285">
        <f>OR(C285="NAS",C285="NYS",C285="ASE")</f>
        <v/>
      </c>
      <c r="I285">
        <f>F285&gt;=500000</f>
        <v/>
      </c>
      <c r="J285">
        <f>E285&gt;=2</f>
        <v/>
      </c>
      <c r="K285">
        <f>AND(G285,H285,I285,J285)</f>
        <v/>
      </c>
    </row>
    <row r="286">
      <c r="B286" s="5">
        <f>BDP(A286&amp;" US Equity","CUR_MKT_CAP")</f>
        <v/>
      </c>
      <c r="C286">
        <f>BDP(A286&amp;" US Equity","EXCH_CODE")</f>
        <v/>
      </c>
      <c r="D286" s="5">
        <f>BDP(A286&amp;" US Equity","VOLUME_AVG_20D")</f>
        <v/>
      </c>
      <c r="E286" s="6">
        <f>BDP(A286&amp;" US Equity","PX_LAST")</f>
        <v/>
      </c>
      <c r="F286" s="5">
        <f>D286*E286</f>
        <v/>
      </c>
      <c r="G286">
        <f>AND(B286&gt;=50,B286&lt;=10000)</f>
        <v/>
      </c>
      <c r="H286">
        <f>OR(C286="NAS",C286="NYS",C286="ASE")</f>
        <v/>
      </c>
      <c r="I286">
        <f>F286&gt;=500000</f>
        <v/>
      </c>
      <c r="J286">
        <f>E286&gt;=2</f>
        <v/>
      </c>
      <c r="K286">
        <f>AND(G286,H286,I286,J286)</f>
        <v/>
      </c>
    </row>
    <row r="287">
      <c r="B287" s="5">
        <f>BDP(A287&amp;" US Equity","CUR_MKT_CAP")</f>
        <v/>
      </c>
      <c r="C287">
        <f>BDP(A287&amp;" US Equity","EXCH_CODE")</f>
        <v/>
      </c>
      <c r="D287" s="5">
        <f>BDP(A287&amp;" US Equity","VOLUME_AVG_20D")</f>
        <v/>
      </c>
      <c r="E287" s="6">
        <f>BDP(A287&amp;" US Equity","PX_LAST")</f>
        <v/>
      </c>
      <c r="F287" s="5">
        <f>D287*E287</f>
        <v/>
      </c>
      <c r="G287">
        <f>AND(B287&gt;=50,B287&lt;=10000)</f>
        <v/>
      </c>
      <c r="H287">
        <f>OR(C287="NAS",C287="NYS",C287="ASE")</f>
        <v/>
      </c>
      <c r="I287">
        <f>F287&gt;=500000</f>
        <v/>
      </c>
      <c r="J287">
        <f>E287&gt;=2</f>
        <v/>
      </c>
      <c r="K287">
        <f>AND(G287,H287,I287,J287)</f>
        <v/>
      </c>
    </row>
    <row r="288">
      <c r="B288" s="5">
        <f>BDP(A288&amp;" US Equity","CUR_MKT_CAP")</f>
        <v/>
      </c>
      <c r="C288">
        <f>BDP(A288&amp;" US Equity","EXCH_CODE")</f>
        <v/>
      </c>
      <c r="D288" s="5">
        <f>BDP(A288&amp;" US Equity","VOLUME_AVG_20D")</f>
        <v/>
      </c>
      <c r="E288" s="6">
        <f>BDP(A288&amp;" US Equity","PX_LAST")</f>
        <v/>
      </c>
      <c r="F288" s="5">
        <f>D288*E288</f>
        <v/>
      </c>
      <c r="G288">
        <f>AND(B288&gt;=50,B288&lt;=10000)</f>
        <v/>
      </c>
      <c r="H288">
        <f>OR(C288="NAS",C288="NYS",C288="ASE")</f>
        <v/>
      </c>
      <c r="I288">
        <f>F288&gt;=500000</f>
        <v/>
      </c>
      <c r="J288">
        <f>E288&gt;=2</f>
        <v/>
      </c>
      <c r="K288">
        <f>AND(G288,H288,I288,J288)</f>
        <v/>
      </c>
    </row>
    <row r="289">
      <c r="B289" s="5">
        <f>BDP(A289&amp;" US Equity","CUR_MKT_CAP")</f>
        <v/>
      </c>
      <c r="C289">
        <f>BDP(A289&amp;" US Equity","EXCH_CODE")</f>
        <v/>
      </c>
      <c r="D289" s="5">
        <f>BDP(A289&amp;" US Equity","VOLUME_AVG_20D")</f>
        <v/>
      </c>
      <c r="E289" s="6">
        <f>BDP(A289&amp;" US Equity","PX_LAST")</f>
        <v/>
      </c>
      <c r="F289" s="5">
        <f>D289*E289</f>
        <v/>
      </c>
      <c r="G289">
        <f>AND(B289&gt;=50,B289&lt;=10000)</f>
        <v/>
      </c>
      <c r="H289">
        <f>OR(C289="NAS",C289="NYS",C289="ASE")</f>
        <v/>
      </c>
      <c r="I289">
        <f>F289&gt;=500000</f>
        <v/>
      </c>
      <c r="J289">
        <f>E289&gt;=2</f>
        <v/>
      </c>
      <c r="K289">
        <f>AND(G289,H289,I289,J289)</f>
        <v/>
      </c>
    </row>
    <row r="290">
      <c r="B290" s="5">
        <f>BDP(A290&amp;" US Equity","CUR_MKT_CAP")</f>
        <v/>
      </c>
      <c r="C290">
        <f>BDP(A290&amp;" US Equity","EXCH_CODE")</f>
        <v/>
      </c>
      <c r="D290" s="5">
        <f>BDP(A290&amp;" US Equity","VOLUME_AVG_20D")</f>
        <v/>
      </c>
      <c r="E290" s="6">
        <f>BDP(A290&amp;" US Equity","PX_LAST")</f>
        <v/>
      </c>
      <c r="F290" s="5">
        <f>D290*E290</f>
        <v/>
      </c>
      <c r="G290">
        <f>AND(B290&gt;=50,B290&lt;=10000)</f>
        <v/>
      </c>
      <c r="H290">
        <f>OR(C290="NAS",C290="NYS",C290="ASE")</f>
        <v/>
      </c>
      <c r="I290">
        <f>F290&gt;=500000</f>
        <v/>
      </c>
      <c r="J290">
        <f>E290&gt;=2</f>
        <v/>
      </c>
      <c r="K290">
        <f>AND(G290,H290,I290,J290)</f>
        <v/>
      </c>
    </row>
    <row r="291">
      <c r="B291" s="5">
        <f>BDP(A291&amp;" US Equity","CUR_MKT_CAP")</f>
        <v/>
      </c>
      <c r="C291">
        <f>BDP(A291&amp;" US Equity","EXCH_CODE")</f>
        <v/>
      </c>
      <c r="D291" s="5">
        <f>BDP(A291&amp;" US Equity","VOLUME_AVG_20D")</f>
        <v/>
      </c>
      <c r="E291" s="6">
        <f>BDP(A291&amp;" US Equity","PX_LAST")</f>
        <v/>
      </c>
      <c r="F291" s="5">
        <f>D291*E291</f>
        <v/>
      </c>
      <c r="G291">
        <f>AND(B291&gt;=50,B291&lt;=10000)</f>
        <v/>
      </c>
      <c r="H291">
        <f>OR(C291="NAS",C291="NYS",C291="ASE")</f>
        <v/>
      </c>
      <c r="I291">
        <f>F291&gt;=500000</f>
        <v/>
      </c>
      <c r="J291">
        <f>E291&gt;=2</f>
        <v/>
      </c>
      <c r="K291">
        <f>AND(G291,H291,I291,J291)</f>
        <v/>
      </c>
    </row>
    <row r="292">
      <c r="B292" s="5">
        <f>BDP(A292&amp;" US Equity","CUR_MKT_CAP")</f>
        <v/>
      </c>
      <c r="C292">
        <f>BDP(A292&amp;" US Equity","EXCH_CODE")</f>
        <v/>
      </c>
      <c r="D292" s="5">
        <f>BDP(A292&amp;" US Equity","VOLUME_AVG_20D")</f>
        <v/>
      </c>
      <c r="E292" s="6">
        <f>BDP(A292&amp;" US Equity","PX_LAST")</f>
        <v/>
      </c>
      <c r="F292" s="5">
        <f>D292*E292</f>
        <v/>
      </c>
      <c r="G292">
        <f>AND(B292&gt;=50,B292&lt;=10000)</f>
        <v/>
      </c>
      <c r="H292">
        <f>OR(C292="NAS",C292="NYS",C292="ASE")</f>
        <v/>
      </c>
      <c r="I292">
        <f>F292&gt;=500000</f>
        <v/>
      </c>
      <c r="J292">
        <f>E292&gt;=2</f>
        <v/>
      </c>
      <c r="K292">
        <f>AND(G292,H292,I292,J292)</f>
        <v/>
      </c>
    </row>
    <row r="293">
      <c r="B293" s="5">
        <f>BDP(A293&amp;" US Equity","CUR_MKT_CAP")</f>
        <v/>
      </c>
      <c r="C293">
        <f>BDP(A293&amp;" US Equity","EXCH_CODE")</f>
        <v/>
      </c>
      <c r="D293" s="5">
        <f>BDP(A293&amp;" US Equity","VOLUME_AVG_20D")</f>
        <v/>
      </c>
      <c r="E293" s="6">
        <f>BDP(A293&amp;" US Equity","PX_LAST")</f>
        <v/>
      </c>
      <c r="F293" s="5">
        <f>D293*E293</f>
        <v/>
      </c>
      <c r="G293">
        <f>AND(B293&gt;=50,B293&lt;=10000)</f>
        <v/>
      </c>
      <c r="H293">
        <f>OR(C293="NAS",C293="NYS",C293="ASE")</f>
        <v/>
      </c>
      <c r="I293">
        <f>F293&gt;=500000</f>
        <v/>
      </c>
      <c r="J293">
        <f>E293&gt;=2</f>
        <v/>
      </c>
      <c r="K293">
        <f>AND(G293,H293,I293,J293)</f>
        <v/>
      </c>
    </row>
    <row r="294">
      <c r="B294" s="5">
        <f>BDP(A294&amp;" US Equity","CUR_MKT_CAP")</f>
        <v/>
      </c>
      <c r="C294">
        <f>BDP(A294&amp;" US Equity","EXCH_CODE")</f>
        <v/>
      </c>
      <c r="D294" s="5">
        <f>BDP(A294&amp;" US Equity","VOLUME_AVG_20D")</f>
        <v/>
      </c>
      <c r="E294" s="6">
        <f>BDP(A294&amp;" US Equity","PX_LAST")</f>
        <v/>
      </c>
      <c r="F294" s="5">
        <f>D294*E294</f>
        <v/>
      </c>
      <c r="G294">
        <f>AND(B294&gt;=50,B294&lt;=10000)</f>
        <v/>
      </c>
      <c r="H294">
        <f>OR(C294="NAS",C294="NYS",C294="ASE")</f>
        <v/>
      </c>
      <c r="I294">
        <f>F294&gt;=500000</f>
        <v/>
      </c>
      <c r="J294">
        <f>E294&gt;=2</f>
        <v/>
      </c>
      <c r="K294">
        <f>AND(G294,H294,I294,J294)</f>
        <v/>
      </c>
    </row>
    <row r="295">
      <c r="B295" s="5">
        <f>BDP(A295&amp;" US Equity","CUR_MKT_CAP")</f>
        <v/>
      </c>
      <c r="C295">
        <f>BDP(A295&amp;" US Equity","EXCH_CODE")</f>
        <v/>
      </c>
      <c r="D295" s="5">
        <f>BDP(A295&amp;" US Equity","VOLUME_AVG_20D")</f>
        <v/>
      </c>
      <c r="E295" s="6">
        <f>BDP(A295&amp;" US Equity","PX_LAST")</f>
        <v/>
      </c>
      <c r="F295" s="5">
        <f>D295*E295</f>
        <v/>
      </c>
      <c r="G295">
        <f>AND(B295&gt;=50,B295&lt;=10000)</f>
        <v/>
      </c>
      <c r="H295">
        <f>OR(C295="NAS",C295="NYS",C295="ASE")</f>
        <v/>
      </c>
      <c r="I295">
        <f>F295&gt;=500000</f>
        <v/>
      </c>
      <c r="J295">
        <f>E295&gt;=2</f>
        <v/>
      </c>
      <c r="K295">
        <f>AND(G295,H295,I295,J295)</f>
        <v/>
      </c>
    </row>
    <row r="296">
      <c r="B296" s="5">
        <f>BDP(A296&amp;" US Equity","CUR_MKT_CAP")</f>
        <v/>
      </c>
      <c r="C296">
        <f>BDP(A296&amp;" US Equity","EXCH_CODE")</f>
        <v/>
      </c>
      <c r="D296" s="5">
        <f>BDP(A296&amp;" US Equity","VOLUME_AVG_20D")</f>
        <v/>
      </c>
      <c r="E296" s="6">
        <f>BDP(A296&amp;" US Equity","PX_LAST")</f>
        <v/>
      </c>
      <c r="F296" s="5">
        <f>D296*E296</f>
        <v/>
      </c>
      <c r="G296">
        <f>AND(B296&gt;=50,B296&lt;=10000)</f>
        <v/>
      </c>
      <c r="H296">
        <f>OR(C296="NAS",C296="NYS",C296="ASE")</f>
        <v/>
      </c>
      <c r="I296">
        <f>F296&gt;=500000</f>
        <v/>
      </c>
      <c r="J296">
        <f>E296&gt;=2</f>
        <v/>
      </c>
      <c r="K296">
        <f>AND(G296,H296,I296,J296)</f>
        <v/>
      </c>
    </row>
    <row r="297">
      <c r="B297" s="5">
        <f>BDP(A297&amp;" US Equity","CUR_MKT_CAP")</f>
        <v/>
      </c>
      <c r="C297">
        <f>BDP(A297&amp;" US Equity","EXCH_CODE")</f>
        <v/>
      </c>
      <c r="D297" s="5">
        <f>BDP(A297&amp;" US Equity","VOLUME_AVG_20D")</f>
        <v/>
      </c>
      <c r="E297" s="6">
        <f>BDP(A297&amp;" US Equity","PX_LAST")</f>
        <v/>
      </c>
      <c r="F297" s="5">
        <f>D297*E297</f>
        <v/>
      </c>
      <c r="G297">
        <f>AND(B297&gt;=50,B297&lt;=10000)</f>
        <v/>
      </c>
      <c r="H297">
        <f>OR(C297="NAS",C297="NYS",C297="ASE")</f>
        <v/>
      </c>
      <c r="I297">
        <f>F297&gt;=500000</f>
        <v/>
      </c>
      <c r="J297">
        <f>E297&gt;=2</f>
        <v/>
      </c>
      <c r="K297">
        <f>AND(G297,H297,I297,J297)</f>
        <v/>
      </c>
    </row>
    <row r="298">
      <c r="B298" s="5">
        <f>BDP(A298&amp;" US Equity","CUR_MKT_CAP")</f>
        <v/>
      </c>
      <c r="C298">
        <f>BDP(A298&amp;" US Equity","EXCH_CODE")</f>
        <v/>
      </c>
      <c r="D298" s="5">
        <f>BDP(A298&amp;" US Equity","VOLUME_AVG_20D")</f>
        <v/>
      </c>
      <c r="E298" s="6">
        <f>BDP(A298&amp;" US Equity","PX_LAST")</f>
        <v/>
      </c>
      <c r="F298" s="5">
        <f>D298*E298</f>
        <v/>
      </c>
      <c r="G298">
        <f>AND(B298&gt;=50,B298&lt;=10000)</f>
        <v/>
      </c>
      <c r="H298">
        <f>OR(C298="NAS",C298="NYS",C298="ASE")</f>
        <v/>
      </c>
      <c r="I298">
        <f>F298&gt;=500000</f>
        <v/>
      </c>
      <c r="J298">
        <f>E298&gt;=2</f>
        <v/>
      </c>
      <c r="K298">
        <f>AND(G298,H298,I298,J298)</f>
        <v/>
      </c>
    </row>
    <row r="299">
      <c r="B299" s="5">
        <f>BDP(A299&amp;" US Equity","CUR_MKT_CAP")</f>
        <v/>
      </c>
      <c r="C299">
        <f>BDP(A299&amp;" US Equity","EXCH_CODE")</f>
        <v/>
      </c>
      <c r="D299" s="5">
        <f>BDP(A299&amp;" US Equity","VOLUME_AVG_20D")</f>
        <v/>
      </c>
      <c r="E299" s="6">
        <f>BDP(A299&amp;" US Equity","PX_LAST")</f>
        <v/>
      </c>
      <c r="F299" s="5">
        <f>D299*E299</f>
        <v/>
      </c>
      <c r="G299">
        <f>AND(B299&gt;=50,B299&lt;=10000)</f>
        <v/>
      </c>
      <c r="H299">
        <f>OR(C299="NAS",C299="NYS",C299="ASE")</f>
        <v/>
      </c>
      <c r="I299">
        <f>F299&gt;=500000</f>
        <v/>
      </c>
      <c r="J299">
        <f>E299&gt;=2</f>
        <v/>
      </c>
      <c r="K299">
        <f>AND(G299,H299,I299,J299)</f>
        <v/>
      </c>
    </row>
    <row r="300">
      <c r="B300" s="5">
        <f>BDP(A300&amp;" US Equity","CUR_MKT_CAP")</f>
        <v/>
      </c>
      <c r="C300">
        <f>BDP(A300&amp;" US Equity","EXCH_CODE")</f>
        <v/>
      </c>
      <c r="D300" s="5">
        <f>BDP(A300&amp;" US Equity","VOLUME_AVG_20D")</f>
        <v/>
      </c>
      <c r="E300" s="6">
        <f>BDP(A300&amp;" US Equity","PX_LAST")</f>
        <v/>
      </c>
      <c r="F300" s="5">
        <f>D300*E300</f>
        <v/>
      </c>
      <c r="G300">
        <f>AND(B300&gt;=50,B300&lt;=10000)</f>
        <v/>
      </c>
      <c r="H300">
        <f>OR(C300="NAS",C300="NYS",C300="ASE")</f>
        <v/>
      </c>
      <c r="I300">
        <f>F300&gt;=500000</f>
        <v/>
      </c>
      <c r="J300">
        <f>E300&gt;=2</f>
        <v/>
      </c>
      <c r="K300">
        <f>AND(G300,H300,I300,J300)</f>
        <v/>
      </c>
    </row>
    <row r="301">
      <c r="B301" s="5">
        <f>BDP(A301&amp;" US Equity","CUR_MKT_CAP")</f>
        <v/>
      </c>
      <c r="C301">
        <f>BDP(A301&amp;" US Equity","EXCH_CODE")</f>
        <v/>
      </c>
      <c r="D301" s="5">
        <f>BDP(A301&amp;" US Equity","VOLUME_AVG_20D")</f>
        <v/>
      </c>
      <c r="E301" s="6">
        <f>BDP(A301&amp;" US Equity","PX_LAST")</f>
        <v/>
      </c>
      <c r="F301" s="5">
        <f>D301*E301</f>
        <v/>
      </c>
      <c r="G301">
        <f>AND(B301&gt;=50,B301&lt;=10000)</f>
        <v/>
      </c>
      <c r="H301">
        <f>OR(C301="NAS",C301="NYS",C301="ASE")</f>
        <v/>
      </c>
      <c r="I301">
        <f>F301&gt;=500000</f>
        <v/>
      </c>
      <c r="J301">
        <f>E301&gt;=2</f>
        <v/>
      </c>
      <c r="K301">
        <f>AND(G301,H301,I301,J301)</f>
        <v/>
      </c>
    </row>
    <row r="302">
      <c r="B302" s="5">
        <f>BDP(A302&amp;" US Equity","CUR_MKT_CAP")</f>
        <v/>
      </c>
      <c r="C302">
        <f>BDP(A302&amp;" US Equity","EXCH_CODE")</f>
        <v/>
      </c>
      <c r="D302" s="5">
        <f>BDP(A302&amp;" US Equity","VOLUME_AVG_20D")</f>
        <v/>
      </c>
      <c r="E302" s="6">
        <f>BDP(A302&amp;" US Equity","PX_LAST")</f>
        <v/>
      </c>
      <c r="F302" s="5">
        <f>D302*E302</f>
        <v/>
      </c>
      <c r="G302">
        <f>AND(B302&gt;=50,B302&lt;=10000)</f>
        <v/>
      </c>
      <c r="H302">
        <f>OR(C302="NAS",C302="NYS",C302="ASE")</f>
        <v/>
      </c>
      <c r="I302">
        <f>F302&gt;=500000</f>
        <v/>
      </c>
      <c r="J302">
        <f>E302&gt;=2</f>
        <v/>
      </c>
      <c r="K302">
        <f>AND(G302,H302,I302,J302)</f>
        <v/>
      </c>
    </row>
    <row r="303">
      <c r="B303" s="5">
        <f>BDP(A303&amp;" US Equity","CUR_MKT_CAP")</f>
        <v/>
      </c>
      <c r="C303">
        <f>BDP(A303&amp;" US Equity","EXCH_CODE")</f>
        <v/>
      </c>
      <c r="D303" s="5">
        <f>BDP(A303&amp;" US Equity","VOLUME_AVG_20D")</f>
        <v/>
      </c>
      <c r="E303" s="6">
        <f>BDP(A303&amp;" US Equity","PX_LAST")</f>
        <v/>
      </c>
      <c r="F303" s="5">
        <f>D303*E303</f>
        <v/>
      </c>
      <c r="G303">
        <f>AND(B303&gt;=50,B303&lt;=10000)</f>
        <v/>
      </c>
      <c r="H303">
        <f>OR(C303="NAS",C303="NYS",C303="ASE")</f>
        <v/>
      </c>
      <c r="I303">
        <f>F303&gt;=500000</f>
        <v/>
      </c>
      <c r="J303">
        <f>E303&gt;=2</f>
        <v/>
      </c>
      <c r="K303">
        <f>AND(G303,H303,I303,J303)</f>
        <v/>
      </c>
    </row>
    <row r="304">
      <c r="B304" s="5">
        <f>BDP(A304&amp;" US Equity","CUR_MKT_CAP")</f>
        <v/>
      </c>
      <c r="C304">
        <f>BDP(A304&amp;" US Equity","EXCH_CODE")</f>
        <v/>
      </c>
      <c r="D304" s="5">
        <f>BDP(A304&amp;" US Equity","VOLUME_AVG_20D")</f>
        <v/>
      </c>
      <c r="E304" s="6">
        <f>BDP(A304&amp;" US Equity","PX_LAST")</f>
        <v/>
      </c>
      <c r="F304" s="5">
        <f>D304*E304</f>
        <v/>
      </c>
      <c r="G304">
        <f>AND(B304&gt;=50,B304&lt;=10000)</f>
        <v/>
      </c>
      <c r="H304">
        <f>OR(C304="NAS",C304="NYS",C304="ASE")</f>
        <v/>
      </c>
      <c r="I304">
        <f>F304&gt;=500000</f>
        <v/>
      </c>
      <c r="J304">
        <f>E304&gt;=2</f>
        <v/>
      </c>
      <c r="K304">
        <f>AND(G304,H304,I304,J304)</f>
        <v/>
      </c>
    </row>
    <row r="305">
      <c r="B305" s="5">
        <f>BDP(A305&amp;" US Equity","CUR_MKT_CAP")</f>
        <v/>
      </c>
      <c r="C305">
        <f>BDP(A305&amp;" US Equity","EXCH_CODE")</f>
        <v/>
      </c>
      <c r="D305" s="5">
        <f>BDP(A305&amp;" US Equity","VOLUME_AVG_20D")</f>
        <v/>
      </c>
      <c r="E305" s="6">
        <f>BDP(A305&amp;" US Equity","PX_LAST")</f>
        <v/>
      </c>
      <c r="F305" s="5">
        <f>D305*E305</f>
        <v/>
      </c>
      <c r="G305">
        <f>AND(B305&gt;=50,B305&lt;=10000)</f>
        <v/>
      </c>
      <c r="H305">
        <f>OR(C305="NAS",C305="NYS",C305="ASE")</f>
        <v/>
      </c>
      <c r="I305">
        <f>F305&gt;=500000</f>
        <v/>
      </c>
      <c r="J305">
        <f>E305&gt;=2</f>
        <v/>
      </c>
      <c r="K305">
        <f>AND(G305,H305,I305,J305)</f>
        <v/>
      </c>
    </row>
    <row r="306">
      <c r="B306" s="5">
        <f>BDP(A306&amp;" US Equity","CUR_MKT_CAP")</f>
        <v/>
      </c>
      <c r="C306">
        <f>BDP(A306&amp;" US Equity","EXCH_CODE")</f>
        <v/>
      </c>
      <c r="D306" s="5">
        <f>BDP(A306&amp;" US Equity","VOLUME_AVG_20D")</f>
        <v/>
      </c>
      <c r="E306" s="6">
        <f>BDP(A306&amp;" US Equity","PX_LAST")</f>
        <v/>
      </c>
      <c r="F306" s="5">
        <f>D306*E306</f>
        <v/>
      </c>
      <c r="G306">
        <f>AND(B306&gt;=50,B306&lt;=10000)</f>
        <v/>
      </c>
      <c r="H306">
        <f>OR(C306="NAS",C306="NYS",C306="ASE")</f>
        <v/>
      </c>
      <c r="I306">
        <f>F306&gt;=500000</f>
        <v/>
      </c>
      <c r="J306">
        <f>E306&gt;=2</f>
        <v/>
      </c>
      <c r="K306">
        <f>AND(G306,H306,I306,J306)</f>
        <v/>
      </c>
    </row>
    <row r="307">
      <c r="B307" s="5">
        <f>BDP(A307&amp;" US Equity","CUR_MKT_CAP")</f>
        <v/>
      </c>
      <c r="C307">
        <f>BDP(A307&amp;" US Equity","EXCH_CODE")</f>
        <v/>
      </c>
      <c r="D307" s="5">
        <f>BDP(A307&amp;" US Equity","VOLUME_AVG_20D")</f>
        <v/>
      </c>
      <c r="E307" s="6">
        <f>BDP(A307&amp;" US Equity","PX_LAST")</f>
        <v/>
      </c>
      <c r="F307" s="5">
        <f>D307*E307</f>
        <v/>
      </c>
      <c r="G307">
        <f>AND(B307&gt;=50,B307&lt;=10000)</f>
        <v/>
      </c>
      <c r="H307">
        <f>OR(C307="NAS",C307="NYS",C307="ASE")</f>
        <v/>
      </c>
      <c r="I307">
        <f>F307&gt;=500000</f>
        <v/>
      </c>
      <c r="J307">
        <f>E307&gt;=2</f>
        <v/>
      </c>
      <c r="K307">
        <f>AND(G307,H307,I307,J307)</f>
        <v/>
      </c>
    </row>
    <row r="308">
      <c r="B308" s="5">
        <f>BDP(A308&amp;" US Equity","CUR_MKT_CAP")</f>
        <v/>
      </c>
      <c r="C308">
        <f>BDP(A308&amp;" US Equity","EXCH_CODE")</f>
        <v/>
      </c>
      <c r="D308" s="5">
        <f>BDP(A308&amp;" US Equity","VOLUME_AVG_20D")</f>
        <v/>
      </c>
      <c r="E308" s="6">
        <f>BDP(A308&amp;" US Equity","PX_LAST")</f>
        <v/>
      </c>
      <c r="F308" s="5">
        <f>D308*E308</f>
        <v/>
      </c>
      <c r="G308">
        <f>AND(B308&gt;=50,B308&lt;=10000)</f>
        <v/>
      </c>
      <c r="H308">
        <f>OR(C308="NAS",C308="NYS",C308="ASE")</f>
        <v/>
      </c>
      <c r="I308">
        <f>F308&gt;=500000</f>
        <v/>
      </c>
      <c r="J308">
        <f>E308&gt;=2</f>
        <v/>
      </c>
      <c r="K308">
        <f>AND(G308,H308,I308,J308)</f>
        <v/>
      </c>
    </row>
    <row r="309">
      <c r="B309" s="5">
        <f>BDP(A309&amp;" US Equity","CUR_MKT_CAP")</f>
        <v/>
      </c>
      <c r="C309">
        <f>BDP(A309&amp;" US Equity","EXCH_CODE")</f>
        <v/>
      </c>
      <c r="D309" s="5">
        <f>BDP(A309&amp;" US Equity","VOLUME_AVG_20D")</f>
        <v/>
      </c>
      <c r="E309" s="6">
        <f>BDP(A309&amp;" US Equity","PX_LAST")</f>
        <v/>
      </c>
      <c r="F309" s="5">
        <f>D309*E309</f>
        <v/>
      </c>
      <c r="G309">
        <f>AND(B309&gt;=50,B309&lt;=10000)</f>
        <v/>
      </c>
      <c r="H309">
        <f>OR(C309="NAS",C309="NYS",C309="ASE")</f>
        <v/>
      </c>
      <c r="I309">
        <f>F309&gt;=500000</f>
        <v/>
      </c>
      <c r="J309">
        <f>E309&gt;=2</f>
        <v/>
      </c>
      <c r="K309">
        <f>AND(G309,H309,I309,J309)</f>
        <v/>
      </c>
    </row>
    <row r="310">
      <c r="B310" s="5">
        <f>BDP(A310&amp;" US Equity","CUR_MKT_CAP")</f>
        <v/>
      </c>
      <c r="C310">
        <f>BDP(A310&amp;" US Equity","EXCH_CODE")</f>
        <v/>
      </c>
      <c r="D310" s="5">
        <f>BDP(A310&amp;" US Equity","VOLUME_AVG_20D")</f>
        <v/>
      </c>
      <c r="E310" s="6">
        <f>BDP(A310&amp;" US Equity","PX_LAST")</f>
        <v/>
      </c>
      <c r="F310" s="5">
        <f>D310*E310</f>
        <v/>
      </c>
      <c r="G310">
        <f>AND(B310&gt;=50,B310&lt;=10000)</f>
        <v/>
      </c>
      <c r="H310">
        <f>OR(C310="NAS",C310="NYS",C310="ASE")</f>
        <v/>
      </c>
      <c r="I310">
        <f>F310&gt;=500000</f>
        <v/>
      </c>
      <c r="J310">
        <f>E310&gt;=2</f>
        <v/>
      </c>
      <c r="K310">
        <f>AND(G310,H310,I310,J310)</f>
        <v/>
      </c>
    </row>
    <row r="311">
      <c r="B311" s="5">
        <f>BDP(A311&amp;" US Equity","CUR_MKT_CAP")</f>
        <v/>
      </c>
      <c r="C311">
        <f>BDP(A311&amp;" US Equity","EXCH_CODE")</f>
        <v/>
      </c>
      <c r="D311" s="5">
        <f>BDP(A311&amp;" US Equity","VOLUME_AVG_20D")</f>
        <v/>
      </c>
      <c r="E311" s="6">
        <f>BDP(A311&amp;" US Equity","PX_LAST")</f>
        <v/>
      </c>
      <c r="F311" s="5">
        <f>D311*E311</f>
        <v/>
      </c>
      <c r="G311">
        <f>AND(B311&gt;=50,B311&lt;=10000)</f>
        <v/>
      </c>
      <c r="H311">
        <f>OR(C311="NAS",C311="NYS",C311="ASE")</f>
        <v/>
      </c>
      <c r="I311">
        <f>F311&gt;=500000</f>
        <v/>
      </c>
      <c r="J311">
        <f>E311&gt;=2</f>
        <v/>
      </c>
      <c r="K311">
        <f>AND(G311,H311,I311,J311)</f>
        <v/>
      </c>
    </row>
    <row r="312">
      <c r="B312" s="5">
        <f>BDP(A312&amp;" US Equity","CUR_MKT_CAP")</f>
        <v/>
      </c>
      <c r="C312">
        <f>BDP(A312&amp;" US Equity","EXCH_CODE")</f>
        <v/>
      </c>
      <c r="D312" s="5">
        <f>BDP(A312&amp;" US Equity","VOLUME_AVG_20D")</f>
        <v/>
      </c>
      <c r="E312" s="6">
        <f>BDP(A312&amp;" US Equity","PX_LAST")</f>
        <v/>
      </c>
      <c r="F312" s="5">
        <f>D312*E312</f>
        <v/>
      </c>
      <c r="G312">
        <f>AND(B312&gt;=50,B312&lt;=10000)</f>
        <v/>
      </c>
      <c r="H312">
        <f>OR(C312="NAS",C312="NYS",C312="ASE")</f>
        <v/>
      </c>
      <c r="I312">
        <f>F312&gt;=500000</f>
        <v/>
      </c>
      <c r="J312">
        <f>E312&gt;=2</f>
        <v/>
      </c>
      <c r="K312">
        <f>AND(G312,H312,I312,J312)</f>
        <v/>
      </c>
    </row>
    <row r="313">
      <c r="B313" s="5">
        <f>BDP(A313&amp;" US Equity","CUR_MKT_CAP")</f>
        <v/>
      </c>
      <c r="C313">
        <f>BDP(A313&amp;" US Equity","EXCH_CODE")</f>
        <v/>
      </c>
      <c r="D313" s="5">
        <f>BDP(A313&amp;" US Equity","VOLUME_AVG_20D")</f>
        <v/>
      </c>
      <c r="E313" s="6">
        <f>BDP(A313&amp;" US Equity","PX_LAST")</f>
        <v/>
      </c>
      <c r="F313" s="5">
        <f>D313*E313</f>
        <v/>
      </c>
      <c r="G313">
        <f>AND(B313&gt;=50,B313&lt;=10000)</f>
        <v/>
      </c>
      <c r="H313">
        <f>OR(C313="NAS",C313="NYS",C313="ASE")</f>
        <v/>
      </c>
      <c r="I313">
        <f>F313&gt;=500000</f>
        <v/>
      </c>
      <c r="J313">
        <f>E313&gt;=2</f>
        <v/>
      </c>
      <c r="K313">
        <f>AND(G313,H313,I313,J313)</f>
        <v/>
      </c>
    </row>
    <row r="314">
      <c r="B314" s="5">
        <f>BDP(A314&amp;" US Equity","CUR_MKT_CAP")</f>
        <v/>
      </c>
      <c r="C314">
        <f>BDP(A314&amp;" US Equity","EXCH_CODE")</f>
        <v/>
      </c>
      <c r="D314" s="5">
        <f>BDP(A314&amp;" US Equity","VOLUME_AVG_20D")</f>
        <v/>
      </c>
      <c r="E314" s="6">
        <f>BDP(A314&amp;" US Equity","PX_LAST")</f>
        <v/>
      </c>
      <c r="F314" s="5">
        <f>D314*E314</f>
        <v/>
      </c>
      <c r="G314">
        <f>AND(B314&gt;=50,B314&lt;=10000)</f>
        <v/>
      </c>
      <c r="H314">
        <f>OR(C314="NAS",C314="NYS",C314="ASE")</f>
        <v/>
      </c>
      <c r="I314">
        <f>F314&gt;=500000</f>
        <v/>
      </c>
      <c r="J314">
        <f>E314&gt;=2</f>
        <v/>
      </c>
      <c r="K314">
        <f>AND(G314,H314,I314,J314)</f>
        <v/>
      </c>
    </row>
    <row r="315">
      <c r="B315" s="5">
        <f>BDP(A315&amp;" US Equity","CUR_MKT_CAP")</f>
        <v/>
      </c>
      <c r="C315">
        <f>BDP(A315&amp;" US Equity","EXCH_CODE")</f>
        <v/>
      </c>
      <c r="D315" s="5">
        <f>BDP(A315&amp;" US Equity","VOLUME_AVG_20D")</f>
        <v/>
      </c>
      <c r="E315" s="6">
        <f>BDP(A315&amp;" US Equity","PX_LAST")</f>
        <v/>
      </c>
      <c r="F315" s="5">
        <f>D315*E315</f>
        <v/>
      </c>
      <c r="G315">
        <f>AND(B315&gt;=50,B315&lt;=10000)</f>
        <v/>
      </c>
      <c r="H315">
        <f>OR(C315="NAS",C315="NYS",C315="ASE")</f>
        <v/>
      </c>
      <c r="I315">
        <f>F315&gt;=500000</f>
        <v/>
      </c>
      <c r="J315">
        <f>E315&gt;=2</f>
        <v/>
      </c>
      <c r="K315">
        <f>AND(G315,H315,I315,J315)</f>
        <v/>
      </c>
    </row>
    <row r="316">
      <c r="B316" s="5">
        <f>BDP(A316&amp;" US Equity","CUR_MKT_CAP")</f>
        <v/>
      </c>
      <c r="C316">
        <f>BDP(A316&amp;" US Equity","EXCH_CODE")</f>
        <v/>
      </c>
      <c r="D316" s="5">
        <f>BDP(A316&amp;" US Equity","VOLUME_AVG_20D")</f>
        <v/>
      </c>
      <c r="E316" s="6">
        <f>BDP(A316&amp;" US Equity","PX_LAST")</f>
        <v/>
      </c>
      <c r="F316" s="5">
        <f>D316*E316</f>
        <v/>
      </c>
      <c r="G316">
        <f>AND(B316&gt;=50,B316&lt;=10000)</f>
        <v/>
      </c>
      <c r="H316">
        <f>OR(C316="NAS",C316="NYS",C316="ASE")</f>
        <v/>
      </c>
      <c r="I316">
        <f>F316&gt;=500000</f>
        <v/>
      </c>
      <c r="J316">
        <f>E316&gt;=2</f>
        <v/>
      </c>
      <c r="K316">
        <f>AND(G316,H316,I316,J316)</f>
        <v/>
      </c>
    </row>
    <row r="317">
      <c r="B317" s="5">
        <f>BDP(A317&amp;" US Equity","CUR_MKT_CAP")</f>
        <v/>
      </c>
      <c r="C317">
        <f>BDP(A317&amp;" US Equity","EXCH_CODE")</f>
        <v/>
      </c>
      <c r="D317" s="5">
        <f>BDP(A317&amp;" US Equity","VOLUME_AVG_20D")</f>
        <v/>
      </c>
      <c r="E317" s="6">
        <f>BDP(A317&amp;" US Equity","PX_LAST")</f>
        <v/>
      </c>
      <c r="F317" s="5">
        <f>D317*E317</f>
        <v/>
      </c>
      <c r="G317">
        <f>AND(B317&gt;=50,B317&lt;=10000)</f>
        <v/>
      </c>
      <c r="H317">
        <f>OR(C317="NAS",C317="NYS",C317="ASE")</f>
        <v/>
      </c>
      <c r="I317">
        <f>F317&gt;=500000</f>
        <v/>
      </c>
      <c r="J317">
        <f>E317&gt;=2</f>
        <v/>
      </c>
      <c r="K317">
        <f>AND(G317,H317,I317,J317)</f>
        <v/>
      </c>
    </row>
    <row r="318">
      <c r="B318" s="5">
        <f>BDP(A318&amp;" US Equity","CUR_MKT_CAP")</f>
        <v/>
      </c>
      <c r="C318">
        <f>BDP(A318&amp;" US Equity","EXCH_CODE")</f>
        <v/>
      </c>
      <c r="D318" s="5">
        <f>BDP(A318&amp;" US Equity","VOLUME_AVG_20D")</f>
        <v/>
      </c>
      <c r="E318" s="6">
        <f>BDP(A318&amp;" US Equity","PX_LAST")</f>
        <v/>
      </c>
      <c r="F318" s="5">
        <f>D318*E318</f>
        <v/>
      </c>
      <c r="G318">
        <f>AND(B318&gt;=50,B318&lt;=10000)</f>
        <v/>
      </c>
      <c r="H318">
        <f>OR(C318="NAS",C318="NYS",C318="ASE")</f>
        <v/>
      </c>
      <c r="I318">
        <f>F318&gt;=500000</f>
        <v/>
      </c>
      <c r="J318">
        <f>E318&gt;=2</f>
        <v/>
      </c>
      <c r="K318">
        <f>AND(G318,H318,I318,J318)</f>
        <v/>
      </c>
    </row>
    <row r="319">
      <c r="B319" s="5">
        <f>BDP(A319&amp;" US Equity","CUR_MKT_CAP")</f>
        <v/>
      </c>
      <c r="C319">
        <f>BDP(A319&amp;" US Equity","EXCH_CODE")</f>
        <v/>
      </c>
      <c r="D319" s="5">
        <f>BDP(A319&amp;" US Equity","VOLUME_AVG_20D")</f>
        <v/>
      </c>
      <c r="E319" s="6">
        <f>BDP(A319&amp;" US Equity","PX_LAST")</f>
        <v/>
      </c>
      <c r="F319" s="5">
        <f>D319*E319</f>
        <v/>
      </c>
      <c r="G319">
        <f>AND(B319&gt;=50,B319&lt;=10000)</f>
        <v/>
      </c>
      <c r="H319">
        <f>OR(C319="NAS",C319="NYS",C319="ASE")</f>
        <v/>
      </c>
      <c r="I319">
        <f>F319&gt;=500000</f>
        <v/>
      </c>
      <c r="J319">
        <f>E319&gt;=2</f>
        <v/>
      </c>
      <c r="K319">
        <f>AND(G319,H319,I319,J319)</f>
        <v/>
      </c>
    </row>
    <row r="320">
      <c r="B320" s="5">
        <f>BDP(A320&amp;" US Equity","CUR_MKT_CAP")</f>
        <v/>
      </c>
      <c r="C320">
        <f>BDP(A320&amp;" US Equity","EXCH_CODE")</f>
        <v/>
      </c>
      <c r="D320" s="5">
        <f>BDP(A320&amp;" US Equity","VOLUME_AVG_20D")</f>
        <v/>
      </c>
      <c r="E320" s="6">
        <f>BDP(A320&amp;" US Equity","PX_LAST")</f>
        <v/>
      </c>
      <c r="F320" s="5">
        <f>D320*E320</f>
        <v/>
      </c>
      <c r="G320">
        <f>AND(B320&gt;=50,B320&lt;=10000)</f>
        <v/>
      </c>
      <c r="H320">
        <f>OR(C320="NAS",C320="NYS",C320="ASE")</f>
        <v/>
      </c>
      <c r="I320">
        <f>F320&gt;=500000</f>
        <v/>
      </c>
      <c r="J320">
        <f>E320&gt;=2</f>
        <v/>
      </c>
      <c r="K320">
        <f>AND(G320,H320,I320,J320)</f>
        <v/>
      </c>
    </row>
    <row r="321">
      <c r="B321" s="5">
        <f>BDP(A321&amp;" US Equity","CUR_MKT_CAP")</f>
        <v/>
      </c>
      <c r="C321">
        <f>BDP(A321&amp;" US Equity","EXCH_CODE")</f>
        <v/>
      </c>
      <c r="D321" s="5">
        <f>BDP(A321&amp;" US Equity","VOLUME_AVG_20D")</f>
        <v/>
      </c>
      <c r="E321" s="6">
        <f>BDP(A321&amp;" US Equity","PX_LAST")</f>
        <v/>
      </c>
      <c r="F321" s="5">
        <f>D321*E321</f>
        <v/>
      </c>
      <c r="G321">
        <f>AND(B321&gt;=50,B321&lt;=10000)</f>
        <v/>
      </c>
      <c r="H321">
        <f>OR(C321="NAS",C321="NYS",C321="ASE")</f>
        <v/>
      </c>
      <c r="I321">
        <f>F321&gt;=500000</f>
        <v/>
      </c>
      <c r="J321">
        <f>E321&gt;=2</f>
        <v/>
      </c>
      <c r="K321">
        <f>AND(G321,H321,I321,J321)</f>
        <v/>
      </c>
    </row>
    <row r="322">
      <c r="B322" s="5">
        <f>BDP(A322&amp;" US Equity","CUR_MKT_CAP")</f>
        <v/>
      </c>
      <c r="C322">
        <f>BDP(A322&amp;" US Equity","EXCH_CODE")</f>
        <v/>
      </c>
      <c r="D322" s="5">
        <f>BDP(A322&amp;" US Equity","VOLUME_AVG_20D")</f>
        <v/>
      </c>
      <c r="E322" s="6">
        <f>BDP(A322&amp;" US Equity","PX_LAST")</f>
        <v/>
      </c>
      <c r="F322" s="5">
        <f>D322*E322</f>
        <v/>
      </c>
      <c r="G322">
        <f>AND(B322&gt;=50,B322&lt;=10000)</f>
        <v/>
      </c>
      <c r="H322">
        <f>OR(C322="NAS",C322="NYS",C322="ASE")</f>
        <v/>
      </c>
      <c r="I322">
        <f>F322&gt;=500000</f>
        <v/>
      </c>
      <c r="J322">
        <f>E322&gt;=2</f>
        <v/>
      </c>
      <c r="K322">
        <f>AND(G322,H322,I322,J322)</f>
        <v/>
      </c>
    </row>
    <row r="323">
      <c r="B323" s="5">
        <f>BDP(A323&amp;" US Equity","CUR_MKT_CAP")</f>
        <v/>
      </c>
      <c r="C323">
        <f>BDP(A323&amp;" US Equity","EXCH_CODE")</f>
        <v/>
      </c>
      <c r="D323" s="5">
        <f>BDP(A323&amp;" US Equity","VOLUME_AVG_20D")</f>
        <v/>
      </c>
      <c r="E323" s="6">
        <f>BDP(A323&amp;" US Equity","PX_LAST")</f>
        <v/>
      </c>
      <c r="F323" s="5">
        <f>D323*E323</f>
        <v/>
      </c>
      <c r="G323">
        <f>AND(B323&gt;=50,B323&lt;=10000)</f>
        <v/>
      </c>
      <c r="H323">
        <f>OR(C323="NAS",C323="NYS",C323="ASE")</f>
        <v/>
      </c>
      <c r="I323">
        <f>F323&gt;=500000</f>
        <v/>
      </c>
      <c r="J323">
        <f>E323&gt;=2</f>
        <v/>
      </c>
      <c r="K323">
        <f>AND(G323,H323,I323,J323)</f>
        <v/>
      </c>
    </row>
    <row r="324">
      <c r="B324" s="5">
        <f>BDP(A324&amp;" US Equity","CUR_MKT_CAP")</f>
        <v/>
      </c>
      <c r="C324">
        <f>BDP(A324&amp;" US Equity","EXCH_CODE")</f>
        <v/>
      </c>
      <c r="D324" s="5">
        <f>BDP(A324&amp;" US Equity","VOLUME_AVG_20D")</f>
        <v/>
      </c>
      <c r="E324" s="6">
        <f>BDP(A324&amp;" US Equity","PX_LAST")</f>
        <v/>
      </c>
      <c r="F324" s="5">
        <f>D324*E324</f>
        <v/>
      </c>
      <c r="G324">
        <f>AND(B324&gt;=50,B324&lt;=10000)</f>
        <v/>
      </c>
      <c r="H324">
        <f>OR(C324="NAS",C324="NYS",C324="ASE")</f>
        <v/>
      </c>
      <c r="I324">
        <f>F324&gt;=500000</f>
        <v/>
      </c>
      <c r="J324">
        <f>E324&gt;=2</f>
        <v/>
      </c>
      <c r="K324">
        <f>AND(G324,H324,I324,J324)</f>
        <v/>
      </c>
    </row>
    <row r="325">
      <c r="B325" s="5">
        <f>BDP(A325&amp;" US Equity","CUR_MKT_CAP")</f>
        <v/>
      </c>
      <c r="C325">
        <f>BDP(A325&amp;" US Equity","EXCH_CODE")</f>
        <v/>
      </c>
      <c r="D325" s="5">
        <f>BDP(A325&amp;" US Equity","VOLUME_AVG_20D")</f>
        <v/>
      </c>
      <c r="E325" s="6">
        <f>BDP(A325&amp;" US Equity","PX_LAST")</f>
        <v/>
      </c>
      <c r="F325" s="5">
        <f>D325*E325</f>
        <v/>
      </c>
      <c r="G325">
        <f>AND(B325&gt;=50,B325&lt;=10000)</f>
        <v/>
      </c>
      <c r="H325">
        <f>OR(C325="NAS",C325="NYS",C325="ASE")</f>
        <v/>
      </c>
      <c r="I325">
        <f>F325&gt;=500000</f>
        <v/>
      </c>
      <c r="J325">
        <f>E325&gt;=2</f>
        <v/>
      </c>
      <c r="K325">
        <f>AND(G325,H325,I325,J325)</f>
        <v/>
      </c>
    </row>
    <row r="326">
      <c r="B326" s="5">
        <f>BDP(A326&amp;" US Equity","CUR_MKT_CAP")</f>
        <v/>
      </c>
      <c r="C326">
        <f>BDP(A326&amp;" US Equity","EXCH_CODE")</f>
        <v/>
      </c>
      <c r="D326" s="5">
        <f>BDP(A326&amp;" US Equity","VOLUME_AVG_20D")</f>
        <v/>
      </c>
      <c r="E326" s="6">
        <f>BDP(A326&amp;" US Equity","PX_LAST")</f>
        <v/>
      </c>
      <c r="F326" s="5">
        <f>D326*E326</f>
        <v/>
      </c>
      <c r="G326">
        <f>AND(B326&gt;=50,B326&lt;=10000)</f>
        <v/>
      </c>
      <c r="H326">
        <f>OR(C326="NAS",C326="NYS",C326="ASE")</f>
        <v/>
      </c>
      <c r="I326">
        <f>F326&gt;=500000</f>
        <v/>
      </c>
      <c r="J326">
        <f>E326&gt;=2</f>
        <v/>
      </c>
      <c r="K326">
        <f>AND(G326,H326,I326,J326)</f>
        <v/>
      </c>
    </row>
    <row r="327">
      <c r="B327" s="5">
        <f>BDP(A327&amp;" US Equity","CUR_MKT_CAP")</f>
        <v/>
      </c>
      <c r="C327">
        <f>BDP(A327&amp;" US Equity","EXCH_CODE")</f>
        <v/>
      </c>
      <c r="D327" s="5">
        <f>BDP(A327&amp;" US Equity","VOLUME_AVG_20D")</f>
        <v/>
      </c>
      <c r="E327" s="6">
        <f>BDP(A327&amp;" US Equity","PX_LAST")</f>
        <v/>
      </c>
      <c r="F327" s="5">
        <f>D327*E327</f>
        <v/>
      </c>
      <c r="G327">
        <f>AND(B327&gt;=50,B327&lt;=10000)</f>
        <v/>
      </c>
      <c r="H327">
        <f>OR(C327="NAS",C327="NYS",C327="ASE")</f>
        <v/>
      </c>
      <c r="I327">
        <f>F327&gt;=500000</f>
        <v/>
      </c>
      <c r="J327">
        <f>E327&gt;=2</f>
        <v/>
      </c>
      <c r="K327">
        <f>AND(G327,H327,I327,J327)</f>
        <v/>
      </c>
    </row>
    <row r="328">
      <c r="B328" s="5">
        <f>BDP(A328&amp;" US Equity","CUR_MKT_CAP")</f>
        <v/>
      </c>
      <c r="C328">
        <f>BDP(A328&amp;" US Equity","EXCH_CODE")</f>
        <v/>
      </c>
      <c r="D328" s="5">
        <f>BDP(A328&amp;" US Equity","VOLUME_AVG_20D")</f>
        <v/>
      </c>
      <c r="E328" s="6">
        <f>BDP(A328&amp;" US Equity","PX_LAST")</f>
        <v/>
      </c>
      <c r="F328" s="5">
        <f>D328*E328</f>
        <v/>
      </c>
      <c r="G328">
        <f>AND(B328&gt;=50,B328&lt;=10000)</f>
        <v/>
      </c>
      <c r="H328">
        <f>OR(C328="NAS",C328="NYS",C328="ASE")</f>
        <v/>
      </c>
      <c r="I328">
        <f>F328&gt;=500000</f>
        <v/>
      </c>
      <c r="J328">
        <f>E328&gt;=2</f>
        <v/>
      </c>
      <c r="K328">
        <f>AND(G328,H328,I328,J328)</f>
        <v/>
      </c>
    </row>
    <row r="329">
      <c r="B329" s="5">
        <f>BDP(A329&amp;" US Equity","CUR_MKT_CAP")</f>
        <v/>
      </c>
      <c r="C329">
        <f>BDP(A329&amp;" US Equity","EXCH_CODE")</f>
        <v/>
      </c>
      <c r="D329" s="5">
        <f>BDP(A329&amp;" US Equity","VOLUME_AVG_20D")</f>
        <v/>
      </c>
      <c r="E329" s="6">
        <f>BDP(A329&amp;" US Equity","PX_LAST")</f>
        <v/>
      </c>
      <c r="F329" s="5">
        <f>D329*E329</f>
        <v/>
      </c>
      <c r="G329">
        <f>AND(B329&gt;=50,B329&lt;=10000)</f>
        <v/>
      </c>
      <c r="H329">
        <f>OR(C329="NAS",C329="NYS",C329="ASE")</f>
        <v/>
      </c>
      <c r="I329">
        <f>F329&gt;=500000</f>
        <v/>
      </c>
      <c r="J329">
        <f>E329&gt;=2</f>
        <v/>
      </c>
      <c r="K329">
        <f>AND(G329,H329,I329,J329)</f>
        <v/>
      </c>
    </row>
    <row r="330">
      <c r="B330" s="5">
        <f>BDP(A330&amp;" US Equity","CUR_MKT_CAP")</f>
        <v/>
      </c>
      <c r="C330">
        <f>BDP(A330&amp;" US Equity","EXCH_CODE")</f>
        <v/>
      </c>
      <c r="D330" s="5">
        <f>BDP(A330&amp;" US Equity","VOLUME_AVG_20D")</f>
        <v/>
      </c>
      <c r="E330" s="6">
        <f>BDP(A330&amp;" US Equity","PX_LAST")</f>
        <v/>
      </c>
      <c r="F330" s="5">
        <f>D330*E330</f>
        <v/>
      </c>
      <c r="G330">
        <f>AND(B330&gt;=50,B330&lt;=10000)</f>
        <v/>
      </c>
      <c r="H330">
        <f>OR(C330="NAS",C330="NYS",C330="ASE")</f>
        <v/>
      </c>
      <c r="I330">
        <f>F330&gt;=500000</f>
        <v/>
      </c>
      <c r="J330">
        <f>E330&gt;=2</f>
        <v/>
      </c>
      <c r="K330">
        <f>AND(G330,H330,I330,J330)</f>
        <v/>
      </c>
    </row>
    <row r="331">
      <c r="B331" s="5">
        <f>BDP(A331&amp;" US Equity","CUR_MKT_CAP")</f>
        <v/>
      </c>
      <c r="C331">
        <f>BDP(A331&amp;" US Equity","EXCH_CODE")</f>
        <v/>
      </c>
      <c r="D331" s="5">
        <f>BDP(A331&amp;" US Equity","VOLUME_AVG_20D")</f>
        <v/>
      </c>
      <c r="E331" s="6">
        <f>BDP(A331&amp;" US Equity","PX_LAST")</f>
        <v/>
      </c>
      <c r="F331" s="5">
        <f>D331*E331</f>
        <v/>
      </c>
      <c r="G331">
        <f>AND(B331&gt;=50,B331&lt;=10000)</f>
        <v/>
      </c>
      <c r="H331">
        <f>OR(C331="NAS",C331="NYS",C331="ASE")</f>
        <v/>
      </c>
      <c r="I331">
        <f>F331&gt;=500000</f>
        <v/>
      </c>
      <c r="J331">
        <f>E331&gt;=2</f>
        <v/>
      </c>
      <c r="K331">
        <f>AND(G331,H331,I331,J331)</f>
        <v/>
      </c>
    </row>
    <row r="332">
      <c r="B332" s="5">
        <f>BDP(A332&amp;" US Equity","CUR_MKT_CAP")</f>
        <v/>
      </c>
      <c r="C332">
        <f>BDP(A332&amp;" US Equity","EXCH_CODE")</f>
        <v/>
      </c>
      <c r="D332" s="5">
        <f>BDP(A332&amp;" US Equity","VOLUME_AVG_20D")</f>
        <v/>
      </c>
      <c r="E332" s="6">
        <f>BDP(A332&amp;" US Equity","PX_LAST")</f>
        <v/>
      </c>
      <c r="F332" s="5">
        <f>D332*E332</f>
        <v/>
      </c>
      <c r="G332">
        <f>AND(B332&gt;=50,B332&lt;=10000)</f>
        <v/>
      </c>
      <c r="H332">
        <f>OR(C332="NAS",C332="NYS",C332="ASE")</f>
        <v/>
      </c>
      <c r="I332">
        <f>F332&gt;=500000</f>
        <v/>
      </c>
      <c r="J332">
        <f>E332&gt;=2</f>
        <v/>
      </c>
      <c r="K332">
        <f>AND(G332,H332,I332,J332)</f>
        <v/>
      </c>
    </row>
    <row r="333">
      <c r="B333" s="5">
        <f>BDP(A333&amp;" US Equity","CUR_MKT_CAP")</f>
        <v/>
      </c>
      <c r="C333">
        <f>BDP(A333&amp;" US Equity","EXCH_CODE")</f>
        <v/>
      </c>
      <c r="D333" s="5">
        <f>BDP(A333&amp;" US Equity","VOLUME_AVG_20D")</f>
        <v/>
      </c>
      <c r="E333" s="6">
        <f>BDP(A333&amp;" US Equity","PX_LAST")</f>
        <v/>
      </c>
      <c r="F333" s="5">
        <f>D333*E333</f>
        <v/>
      </c>
      <c r="G333">
        <f>AND(B333&gt;=50,B333&lt;=10000)</f>
        <v/>
      </c>
      <c r="H333">
        <f>OR(C333="NAS",C333="NYS",C333="ASE")</f>
        <v/>
      </c>
      <c r="I333">
        <f>F333&gt;=500000</f>
        <v/>
      </c>
      <c r="J333">
        <f>E333&gt;=2</f>
        <v/>
      </c>
      <c r="K333">
        <f>AND(G333,H333,I333,J333)</f>
        <v/>
      </c>
    </row>
    <row r="334">
      <c r="B334" s="5">
        <f>BDP(A334&amp;" US Equity","CUR_MKT_CAP")</f>
        <v/>
      </c>
      <c r="C334">
        <f>BDP(A334&amp;" US Equity","EXCH_CODE")</f>
        <v/>
      </c>
      <c r="D334" s="5">
        <f>BDP(A334&amp;" US Equity","VOLUME_AVG_20D")</f>
        <v/>
      </c>
      <c r="E334" s="6">
        <f>BDP(A334&amp;" US Equity","PX_LAST")</f>
        <v/>
      </c>
      <c r="F334" s="5">
        <f>D334*E334</f>
        <v/>
      </c>
      <c r="G334">
        <f>AND(B334&gt;=50,B334&lt;=10000)</f>
        <v/>
      </c>
      <c r="H334">
        <f>OR(C334="NAS",C334="NYS",C334="ASE")</f>
        <v/>
      </c>
      <c r="I334">
        <f>F334&gt;=500000</f>
        <v/>
      </c>
      <c r="J334">
        <f>E334&gt;=2</f>
        <v/>
      </c>
      <c r="K334">
        <f>AND(G334,H334,I334,J334)</f>
        <v/>
      </c>
    </row>
    <row r="335">
      <c r="B335" s="5">
        <f>BDP(A335&amp;" US Equity","CUR_MKT_CAP")</f>
        <v/>
      </c>
      <c r="C335">
        <f>BDP(A335&amp;" US Equity","EXCH_CODE")</f>
        <v/>
      </c>
      <c r="D335" s="5">
        <f>BDP(A335&amp;" US Equity","VOLUME_AVG_20D")</f>
        <v/>
      </c>
      <c r="E335" s="6">
        <f>BDP(A335&amp;" US Equity","PX_LAST")</f>
        <v/>
      </c>
      <c r="F335" s="5">
        <f>D335*E335</f>
        <v/>
      </c>
      <c r="G335">
        <f>AND(B335&gt;=50,B335&lt;=10000)</f>
        <v/>
      </c>
      <c r="H335">
        <f>OR(C335="NAS",C335="NYS",C335="ASE")</f>
        <v/>
      </c>
      <c r="I335">
        <f>F335&gt;=500000</f>
        <v/>
      </c>
      <c r="J335">
        <f>E335&gt;=2</f>
        <v/>
      </c>
      <c r="K335">
        <f>AND(G335,H335,I335,J335)</f>
        <v/>
      </c>
    </row>
    <row r="336">
      <c r="B336" s="5">
        <f>BDP(A336&amp;" US Equity","CUR_MKT_CAP")</f>
        <v/>
      </c>
      <c r="C336">
        <f>BDP(A336&amp;" US Equity","EXCH_CODE")</f>
        <v/>
      </c>
      <c r="D336" s="5">
        <f>BDP(A336&amp;" US Equity","VOLUME_AVG_20D")</f>
        <v/>
      </c>
      <c r="E336" s="6">
        <f>BDP(A336&amp;" US Equity","PX_LAST")</f>
        <v/>
      </c>
      <c r="F336" s="5">
        <f>D336*E336</f>
        <v/>
      </c>
      <c r="G336">
        <f>AND(B336&gt;=50,B336&lt;=10000)</f>
        <v/>
      </c>
      <c r="H336">
        <f>OR(C336="NAS",C336="NYS",C336="ASE")</f>
        <v/>
      </c>
      <c r="I336">
        <f>F336&gt;=500000</f>
        <v/>
      </c>
      <c r="J336">
        <f>E336&gt;=2</f>
        <v/>
      </c>
      <c r="K336">
        <f>AND(G336,H336,I336,J336)</f>
        <v/>
      </c>
    </row>
    <row r="337">
      <c r="B337" s="5">
        <f>BDP(A337&amp;" US Equity","CUR_MKT_CAP")</f>
        <v/>
      </c>
      <c r="C337">
        <f>BDP(A337&amp;" US Equity","EXCH_CODE")</f>
        <v/>
      </c>
      <c r="D337" s="5">
        <f>BDP(A337&amp;" US Equity","VOLUME_AVG_20D")</f>
        <v/>
      </c>
      <c r="E337" s="6">
        <f>BDP(A337&amp;" US Equity","PX_LAST")</f>
        <v/>
      </c>
      <c r="F337" s="5">
        <f>D337*E337</f>
        <v/>
      </c>
      <c r="G337">
        <f>AND(B337&gt;=50,B337&lt;=10000)</f>
        <v/>
      </c>
      <c r="H337">
        <f>OR(C337="NAS",C337="NYS",C337="ASE")</f>
        <v/>
      </c>
      <c r="I337">
        <f>F337&gt;=500000</f>
        <v/>
      </c>
      <c r="J337">
        <f>E337&gt;=2</f>
        <v/>
      </c>
      <c r="K337">
        <f>AND(G337,H337,I337,J337)</f>
        <v/>
      </c>
    </row>
    <row r="338">
      <c r="B338" s="5">
        <f>BDP(A338&amp;" US Equity","CUR_MKT_CAP")</f>
        <v/>
      </c>
      <c r="C338">
        <f>BDP(A338&amp;" US Equity","EXCH_CODE")</f>
        <v/>
      </c>
      <c r="D338" s="5">
        <f>BDP(A338&amp;" US Equity","VOLUME_AVG_20D")</f>
        <v/>
      </c>
      <c r="E338" s="6">
        <f>BDP(A338&amp;" US Equity","PX_LAST")</f>
        <v/>
      </c>
      <c r="F338" s="5">
        <f>D338*E338</f>
        <v/>
      </c>
      <c r="G338">
        <f>AND(B338&gt;=50,B338&lt;=10000)</f>
        <v/>
      </c>
      <c r="H338">
        <f>OR(C338="NAS",C338="NYS",C338="ASE")</f>
        <v/>
      </c>
      <c r="I338">
        <f>F338&gt;=500000</f>
        <v/>
      </c>
      <c r="J338">
        <f>E338&gt;=2</f>
        <v/>
      </c>
      <c r="K338">
        <f>AND(G338,H338,I338,J338)</f>
        <v/>
      </c>
    </row>
    <row r="339">
      <c r="B339" s="5">
        <f>BDP(A339&amp;" US Equity","CUR_MKT_CAP")</f>
        <v/>
      </c>
      <c r="C339">
        <f>BDP(A339&amp;" US Equity","EXCH_CODE")</f>
        <v/>
      </c>
      <c r="D339" s="5">
        <f>BDP(A339&amp;" US Equity","VOLUME_AVG_20D")</f>
        <v/>
      </c>
      <c r="E339" s="6">
        <f>BDP(A339&amp;" US Equity","PX_LAST")</f>
        <v/>
      </c>
      <c r="F339" s="5">
        <f>D339*E339</f>
        <v/>
      </c>
      <c r="G339">
        <f>AND(B339&gt;=50,B339&lt;=10000)</f>
        <v/>
      </c>
      <c r="H339">
        <f>OR(C339="NAS",C339="NYS",C339="ASE")</f>
        <v/>
      </c>
      <c r="I339">
        <f>F339&gt;=500000</f>
        <v/>
      </c>
      <c r="J339">
        <f>E339&gt;=2</f>
        <v/>
      </c>
      <c r="K339">
        <f>AND(G339,H339,I339,J339)</f>
        <v/>
      </c>
    </row>
    <row r="340">
      <c r="B340" s="5">
        <f>BDP(A340&amp;" US Equity","CUR_MKT_CAP")</f>
        <v/>
      </c>
      <c r="C340">
        <f>BDP(A340&amp;" US Equity","EXCH_CODE")</f>
        <v/>
      </c>
      <c r="D340" s="5">
        <f>BDP(A340&amp;" US Equity","VOLUME_AVG_20D")</f>
        <v/>
      </c>
      <c r="E340" s="6">
        <f>BDP(A340&amp;" US Equity","PX_LAST")</f>
        <v/>
      </c>
      <c r="F340" s="5">
        <f>D340*E340</f>
        <v/>
      </c>
      <c r="G340">
        <f>AND(B340&gt;=50,B340&lt;=10000)</f>
        <v/>
      </c>
      <c r="H340">
        <f>OR(C340="NAS",C340="NYS",C340="ASE")</f>
        <v/>
      </c>
      <c r="I340">
        <f>F340&gt;=500000</f>
        <v/>
      </c>
      <c r="J340">
        <f>E340&gt;=2</f>
        <v/>
      </c>
      <c r="K340">
        <f>AND(G340,H340,I340,J340)</f>
        <v/>
      </c>
    </row>
    <row r="341">
      <c r="B341" s="5">
        <f>BDP(A341&amp;" US Equity","CUR_MKT_CAP")</f>
        <v/>
      </c>
      <c r="C341">
        <f>BDP(A341&amp;" US Equity","EXCH_CODE")</f>
        <v/>
      </c>
      <c r="D341" s="5">
        <f>BDP(A341&amp;" US Equity","VOLUME_AVG_20D")</f>
        <v/>
      </c>
      <c r="E341" s="6">
        <f>BDP(A341&amp;" US Equity","PX_LAST")</f>
        <v/>
      </c>
      <c r="F341" s="5">
        <f>D341*E341</f>
        <v/>
      </c>
      <c r="G341">
        <f>AND(B341&gt;=50,B341&lt;=10000)</f>
        <v/>
      </c>
      <c r="H341">
        <f>OR(C341="NAS",C341="NYS",C341="ASE")</f>
        <v/>
      </c>
      <c r="I341">
        <f>F341&gt;=500000</f>
        <v/>
      </c>
      <c r="J341">
        <f>E341&gt;=2</f>
        <v/>
      </c>
      <c r="K341">
        <f>AND(G341,H341,I341,J341)</f>
        <v/>
      </c>
    </row>
    <row r="342">
      <c r="B342" s="5">
        <f>BDP(A342&amp;" US Equity","CUR_MKT_CAP")</f>
        <v/>
      </c>
      <c r="C342">
        <f>BDP(A342&amp;" US Equity","EXCH_CODE")</f>
        <v/>
      </c>
      <c r="D342" s="5">
        <f>BDP(A342&amp;" US Equity","VOLUME_AVG_20D")</f>
        <v/>
      </c>
      <c r="E342" s="6">
        <f>BDP(A342&amp;" US Equity","PX_LAST")</f>
        <v/>
      </c>
      <c r="F342" s="5">
        <f>D342*E342</f>
        <v/>
      </c>
      <c r="G342">
        <f>AND(B342&gt;=50,B342&lt;=10000)</f>
        <v/>
      </c>
      <c r="H342">
        <f>OR(C342="NAS",C342="NYS",C342="ASE")</f>
        <v/>
      </c>
      <c r="I342">
        <f>F342&gt;=500000</f>
        <v/>
      </c>
      <c r="J342">
        <f>E342&gt;=2</f>
        <v/>
      </c>
      <c r="K342">
        <f>AND(G342,H342,I342,J342)</f>
        <v/>
      </c>
    </row>
    <row r="343">
      <c r="B343" s="5">
        <f>BDP(A343&amp;" US Equity","CUR_MKT_CAP")</f>
        <v/>
      </c>
      <c r="C343">
        <f>BDP(A343&amp;" US Equity","EXCH_CODE")</f>
        <v/>
      </c>
      <c r="D343" s="5">
        <f>BDP(A343&amp;" US Equity","VOLUME_AVG_20D")</f>
        <v/>
      </c>
      <c r="E343" s="6">
        <f>BDP(A343&amp;" US Equity","PX_LAST")</f>
        <v/>
      </c>
      <c r="F343" s="5">
        <f>D343*E343</f>
        <v/>
      </c>
      <c r="G343">
        <f>AND(B343&gt;=50,B343&lt;=10000)</f>
        <v/>
      </c>
      <c r="H343">
        <f>OR(C343="NAS",C343="NYS",C343="ASE")</f>
        <v/>
      </c>
      <c r="I343">
        <f>F343&gt;=500000</f>
        <v/>
      </c>
      <c r="J343">
        <f>E343&gt;=2</f>
        <v/>
      </c>
      <c r="K343">
        <f>AND(G343,H343,I343,J343)</f>
        <v/>
      </c>
    </row>
    <row r="344">
      <c r="B344" s="5">
        <f>BDP(A344&amp;" US Equity","CUR_MKT_CAP")</f>
        <v/>
      </c>
      <c r="C344">
        <f>BDP(A344&amp;" US Equity","EXCH_CODE")</f>
        <v/>
      </c>
      <c r="D344" s="5">
        <f>BDP(A344&amp;" US Equity","VOLUME_AVG_20D")</f>
        <v/>
      </c>
      <c r="E344" s="6">
        <f>BDP(A344&amp;" US Equity","PX_LAST")</f>
        <v/>
      </c>
      <c r="F344" s="5">
        <f>D344*E344</f>
        <v/>
      </c>
      <c r="G344">
        <f>AND(B344&gt;=50,B344&lt;=10000)</f>
        <v/>
      </c>
      <c r="H344">
        <f>OR(C344="NAS",C344="NYS",C344="ASE")</f>
        <v/>
      </c>
      <c r="I344">
        <f>F344&gt;=500000</f>
        <v/>
      </c>
      <c r="J344">
        <f>E344&gt;=2</f>
        <v/>
      </c>
      <c r="K344">
        <f>AND(G344,H344,I344,J344)</f>
        <v/>
      </c>
    </row>
    <row r="345">
      <c r="B345" s="5">
        <f>BDP(A345&amp;" US Equity","CUR_MKT_CAP")</f>
        <v/>
      </c>
      <c r="C345">
        <f>BDP(A345&amp;" US Equity","EXCH_CODE")</f>
        <v/>
      </c>
      <c r="D345" s="5">
        <f>BDP(A345&amp;" US Equity","VOLUME_AVG_20D")</f>
        <v/>
      </c>
      <c r="E345" s="6">
        <f>BDP(A345&amp;" US Equity","PX_LAST")</f>
        <v/>
      </c>
      <c r="F345" s="5">
        <f>D345*E345</f>
        <v/>
      </c>
      <c r="G345">
        <f>AND(B345&gt;=50,B345&lt;=10000)</f>
        <v/>
      </c>
      <c r="H345">
        <f>OR(C345="NAS",C345="NYS",C345="ASE")</f>
        <v/>
      </c>
      <c r="I345">
        <f>F345&gt;=500000</f>
        <v/>
      </c>
      <c r="J345">
        <f>E345&gt;=2</f>
        <v/>
      </c>
      <c r="K345">
        <f>AND(G345,H345,I345,J345)</f>
        <v/>
      </c>
    </row>
    <row r="346">
      <c r="B346" s="5">
        <f>BDP(A346&amp;" US Equity","CUR_MKT_CAP")</f>
        <v/>
      </c>
      <c r="C346">
        <f>BDP(A346&amp;" US Equity","EXCH_CODE")</f>
        <v/>
      </c>
      <c r="D346" s="5">
        <f>BDP(A346&amp;" US Equity","VOLUME_AVG_20D")</f>
        <v/>
      </c>
      <c r="E346" s="6">
        <f>BDP(A346&amp;" US Equity","PX_LAST")</f>
        <v/>
      </c>
      <c r="F346" s="5">
        <f>D346*E346</f>
        <v/>
      </c>
      <c r="G346">
        <f>AND(B346&gt;=50,B346&lt;=10000)</f>
        <v/>
      </c>
      <c r="H346">
        <f>OR(C346="NAS",C346="NYS",C346="ASE")</f>
        <v/>
      </c>
      <c r="I346">
        <f>F346&gt;=500000</f>
        <v/>
      </c>
      <c r="J346">
        <f>E346&gt;=2</f>
        <v/>
      </c>
      <c r="K346">
        <f>AND(G346,H346,I346,J346)</f>
        <v/>
      </c>
    </row>
    <row r="347">
      <c r="B347" s="5">
        <f>BDP(A347&amp;" US Equity","CUR_MKT_CAP")</f>
        <v/>
      </c>
      <c r="C347">
        <f>BDP(A347&amp;" US Equity","EXCH_CODE")</f>
        <v/>
      </c>
      <c r="D347" s="5">
        <f>BDP(A347&amp;" US Equity","VOLUME_AVG_20D")</f>
        <v/>
      </c>
      <c r="E347" s="6">
        <f>BDP(A347&amp;" US Equity","PX_LAST")</f>
        <v/>
      </c>
      <c r="F347" s="5">
        <f>D347*E347</f>
        <v/>
      </c>
      <c r="G347">
        <f>AND(B347&gt;=50,B347&lt;=10000)</f>
        <v/>
      </c>
      <c r="H347">
        <f>OR(C347="NAS",C347="NYS",C347="ASE")</f>
        <v/>
      </c>
      <c r="I347">
        <f>F347&gt;=500000</f>
        <v/>
      </c>
      <c r="J347">
        <f>E347&gt;=2</f>
        <v/>
      </c>
      <c r="K347">
        <f>AND(G347,H347,I347,J347)</f>
        <v/>
      </c>
    </row>
    <row r="348">
      <c r="B348" s="5">
        <f>BDP(A348&amp;" US Equity","CUR_MKT_CAP")</f>
        <v/>
      </c>
      <c r="C348">
        <f>BDP(A348&amp;" US Equity","EXCH_CODE")</f>
        <v/>
      </c>
      <c r="D348" s="5">
        <f>BDP(A348&amp;" US Equity","VOLUME_AVG_20D")</f>
        <v/>
      </c>
      <c r="E348" s="6">
        <f>BDP(A348&amp;" US Equity","PX_LAST")</f>
        <v/>
      </c>
      <c r="F348" s="5">
        <f>D348*E348</f>
        <v/>
      </c>
      <c r="G348">
        <f>AND(B348&gt;=50,B348&lt;=10000)</f>
        <v/>
      </c>
      <c r="H348">
        <f>OR(C348="NAS",C348="NYS",C348="ASE")</f>
        <v/>
      </c>
      <c r="I348">
        <f>F348&gt;=500000</f>
        <v/>
      </c>
      <c r="J348">
        <f>E348&gt;=2</f>
        <v/>
      </c>
      <c r="K348">
        <f>AND(G348,H348,I348,J348)</f>
        <v/>
      </c>
    </row>
    <row r="349">
      <c r="B349" s="5">
        <f>BDP(A349&amp;" US Equity","CUR_MKT_CAP")</f>
        <v/>
      </c>
      <c r="C349">
        <f>BDP(A349&amp;" US Equity","EXCH_CODE")</f>
        <v/>
      </c>
      <c r="D349" s="5">
        <f>BDP(A349&amp;" US Equity","VOLUME_AVG_20D")</f>
        <v/>
      </c>
      <c r="E349" s="6">
        <f>BDP(A349&amp;" US Equity","PX_LAST")</f>
        <v/>
      </c>
      <c r="F349" s="5">
        <f>D349*E349</f>
        <v/>
      </c>
      <c r="G349">
        <f>AND(B349&gt;=50,B349&lt;=10000)</f>
        <v/>
      </c>
      <c r="H349">
        <f>OR(C349="NAS",C349="NYS",C349="ASE")</f>
        <v/>
      </c>
      <c r="I349">
        <f>F349&gt;=500000</f>
        <v/>
      </c>
      <c r="J349">
        <f>E349&gt;=2</f>
        <v/>
      </c>
      <c r="K349">
        <f>AND(G349,H349,I349,J349)</f>
        <v/>
      </c>
    </row>
    <row r="350">
      <c r="B350" s="5">
        <f>BDP(A350&amp;" US Equity","CUR_MKT_CAP")</f>
        <v/>
      </c>
      <c r="C350">
        <f>BDP(A350&amp;" US Equity","EXCH_CODE")</f>
        <v/>
      </c>
      <c r="D350" s="5">
        <f>BDP(A350&amp;" US Equity","VOLUME_AVG_20D")</f>
        <v/>
      </c>
      <c r="E350" s="6">
        <f>BDP(A350&amp;" US Equity","PX_LAST")</f>
        <v/>
      </c>
      <c r="F350" s="5">
        <f>D350*E350</f>
        <v/>
      </c>
      <c r="G350">
        <f>AND(B350&gt;=50,B350&lt;=10000)</f>
        <v/>
      </c>
      <c r="H350">
        <f>OR(C350="NAS",C350="NYS",C350="ASE")</f>
        <v/>
      </c>
      <c r="I350">
        <f>F350&gt;=500000</f>
        <v/>
      </c>
      <c r="J350">
        <f>E350&gt;=2</f>
        <v/>
      </c>
      <c r="K350">
        <f>AND(G350,H350,I350,J350)</f>
        <v/>
      </c>
    </row>
    <row r="351">
      <c r="B351" s="5">
        <f>BDP(A351&amp;" US Equity","CUR_MKT_CAP")</f>
        <v/>
      </c>
      <c r="C351">
        <f>BDP(A351&amp;" US Equity","EXCH_CODE")</f>
        <v/>
      </c>
      <c r="D351" s="5">
        <f>BDP(A351&amp;" US Equity","VOLUME_AVG_20D")</f>
        <v/>
      </c>
      <c r="E351" s="6">
        <f>BDP(A351&amp;" US Equity","PX_LAST")</f>
        <v/>
      </c>
      <c r="F351" s="5">
        <f>D351*E351</f>
        <v/>
      </c>
      <c r="G351">
        <f>AND(B351&gt;=50,B351&lt;=10000)</f>
        <v/>
      </c>
      <c r="H351">
        <f>OR(C351="NAS",C351="NYS",C351="ASE")</f>
        <v/>
      </c>
      <c r="I351">
        <f>F351&gt;=500000</f>
        <v/>
      </c>
      <c r="J351">
        <f>E351&gt;=2</f>
        <v/>
      </c>
      <c r="K351">
        <f>AND(G351,H351,I351,J351)</f>
        <v/>
      </c>
    </row>
    <row r="352">
      <c r="B352" s="5">
        <f>BDP(A352&amp;" US Equity","CUR_MKT_CAP")</f>
        <v/>
      </c>
      <c r="C352">
        <f>BDP(A352&amp;" US Equity","EXCH_CODE")</f>
        <v/>
      </c>
      <c r="D352" s="5">
        <f>BDP(A352&amp;" US Equity","VOLUME_AVG_20D")</f>
        <v/>
      </c>
      <c r="E352" s="6">
        <f>BDP(A352&amp;" US Equity","PX_LAST")</f>
        <v/>
      </c>
      <c r="F352" s="5">
        <f>D352*E352</f>
        <v/>
      </c>
      <c r="G352">
        <f>AND(B352&gt;=50,B352&lt;=10000)</f>
        <v/>
      </c>
      <c r="H352">
        <f>OR(C352="NAS",C352="NYS",C352="ASE")</f>
        <v/>
      </c>
      <c r="I352">
        <f>F352&gt;=500000</f>
        <v/>
      </c>
      <c r="J352">
        <f>E352&gt;=2</f>
        <v/>
      </c>
      <c r="K352">
        <f>AND(G352,H352,I352,J352)</f>
        <v/>
      </c>
    </row>
    <row r="353">
      <c r="B353" s="5">
        <f>BDP(A353&amp;" US Equity","CUR_MKT_CAP")</f>
        <v/>
      </c>
      <c r="C353">
        <f>BDP(A353&amp;" US Equity","EXCH_CODE")</f>
        <v/>
      </c>
      <c r="D353" s="5">
        <f>BDP(A353&amp;" US Equity","VOLUME_AVG_20D")</f>
        <v/>
      </c>
      <c r="E353" s="6">
        <f>BDP(A353&amp;" US Equity","PX_LAST")</f>
        <v/>
      </c>
      <c r="F353" s="5">
        <f>D353*E353</f>
        <v/>
      </c>
      <c r="G353">
        <f>AND(B353&gt;=50,B353&lt;=10000)</f>
        <v/>
      </c>
      <c r="H353">
        <f>OR(C353="NAS",C353="NYS",C353="ASE")</f>
        <v/>
      </c>
      <c r="I353">
        <f>F353&gt;=500000</f>
        <v/>
      </c>
      <c r="J353">
        <f>E353&gt;=2</f>
        <v/>
      </c>
      <c r="K353">
        <f>AND(G353,H353,I353,J353)</f>
        <v/>
      </c>
    </row>
    <row r="354">
      <c r="B354" s="5">
        <f>BDP(A354&amp;" US Equity","CUR_MKT_CAP")</f>
        <v/>
      </c>
      <c r="C354">
        <f>BDP(A354&amp;" US Equity","EXCH_CODE")</f>
        <v/>
      </c>
      <c r="D354" s="5">
        <f>BDP(A354&amp;" US Equity","VOLUME_AVG_20D")</f>
        <v/>
      </c>
      <c r="E354" s="6">
        <f>BDP(A354&amp;" US Equity","PX_LAST")</f>
        <v/>
      </c>
      <c r="F354" s="5">
        <f>D354*E354</f>
        <v/>
      </c>
      <c r="G354">
        <f>AND(B354&gt;=50,B354&lt;=10000)</f>
        <v/>
      </c>
      <c r="H354">
        <f>OR(C354="NAS",C354="NYS",C354="ASE")</f>
        <v/>
      </c>
      <c r="I354">
        <f>F354&gt;=500000</f>
        <v/>
      </c>
      <c r="J354">
        <f>E354&gt;=2</f>
        <v/>
      </c>
      <c r="K354">
        <f>AND(G354,H354,I354,J354)</f>
        <v/>
      </c>
    </row>
    <row r="355">
      <c r="B355" s="5">
        <f>BDP(A355&amp;" US Equity","CUR_MKT_CAP")</f>
        <v/>
      </c>
      <c r="C355">
        <f>BDP(A355&amp;" US Equity","EXCH_CODE")</f>
        <v/>
      </c>
      <c r="D355" s="5">
        <f>BDP(A355&amp;" US Equity","VOLUME_AVG_20D")</f>
        <v/>
      </c>
      <c r="E355" s="6">
        <f>BDP(A355&amp;" US Equity","PX_LAST")</f>
        <v/>
      </c>
      <c r="F355" s="5">
        <f>D355*E355</f>
        <v/>
      </c>
      <c r="G355">
        <f>AND(B355&gt;=50,B355&lt;=10000)</f>
        <v/>
      </c>
      <c r="H355">
        <f>OR(C355="NAS",C355="NYS",C355="ASE")</f>
        <v/>
      </c>
      <c r="I355">
        <f>F355&gt;=500000</f>
        <v/>
      </c>
      <c r="J355">
        <f>E355&gt;=2</f>
        <v/>
      </c>
      <c r="K355">
        <f>AND(G355,H355,I355,J355)</f>
        <v/>
      </c>
    </row>
    <row r="356">
      <c r="B356" s="5">
        <f>BDP(A356&amp;" US Equity","CUR_MKT_CAP")</f>
        <v/>
      </c>
      <c r="C356">
        <f>BDP(A356&amp;" US Equity","EXCH_CODE")</f>
        <v/>
      </c>
      <c r="D356" s="5">
        <f>BDP(A356&amp;" US Equity","VOLUME_AVG_20D")</f>
        <v/>
      </c>
      <c r="E356" s="6">
        <f>BDP(A356&amp;" US Equity","PX_LAST")</f>
        <v/>
      </c>
      <c r="F356" s="5">
        <f>D356*E356</f>
        <v/>
      </c>
      <c r="G356">
        <f>AND(B356&gt;=50,B356&lt;=10000)</f>
        <v/>
      </c>
      <c r="H356">
        <f>OR(C356="NAS",C356="NYS",C356="ASE")</f>
        <v/>
      </c>
      <c r="I356">
        <f>F356&gt;=500000</f>
        <v/>
      </c>
      <c r="J356">
        <f>E356&gt;=2</f>
        <v/>
      </c>
      <c r="K356">
        <f>AND(G356,H356,I356,J356)</f>
        <v/>
      </c>
    </row>
    <row r="357">
      <c r="B357" s="5">
        <f>BDP(A357&amp;" US Equity","CUR_MKT_CAP")</f>
        <v/>
      </c>
      <c r="C357">
        <f>BDP(A357&amp;" US Equity","EXCH_CODE")</f>
        <v/>
      </c>
      <c r="D357" s="5">
        <f>BDP(A357&amp;" US Equity","VOLUME_AVG_20D")</f>
        <v/>
      </c>
      <c r="E357" s="6">
        <f>BDP(A357&amp;" US Equity","PX_LAST")</f>
        <v/>
      </c>
      <c r="F357" s="5">
        <f>D357*E357</f>
        <v/>
      </c>
      <c r="G357">
        <f>AND(B357&gt;=50,B357&lt;=10000)</f>
        <v/>
      </c>
      <c r="H357">
        <f>OR(C357="NAS",C357="NYS",C357="ASE")</f>
        <v/>
      </c>
      <c r="I357">
        <f>F357&gt;=500000</f>
        <v/>
      </c>
      <c r="J357">
        <f>E357&gt;=2</f>
        <v/>
      </c>
      <c r="K357">
        <f>AND(G357,H357,I357,J357)</f>
        <v/>
      </c>
    </row>
    <row r="358">
      <c r="B358" s="5">
        <f>BDP(A358&amp;" US Equity","CUR_MKT_CAP")</f>
        <v/>
      </c>
      <c r="C358">
        <f>BDP(A358&amp;" US Equity","EXCH_CODE")</f>
        <v/>
      </c>
      <c r="D358" s="5">
        <f>BDP(A358&amp;" US Equity","VOLUME_AVG_20D")</f>
        <v/>
      </c>
      <c r="E358" s="6">
        <f>BDP(A358&amp;" US Equity","PX_LAST")</f>
        <v/>
      </c>
      <c r="F358" s="5">
        <f>D358*E358</f>
        <v/>
      </c>
      <c r="G358">
        <f>AND(B358&gt;=50,B358&lt;=10000)</f>
        <v/>
      </c>
      <c r="H358">
        <f>OR(C358="NAS",C358="NYS",C358="ASE")</f>
        <v/>
      </c>
      <c r="I358">
        <f>F358&gt;=500000</f>
        <v/>
      </c>
      <c r="J358">
        <f>E358&gt;=2</f>
        <v/>
      </c>
      <c r="K358">
        <f>AND(G358,H358,I358,J358)</f>
        <v/>
      </c>
    </row>
    <row r="359">
      <c r="B359" s="5">
        <f>BDP(A359&amp;" US Equity","CUR_MKT_CAP")</f>
        <v/>
      </c>
      <c r="C359">
        <f>BDP(A359&amp;" US Equity","EXCH_CODE")</f>
        <v/>
      </c>
      <c r="D359" s="5">
        <f>BDP(A359&amp;" US Equity","VOLUME_AVG_20D")</f>
        <v/>
      </c>
      <c r="E359" s="6">
        <f>BDP(A359&amp;" US Equity","PX_LAST")</f>
        <v/>
      </c>
      <c r="F359" s="5">
        <f>D359*E359</f>
        <v/>
      </c>
      <c r="G359">
        <f>AND(B359&gt;=50,B359&lt;=10000)</f>
        <v/>
      </c>
      <c r="H359">
        <f>OR(C359="NAS",C359="NYS",C359="ASE")</f>
        <v/>
      </c>
      <c r="I359">
        <f>F359&gt;=500000</f>
        <v/>
      </c>
      <c r="J359">
        <f>E359&gt;=2</f>
        <v/>
      </c>
      <c r="K359">
        <f>AND(G359,H359,I359,J359)</f>
        <v/>
      </c>
    </row>
    <row r="360">
      <c r="B360" s="5">
        <f>BDP(A360&amp;" US Equity","CUR_MKT_CAP")</f>
        <v/>
      </c>
      <c r="C360">
        <f>BDP(A360&amp;" US Equity","EXCH_CODE")</f>
        <v/>
      </c>
      <c r="D360" s="5">
        <f>BDP(A360&amp;" US Equity","VOLUME_AVG_20D")</f>
        <v/>
      </c>
      <c r="E360" s="6">
        <f>BDP(A360&amp;" US Equity","PX_LAST")</f>
        <v/>
      </c>
      <c r="F360" s="5">
        <f>D360*E360</f>
        <v/>
      </c>
      <c r="G360">
        <f>AND(B360&gt;=50,B360&lt;=10000)</f>
        <v/>
      </c>
      <c r="H360">
        <f>OR(C360="NAS",C360="NYS",C360="ASE")</f>
        <v/>
      </c>
      <c r="I360">
        <f>F360&gt;=500000</f>
        <v/>
      </c>
      <c r="J360">
        <f>E360&gt;=2</f>
        <v/>
      </c>
      <c r="K360">
        <f>AND(G360,H360,I360,J360)</f>
        <v/>
      </c>
    </row>
    <row r="361">
      <c r="B361" s="5">
        <f>BDP(A361&amp;" US Equity","CUR_MKT_CAP")</f>
        <v/>
      </c>
      <c r="C361">
        <f>BDP(A361&amp;" US Equity","EXCH_CODE")</f>
        <v/>
      </c>
      <c r="D361" s="5">
        <f>BDP(A361&amp;" US Equity","VOLUME_AVG_20D")</f>
        <v/>
      </c>
      <c r="E361" s="6">
        <f>BDP(A361&amp;" US Equity","PX_LAST")</f>
        <v/>
      </c>
      <c r="F361" s="5">
        <f>D361*E361</f>
        <v/>
      </c>
      <c r="G361">
        <f>AND(B361&gt;=50,B361&lt;=10000)</f>
        <v/>
      </c>
      <c r="H361">
        <f>OR(C361="NAS",C361="NYS",C361="ASE")</f>
        <v/>
      </c>
      <c r="I361">
        <f>F361&gt;=500000</f>
        <v/>
      </c>
      <c r="J361">
        <f>E361&gt;=2</f>
        <v/>
      </c>
      <c r="K361">
        <f>AND(G361,H361,I361,J361)</f>
        <v/>
      </c>
    </row>
    <row r="362">
      <c r="B362" s="5">
        <f>BDP(A362&amp;" US Equity","CUR_MKT_CAP")</f>
        <v/>
      </c>
      <c r="C362">
        <f>BDP(A362&amp;" US Equity","EXCH_CODE")</f>
        <v/>
      </c>
      <c r="D362" s="5">
        <f>BDP(A362&amp;" US Equity","VOLUME_AVG_20D")</f>
        <v/>
      </c>
      <c r="E362" s="6">
        <f>BDP(A362&amp;" US Equity","PX_LAST")</f>
        <v/>
      </c>
      <c r="F362" s="5">
        <f>D362*E362</f>
        <v/>
      </c>
      <c r="G362">
        <f>AND(B362&gt;=50,B362&lt;=10000)</f>
        <v/>
      </c>
      <c r="H362">
        <f>OR(C362="NAS",C362="NYS",C362="ASE")</f>
        <v/>
      </c>
      <c r="I362">
        <f>F362&gt;=500000</f>
        <v/>
      </c>
      <c r="J362">
        <f>E362&gt;=2</f>
        <v/>
      </c>
      <c r="K362">
        <f>AND(G362,H362,I362,J362)</f>
        <v/>
      </c>
    </row>
    <row r="363">
      <c r="B363" s="5">
        <f>BDP(A363&amp;" US Equity","CUR_MKT_CAP")</f>
        <v/>
      </c>
      <c r="C363">
        <f>BDP(A363&amp;" US Equity","EXCH_CODE")</f>
        <v/>
      </c>
      <c r="D363" s="5">
        <f>BDP(A363&amp;" US Equity","VOLUME_AVG_20D")</f>
        <v/>
      </c>
      <c r="E363" s="6">
        <f>BDP(A363&amp;" US Equity","PX_LAST")</f>
        <v/>
      </c>
      <c r="F363" s="5">
        <f>D363*E363</f>
        <v/>
      </c>
      <c r="G363">
        <f>AND(B363&gt;=50,B363&lt;=10000)</f>
        <v/>
      </c>
      <c r="H363">
        <f>OR(C363="NAS",C363="NYS",C363="ASE")</f>
        <v/>
      </c>
      <c r="I363">
        <f>F363&gt;=500000</f>
        <v/>
      </c>
      <c r="J363">
        <f>E363&gt;=2</f>
        <v/>
      </c>
      <c r="K363">
        <f>AND(G363,H363,I363,J363)</f>
        <v/>
      </c>
    </row>
    <row r="364">
      <c r="B364" s="5">
        <f>BDP(A364&amp;" US Equity","CUR_MKT_CAP")</f>
        <v/>
      </c>
      <c r="C364">
        <f>BDP(A364&amp;" US Equity","EXCH_CODE")</f>
        <v/>
      </c>
      <c r="D364" s="5">
        <f>BDP(A364&amp;" US Equity","VOLUME_AVG_20D")</f>
        <v/>
      </c>
      <c r="E364" s="6">
        <f>BDP(A364&amp;" US Equity","PX_LAST")</f>
        <v/>
      </c>
      <c r="F364" s="5">
        <f>D364*E364</f>
        <v/>
      </c>
      <c r="G364">
        <f>AND(B364&gt;=50,B364&lt;=10000)</f>
        <v/>
      </c>
      <c r="H364">
        <f>OR(C364="NAS",C364="NYS",C364="ASE")</f>
        <v/>
      </c>
      <c r="I364">
        <f>F364&gt;=500000</f>
        <v/>
      </c>
      <c r="J364">
        <f>E364&gt;=2</f>
        <v/>
      </c>
      <c r="K364">
        <f>AND(G364,H364,I364,J364)</f>
        <v/>
      </c>
    </row>
    <row r="365">
      <c r="B365" s="5">
        <f>BDP(A365&amp;" US Equity","CUR_MKT_CAP")</f>
        <v/>
      </c>
      <c r="C365">
        <f>BDP(A365&amp;" US Equity","EXCH_CODE")</f>
        <v/>
      </c>
      <c r="D365" s="5">
        <f>BDP(A365&amp;" US Equity","VOLUME_AVG_20D")</f>
        <v/>
      </c>
      <c r="E365" s="6">
        <f>BDP(A365&amp;" US Equity","PX_LAST")</f>
        <v/>
      </c>
      <c r="F365" s="5">
        <f>D365*E365</f>
        <v/>
      </c>
      <c r="G365">
        <f>AND(B365&gt;=50,B365&lt;=10000)</f>
        <v/>
      </c>
      <c r="H365">
        <f>OR(C365="NAS",C365="NYS",C365="ASE")</f>
        <v/>
      </c>
      <c r="I365">
        <f>F365&gt;=500000</f>
        <v/>
      </c>
      <c r="J365">
        <f>E365&gt;=2</f>
        <v/>
      </c>
      <c r="K365">
        <f>AND(G365,H365,I365,J365)</f>
        <v/>
      </c>
    </row>
    <row r="366">
      <c r="B366" s="5">
        <f>BDP(A366&amp;" US Equity","CUR_MKT_CAP")</f>
        <v/>
      </c>
      <c r="C366">
        <f>BDP(A366&amp;" US Equity","EXCH_CODE")</f>
        <v/>
      </c>
      <c r="D366" s="5">
        <f>BDP(A366&amp;" US Equity","VOLUME_AVG_20D")</f>
        <v/>
      </c>
      <c r="E366" s="6">
        <f>BDP(A366&amp;" US Equity","PX_LAST")</f>
        <v/>
      </c>
      <c r="F366" s="5">
        <f>D366*E366</f>
        <v/>
      </c>
      <c r="G366">
        <f>AND(B366&gt;=50,B366&lt;=10000)</f>
        <v/>
      </c>
      <c r="H366">
        <f>OR(C366="NAS",C366="NYS",C366="ASE")</f>
        <v/>
      </c>
      <c r="I366">
        <f>F366&gt;=500000</f>
        <v/>
      </c>
      <c r="J366">
        <f>E366&gt;=2</f>
        <v/>
      </c>
      <c r="K366">
        <f>AND(G366,H366,I366,J366)</f>
        <v/>
      </c>
    </row>
    <row r="367">
      <c r="B367" s="5">
        <f>BDP(A367&amp;" US Equity","CUR_MKT_CAP")</f>
        <v/>
      </c>
      <c r="C367">
        <f>BDP(A367&amp;" US Equity","EXCH_CODE")</f>
        <v/>
      </c>
      <c r="D367" s="5">
        <f>BDP(A367&amp;" US Equity","VOLUME_AVG_20D")</f>
        <v/>
      </c>
      <c r="E367" s="6">
        <f>BDP(A367&amp;" US Equity","PX_LAST")</f>
        <v/>
      </c>
      <c r="F367" s="5">
        <f>D367*E367</f>
        <v/>
      </c>
      <c r="G367">
        <f>AND(B367&gt;=50,B367&lt;=10000)</f>
        <v/>
      </c>
      <c r="H367">
        <f>OR(C367="NAS",C367="NYS",C367="ASE")</f>
        <v/>
      </c>
      <c r="I367">
        <f>F367&gt;=500000</f>
        <v/>
      </c>
      <c r="J367">
        <f>E367&gt;=2</f>
        <v/>
      </c>
      <c r="K367">
        <f>AND(G367,H367,I367,J367)</f>
        <v/>
      </c>
    </row>
    <row r="368">
      <c r="B368" s="5">
        <f>BDP(A368&amp;" US Equity","CUR_MKT_CAP")</f>
        <v/>
      </c>
      <c r="C368">
        <f>BDP(A368&amp;" US Equity","EXCH_CODE")</f>
        <v/>
      </c>
      <c r="D368" s="5">
        <f>BDP(A368&amp;" US Equity","VOLUME_AVG_20D")</f>
        <v/>
      </c>
      <c r="E368" s="6">
        <f>BDP(A368&amp;" US Equity","PX_LAST")</f>
        <v/>
      </c>
      <c r="F368" s="5">
        <f>D368*E368</f>
        <v/>
      </c>
      <c r="G368">
        <f>AND(B368&gt;=50,B368&lt;=10000)</f>
        <v/>
      </c>
      <c r="H368">
        <f>OR(C368="NAS",C368="NYS",C368="ASE")</f>
        <v/>
      </c>
      <c r="I368">
        <f>F368&gt;=500000</f>
        <v/>
      </c>
      <c r="J368">
        <f>E368&gt;=2</f>
        <v/>
      </c>
      <c r="K368">
        <f>AND(G368,H368,I368,J368)</f>
        <v/>
      </c>
    </row>
    <row r="369">
      <c r="B369" s="5">
        <f>BDP(A369&amp;" US Equity","CUR_MKT_CAP")</f>
        <v/>
      </c>
      <c r="C369">
        <f>BDP(A369&amp;" US Equity","EXCH_CODE")</f>
        <v/>
      </c>
      <c r="D369" s="5">
        <f>BDP(A369&amp;" US Equity","VOLUME_AVG_20D")</f>
        <v/>
      </c>
      <c r="E369" s="6">
        <f>BDP(A369&amp;" US Equity","PX_LAST")</f>
        <v/>
      </c>
      <c r="F369" s="5">
        <f>D369*E369</f>
        <v/>
      </c>
      <c r="G369">
        <f>AND(B369&gt;=50,B369&lt;=10000)</f>
        <v/>
      </c>
      <c r="H369">
        <f>OR(C369="NAS",C369="NYS",C369="ASE")</f>
        <v/>
      </c>
      <c r="I369">
        <f>F369&gt;=500000</f>
        <v/>
      </c>
      <c r="J369">
        <f>E369&gt;=2</f>
        <v/>
      </c>
      <c r="K369">
        <f>AND(G369,H369,I369,J369)</f>
        <v/>
      </c>
    </row>
    <row r="370">
      <c r="B370" s="5">
        <f>BDP(A370&amp;" US Equity","CUR_MKT_CAP")</f>
        <v/>
      </c>
      <c r="C370">
        <f>BDP(A370&amp;" US Equity","EXCH_CODE")</f>
        <v/>
      </c>
      <c r="D370" s="5">
        <f>BDP(A370&amp;" US Equity","VOLUME_AVG_20D")</f>
        <v/>
      </c>
      <c r="E370" s="6">
        <f>BDP(A370&amp;" US Equity","PX_LAST")</f>
        <v/>
      </c>
      <c r="F370" s="5">
        <f>D370*E370</f>
        <v/>
      </c>
      <c r="G370">
        <f>AND(B370&gt;=50,B370&lt;=10000)</f>
        <v/>
      </c>
      <c r="H370">
        <f>OR(C370="NAS",C370="NYS",C370="ASE")</f>
        <v/>
      </c>
      <c r="I370">
        <f>F370&gt;=500000</f>
        <v/>
      </c>
      <c r="J370">
        <f>E370&gt;=2</f>
        <v/>
      </c>
      <c r="K370">
        <f>AND(G370,H370,I370,J370)</f>
        <v/>
      </c>
    </row>
    <row r="371">
      <c r="B371" s="5">
        <f>BDP(A371&amp;" US Equity","CUR_MKT_CAP")</f>
        <v/>
      </c>
      <c r="C371">
        <f>BDP(A371&amp;" US Equity","EXCH_CODE")</f>
        <v/>
      </c>
      <c r="D371" s="5">
        <f>BDP(A371&amp;" US Equity","VOLUME_AVG_20D")</f>
        <v/>
      </c>
      <c r="E371" s="6">
        <f>BDP(A371&amp;" US Equity","PX_LAST")</f>
        <v/>
      </c>
      <c r="F371" s="5">
        <f>D371*E371</f>
        <v/>
      </c>
      <c r="G371">
        <f>AND(B371&gt;=50,B371&lt;=10000)</f>
        <v/>
      </c>
      <c r="H371">
        <f>OR(C371="NAS",C371="NYS",C371="ASE")</f>
        <v/>
      </c>
      <c r="I371">
        <f>F371&gt;=500000</f>
        <v/>
      </c>
      <c r="J371">
        <f>E371&gt;=2</f>
        <v/>
      </c>
      <c r="K371">
        <f>AND(G371,H371,I371,J371)</f>
        <v/>
      </c>
    </row>
    <row r="372">
      <c r="B372" s="5">
        <f>BDP(A372&amp;" US Equity","CUR_MKT_CAP")</f>
        <v/>
      </c>
      <c r="C372">
        <f>BDP(A372&amp;" US Equity","EXCH_CODE")</f>
        <v/>
      </c>
      <c r="D372" s="5">
        <f>BDP(A372&amp;" US Equity","VOLUME_AVG_20D")</f>
        <v/>
      </c>
      <c r="E372" s="6">
        <f>BDP(A372&amp;" US Equity","PX_LAST")</f>
        <v/>
      </c>
      <c r="F372" s="5">
        <f>D372*E372</f>
        <v/>
      </c>
      <c r="G372">
        <f>AND(B372&gt;=50,B372&lt;=10000)</f>
        <v/>
      </c>
      <c r="H372">
        <f>OR(C372="NAS",C372="NYS",C372="ASE")</f>
        <v/>
      </c>
      <c r="I372">
        <f>F372&gt;=500000</f>
        <v/>
      </c>
      <c r="J372">
        <f>E372&gt;=2</f>
        <v/>
      </c>
      <c r="K372">
        <f>AND(G372,H372,I372,J372)</f>
        <v/>
      </c>
    </row>
    <row r="373">
      <c r="B373" s="5">
        <f>BDP(A373&amp;" US Equity","CUR_MKT_CAP")</f>
        <v/>
      </c>
      <c r="C373">
        <f>BDP(A373&amp;" US Equity","EXCH_CODE")</f>
        <v/>
      </c>
      <c r="D373" s="5">
        <f>BDP(A373&amp;" US Equity","VOLUME_AVG_20D")</f>
        <v/>
      </c>
      <c r="E373" s="6">
        <f>BDP(A373&amp;" US Equity","PX_LAST")</f>
        <v/>
      </c>
      <c r="F373" s="5">
        <f>D373*E373</f>
        <v/>
      </c>
      <c r="G373">
        <f>AND(B373&gt;=50,B373&lt;=10000)</f>
        <v/>
      </c>
      <c r="H373">
        <f>OR(C373="NAS",C373="NYS",C373="ASE")</f>
        <v/>
      </c>
      <c r="I373">
        <f>F373&gt;=500000</f>
        <v/>
      </c>
      <c r="J373">
        <f>E373&gt;=2</f>
        <v/>
      </c>
      <c r="K373">
        <f>AND(G373,H373,I373,J373)</f>
        <v/>
      </c>
    </row>
    <row r="374">
      <c r="B374" s="5">
        <f>BDP(A374&amp;" US Equity","CUR_MKT_CAP")</f>
        <v/>
      </c>
      <c r="C374">
        <f>BDP(A374&amp;" US Equity","EXCH_CODE")</f>
        <v/>
      </c>
      <c r="D374" s="5">
        <f>BDP(A374&amp;" US Equity","VOLUME_AVG_20D")</f>
        <v/>
      </c>
      <c r="E374" s="6">
        <f>BDP(A374&amp;" US Equity","PX_LAST")</f>
        <v/>
      </c>
      <c r="F374" s="5">
        <f>D374*E374</f>
        <v/>
      </c>
      <c r="G374">
        <f>AND(B374&gt;=50,B374&lt;=10000)</f>
        <v/>
      </c>
      <c r="H374">
        <f>OR(C374="NAS",C374="NYS",C374="ASE")</f>
        <v/>
      </c>
      <c r="I374">
        <f>F374&gt;=500000</f>
        <v/>
      </c>
      <c r="J374">
        <f>E374&gt;=2</f>
        <v/>
      </c>
      <c r="K374">
        <f>AND(G374,H374,I374,J374)</f>
        <v/>
      </c>
    </row>
    <row r="375">
      <c r="B375" s="5">
        <f>BDP(A375&amp;" US Equity","CUR_MKT_CAP")</f>
        <v/>
      </c>
      <c r="C375">
        <f>BDP(A375&amp;" US Equity","EXCH_CODE")</f>
        <v/>
      </c>
      <c r="D375" s="5">
        <f>BDP(A375&amp;" US Equity","VOLUME_AVG_20D")</f>
        <v/>
      </c>
      <c r="E375" s="6">
        <f>BDP(A375&amp;" US Equity","PX_LAST")</f>
        <v/>
      </c>
      <c r="F375" s="5">
        <f>D375*E375</f>
        <v/>
      </c>
      <c r="G375">
        <f>AND(B375&gt;=50,B375&lt;=10000)</f>
        <v/>
      </c>
      <c r="H375">
        <f>OR(C375="NAS",C375="NYS",C375="ASE")</f>
        <v/>
      </c>
      <c r="I375">
        <f>F375&gt;=500000</f>
        <v/>
      </c>
      <c r="J375">
        <f>E375&gt;=2</f>
        <v/>
      </c>
      <c r="K375">
        <f>AND(G375,H375,I375,J375)</f>
        <v/>
      </c>
    </row>
    <row r="376">
      <c r="B376" s="5">
        <f>BDP(A376&amp;" US Equity","CUR_MKT_CAP")</f>
        <v/>
      </c>
      <c r="C376">
        <f>BDP(A376&amp;" US Equity","EXCH_CODE")</f>
        <v/>
      </c>
      <c r="D376" s="5">
        <f>BDP(A376&amp;" US Equity","VOLUME_AVG_20D")</f>
        <v/>
      </c>
      <c r="E376" s="6">
        <f>BDP(A376&amp;" US Equity","PX_LAST")</f>
        <v/>
      </c>
      <c r="F376" s="5">
        <f>D376*E376</f>
        <v/>
      </c>
      <c r="G376">
        <f>AND(B376&gt;=50,B376&lt;=10000)</f>
        <v/>
      </c>
      <c r="H376">
        <f>OR(C376="NAS",C376="NYS",C376="ASE")</f>
        <v/>
      </c>
      <c r="I376">
        <f>F376&gt;=500000</f>
        <v/>
      </c>
      <c r="J376">
        <f>E376&gt;=2</f>
        <v/>
      </c>
      <c r="K376">
        <f>AND(G376,H376,I376,J376)</f>
        <v/>
      </c>
    </row>
    <row r="377">
      <c r="B377" s="5">
        <f>BDP(A377&amp;" US Equity","CUR_MKT_CAP")</f>
        <v/>
      </c>
      <c r="C377">
        <f>BDP(A377&amp;" US Equity","EXCH_CODE")</f>
        <v/>
      </c>
      <c r="D377" s="5">
        <f>BDP(A377&amp;" US Equity","VOLUME_AVG_20D")</f>
        <v/>
      </c>
      <c r="E377" s="6">
        <f>BDP(A377&amp;" US Equity","PX_LAST")</f>
        <v/>
      </c>
      <c r="F377" s="5">
        <f>D377*E377</f>
        <v/>
      </c>
      <c r="G377">
        <f>AND(B377&gt;=50,B377&lt;=10000)</f>
        <v/>
      </c>
      <c r="H377">
        <f>OR(C377="NAS",C377="NYS",C377="ASE")</f>
        <v/>
      </c>
      <c r="I377">
        <f>F377&gt;=500000</f>
        <v/>
      </c>
      <c r="J377">
        <f>E377&gt;=2</f>
        <v/>
      </c>
      <c r="K377">
        <f>AND(G377,H377,I377,J377)</f>
        <v/>
      </c>
    </row>
    <row r="378">
      <c r="B378" s="5">
        <f>BDP(A378&amp;" US Equity","CUR_MKT_CAP")</f>
        <v/>
      </c>
      <c r="C378">
        <f>BDP(A378&amp;" US Equity","EXCH_CODE")</f>
        <v/>
      </c>
      <c r="D378" s="5">
        <f>BDP(A378&amp;" US Equity","VOLUME_AVG_20D")</f>
        <v/>
      </c>
      <c r="E378" s="6">
        <f>BDP(A378&amp;" US Equity","PX_LAST")</f>
        <v/>
      </c>
      <c r="F378" s="5">
        <f>D378*E378</f>
        <v/>
      </c>
      <c r="G378">
        <f>AND(B378&gt;=50,B378&lt;=10000)</f>
        <v/>
      </c>
      <c r="H378">
        <f>OR(C378="NAS",C378="NYS",C378="ASE")</f>
        <v/>
      </c>
      <c r="I378">
        <f>F378&gt;=500000</f>
        <v/>
      </c>
      <c r="J378">
        <f>E378&gt;=2</f>
        <v/>
      </c>
      <c r="K378">
        <f>AND(G378,H378,I378,J378)</f>
        <v/>
      </c>
    </row>
    <row r="379">
      <c r="B379" s="5">
        <f>BDP(A379&amp;" US Equity","CUR_MKT_CAP")</f>
        <v/>
      </c>
      <c r="C379">
        <f>BDP(A379&amp;" US Equity","EXCH_CODE")</f>
        <v/>
      </c>
      <c r="D379" s="5">
        <f>BDP(A379&amp;" US Equity","VOLUME_AVG_20D")</f>
        <v/>
      </c>
      <c r="E379" s="6">
        <f>BDP(A379&amp;" US Equity","PX_LAST")</f>
        <v/>
      </c>
      <c r="F379" s="5">
        <f>D379*E379</f>
        <v/>
      </c>
      <c r="G379">
        <f>AND(B379&gt;=50,B379&lt;=10000)</f>
        <v/>
      </c>
      <c r="H379">
        <f>OR(C379="NAS",C379="NYS",C379="ASE")</f>
        <v/>
      </c>
      <c r="I379">
        <f>F379&gt;=500000</f>
        <v/>
      </c>
      <c r="J379">
        <f>E379&gt;=2</f>
        <v/>
      </c>
      <c r="K379">
        <f>AND(G379,H379,I379,J379)</f>
        <v/>
      </c>
    </row>
    <row r="380">
      <c r="B380" s="5">
        <f>BDP(A380&amp;" US Equity","CUR_MKT_CAP")</f>
        <v/>
      </c>
      <c r="C380">
        <f>BDP(A380&amp;" US Equity","EXCH_CODE")</f>
        <v/>
      </c>
      <c r="D380" s="5">
        <f>BDP(A380&amp;" US Equity","VOLUME_AVG_20D")</f>
        <v/>
      </c>
      <c r="E380" s="6">
        <f>BDP(A380&amp;" US Equity","PX_LAST")</f>
        <v/>
      </c>
      <c r="F380" s="5">
        <f>D380*E380</f>
        <v/>
      </c>
      <c r="G380">
        <f>AND(B380&gt;=50,B380&lt;=10000)</f>
        <v/>
      </c>
      <c r="H380">
        <f>OR(C380="NAS",C380="NYS",C380="ASE")</f>
        <v/>
      </c>
      <c r="I380">
        <f>F380&gt;=500000</f>
        <v/>
      </c>
      <c r="J380">
        <f>E380&gt;=2</f>
        <v/>
      </c>
      <c r="K380">
        <f>AND(G380,H380,I380,J380)</f>
        <v/>
      </c>
    </row>
    <row r="381">
      <c r="B381" s="5">
        <f>BDP(A381&amp;" US Equity","CUR_MKT_CAP")</f>
        <v/>
      </c>
      <c r="C381">
        <f>BDP(A381&amp;" US Equity","EXCH_CODE")</f>
        <v/>
      </c>
      <c r="D381" s="5">
        <f>BDP(A381&amp;" US Equity","VOLUME_AVG_20D")</f>
        <v/>
      </c>
      <c r="E381" s="6">
        <f>BDP(A381&amp;" US Equity","PX_LAST")</f>
        <v/>
      </c>
      <c r="F381" s="5">
        <f>D381*E381</f>
        <v/>
      </c>
      <c r="G381">
        <f>AND(B381&gt;=50,B381&lt;=10000)</f>
        <v/>
      </c>
      <c r="H381">
        <f>OR(C381="NAS",C381="NYS",C381="ASE")</f>
        <v/>
      </c>
      <c r="I381">
        <f>F381&gt;=500000</f>
        <v/>
      </c>
      <c r="J381">
        <f>E381&gt;=2</f>
        <v/>
      </c>
      <c r="K381">
        <f>AND(G381,H381,I381,J381)</f>
        <v/>
      </c>
    </row>
    <row r="382">
      <c r="B382" s="5">
        <f>BDP(A382&amp;" US Equity","CUR_MKT_CAP")</f>
        <v/>
      </c>
      <c r="C382">
        <f>BDP(A382&amp;" US Equity","EXCH_CODE")</f>
        <v/>
      </c>
      <c r="D382" s="5">
        <f>BDP(A382&amp;" US Equity","VOLUME_AVG_20D")</f>
        <v/>
      </c>
      <c r="E382" s="6">
        <f>BDP(A382&amp;" US Equity","PX_LAST")</f>
        <v/>
      </c>
      <c r="F382" s="5">
        <f>D382*E382</f>
        <v/>
      </c>
      <c r="G382">
        <f>AND(B382&gt;=50,B382&lt;=10000)</f>
        <v/>
      </c>
      <c r="H382">
        <f>OR(C382="NAS",C382="NYS",C382="ASE")</f>
        <v/>
      </c>
      <c r="I382">
        <f>F382&gt;=500000</f>
        <v/>
      </c>
      <c r="J382">
        <f>E382&gt;=2</f>
        <v/>
      </c>
      <c r="K382">
        <f>AND(G382,H382,I382,J382)</f>
        <v/>
      </c>
    </row>
    <row r="383">
      <c r="B383" s="5">
        <f>BDP(A383&amp;" US Equity","CUR_MKT_CAP")</f>
        <v/>
      </c>
      <c r="C383">
        <f>BDP(A383&amp;" US Equity","EXCH_CODE")</f>
        <v/>
      </c>
      <c r="D383" s="5">
        <f>BDP(A383&amp;" US Equity","VOLUME_AVG_20D")</f>
        <v/>
      </c>
      <c r="E383" s="6">
        <f>BDP(A383&amp;" US Equity","PX_LAST")</f>
        <v/>
      </c>
      <c r="F383" s="5">
        <f>D383*E383</f>
        <v/>
      </c>
      <c r="G383">
        <f>AND(B383&gt;=50,B383&lt;=10000)</f>
        <v/>
      </c>
      <c r="H383">
        <f>OR(C383="NAS",C383="NYS",C383="ASE")</f>
        <v/>
      </c>
      <c r="I383">
        <f>F383&gt;=500000</f>
        <v/>
      </c>
      <c r="J383">
        <f>E383&gt;=2</f>
        <v/>
      </c>
      <c r="K383">
        <f>AND(G383,H383,I383,J383)</f>
        <v/>
      </c>
    </row>
    <row r="384">
      <c r="B384" s="5">
        <f>BDP(A384&amp;" US Equity","CUR_MKT_CAP")</f>
        <v/>
      </c>
      <c r="C384">
        <f>BDP(A384&amp;" US Equity","EXCH_CODE")</f>
        <v/>
      </c>
      <c r="D384" s="5">
        <f>BDP(A384&amp;" US Equity","VOLUME_AVG_20D")</f>
        <v/>
      </c>
      <c r="E384" s="6">
        <f>BDP(A384&amp;" US Equity","PX_LAST")</f>
        <v/>
      </c>
      <c r="F384" s="5">
        <f>D384*E384</f>
        <v/>
      </c>
      <c r="G384">
        <f>AND(B384&gt;=50,B384&lt;=10000)</f>
        <v/>
      </c>
      <c r="H384">
        <f>OR(C384="NAS",C384="NYS",C384="ASE")</f>
        <v/>
      </c>
      <c r="I384">
        <f>F384&gt;=500000</f>
        <v/>
      </c>
      <c r="J384">
        <f>E384&gt;=2</f>
        <v/>
      </c>
      <c r="K384">
        <f>AND(G384,H384,I384,J384)</f>
        <v/>
      </c>
    </row>
    <row r="385">
      <c r="B385" s="5">
        <f>BDP(A385&amp;" US Equity","CUR_MKT_CAP")</f>
        <v/>
      </c>
      <c r="C385">
        <f>BDP(A385&amp;" US Equity","EXCH_CODE")</f>
        <v/>
      </c>
      <c r="D385" s="5">
        <f>BDP(A385&amp;" US Equity","VOLUME_AVG_20D")</f>
        <v/>
      </c>
      <c r="E385" s="6">
        <f>BDP(A385&amp;" US Equity","PX_LAST")</f>
        <v/>
      </c>
      <c r="F385" s="5">
        <f>D385*E385</f>
        <v/>
      </c>
      <c r="G385">
        <f>AND(B385&gt;=50,B385&lt;=10000)</f>
        <v/>
      </c>
      <c r="H385">
        <f>OR(C385="NAS",C385="NYS",C385="ASE")</f>
        <v/>
      </c>
      <c r="I385">
        <f>F385&gt;=500000</f>
        <v/>
      </c>
      <c r="J385">
        <f>E385&gt;=2</f>
        <v/>
      </c>
      <c r="K385">
        <f>AND(G385,H385,I385,J385)</f>
        <v/>
      </c>
    </row>
    <row r="386">
      <c r="B386" s="5">
        <f>BDP(A386&amp;" US Equity","CUR_MKT_CAP")</f>
        <v/>
      </c>
      <c r="C386">
        <f>BDP(A386&amp;" US Equity","EXCH_CODE")</f>
        <v/>
      </c>
      <c r="D386" s="5">
        <f>BDP(A386&amp;" US Equity","VOLUME_AVG_20D")</f>
        <v/>
      </c>
      <c r="E386" s="6">
        <f>BDP(A386&amp;" US Equity","PX_LAST")</f>
        <v/>
      </c>
      <c r="F386" s="5">
        <f>D386*E386</f>
        <v/>
      </c>
      <c r="G386">
        <f>AND(B386&gt;=50,B386&lt;=10000)</f>
        <v/>
      </c>
      <c r="H386">
        <f>OR(C386="NAS",C386="NYS",C386="ASE")</f>
        <v/>
      </c>
      <c r="I386">
        <f>F386&gt;=500000</f>
        <v/>
      </c>
      <c r="J386">
        <f>E386&gt;=2</f>
        <v/>
      </c>
      <c r="K386">
        <f>AND(G386,H386,I386,J386)</f>
        <v/>
      </c>
    </row>
    <row r="387">
      <c r="B387" s="5">
        <f>BDP(A387&amp;" US Equity","CUR_MKT_CAP")</f>
        <v/>
      </c>
      <c r="C387">
        <f>BDP(A387&amp;" US Equity","EXCH_CODE")</f>
        <v/>
      </c>
      <c r="D387" s="5">
        <f>BDP(A387&amp;" US Equity","VOLUME_AVG_20D")</f>
        <v/>
      </c>
      <c r="E387" s="6">
        <f>BDP(A387&amp;" US Equity","PX_LAST")</f>
        <v/>
      </c>
      <c r="F387" s="5">
        <f>D387*E387</f>
        <v/>
      </c>
      <c r="G387">
        <f>AND(B387&gt;=50,B387&lt;=10000)</f>
        <v/>
      </c>
      <c r="H387">
        <f>OR(C387="NAS",C387="NYS",C387="ASE")</f>
        <v/>
      </c>
      <c r="I387">
        <f>F387&gt;=500000</f>
        <v/>
      </c>
      <c r="J387">
        <f>E387&gt;=2</f>
        <v/>
      </c>
      <c r="K387">
        <f>AND(G387,H387,I387,J387)</f>
        <v/>
      </c>
    </row>
    <row r="388">
      <c r="B388" s="5">
        <f>BDP(A388&amp;" US Equity","CUR_MKT_CAP")</f>
        <v/>
      </c>
      <c r="C388">
        <f>BDP(A388&amp;" US Equity","EXCH_CODE")</f>
        <v/>
      </c>
      <c r="D388" s="5">
        <f>BDP(A388&amp;" US Equity","VOLUME_AVG_20D")</f>
        <v/>
      </c>
      <c r="E388" s="6">
        <f>BDP(A388&amp;" US Equity","PX_LAST")</f>
        <v/>
      </c>
      <c r="F388" s="5">
        <f>D388*E388</f>
        <v/>
      </c>
      <c r="G388">
        <f>AND(B388&gt;=50,B388&lt;=10000)</f>
        <v/>
      </c>
      <c r="H388">
        <f>OR(C388="NAS",C388="NYS",C388="ASE")</f>
        <v/>
      </c>
      <c r="I388">
        <f>F388&gt;=500000</f>
        <v/>
      </c>
      <c r="J388">
        <f>E388&gt;=2</f>
        <v/>
      </c>
      <c r="K388">
        <f>AND(G388,H388,I388,J388)</f>
        <v/>
      </c>
    </row>
    <row r="389">
      <c r="B389" s="5">
        <f>BDP(A389&amp;" US Equity","CUR_MKT_CAP")</f>
        <v/>
      </c>
      <c r="C389">
        <f>BDP(A389&amp;" US Equity","EXCH_CODE")</f>
        <v/>
      </c>
      <c r="D389" s="5">
        <f>BDP(A389&amp;" US Equity","VOLUME_AVG_20D")</f>
        <v/>
      </c>
      <c r="E389" s="6">
        <f>BDP(A389&amp;" US Equity","PX_LAST")</f>
        <v/>
      </c>
      <c r="F389" s="5">
        <f>D389*E389</f>
        <v/>
      </c>
      <c r="G389">
        <f>AND(B389&gt;=50,B389&lt;=10000)</f>
        <v/>
      </c>
      <c r="H389">
        <f>OR(C389="NAS",C389="NYS",C389="ASE")</f>
        <v/>
      </c>
      <c r="I389">
        <f>F389&gt;=500000</f>
        <v/>
      </c>
      <c r="J389">
        <f>E389&gt;=2</f>
        <v/>
      </c>
      <c r="K389">
        <f>AND(G389,H389,I389,J389)</f>
        <v/>
      </c>
    </row>
    <row r="390">
      <c r="B390" s="5">
        <f>BDP(A390&amp;" US Equity","CUR_MKT_CAP")</f>
        <v/>
      </c>
      <c r="C390">
        <f>BDP(A390&amp;" US Equity","EXCH_CODE")</f>
        <v/>
      </c>
      <c r="D390" s="5">
        <f>BDP(A390&amp;" US Equity","VOLUME_AVG_20D")</f>
        <v/>
      </c>
      <c r="E390" s="6">
        <f>BDP(A390&amp;" US Equity","PX_LAST")</f>
        <v/>
      </c>
      <c r="F390" s="5">
        <f>D390*E390</f>
        <v/>
      </c>
      <c r="G390">
        <f>AND(B390&gt;=50,B390&lt;=10000)</f>
        <v/>
      </c>
      <c r="H390">
        <f>OR(C390="NAS",C390="NYS",C390="ASE")</f>
        <v/>
      </c>
      <c r="I390">
        <f>F390&gt;=500000</f>
        <v/>
      </c>
      <c r="J390">
        <f>E390&gt;=2</f>
        <v/>
      </c>
      <c r="K390">
        <f>AND(G390,H390,I390,J390)</f>
        <v/>
      </c>
    </row>
    <row r="391">
      <c r="B391" s="5">
        <f>BDP(A391&amp;" US Equity","CUR_MKT_CAP")</f>
        <v/>
      </c>
      <c r="C391">
        <f>BDP(A391&amp;" US Equity","EXCH_CODE")</f>
        <v/>
      </c>
      <c r="D391" s="5">
        <f>BDP(A391&amp;" US Equity","VOLUME_AVG_20D")</f>
        <v/>
      </c>
      <c r="E391" s="6">
        <f>BDP(A391&amp;" US Equity","PX_LAST")</f>
        <v/>
      </c>
      <c r="F391" s="5">
        <f>D391*E391</f>
        <v/>
      </c>
      <c r="G391">
        <f>AND(B391&gt;=50,B391&lt;=10000)</f>
        <v/>
      </c>
      <c r="H391">
        <f>OR(C391="NAS",C391="NYS",C391="ASE")</f>
        <v/>
      </c>
      <c r="I391">
        <f>F391&gt;=500000</f>
        <v/>
      </c>
      <c r="J391">
        <f>E391&gt;=2</f>
        <v/>
      </c>
      <c r="K391">
        <f>AND(G391,H391,I391,J391)</f>
        <v/>
      </c>
    </row>
    <row r="392">
      <c r="B392" s="5">
        <f>BDP(A392&amp;" US Equity","CUR_MKT_CAP")</f>
        <v/>
      </c>
      <c r="C392">
        <f>BDP(A392&amp;" US Equity","EXCH_CODE")</f>
        <v/>
      </c>
      <c r="D392" s="5">
        <f>BDP(A392&amp;" US Equity","VOLUME_AVG_20D")</f>
        <v/>
      </c>
      <c r="E392" s="6">
        <f>BDP(A392&amp;" US Equity","PX_LAST")</f>
        <v/>
      </c>
      <c r="F392" s="5">
        <f>D392*E392</f>
        <v/>
      </c>
      <c r="G392">
        <f>AND(B392&gt;=50,B392&lt;=10000)</f>
        <v/>
      </c>
      <c r="H392">
        <f>OR(C392="NAS",C392="NYS",C392="ASE")</f>
        <v/>
      </c>
      <c r="I392">
        <f>F392&gt;=500000</f>
        <v/>
      </c>
      <c r="J392">
        <f>E392&gt;=2</f>
        <v/>
      </c>
      <c r="K392">
        <f>AND(G392,H392,I392,J392)</f>
        <v/>
      </c>
    </row>
    <row r="393">
      <c r="B393" s="5">
        <f>BDP(A393&amp;" US Equity","CUR_MKT_CAP")</f>
        <v/>
      </c>
      <c r="C393">
        <f>BDP(A393&amp;" US Equity","EXCH_CODE")</f>
        <v/>
      </c>
      <c r="D393" s="5">
        <f>BDP(A393&amp;" US Equity","VOLUME_AVG_20D")</f>
        <v/>
      </c>
      <c r="E393" s="6">
        <f>BDP(A393&amp;" US Equity","PX_LAST")</f>
        <v/>
      </c>
      <c r="F393" s="5">
        <f>D393*E393</f>
        <v/>
      </c>
      <c r="G393">
        <f>AND(B393&gt;=50,B393&lt;=10000)</f>
        <v/>
      </c>
      <c r="H393">
        <f>OR(C393="NAS",C393="NYS",C393="ASE")</f>
        <v/>
      </c>
      <c r="I393">
        <f>F393&gt;=500000</f>
        <v/>
      </c>
      <c r="J393">
        <f>E393&gt;=2</f>
        <v/>
      </c>
      <c r="K393">
        <f>AND(G393,H393,I393,J393)</f>
        <v/>
      </c>
    </row>
    <row r="394">
      <c r="B394" s="5">
        <f>BDP(A394&amp;" US Equity","CUR_MKT_CAP")</f>
        <v/>
      </c>
      <c r="C394">
        <f>BDP(A394&amp;" US Equity","EXCH_CODE")</f>
        <v/>
      </c>
      <c r="D394" s="5">
        <f>BDP(A394&amp;" US Equity","VOLUME_AVG_20D")</f>
        <v/>
      </c>
      <c r="E394" s="6">
        <f>BDP(A394&amp;" US Equity","PX_LAST")</f>
        <v/>
      </c>
      <c r="F394" s="5">
        <f>D394*E394</f>
        <v/>
      </c>
      <c r="G394">
        <f>AND(B394&gt;=50,B394&lt;=10000)</f>
        <v/>
      </c>
      <c r="H394">
        <f>OR(C394="NAS",C394="NYS",C394="ASE")</f>
        <v/>
      </c>
      <c r="I394">
        <f>F394&gt;=500000</f>
        <v/>
      </c>
      <c r="J394">
        <f>E394&gt;=2</f>
        <v/>
      </c>
      <c r="K394">
        <f>AND(G394,H394,I394,J394)</f>
        <v/>
      </c>
    </row>
    <row r="395">
      <c r="B395" s="5">
        <f>BDP(A395&amp;" US Equity","CUR_MKT_CAP")</f>
        <v/>
      </c>
      <c r="C395">
        <f>BDP(A395&amp;" US Equity","EXCH_CODE")</f>
        <v/>
      </c>
      <c r="D395" s="5">
        <f>BDP(A395&amp;" US Equity","VOLUME_AVG_20D")</f>
        <v/>
      </c>
      <c r="E395" s="6">
        <f>BDP(A395&amp;" US Equity","PX_LAST")</f>
        <v/>
      </c>
      <c r="F395" s="5">
        <f>D395*E395</f>
        <v/>
      </c>
      <c r="G395">
        <f>AND(B395&gt;=50,B395&lt;=10000)</f>
        <v/>
      </c>
      <c r="H395">
        <f>OR(C395="NAS",C395="NYS",C395="ASE")</f>
        <v/>
      </c>
      <c r="I395">
        <f>F395&gt;=500000</f>
        <v/>
      </c>
      <c r="J395">
        <f>E395&gt;=2</f>
        <v/>
      </c>
      <c r="K395">
        <f>AND(G395,H395,I395,J395)</f>
        <v/>
      </c>
    </row>
    <row r="396">
      <c r="B396" s="5">
        <f>BDP(A396&amp;" US Equity","CUR_MKT_CAP")</f>
        <v/>
      </c>
      <c r="C396">
        <f>BDP(A396&amp;" US Equity","EXCH_CODE")</f>
        <v/>
      </c>
      <c r="D396" s="5">
        <f>BDP(A396&amp;" US Equity","VOLUME_AVG_20D")</f>
        <v/>
      </c>
      <c r="E396" s="6">
        <f>BDP(A396&amp;" US Equity","PX_LAST")</f>
        <v/>
      </c>
      <c r="F396" s="5">
        <f>D396*E396</f>
        <v/>
      </c>
      <c r="G396">
        <f>AND(B396&gt;=50,B396&lt;=10000)</f>
        <v/>
      </c>
      <c r="H396">
        <f>OR(C396="NAS",C396="NYS",C396="ASE")</f>
        <v/>
      </c>
      <c r="I396">
        <f>F396&gt;=500000</f>
        <v/>
      </c>
      <c r="J396">
        <f>E396&gt;=2</f>
        <v/>
      </c>
      <c r="K396">
        <f>AND(G396,H396,I396,J396)</f>
        <v/>
      </c>
    </row>
    <row r="397">
      <c r="B397" s="5">
        <f>BDP(A397&amp;" US Equity","CUR_MKT_CAP")</f>
        <v/>
      </c>
      <c r="C397">
        <f>BDP(A397&amp;" US Equity","EXCH_CODE")</f>
        <v/>
      </c>
      <c r="D397" s="5">
        <f>BDP(A397&amp;" US Equity","VOLUME_AVG_20D")</f>
        <v/>
      </c>
      <c r="E397" s="6">
        <f>BDP(A397&amp;" US Equity","PX_LAST")</f>
        <v/>
      </c>
      <c r="F397" s="5">
        <f>D397*E397</f>
        <v/>
      </c>
      <c r="G397">
        <f>AND(B397&gt;=50,B397&lt;=10000)</f>
        <v/>
      </c>
      <c r="H397">
        <f>OR(C397="NAS",C397="NYS",C397="ASE")</f>
        <v/>
      </c>
      <c r="I397">
        <f>F397&gt;=500000</f>
        <v/>
      </c>
      <c r="J397">
        <f>E397&gt;=2</f>
        <v/>
      </c>
      <c r="K397">
        <f>AND(G397,H397,I397,J397)</f>
        <v/>
      </c>
    </row>
    <row r="398">
      <c r="B398" s="5">
        <f>BDP(A398&amp;" US Equity","CUR_MKT_CAP")</f>
        <v/>
      </c>
      <c r="C398">
        <f>BDP(A398&amp;" US Equity","EXCH_CODE")</f>
        <v/>
      </c>
      <c r="D398" s="5">
        <f>BDP(A398&amp;" US Equity","VOLUME_AVG_20D")</f>
        <v/>
      </c>
      <c r="E398" s="6">
        <f>BDP(A398&amp;" US Equity","PX_LAST")</f>
        <v/>
      </c>
      <c r="F398" s="5">
        <f>D398*E398</f>
        <v/>
      </c>
      <c r="G398">
        <f>AND(B398&gt;=50,B398&lt;=10000)</f>
        <v/>
      </c>
      <c r="H398">
        <f>OR(C398="NAS",C398="NYS",C398="ASE")</f>
        <v/>
      </c>
      <c r="I398">
        <f>F398&gt;=500000</f>
        <v/>
      </c>
      <c r="J398">
        <f>E398&gt;=2</f>
        <v/>
      </c>
      <c r="K398">
        <f>AND(G398,H398,I398,J398)</f>
        <v/>
      </c>
    </row>
    <row r="399">
      <c r="B399" s="5">
        <f>BDP(A399&amp;" US Equity","CUR_MKT_CAP")</f>
        <v/>
      </c>
      <c r="C399">
        <f>BDP(A399&amp;" US Equity","EXCH_CODE")</f>
        <v/>
      </c>
      <c r="D399" s="5">
        <f>BDP(A399&amp;" US Equity","VOLUME_AVG_20D")</f>
        <v/>
      </c>
      <c r="E399" s="6">
        <f>BDP(A399&amp;" US Equity","PX_LAST")</f>
        <v/>
      </c>
      <c r="F399" s="5">
        <f>D399*E399</f>
        <v/>
      </c>
      <c r="G399">
        <f>AND(B399&gt;=50,B399&lt;=10000)</f>
        <v/>
      </c>
      <c r="H399">
        <f>OR(C399="NAS",C399="NYS",C399="ASE")</f>
        <v/>
      </c>
      <c r="I399">
        <f>F399&gt;=500000</f>
        <v/>
      </c>
      <c r="J399">
        <f>E399&gt;=2</f>
        <v/>
      </c>
      <c r="K399">
        <f>AND(G399,H399,I399,J399)</f>
        <v/>
      </c>
    </row>
    <row r="400">
      <c r="B400" s="5">
        <f>BDP(A400&amp;" US Equity","CUR_MKT_CAP")</f>
        <v/>
      </c>
      <c r="C400">
        <f>BDP(A400&amp;" US Equity","EXCH_CODE")</f>
        <v/>
      </c>
      <c r="D400" s="5">
        <f>BDP(A400&amp;" US Equity","VOLUME_AVG_20D")</f>
        <v/>
      </c>
      <c r="E400" s="6">
        <f>BDP(A400&amp;" US Equity","PX_LAST")</f>
        <v/>
      </c>
      <c r="F400" s="5">
        <f>D400*E400</f>
        <v/>
      </c>
      <c r="G400">
        <f>AND(B400&gt;=50,B400&lt;=10000)</f>
        <v/>
      </c>
      <c r="H400">
        <f>OR(C400="NAS",C400="NYS",C400="ASE")</f>
        <v/>
      </c>
      <c r="I400">
        <f>F400&gt;=500000</f>
        <v/>
      </c>
      <c r="J400">
        <f>E400&gt;=2</f>
        <v/>
      </c>
      <c r="K400">
        <f>AND(G400,H400,I400,J400)</f>
        <v/>
      </c>
    </row>
    <row r="401">
      <c r="B401" s="5">
        <f>BDP(A401&amp;" US Equity","CUR_MKT_CAP")</f>
        <v/>
      </c>
      <c r="C401">
        <f>BDP(A401&amp;" US Equity","EXCH_CODE")</f>
        <v/>
      </c>
      <c r="D401" s="5">
        <f>BDP(A401&amp;" US Equity","VOLUME_AVG_20D")</f>
        <v/>
      </c>
      <c r="E401" s="6">
        <f>BDP(A401&amp;" US Equity","PX_LAST")</f>
        <v/>
      </c>
      <c r="F401" s="5">
        <f>D401*E401</f>
        <v/>
      </c>
      <c r="G401">
        <f>AND(B401&gt;=50,B401&lt;=10000)</f>
        <v/>
      </c>
      <c r="H401">
        <f>OR(C401="NAS",C401="NYS",C401="ASE")</f>
        <v/>
      </c>
      <c r="I401">
        <f>F401&gt;=500000</f>
        <v/>
      </c>
      <c r="J401">
        <f>E401&gt;=2</f>
        <v/>
      </c>
      <c r="K401">
        <f>AND(G401,H401,I401,J401)</f>
        <v/>
      </c>
    </row>
    <row r="402">
      <c r="B402" s="5">
        <f>BDP(A402&amp;" US Equity","CUR_MKT_CAP")</f>
        <v/>
      </c>
      <c r="C402">
        <f>BDP(A402&amp;" US Equity","EXCH_CODE")</f>
        <v/>
      </c>
      <c r="D402" s="5">
        <f>BDP(A402&amp;" US Equity","VOLUME_AVG_20D")</f>
        <v/>
      </c>
      <c r="E402" s="6">
        <f>BDP(A402&amp;" US Equity","PX_LAST")</f>
        <v/>
      </c>
      <c r="F402" s="5">
        <f>D402*E402</f>
        <v/>
      </c>
      <c r="G402">
        <f>AND(B402&gt;=50,B402&lt;=10000)</f>
        <v/>
      </c>
      <c r="H402">
        <f>OR(C402="NAS",C402="NYS",C402="ASE")</f>
        <v/>
      </c>
      <c r="I402">
        <f>F402&gt;=500000</f>
        <v/>
      </c>
      <c r="J402">
        <f>E402&gt;=2</f>
        <v/>
      </c>
      <c r="K402">
        <f>AND(G402,H402,I402,J402)</f>
        <v/>
      </c>
    </row>
    <row r="403">
      <c r="B403" s="5">
        <f>BDP(A403&amp;" US Equity","CUR_MKT_CAP")</f>
        <v/>
      </c>
      <c r="C403">
        <f>BDP(A403&amp;" US Equity","EXCH_CODE")</f>
        <v/>
      </c>
      <c r="D403" s="5">
        <f>BDP(A403&amp;" US Equity","VOLUME_AVG_20D")</f>
        <v/>
      </c>
      <c r="E403" s="6">
        <f>BDP(A403&amp;" US Equity","PX_LAST")</f>
        <v/>
      </c>
      <c r="F403" s="5">
        <f>D403*E403</f>
        <v/>
      </c>
      <c r="G403">
        <f>AND(B403&gt;=50,B403&lt;=10000)</f>
        <v/>
      </c>
      <c r="H403">
        <f>OR(C403="NAS",C403="NYS",C403="ASE")</f>
        <v/>
      </c>
      <c r="I403">
        <f>F403&gt;=500000</f>
        <v/>
      </c>
      <c r="J403">
        <f>E403&gt;=2</f>
        <v/>
      </c>
      <c r="K403">
        <f>AND(G403,H403,I403,J403)</f>
        <v/>
      </c>
    </row>
    <row r="404">
      <c r="B404" s="5">
        <f>BDP(A404&amp;" US Equity","CUR_MKT_CAP")</f>
        <v/>
      </c>
      <c r="C404">
        <f>BDP(A404&amp;" US Equity","EXCH_CODE")</f>
        <v/>
      </c>
      <c r="D404" s="5">
        <f>BDP(A404&amp;" US Equity","VOLUME_AVG_20D")</f>
        <v/>
      </c>
      <c r="E404" s="6">
        <f>BDP(A404&amp;" US Equity","PX_LAST")</f>
        <v/>
      </c>
      <c r="F404" s="5">
        <f>D404*E404</f>
        <v/>
      </c>
      <c r="G404">
        <f>AND(B404&gt;=50,B404&lt;=10000)</f>
        <v/>
      </c>
      <c r="H404">
        <f>OR(C404="NAS",C404="NYS",C404="ASE")</f>
        <v/>
      </c>
      <c r="I404">
        <f>F404&gt;=500000</f>
        <v/>
      </c>
      <c r="J404">
        <f>E404&gt;=2</f>
        <v/>
      </c>
      <c r="K404">
        <f>AND(G404,H404,I404,J404)</f>
        <v/>
      </c>
    </row>
    <row r="405">
      <c r="B405" s="5">
        <f>BDP(A405&amp;" US Equity","CUR_MKT_CAP")</f>
        <v/>
      </c>
      <c r="C405">
        <f>BDP(A405&amp;" US Equity","EXCH_CODE")</f>
        <v/>
      </c>
      <c r="D405" s="5">
        <f>BDP(A405&amp;" US Equity","VOLUME_AVG_20D")</f>
        <v/>
      </c>
      <c r="E405" s="6">
        <f>BDP(A405&amp;" US Equity","PX_LAST")</f>
        <v/>
      </c>
      <c r="F405" s="5">
        <f>D405*E405</f>
        <v/>
      </c>
      <c r="G405">
        <f>AND(B405&gt;=50,B405&lt;=10000)</f>
        <v/>
      </c>
      <c r="H405">
        <f>OR(C405="NAS",C405="NYS",C405="ASE")</f>
        <v/>
      </c>
      <c r="I405">
        <f>F405&gt;=500000</f>
        <v/>
      </c>
      <c r="J405">
        <f>E405&gt;=2</f>
        <v/>
      </c>
      <c r="K405">
        <f>AND(G405,H405,I405,J405)</f>
        <v/>
      </c>
    </row>
    <row r="406">
      <c r="B406" s="5">
        <f>BDP(A406&amp;" US Equity","CUR_MKT_CAP")</f>
        <v/>
      </c>
      <c r="C406">
        <f>BDP(A406&amp;" US Equity","EXCH_CODE")</f>
        <v/>
      </c>
      <c r="D406" s="5">
        <f>BDP(A406&amp;" US Equity","VOLUME_AVG_20D")</f>
        <v/>
      </c>
      <c r="E406" s="6">
        <f>BDP(A406&amp;" US Equity","PX_LAST")</f>
        <v/>
      </c>
      <c r="F406" s="5">
        <f>D406*E406</f>
        <v/>
      </c>
      <c r="G406">
        <f>AND(B406&gt;=50,B406&lt;=10000)</f>
        <v/>
      </c>
      <c r="H406">
        <f>OR(C406="NAS",C406="NYS",C406="ASE")</f>
        <v/>
      </c>
      <c r="I406">
        <f>F406&gt;=500000</f>
        <v/>
      </c>
      <c r="J406">
        <f>E406&gt;=2</f>
        <v/>
      </c>
      <c r="K406">
        <f>AND(G406,H406,I406,J406)</f>
        <v/>
      </c>
    </row>
    <row r="407">
      <c r="B407" s="5">
        <f>BDP(A407&amp;" US Equity","CUR_MKT_CAP")</f>
        <v/>
      </c>
      <c r="C407">
        <f>BDP(A407&amp;" US Equity","EXCH_CODE")</f>
        <v/>
      </c>
      <c r="D407" s="5">
        <f>BDP(A407&amp;" US Equity","VOLUME_AVG_20D")</f>
        <v/>
      </c>
      <c r="E407" s="6">
        <f>BDP(A407&amp;" US Equity","PX_LAST")</f>
        <v/>
      </c>
      <c r="F407" s="5">
        <f>D407*E407</f>
        <v/>
      </c>
      <c r="G407">
        <f>AND(B407&gt;=50,B407&lt;=10000)</f>
        <v/>
      </c>
      <c r="H407">
        <f>OR(C407="NAS",C407="NYS",C407="ASE")</f>
        <v/>
      </c>
      <c r="I407">
        <f>F407&gt;=500000</f>
        <v/>
      </c>
      <c r="J407">
        <f>E407&gt;=2</f>
        <v/>
      </c>
      <c r="K407">
        <f>AND(G407,H407,I407,J407)</f>
        <v/>
      </c>
    </row>
    <row r="408">
      <c r="B408" s="5">
        <f>BDP(A408&amp;" US Equity","CUR_MKT_CAP")</f>
        <v/>
      </c>
      <c r="C408">
        <f>BDP(A408&amp;" US Equity","EXCH_CODE")</f>
        <v/>
      </c>
      <c r="D408" s="5">
        <f>BDP(A408&amp;" US Equity","VOLUME_AVG_20D")</f>
        <v/>
      </c>
      <c r="E408" s="6">
        <f>BDP(A408&amp;" US Equity","PX_LAST")</f>
        <v/>
      </c>
      <c r="F408" s="5">
        <f>D408*E408</f>
        <v/>
      </c>
      <c r="G408">
        <f>AND(B408&gt;=50,B408&lt;=10000)</f>
        <v/>
      </c>
      <c r="H408">
        <f>OR(C408="NAS",C408="NYS",C408="ASE")</f>
        <v/>
      </c>
      <c r="I408">
        <f>F408&gt;=500000</f>
        <v/>
      </c>
      <c r="J408">
        <f>E408&gt;=2</f>
        <v/>
      </c>
      <c r="K408">
        <f>AND(G408,H408,I408,J408)</f>
        <v/>
      </c>
    </row>
    <row r="409">
      <c r="B409" s="5">
        <f>BDP(A409&amp;" US Equity","CUR_MKT_CAP")</f>
        <v/>
      </c>
      <c r="C409">
        <f>BDP(A409&amp;" US Equity","EXCH_CODE")</f>
        <v/>
      </c>
      <c r="D409" s="5">
        <f>BDP(A409&amp;" US Equity","VOLUME_AVG_20D")</f>
        <v/>
      </c>
      <c r="E409" s="6">
        <f>BDP(A409&amp;" US Equity","PX_LAST")</f>
        <v/>
      </c>
      <c r="F409" s="5">
        <f>D409*E409</f>
        <v/>
      </c>
      <c r="G409">
        <f>AND(B409&gt;=50,B409&lt;=10000)</f>
        <v/>
      </c>
      <c r="H409">
        <f>OR(C409="NAS",C409="NYS",C409="ASE")</f>
        <v/>
      </c>
      <c r="I409">
        <f>F409&gt;=500000</f>
        <v/>
      </c>
      <c r="J409">
        <f>E409&gt;=2</f>
        <v/>
      </c>
      <c r="K409">
        <f>AND(G409,H409,I409,J409)</f>
        <v/>
      </c>
    </row>
    <row r="410">
      <c r="B410" s="5">
        <f>BDP(A410&amp;" US Equity","CUR_MKT_CAP")</f>
        <v/>
      </c>
      <c r="C410">
        <f>BDP(A410&amp;" US Equity","EXCH_CODE")</f>
        <v/>
      </c>
      <c r="D410" s="5">
        <f>BDP(A410&amp;" US Equity","VOLUME_AVG_20D")</f>
        <v/>
      </c>
      <c r="E410" s="6">
        <f>BDP(A410&amp;" US Equity","PX_LAST")</f>
        <v/>
      </c>
      <c r="F410" s="5">
        <f>D410*E410</f>
        <v/>
      </c>
      <c r="G410">
        <f>AND(B410&gt;=50,B410&lt;=10000)</f>
        <v/>
      </c>
      <c r="H410">
        <f>OR(C410="NAS",C410="NYS",C410="ASE")</f>
        <v/>
      </c>
      <c r="I410">
        <f>F410&gt;=500000</f>
        <v/>
      </c>
      <c r="J410">
        <f>E410&gt;=2</f>
        <v/>
      </c>
      <c r="K410">
        <f>AND(G410,H410,I410,J410)</f>
        <v/>
      </c>
    </row>
    <row r="411">
      <c r="B411" s="5">
        <f>BDP(A411&amp;" US Equity","CUR_MKT_CAP")</f>
        <v/>
      </c>
      <c r="C411">
        <f>BDP(A411&amp;" US Equity","EXCH_CODE")</f>
        <v/>
      </c>
      <c r="D411" s="5">
        <f>BDP(A411&amp;" US Equity","VOLUME_AVG_20D")</f>
        <v/>
      </c>
      <c r="E411" s="6">
        <f>BDP(A411&amp;" US Equity","PX_LAST")</f>
        <v/>
      </c>
      <c r="F411" s="5">
        <f>D411*E411</f>
        <v/>
      </c>
      <c r="G411">
        <f>AND(B411&gt;=50,B411&lt;=10000)</f>
        <v/>
      </c>
      <c r="H411">
        <f>OR(C411="NAS",C411="NYS",C411="ASE")</f>
        <v/>
      </c>
      <c r="I411">
        <f>F411&gt;=500000</f>
        <v/>
      </c>
      <c r="J411">
        <f>E411&gt;=2</f>
        <v/>
      </c>
      <c r="K411">
        <f>AND(G411,H411,I411,J411)</f>
        <v/>
      </c>
    </row>
    <row r="412">
      <c r="B412" s="5">
        <f>BDP(A412&amp;" US Equity","CUR_MKT_CAP")</f>
        <v/>
      </c>
      <c r="C412">
        <f>BDP(A412&amp;" US Equity","EXCH_CODE")</f>
        <v/>
      </c>
      <c r="D412" s="5">
        <f>BDP(A412&amp;" US Equity","VOLUME_AVG_20D")</f>
        <v/>
      </c>
      <c r="E412" s="6">
        <f>BDP(A412&amp;" US Equity","PX_LAST")</f>
        <v/>
      </c>
      <c r="F412" s="5">
        <f>D412*E412</f>
        <v/>
      </c>
      <c r="G412">
        <f>AND(B412&gt;=50,B412&lt;=10000)</f>
        <v/>
      </c>
      <c r="H412">
        <f>OR(C412="NAS",C412="NYS",C412="ASE")</f>
        <v/>
      </c>
      <c r="I412">
        <f>F412&gt;=500000</f>
        <v/>
      </c>
      <c r="J412">
        <f>E412&gt;=2</f>
        <v/>
      </c>
      <c r="K412">
        <f>AND(G412,H412,I412,J412)</f>
        <v/>
      </c>
    </row>
    <row r="413">
      <c r="B413" s="5">
        <f>BDP(A413&amp;" US Equity","CUR_MKT_CAP")</f>
        <v/>
      </c>
      <c r="C413">
        <f>BDP(A413&amp;" US Equity","EXCH_CODE")</f>
        <v/>
      </c>
      <c r="D413" s="5">
        <f>BDP(A413&amp;" US Equity","VOLUME_AVG_20D")</f>
        <v/>
      </c>
      <c r="E413" s="6">
        <f>BDP(A413&amp;" US Equity","PX_LAST")</f>
        <v/>
      </c>
      <c r="F413" s="5">
        <f>D413*E413</f>
        <v/>
      </c>
      <c r="G413">
        <f>AND(B413&gt;=50,B413&lt;=10000)</f>
        <v/>
      </c>
      <c r="H413">
        <f>OR(C413="NAS",C413="NYS",C413="ASE")</f>
        <v/>
      </c>
      <c r="I413">
        <f>F413&gt;=500000</f>
        <v/>
      </c>
      <c r="J413">
        <f>E413&gt;=2</f>
        <v/>
      </c>
      <c r="K413">
        <f>AND(G413,H413,I413,J413)</f>
        <v/>
      </c>
    </row>
    <row r="414">
      <c r="B414" s="5">
        <f>BDP(A414&amp;" US Equity","CUR_MKT_CAP")</f>
        <v/>
      </c>
      <c r="C414">
        <f>BDP(A414&amp;" US Equity","EXCH_CODE")</f>
        <v/>
      </c>
      <c r="D414" s="5">
        <f>BDP(A414&amp;" US Equity","VOLUME_AVG_20D")</f>
        <v/>
      </c>
      <c r="E414" s="6">
        <f>BDP(A414&amp;" US Equity","PX_LAST")</f>
        <v/>
      </c>
      <c r="F414" s="5">
        <f>D414*E414</f>
        <v/>
      </c>
      <c r="G414">
        <f>AND(B414&gt;=50,B414&lt;=10000)</f>
        <v/>
      </c>
      <c r="H414">
        <f>OR(C414="NAS",C414="NYS",C414="ASE")</f>
        <v/>
      </c>
      <c r="I414">
        <f>F414&gt;=500000</f>
        <v/>
      </c>
      <c r="J414">
        <f>E414&gt;=2</f>
        <v/>
      </c>
      <c r="K414">
        <f>AND(G414,H414,I414,J414)</f>
        <v/>
      </c>
    </row>
    <row r="415">
      <c r="B415" s="5">
        <f>BDP(A415&amp;" US Equity","CUR_MKT_CAP")</f>
        <v/>
      </c>
      <c r="C415">
        <f>BDP(A415&amp;" US Equity","EXCH_CODE")</f>
        <v/>
      </c>
      <c r="D415" s="5">
        <f>BDP(A415&amp;" US Equity","VOLUME_AVG_20D")</f>
        <v/>
      </c>
      <c r="E415" s="6">
        <f>BDP(A415&amp;" US Equity","PX_LAST")</f>
        <v/>
      </c>
      <c r="F415" s="5">
        <f>D415*E415</f>
        <v/>
      </c>
      <c r="G415">
        <f>AND(B415&gt;=50,B415&lt;=10000)</f>
        <v/>
      </c>
      <c r="H415">
        <f>OR(C415="NAS",C415="NYS",C415="ASE")</f>
        <v/>
      </c>
      <c r="I415">
        <f>F415&gt;=500000</f>
        <v/>
      </c>
      <c r="J415">
        <f>E415&gt;=2</f>
        <v/>
      </c>
      <c r="K415">
        <f>AND(G415,H415,I415,J415)</f>
        <v/>
      </c>
    </row>
    <row r="416">
      <c r="B416" s="5">
        <f>BDP(A416&amp;" US Equity","CUR_MKT_CAP")</f>
        <v/>
      </c>
      <c r="C416">
        <f>BDP(A416&amp;" US Equity","EXCH_CODE")</f>
        <v/>
      </c>
      <c r="D416" s="5">
        <f>BDP(A416&amp;" US Equity","VOLUME_AVG_20D")</f>
        <v/>
      </c>
      <c r="E416" s="6">
        <f>BDP(A416&amp;" US Equity","PX_LAST")</f>
        <v/>
      </c>
      <c r="F416" s="5">
        <f>D416*E416</f>
        <v/>
      </c>
      <c r="G416">
        <f>AND(B416&gt;=50,B416&lt;=10000)</f>
        <v/>
      </c>
      <c r="H416">
        <f>OR(C416="NAS",C416="NYS",C416="ASE")</f>
        <v/>
      </c>
      <c r="I416">
        <f>F416&gt;=500000</f>
        <v/>
      </c>
      <c r="J416">
        <f>E416&gt;=2</f>
        <v/>
      </c>
      <c r="K416">
        <f>AND(G416,H416,I416,J416)</f>
        <v/>
      </c>
    </row>
    <row r="417">
      <c r="B417" s="5">
        <f>BDP(A417&amp;" US Equity","CUR_MKT_CAP")</f>
        <v/>
      </c>
      <c r="C417">
        <f>BDP(A417&amp;" US Equity","EXCH_CODE")</f>
        <v/>
      </c>
      <c r="D417" s="5">
        <f>BDP(A417&amp;" US Equity","VOLUME_AVG_20D")</f>
        <v/>
      </c>
      <c r="E417" s="6">
        <f>BDP(A417&amp;" US Equity","PX_LAST")</f>
        <v/>
      </c>
      <c r="F417" s="5">
        <f>D417*E417</f>
        <v/>
      </c>
      <c r="G417">
        <f>AND(B417&gt;=50,B417&lt;=10000)</f>
        <v/>
      </c>
      <c r="H417">
        <f>OR(C417="NAS",C417="NYS",C417="ASE")</f>
        <v/>
      </c>
      <c r="I417">
        <f>F417&gt;=500000</f>
        <v/>
      </c>
      <c r="J417">
        <f>E417&gt;=2</f>
        <v/>
      </c>
      <c r="K417">
        <f>AND(G417,H417,I417,J417)</f>
        <v/>
      </c>
    </row>
    <row r="418">
      <c r="B418" s="5">
        <f>BDP(A418&amp;" US Equity","CUR_MKT_CAP")</f>
        <v/>
      </c>
      <c r="C418">
        <f>BDP(A418&amp;" US Equity","EXCH_CODE")</f>
        <v/>
      </c>
      <c r="D418" s="5">
        <f>BDP(A418&amp;" US Equity","VOLUME_AVG_20D")</f>
        <v/>
      </c>
      <c r="E418" s="6">
        <f>BDP(A418&amp;" US Equity","PX_LAST")</f>
        <v/>
      </c>
      <c r="F418" s="5">
        <f>D418*E418</f>
        <v/>
      </c>
      <c r="G418">
        <f>AND(B418&gt;=50,B418&lt;=10000)</f>
        <v/>
      </c>
      <c r="H418">
        <f>OR(C418="NAS",C418="NYS",C418="ASE")</f>
        <v/>
      </c>
      <c r="I418">
        <f>F418&gt;=500000</f>
        <v/>
      </c>
      <c r="J418">
        <f>E418&gt;=2</f>
        <v/>
      </c>
      <c r="K418">
        <f>AND(G418,H418,I418,J418)</f>
        <v/>
      </c>
    </row>
    <row r="419">
      <c r="B419" s="5">
        <f>BDP(A419&amp;" US Equity","CUR_MKT_CAP")</f>
        <v/>
      </c>
      <c r="C419">
        <f>BDP(A419&amp;" US Equity","EXCH_CODE")</f>
        <v/>
      </c>
      <c r="D419" s="5">
        <f>BDP(A419&amp;" US Equity","VOLUME_AVG_20D")</f>
        <v/>
      </c>
      <c r="E419" s="6">
        <f>BDP(A419&amp;" US Equity","PX_LAST")</f>
        <v/>
      </c>
      <c r="F419" s="5">
        <f>D419*E419</f>
        <v/>
      </c>
      <c r="G419">
        <f>AND(B419&gt;=50,B419&lt;=10000)</f>
        <v/>
      </c>
      <c r="H419">
        <f>OR(C419="NAS",C419="NYS",C419="ASE")</f>
        <v/>
      </c>
      <c r="I419">
        <f>F419&gt;=500000</f>
        <v/>
      </c>
      <c r="J419">
        <f>E419&gt;=2</f>
        <v/>
      </c>
      <c r="K419">
        <f>AND(G419,H419,I419,J419)</f>
        <v/>
      </c>
    </row>
    <row r="420">
      <c r="B420" s="5">
        <f>BDP(A420&amp;" US Equity","CUR_MKT_CAP")</f>
        <v/>
      </c>
      <c r="C420">
        <f>BDP(A420&amp;" US Equity","EXCH_CODE")</f>
        <v/>
      </c>
      <c r="D420" s="5">
        <f>BDP(A420&amp;" US Equity","VOLUME_AVG_20D")</f>
        <v/>
      </c>
      <c r="E420" s="6">
        <f>BDP(A420&amp;" US Equity","PX_LAST")</f>
        <v/>
      </c>
      <c r="F420" s="5">
        <f>D420*E420</f>
        <v/>
      </c>
      <c r="G420">
        <f>AND(B420&gt;=50,B420&lt;=10000)</f>
        <v/>
      </c>
      <c r="H420">
        <f>OR(C420="NAS",C420="NYS",C420="ASE")</f>
        <v/>
      </c>
      <c r="I420">
        <f>F420&gt;=500000</f>
        <v/>
      </c>
      <c r="J420">
        <f>E420&gt;=2</f>
        <v/>
      </c>
      <c r="K420">
        <f>AND(G420,H420,I420,J420)</f>
        <v/>
      </c>
    </row>
    <row r="421">
      <c r="B421" s="5">
        <f>BDP(A421&amp;" US Equity","CUR_MKT_CAP")</f>
        <v/>
      </c>
      <c r="C421">
        <f>BDP(A421&amp;" US Equity","EXCH_CODE")</f>
        <v/>
      </c>
      <c r="D421" s="5">
        <f>BDP(A421&amp;" US Equity","VOLUME_AVG_20D")</f>
        <v/>
      </c>
      <c r="E421" s="6">
        <f>BDP(A421&amp;" US Equity","PX_LAST")</f>
        <v/>
      </c>
      <c r="F421" s="5">
        <f>D421*E421</f>
        <v/>
      </c>
      <c r="G421">
        <f>AND(B421&gt;=50,B421&lt;=10000)</f>
        <v/>
      </c>
      <c r="H421">
        <f>OR(C421="NAS",C421="NYS",C421="ASE")</f>
        <v/>
      </c>
      <c r="I421">
        <f>F421&gt;=500000</f>
        <v/>
      </c>
      <c r="J421">
        <f>E421&gt;=2</f>
        <v/>
      </c>
      <c r="K421">
        <f>AND(G421,H421,I421,J421)</f>
        <v/>
      </c>
    </row>
    <row r="422">
      <c r="B422" s="5">
        <f>BDP(A422&amp;" US Equity","CUR_MKT_CAP")</f>
        <v/>
      </c>
      <c r="C422">
        <f>BDP(A422&amp;" US Equity","EXCH_CODE")</f>
        <v/>
      </c>
      <c r="D422" s="5">
        <f>BDP(A422&amp;" US Equity","VOLUME_AVG_20D")</f>
        <v/>
      </c>
      <c r="E422" s="6">
        <f>BDP(A422&amp;" US Equity","PX_LAST")</f>
        <v/>
      </c>
      <c r="F422" s="5">
        <f>D422*E422</f>
        <v/>
      </c>
      <c r="G422">
        <f>AND(B422&gt;=50,B422&lt;=10000)</f>
        <v/>
      </c>
      <c r="H422">
        <f>OR(C422="NAS",C422="NYS",C422="ASE")</f>
        <v/>
      </c>
      <c r="I422">
        <f>F422&gt;=500000</f>
        <v/>
      </c>
      <c r="J422">
        <f>E422&gt;=2</f>
        <v/>
      </c>
      <c r="K422">
        <f>AND(G422,H422,I422,J422)</f>
        <v/>
      </c>
    </row>
    <row r="423">
      <c r="B423" s="5">
        <f>BDP(A423&amp;" US Equity","CUR_MKT_CAP")</f>
        <v/>
      </c>
      <c r="C423">
        <f>BDP(A423&amp;" US Equity","EXCH_CODE")</f>
        <v/>
      </c>
      <c r="D423" s="5">
        <f>BDP(A423&amp;" US Equity","VOLUME_AVG_20D")</f>
        <v/>
      </c>
      <c r="E423" s="6">
        <f>BDP(A423&amp;" US Equity","PX_LAST")</f>
        <v/>
      </c>
      <c r="F423" s="5">
        <f>D423*E423</f>
        <v/>
      </c>
      <c r="G423">
        <f>AND(B423&gt;=50,B423&lt;=10000)</f>
        <v/>
      </c>
      <c r="H423">
        <f>OR(C423="NAS",C423="NYS",C423="ASE")</f>
        <v/>
      </c>
      <c r="I423">
        <f>F423&gt;=500000</f>
        <v/>
      </c>
      <c r="J423">
        <f>E423&gt;=2</f>
        <v/>
      </c>
      <c r="K423">
        <f>AND(G423,H423,I423,J423)</f>
        <v/>
      </c>
    </row>
    <row r="424">
      <c r="B424" s="5">
        <f>BDP(A424&amp;" US Equity","CUR_MKT_CAP")</f>
        <v/>
      </c>
      <c r="C424">
        <f>BDP(A424&amp;" US Equity","EXCH_CODE")</f>
        <v/>
      </c>
      <c r="D424" s="5">
        <f>BDP(A424&amp;" US Equity","VOLUME_AVG_20D")</f>
        <v/>
      </c>
      <c r="E424" s="6">
        <f>BDP(A424&amp;" US Equity","PX_LAST")</f>
        <v/>
      </c>
      <c r="F424" s="5">
        <f>D424*E424</f>
        <v/>
      </c>
      <c r="G424">
        <f>AND(B424&gt;=50,B424&lt;=10000)</f>
        <v/>
      </c>
      <c r="H424">
        <f>OR(C424="NAS",C424="NYS",C424="ASE")</f>
        <v/>
      </c>
      <c r="I424">
        <f>F424&gt;=500000</f>
        <v/>
      </c>
      <c r="J424">
        <f>E424&gt;=2</f>
        <v/>
      </c>
      <c r="K424">
        <f>AND(G424,H424,I424,J424)</f>
        <v/>
      </c>
    </row>
    <row r="425">
      <c r="B425" s="5">
        <f>BDP(A425&amp;" US Equity","CUR_MKT_CAP")</f>
        <v/>
      </c>
      <c r="C425">
        <f>BDP(A425&amp;" US Equity","EXCH_CODE")</f>
        <v/>
      </c>
      <c r="D425" s="5">
        <f>BDP(A425&amp;" US Equity","VOLUME_AVG_20D")</f>
        <v/>
      </c>
      <c r="E425" s="6">
        <f>BDP(A425&amp;" US Equity","PX_LAST")</f>
        <v/>
      </c>
      <c r="F425" s="5">
        <f>D425*E425</f>
        <v/>
      </c>
      <c r="G425">
        <f>AND(B425&gt;=50,B425&lt;=10000)</f>
        <v/>
      </c>
      <c r="H425">
        <f>OR(C425="NAS",C425="NYS",C425="ASE")</f>
        <v/>
      </c>
      <c r="I425">
        <f>F425&gt;=500000</f>
        <v/>
      </c>
      <c r="J425">
        <f>E425&gt;=2</f>
        <v/>
      </c>
      <c r="K425">
        <f>AND(G425,H425,I425,J425)</f>
        <v/>
      </c>
    </row>
    <row r="426">
      <c r="B426" s="5">
        <f>BDP(A426&amp;" US Equity","CUR_MKT_CAP")</f>
        <v/>
      </c>
      <c r="C426">
        <f>BDP(A426&amp;" US Equity","EXCH_CODE")</f>
        <v/>
      </c>
      <c r="D426" s="5">
        <f>BDP(A426&amp;" US Equity","VOLUME_AVG_20D")</f>
        <v/>
      </c>
      <c r="E426" s="6">
        <f>BDP(A426&amp;" US Equity","PX_LAST")</f>
        <v/>
      </c>
      <c r="F426" s="5">
        <f>D426*E426</f>
        <v/>
      </c>
      <c r="G426">
        <f>AND(B426&gt;=50,B426&lt;=10000)</f>
        <v/>
      </c>
      <c r="H426">
        <f>OR(C426="NAS",C426="NYS",C426="ASE")</f>
        <v/>
      </c>
      <c r="I426">
        <f>F426&gt;=500000</f>
        <v/>
      </c>
      <c r="J426">
        <f>E426&gt;=2</f>
        <v/>
      </c>
      <c r="K426">
        <f>AND(G426,H426,I426,J426)</f>
        <v/>
      </c>
    </row>
    <row r="427">
      <c r="B427" s="5">
        <f>BDP(A427&amp;" US Equity","CUR_MKT_CAP")</f>
        <v/>
      </c>
      <c r="C427">
        <f>BDP(A427&amp;" US Equity","EXCH_CODE")</f>
        <v/>
      </c>
      <c r="D427" s="5">
        <f>BDP(A427&amp;" US Equity","VOLUME_AVG_20D")</f>
        <v/>
      </c>
      <c r="E427" s="6">
        <f>BDP(A427&amp;" US Equity","PX_LAST")</f>
        <v/>
      </c>
      <c r="F427" s="5">
        <f>D427*E427</f>
        <v/>
      </c>
      <c r="G427">
        <f>AND(B427&gt;=50,B427&lt;=10000)</f>
        <v/>
      </c>
      <c r="H427">
        <f>OR(C427="NAS",C427="NYS",C427="ASE")</f>
        <v/>
      </c>
      <c r="I427">
        <f>F427&gt;=500000</f>
        <v/>
      </c>
      <c r="J427">
        <f>E427&gt;=2</f>
        <v/>
      </c>
      <c r="K427">
        <f>AND(G427,H427,I427,J427)</f>
        <v/>
      </c>
    </row>
    <row r="428">
      <c r="B428" s="5">
        <f>BDP(A428&amp;" US Equity","CUR_MKT_CAP")</f>
        <v/>
      </c>
      <c r="C428">
        <f>BDP(A428&amp;" US Equity","EXCH_CODE")</f>
        <v/>
      </c>
      <c r="D428" s="5">
        <f>BDP(A428&amp;" US Equity","VOLUME_AVG_20D")</f>
        <v/>
      </c>
      <c r="E428" s="6">
        <f>BDP(A428&amp;" US Equity","PX_LAST")</f>
        <v/>
      </c>
      <c r="F428" s="5">
        <f>D428*E428</f>
        <v/>
      </c>
      <c r="G428">
        <f>AND(B428&gt;=50,B428&lt;=10000)</f>
        <v/>
      </c>
      <c r="H428">
        <f>OR(C428="NAS",C428="NYS",C428="ASE")</f>
        <v/>
      </c>
      <c r="I428">
        <f>F428&gt;=500000</f>
        <v/>
      </c>
      <c r="J428">
        <f>E428&gt;=2</f>
        <v/>
      </c>
      <c r="K428">
        <f>AND(G428,H428,I428,J428)</f>
        <v/>
      </c>
    </row>
    <row r="429">
      <c r="B429" s="5">
        <f>BDP(A429&amp;" US Equity","CUR_MKT_CAP")</f>
        <v/>
      </c>
      <c r="C429">
        <f>BDP(A429&amp;" US Equity","EXCH_CODE")</f>
        <v/>
      </c>
      <c r="D429" s="5">
        <f>BDP(A429&amp;" US Equity","VOLUME_AVG_20D")</f>
        <v/>
      </c>
      <c r="E429" s="6">
        <f>BDP(A429&amp;" US Equity","PX_LAST")</f>
        <v/>
      </c>
      <c r="F429" s="5">
        <f>D429*E429</f>
        <v/>
      </c>
      <c r="G429">
        <f>AND(B429&gt;=50,B429&lt;=10000)</f>
        <v/>
      </c>
      <c r="H429">
        <f>OR(C429="NAS",C429="NYS",C429="ASE")</f>
        <v/>
      </c>
      <c r="I429">
        <f>F429&gt;=500000</f>
        <v/>
      </c>
      <c r="J429">
        <f>E429&gt;=2</f>
        <v/>
      </c>
      <c r="K429">
        <f>AND(G429,H429,I429,J429)</f>
        <v/>
      </c>
    </row>
    <row r="430">
      <c r="B430" s="5">
        <f>BDP(A430&amp;" US Equity","CUR_MKT_CAP")</f>
        <v/>
      </c>
      <c r="C430">
        <f>BDP(A430&amp;" US Equity","EXCH_CODE")</f>
        <v/>
      </c>
      <c r="D430" s="5">
        <f>BDP(A430&amp;" US Equity","VOLUME_AVG_20D")</f>
        <v/>
      </c>
      <c r="E430" s="6">
        <f>BDP(A430&amp;" US Equity","PX_LAST")</f>
        <v/>
      </c>
      <c r="F430" s="5">
        <f>D430*E430</f>
        <v/>
      </c>
      <c r="G430">
        <f>AND(B430&gt;=50,B430&lt;=10000)</f>
        <v/>
      </c>
      <c r="H430">
        <f>OR(C430="NAS",C430="NYS",C430="ASE")</f>
        <v/>
      </c>
      <c r="I430">
        <f>F430&gt;=500000</f>
        <v/>
      </c>
      <c r="J430">
        <f>E430&gt;=2</f>
        <v/>
      </c>
      <c r="K430">
        <f>AND(G430,H430,I430,J430)</f>
        <v/>
      </c>
    </row>
    <row r="431">
      <c r="B431" s="5">
        <f>BDP(A431&amp;" US Equity","CUR_MKT_CAP")</f>
        <v/>
      </c>
      <c r="C431">
        <f>BDP(A431&amp;" US Equity","EXCH_CODE")</f>
        <v/>
      </c>
      <c r="D431" s="5">
        <f>BDP(A431&amp;" US Equity","VOLUME_AVG_20D")</f>
        <v/>
      </c>
      <c r="E431" s="6">
        <f>BDP(A431&amp;" US Equity","PX_LAST")</f>
        <v/>
      </c>
      <c r="F431" s="5">
        <f>D431*E431</f>
        <v/>
      </c>
      <c r="G431">
        <f>AND(B431&gt;=50,B431&lt;=10000)</f>
        <v/>
      </c>
      <c r="H431">
        <f>OR(C431="NAS",C431="NYS",C431="ASE")</f>
        <v/>
      </c>
      <c r="I431">
        <f>F431&gt;=500000</f>
        <v/>
      </c>
      <c r="J431">
        <f>E431&gt;=2</f>
        <v/>
      </c>
      <c r="K431">
        <f>AND(G431,H431,I431,J431)</f>
        <v/>
      </c>
    </row>
    <row r="432">
      <c r="B432" s="5">
        <f>BDP(A432&amp;" US Equity","CUR_MKT_CAP")</f>
        <v/>
      </c>
      <c r="C432">
        <f>BDP(A432&amp;" US Equity","EXCH_CODE")</f>
        <v/>
      </c>
      <c r="D432" s="5">
        <f>BDP(A432&amp;" US Equity","VOLUME_AVG_20D")</f>
        <v/>
      </c>
      <c r="E432" s="6">
        <f>BDP(A432&amp;" US Equity","PX_LAST")</f>
        <v/>
      </c>
      <c r="F432" s="5">
        <f>D432*E432</f>
        <v/>
      </c>
      <c r="G432">
        <f>AND(B432&gt;=50,B432&lt;=10000)</f>
        <v/>
      </c>
      <c r="H432">
        <f>OR(C432="NAS",C432="NYS",C432="ASE")</f>
        <v/>
      </c>
      <c r="I432">
        <f>F432&gt;=500000</f>
        <v/>
      </c>
      <c r="J432">
        <f>E432&gt;=2</f>
        <v/>
      </c>
      <c r="K432">
        <f>AND(G432,H432,I432,J432)</f>
        <v/>
      </c>
    </row>
    <row r="433">
      <c r="B433" s="5">
        <f>BDP(A433&amp;" US Equity","CUR_MKT_CAP")</f>
        <v/>
      </c>
      <c r="C433">
        <f>BDP(A433&amp;" US Equity","EXCH_CODE")</f>
        <v/>
      </c>
      <c r="D433" s="5">
        <f>BDP(A433&amp;" US Equity","VOLUME_AVG_20D")</f>
        <v/>
      </c>
      <c r="E433" s="6">
        <f>BDP(A433&amp;" US Equity","PX_LAST")</f>
        <v/>
      </c>
      <c r="F433" s="5">
        <f>D433*E433</f>
        <v/>
      </c>
      <c r="G433">
        <f>AND(B433&gt;=50,B433&lt;=10000)</f>
        <v/>
      </c>
      <c r="H433">
        <f>OR(C433="NAS",C433="NYS",C433="ASE")</f>
        <v/>
      </c>
      <c r="I433">
        <f>F433&gt;=500000</f>
        <v/>
      </c>
      <c r="J433">
        <f>E433&gt;=2</f>
        <v/>
      </c>
      <c r="K433">
        <f>AND(G433,H433,I433,J433)</f>
        <v/>
      </c>
    </row>
    <row r="434">
      <c r="B434" s="5">
        <f>BDP(A434&amp;" US Equity","CUR_MKT_CAP")</f>
        <v/>
      </c>
      <c r="C434">
        <f>BDP(A434&amp;" US Equity","EXCH_CODE")</f>
        <v/>
      </c>
      <c r="D434" s="5">
        <f>BDP(A434&amp;" US Equity","VOLUME_AVG_20D")</f>
        <v/>
      </c>
      <c r="E434" s="6">
        <f>BDP(A434&amp;" US Equity","PX_LAST")</f>
        <v/>
      </c>
      <c r="F434" s="5">
        <f>D434*E434</f>
        <v/>
      </c>
      <c r="G434">
        <f>AND(B434&gt;=50,B434&lt;=10000)</f>
        <v/>
      </c>
      <c r="H434">
        <f>OR(C434="NAS",C434="NYS",C434="ASE")</f>
        <v/>
      </c>
      <c r="I434">
        <f>F434&gt;=500000</f>
        <v/>
      </c>
      <c r="J434">
        <f>E434&gt;=2</f>
        <v/>
      </c>
      <c r="K434">
        <f>AND(G434,H434,I434,J434)</f>
        <v/>
      </c>
    </row>
    <row r="435">
      <c r="B435" s="5">
        <f>BDP(A435&amp;" US Equity","CUR_MKT_CAP")</f>
        <v/>
      </c>
      <c r="C435">
        <f>BDP(A435&amp;" US Equity","EXCH_CODE")</f>
        <v/>
      </c>
      <c r="D435" s="5">
        <f>BDP(A435&amp;" US Equity","VOLUME_AVG_20D")</f>
        <v/>
      </c>
      <c r="E435" s="6">
        <f>BDP(A435&amp;" US Equity","PX_LAST")</f>
        <v/>
      </c>
      <c r="F435" s="5">
        <f>D435*E435</f>
        <v/>
      </c>
      <c r="G435">
        <f>AND(B435&gt;=50,B435&lt;=10000)</f>
        <v/>
      </c>
      <c r="H435">
        <f>OR(C435="NAS",C435="NYS",C435="ASE")</f>
        <v/>
      </c>
      <c r="I435">
        <f>F435&gt;=500000</f>
        <v/>
      </c>
      <c r="J435">
        <f>E435&gt;=2</f>
        <v/>
      </c>
      <c r="K435">
        <f>AND(G435,H435,I435,J435)</f>
        <v/>
      </c>
    </row>
    <row r="436">
      <c r="B436" s="5">
        <f>BDP(A436&amp;" US Equity","CUR_MKT_CAP")</f>
        <v/>
      </c>
      <c r="C436">
        <f>BDP(A436&amp;" US Equity","EXCH_CODE")</f>
        <v/>
      </c>
      <c r="D436" s="5">
        <f>BDP(A436&amp;" US Equity","VOLUME_AVG_20D")</f>
        <v/>
      </c>
      <c r="E436" s="6">
        <f>BDP(A436&amp;" US Equity","PX_LAST")</f>
        <v/>
      </c>
      <c r="F436" s="5">
        <f>D436*E436</f>
        <v/>
      </c>
      <c r="G436">
        <f>AND(B436&gt;=50,B436&lt;=10000)</f>
        <v/>
      </c>
      <c r="H436">
        <f>OR(C436="NAS",C436="NYS",C436="ASE")</f>
        <v/>
      </c>
      <c r="I436">
        <f>F436&gt;=500000</f>
        <v/>
      </c>
      <c r="J436">
        <f>E436&gt;=2</f>
        <v/>
      </c>
      <c r="K436">
        <f>AND(G436,H436,I436,J436)</f>
        <v/>
      </c>
    </row>
    <row r="437">
      <c r="B437" s="5">
        <f>BDP(A437&amp;" US Equity","CUR_MKT_CAP")</f>
        <v/>
      </c>
      <c r="C437">
        <f>BDP(A437&amp;" US Equity","EXCH_CODE")</f>
        <v/>
      </c>
      <c r="D437" s="5">
        <f>BDP(A437&amp;" US Equity","VOLUME_AVG_20D")</f>
        <v/>
      </c>
      <c r="E437" s="6">
        <f>BDP(A437&amp;" US Equity","PX_LAST")</f>
        <v/>
      </c>
      <c r="F437" s="5">
        <f>D437*E437</f>
        <v/>
      </c>
      <c r="G437">
        <f>AND(B437&gt;=50,B437&lt;=10000)</f>
        <v/>
      </c>
      <c r="H437">
        <f>OR(C437="NAS",C437="NYS",C437="ASE")</f>
        <v/>
      </c>
      <c r="I437">
        <f>F437&gt;=500000</f>
        <v/>
      </c>
      <c r="J437">
        <f>E437&gt;=2</f>
        <v/>
      </c>
      <c r="K437">
        <f>AND(G437,H437,I437,J437)</f>
        <v/>
      </c>
    </row>
    <row r="438">
      <c r="B438" s="5">
        <f>BDP(A438&amp;" US Equity","CUR_MKT_CAP")</f>
        <v/>
      </c>
      <c r="C438">
        <f>BDP(A438&amp;" US Equity","EXCH_CODE")</f>
        <v/>
      </c>
      <c r="D438" s="5">
        <f>BDP(A438&amp;" US Equity","VOLUME_AVG_20D")</f>
        <v/>
      </c>
      <c r="E438" s="6">
        <f>BDP(A438&amp;" US Equity","PX_LAST")</f>
        <v/>
      </c>
      <c r="F438" s="5">
        <f>D438*E438</f>
        <v/>
      </c>
      <c r="G438">
        <f>AND(B438&gt;=50,B438&lt;=10000)</f>
        <v/>
      </c>
      <c r="H438">
        <f>OR(C438="NAS",C438="NYS",C438="ASE")</f>
        <v/>
      </c>
      <c r="I438">
        <f>F438&gt;=500000</f>
        <v/>
      </c>
      <c r="J438">
        <f>E438&gt;=2</f>
        <v/>
      </c>
      <c r="K438">
        <f>AND(G438,H438,I438,J438)</f>
        <v/>
      </c>
    </row>
    <row r="439">
      <c r="B439" s="5">
        <f>BDP(A439&amp;" US Equity","CUR_MKT_CAP")</f>
        <v/>
      </c>
      <c r="C439">
        <f>BDP(A439&amp;" US Equity","EXCH_CODE")</f>
        <v/>
      </c>
      <c r="D439" s="5">
        <f>BDP(A439&amp;" US Equity","VOLUME_AVG_20D")</f>
        <v/>
      </c>
      <c r="E439" s="6">
        <f>BDP(A439&amp;" US Equity","PX_LAST")</f>
        <v/>
      </c>
      <c r="F439" s="5">
        <f>D439*E439</f>
        <v/>
      </c>
      <c r="G439">
        <f>AND(B439&gt;=50,B439&lt;=10000)</f>
        <v/>
      </c>
      <c r="H439">
        <f>OR(C439="NAS",C439="NYS",C439="ASE")</f>
        <v/>
      </c>
      <c r="I439">
        <f>F439&gt;=500000</f>
        <v/>
      </c>
      <c r="J439">
        <f>E439&gt;=2</f>
        <v/>
      </c>
      <c r="K439">
        <f>AND(G439,H439,I439,J439)</f>
        <v/>
      </c>
    </row>
    <row r="440">
      <c r="B440" s="5">
        <f>BDP(A440&amp;" US Equity","CUR_MKT_CAP")</f>
        <v/>
      </c>
      <c r="C440">
        <f>BDP(A440&amp;" US Equity","EXCH_CODE")</f>
        <v/>
      </c>
      <c r="D440" s="5">
        <f>BDP(A440&amp;" US Equity","VOLUME_AVG_20D")</f>
        <v/>
      </c>
      <c r="E440" s="6">
        <f>BDP(A440&amp;" US Equity","PX_LAST")</f>
        <v/>
      </c>
      <c r="F440" s="5">
        <f>D440*E440</f>
        <v/>
      </c>
      <c r="G440">
        <f>AND(B440&gt;=50,B440&lt;=10000)</f>
        <v/>
      </c>
      <c r="H440">
        <f>OR(C440="NAS",C440="NYS",C440="ASE")</f>
        <v/>
      </c>
      <c r="I440">
        <f>F440&gt;=500000</f>
        <v/>
      </c>
      <c r="J440">
        <f>E440&gt;=2</f>
        <v/>
      </c>
      <c r="K440">
        <f>AND(G440,H440,I440,J440)</f>
        <v/>
      </c>
    </row>
    <row r="441">
      <c r="B441" s="5">
        <f>BDP(A441&amp;" US Equity","CUR_MKT_CAP")</f>
        <v/>
      </c>
      <c r="C441">
        <f>BDP(A441&amp;" US Equity","EXCH_CODE")</f>
        <v/>
      </c>
      <c r="D441" s="5">
        <f>BDP(A441&amp;" US Equity","VOLUME_AVG_20D")</f>
        <v/>
      </c>
      <c r="E441" s="6">
        <f>BDP(A441&amp;" US Equity","PX_LAST")</f>
        <v/>
      </c>
      <c r="F441" s="5">
        <f>D441*E441</f>
        <v/>
      </c>
      <c r="G441">
        <f>AND(B441&gt;=50,B441&lt;=10000)</f>
        <v/>
      </c>
      <c r="H441">
        <f>OR(C441="NAS",C441="NYS",C441="ASE")</f>
        <v/>
      </c>
      <c r="I441">
        <f>F441&gt;=500000</f>
        <v/>
      </c>
      <c r="J441">
        <f>E441&gt;=2</f>
        <v/>
      </c>
      <c r="K441">
        <f>AND(G441,H441,I441,J441)</f>
        <v/>
      </c>
    </row>
    <row r="442">
      <c r="B442" s="5">
        <f>BDP(A442&amp;" US Equity","CUR_MKT_CAP")</f>
        <v/>
      </c>
      <c r="C442">
        <f>BDP(A442&amp;" US Equity","EXCH_CODE")</f>
        <v/>
      </c>
      <c r="D442" s="5">
        <f>BDP(A442&amp;" US Equity","VOLUME_AVG_20D")</f>
        <v/>
      </c>
      <c r="E442" s="6">
        <f>BDP(A442&amp;" US Equity","PX_LAST")</f>
        <v/>
      </c>
      <c r="F442" s="5">
        <f>D442*E442</f>
        <v/>
      </c>
      <c r="G442">
        <f>AND(B442&gt;=50,B442&lt;=10000)</f>
        <v/>
      </c>
      <c r="H442">
        <f>OR(C442="NAS",C442="NYS",C442="ASE")</f>
        <v/>
      </c>
      <c r="I442">
        <f>F442&gt;=500000</f>
        <v/>
      </c>
      <c r="J442">
        <f>E442&gt;=2</f>
        <v/>
      </c>
      <c r="K442">
        <f>AND(G442,H442,I442,J442)</f>
        <v/>
      </c>
    </row>
    <row r="443">
      <c r="B443" s="5">
        <f>BDP(A443&amp;" US Equity","CUR_MKT_CAP")</f>
        <v/>
      </c>
      <c r="C443">
        <f>BDP(A443&amp;" US Equity","EXCH_CODE")</f>
        <v/>
      </c>
      <c r="D443" s="5">
        <f>BDP(A443&amp;" US Equity","VOLUME_AVG_20D")</f>
        <v/>
      </c>
      <c r="E443" s="6">
        <f>BDP(A443&amp;" US Equity","PX_LAST")</f>
        <v/>
      </c>
      <c r="F443" s="5">
        <f>D443*E443</f>
        <v/>
      </c>
      <c r="G443">
        <f>AND(B443&gt;=50,B443&lt;=10000)</f>
        <v/>
      </c>
      <c r="H443">
        <f>OR(C443="NAS",C443="NYS",C443="ASE")</f>
        <v/>
      </c>
      <c r="I443">
        <f>F443&gt;=500000</f>
        <v/>
      </c>
      <c r="J443">
        <f>E443&gt;=2</f>
        <v/>
      </c>
      <c r="K443">
        <f>AND(G443,H443,I443,J443)</f>
        <v/>
      </c>
    </row>
    <row r="444">
      <c r="B444" s="5">
        <f>BDP(A444&amp;" US Equity","CUR_MKT_CAP")</f>
        <v/>
      </c>
      <c r="C444">
        <f>BDP(A444&amp;" US Equity","EXCH_CODE")</f>
        <v/>
      </c>
      <c r="D444" s="5">
        <f>BDP(A444&amp;" US Equity","VOLUME_AVG_20D")</f>
        <v/>
      </c>
      <c r="E444" s="6">
        <f>BDP(A444&amp;" US Equity","PX_LAST")</f>
        <v/>
      </c>
      <c r="F444" s="5">
        <f>D444*E444</f>
        <v/>
      </c>
      <c r="G444">
        <f>AND(B444&gt;=50,B444&lt;=10000)</f>
        <v/>
      </c>
      <c r="H444">
        <f>OR(C444="NAS",C444="NYS",C444="ASE")</f>
        <v/>
      </c>
      <c r="I444">
        <f>F444&gt;=500000</f>
        <v/>
      </c>
      <c r="J444">
        <f>E444&gt;=2</f>
        <v/>
      </c>
      <c r="K444">
        <f>AND(G444,H444,I444,J444)</f>
        <v/>
      </c>
    </row>
    <row r="445">
      <c r="B445" s="5">
        <f>BDP(A445&amp;" US Equity","CUR_MKT_CAP")</f>
        <v/>
      </c>
      <c r="C445">
        <f>BDP(A445&amp;" US Equity","EXCH_CODE")</f>
        <v/>
      </c>
      <c r="D445" s="5">
        <f>BDP(A445&amp;" US Equity","VOLUME_AVG_20D")</f>
        <v/>
      </c>
      <c r="E445" s="6">
        <f>BDP(A445&amp;" US Equity","PX_LAST")</f>
        <v/>
      </c>
      <c r="F445" s="5">
        <f>D445*E445</f>
        <v/>
      </c>
      <c r="G445">
        <f>AND(B445&gt;=50,B445&lt;=10000)</f>
        <v/>
      </c>
      <c r="H445">
        <f>OR(C445="NAS",C445="NYS",C445="ASE")</f>
        <v/>
      </c>
      <c r="I445">
        <f>F445&gt;=500000</f>
        <v/>
      </c>
      <c r="J445">
        <f>E445&gt;=2</f>
        <v/>
      </c>
      <c r="K445">
        <f>AND(G445,H445,I445,J445)</f>
        <v/>
      </c>
    </row>
    <row r="446">
      <c r="B446" s="5">
        <f>BDP(A446&amp;" US Equity","CUR_MKT_CAP")</f>
        <v/>
      </c>
      <c r="C446">
        <f>BDP(A446&amp;" US Equity","EXCH_CODE")</f>
        <v/>
      </c>
      <c r="D446" s="5">
        <f>BDP(A446&amp;" US Equity","VOLUME_AVG_20D")</f>
        <v/>
      </c>
      <c r="E446" s="6">
        <f>BDP(A446&amp;" US Equity","PX_LAST")</f>
        <v/>
      </c>
      <c r="F446" s="5">
        <f>D446*E446</f>
        <v/>
      </c>
      <c r="G446">
        <f>AND(B446&gt;=50,B446&lt;=10000)</f>
        <v/>
      </c>
      <c r="H446">
        <f>OR(C446="NAS",C446="NYS",C446="ASE")</f>
        <v/>
      </c>
      <c r="I446">
        <f>F446&gt;=500000</f>
        <v/>
      </c>
      <c r="J446">
        <f>E446&gt;=2</f>
        <v/>
      </c>
      <c r="K446">
        <f>AND(G446,H446,I446,J446)</f>
        <v/>
      </c>
    </row>
    <row r="447">
      <c r="B447" s="5">
        <f>BDP(A447&amp;" US Equity","CUR_MKT_CAP")</f>
        <v/>
      </c>
      <c r="C447">
        <f>BDP(A447&amp;" US Equity","EXCH_CODE")</f>
        <v/>
      </c>
      <c r="D447" s="5">
        <f>BDP(A447&amp;" US Equity","VOLUME_AVG_20D")</f>
        <v/>
      </c>
      <c r="E447" s="6">
        <f>BDP(A447&amp;" US Equity","PX_LAST")</f>
        <v/>
      </c>
      <c r="F447" s="5">
        <f>D447*E447</f>
        <v/>
      </c>
      <c r="G447">
        <f>AND(B447&gt;=50,B447&lt;=10000)</f>
        <v/>
      </c>
      <c r="H447">
        <f>OR(C447="NAS",C447="NYS",C447="ASE")</f>
        <v/>
      </c>
      <c r="I447">
        <f>F447&gt;=500000</f>
        <v/>
      </c>
      <c r="J447">
        <f>E447&gt;=2</f>
        <v/>
      </c>
      <c r="K447">
        <f>AND(G447,H447,I447,J447)</f>
        <v/>
      </c>
    </row>
    <row r="448">
      <c r="B448" s="5">
        <f>BDP(A448&amp;" US Equity","CUR_MKT_CAP")</f>
        <v/>
      </c>
      <c r="C448">
        <f>BDP(A448&amp;" US Equity","EXCH_CODE")</f>
        <v/>
      </c>
      <c r="D448" s="5">
        <f>BDP(A448&amp;" US Equity","VOLUME_AVG_20D")</f>
        <v/>
      </c>
      <c r="E448" s="6">
        <f>BDP(A448&amp;" US Equity","PX_LAST")</f>
        <v/>
      </c>
      <c r="F448" s="5">
        <f>D448*E448</f>
        <v/>
      </c>
      <c r="G448">
        <f>AND(B448&gt;=50,B448&lt;=10000)</f>
        <v/>
      </c>
      <c r="H448">
        <f>OR(C448="NAS",C448="NYS",C448="ASE")</f>
        <v/>
      </c>
      <c r="I448">
        <f>F448&gt;=500000</f>
        <v/>
      </c>
      <c r="J448">
        <f>E448&gt;=2</f>
        <v/>
      </c>
      <c r="K448">
        <f>AND(G448,H448,I448,J448)</f>
        <v/>
      </c>
    </row>
    <row r="449">
      <c r="B449" s="5">
        <f>BDP(A449&amp;" US Equity","CUR_MKT_CAP")</f>
        <v/>
      </c>
      <c r="C449">
        <f>BDP(A449&amp;" US Equity","EXCH_CODE")</f>
        <v/>
      </c>
      <c r="D449" s="5">
        <f>BDP(A449&amp;" US Equity","VOLUME_AVG_20D")</f>
        <v/>
      </c>
      <c r="E449" s="6">
        <f>BDP(A449&amp;" US Equity","PX_LAST")</f>
        <v/>
      </c>
      <c r="F449" s="5">
        <f>D449*E449</f>
        <v/>
      </c>
      <c r="G449">
        <f>AND(B449&gt;=50,B449&lt;=10000)</f>
        <v/>
      </c>
      <c r="H449">
        <f>OR(C449="NAS",C449="NYS",C449="ASE")</f>
        <v/>
      </c>
      <c r="I449">
        <f>F449&gt;=500000</f>
        <v/>
      </c>
      <c r="J449">
        <f>E449&gt;=2</f>
        <v/>
      </c>
      <c r="K449">
        <f>AND(G449,H449,I449,J449)</f>
        <v/>
      </c>
    </row>
    <row r="450">
      <c r="B450" s="5">
        <f>BDP(A450&amp;" US Equity","CUR_MKT_CAP")</f>
        <v/>
      </c>
      <c r="C450">
        <f>BDP(A450&amp;" US Equity","EXCH_CODE")</f>
        <v/>
      </c>
      <c r="D450" s="5">
        <f>BDP(A450&amp;" US Equity","VOLUME_AVG_20D")</f>
        <v/>
      </c>
      <c r="E450" s="6">
        <f>BDP(A450&amp;" US Equity","PX_LAST")</f>
        <v/>
      </c>
      <c r="F450" s="5">
        <f>D450*E450</f>
        <v/>
      </c>
      <c r="G450">
        <f>AND(B450&gt;=50,B450&lt;=10000)</f>
        <v/>
      </c>
      <c r="H450">
        <f>OR(C450="NAS",C450="NYS",C450="ASE")</f>
        <v/>
      </c>
      <c r="I450">
        <f>F450&gt;=500000</f>
        <v/>
      </c>
      <c r="J450">
        <f>E450&gt;=2</f>
        <v/>
      </c>
      <c r="K450">
        <f>AND(G450,H450,I450,J450)</f>
        <v/>
      </c>
    </row>
    <row r="451">
      <c r="B451" s="5">
        <f>BDP(A451&amp;" US Equity","CUR_MKT_CAP")</f>
        <v/>
      </c>
      <c r="C451">
        <f>BDP(A451&amp;" US Equity","EXCH_CODE")</f>
        <v/>
      </c>
      <c r="D451" s="5">
        <f>BDP(A451&amp;" US Equity","VOLUME_AVG_20D")</f>
        <v/>
      </c>
      <c r="E451" s="6">
        <f>BDP(A451&amp;" US Equity","PX_LAST")</f>
        <v/>
      </c>
      <c r="F451" s="5">
        <f>D451*E451</f>
        <v/>
      </c>
      <c r="G451">
        <f>AND(B451&gt;=50,B451&lt;=10000)</f>
        <v/>
      </c>
      <c r="H451">
        <f>OR(C451="NAS",C451="NYS",C451="ASE")</f>
        <v/>
      </c>
      <c r="I451">
        <f>F451&gt;=500000</f>
        <v/>
      </c>
      <c r="J451">
        <f>E451&gt;=2</f>
        <v/>
      </c>
      <c r="K451">
        <f>AND(G451,H451,I451,J451)</f>
        <v/>
      </c>
    </row>
    <row r="452">
      <c r="B452" s="5">
        <f>BDP(A452&amp;" US Equity","CUR_MKT_CAP")</f>
        <v/>
      </c>
      <c r="C452">
        <f>BDP(A452&amp;" US Equity","EXCH_CODE")</f>
        <v/>
      </c>
      <c r="D452" s="5">
        <f>BDP(A452&amp;" US Equity","VOLUME_AVG_20D")</f>
        <v/>
      </c>
      <c r="E452" s="6">
        <f>BDP(A452&amp;" US Equity","PX_LAST")</f>
        <v/>
      </c>
      <c r="F452" s="5">
        <f>D452*E452</f>
        <v/>
      </c>
      <c r="G452">
        <f>AND(B452&gt;=50,B452&lt;=10000)</f>
        <v/>
      </c>
      <c r="H452">
        <f>OR(C452="NAS",C452="NYS",C452="ASE")</f>
        <v/>
      </c>
      <c r="I452">
        <f>F452&gt;=500000</f>
        <v/>
      </c>
      <c r="J452">
        <f>E452&gt;=2</f>
        <v/>
      </c>
      <c r="K452">
        <f>AND(G452,H452,I452,J452)</f>
        <v/>
      </c>
    </row>
    <row r="453">
      <c r="B453" s="5">
        <f>BDP(A453&amp;" US Equity","CUR_MKT_CAP")</f>
        <v/>
      </c>
      <c r="C453">
        <f>BDP(A453&amp;" US Equity","EXCH_CODE")</f>
        <v/>
      </c>
      <c r="D453" s="5">
        <f>BDP(A453&amp;" US Equity","VOLUME_AVG_20D")</f>
        <v/>
      </c>
      <c r="E453" s="6">
        <f>BDP(A453&amp;" US Equity","PX_LAST")</f>
        <v/>
      </c>
      <c r="F453" s="5">
        <f>D453*E453</f>
        <v/>
      </c>
      <c r="G453">
        <f>AND(B453&gt;=50,B453&lt;=10000)</f>
        <v/>
      </c>
      <c r="H453">
        <f>OR(C453="NAS",C453="NYS",C453="ASE")</f>
        <v/>
      </c>
      <c r="I453">
        <f>F453&gt;=500000</f>
        <v/>
      </c>
      <c r="J453">
        <f>E453&gt;=2</f>
        <v/>
      </c>
      <c r="K453">
        <f>AND(G453,H453,I453,J453)</f>
        <v/>
      </c>
    </row>
    <row r="454">
      <c r="B454" s="5">
        <f>BDP(A454&amp;" US Equity","CUR_MKT_CAP")</f>
        <v/>
      </c>
      <c r="C454">
        <f>BDP(A454&amp;" US Equity","EXCH_CODE")</f>
        <v/>
      </c>
      <c r="D454" s="5">
        <f>BDP(A454&amp;" US Equity","VOLUME_AVG_20D")</f>
        <v/>
      </c>
      <c r="E454" s="6">
        <f>BDP(A454&amp;" US Equity","PX_LAST")</f>
        <v/>
      </c>
      <c r="F454" s="5">
        <f>D454*E454</f>
        <v/>
      </c>
      <c r="G454">
        <f>AND(B454&gt;=50,B454&lt;=10000)</f>
        <v/>
      </c>
      <c r="H454">
        <f>OR(C454="NAS",C454="NYS",C454="ASE")</f>
        <v/>
      </c>
      <c r="I454">
        <f>F454&gt;=500000</f>
        <v/>
      </c>
      <c r="J454">
        <f>E454&gt;=2</f>
        <v/>
      </c>
      <c r="K454">
        <f>AND(G454,H454,I454,J454)</f>
        <v/>
      </c>
    </row>
    <row r="455">
      <c r="B455" s="5">
        <f>BDP(A455&amp;" US Equity","CUR_MKT_CAP")</f>
        <v/>
      </c>
      <c r="C455">
        <f>BDP(A455&amp;" US Equity","EXCH_CODE")</f>
        <v/>
      </c>
      <c r="D455" s="5">
        <f>BDP(A455&amp;" US Equity","VOLUME_AVG_20D")</f>
        <v/>
      </c>
      <c r="E455" s="6">
        <f>BDP(A455&amp;" US Equity","PX_LAST")</f>
        <v/>
      </c>
      <c r="F455" s="5">
        <f>D455*E455</f>
        <v/>
      </c>
      <c r="G455">
        <f>AND(B455&gt;=50,B455&lt;=10000)</f>
        <v/>
      </c>
      <c r="H455">
        <f>OR(C455="NAS",C455="NYS",C455="ASE")</f>
        <v/>
      </c>
      <c r="I455">
        <f>F455&gt;=500000</f>
        <v/>
      </c>
      <c r="J455">
        <f>E455&gt;=2</f>
        <v/>
      </c>
      <c r="K455">
        <f>AND(G455,H455,I455,J455)</f>
        <v/>
      </c>
    </row>
    <row r="456">
      <c r="B456" s="5">
        <f>BDP(A456&amp;" US Equity","CUR_MKT_CAP")</f>
        <v/>
      </c>
      <c r="C456">
        <f>BDP(A456&amp;" US Equity","EXCH_CODE")</f>
        <v/>
      </c>
      <c r="D456" s="5">
        <f>BDP(A456&amp;" US Equity","VOLUME_AVG_20D")</f>
        <v/>
      </c>
      <c r="E456" s="6">
        <f>BDP(A456&amp;" US Equity","PX_LAST")</f>
        <v/>
      </c>
      <c r="F456" s="5">
        <f>D456*E456</f>
        <v/>
      </c>
      <c r="G456">
        <f>AND(B456&gt;=50,B456&lt;=10000)</f>
        <v/>
      </c>
      <c r="H456">
        <f>OR(C456="NAS",C456="NYS",C456="ASE")</f>
        <v/>
      </c>
      <c r="I456">
        <f>F456&gt;=500000</f>
        <v/>
      </c>
      <c r="J456">
        <f>E456&gt;=2</f>
        <v/>
      </c>
      <c r="K456">
        <f>AND(G456,H456,I456,J456)</f>
        <v/>
      </c>
    </row>
    <row r="457">
      <c r="B457" s="5">
        <f>BDP(A457&amp;" US Equity","CUR_MKT_CAP")</f>
        <v/>
      </c>
      <c r="C457">
        <f>BDP(A457&amp;" US Equity","EXCH_CODE")</f>
        <v/>
      </c>
      <c r="D457" s="5">
        <f>BDP(A457&amp;" US Equity","VOLUME_AVG_20D")</f>
        <v/>
      </c>
      <c r="E457" s="6">
        <f>BDP(A457&amp;" US Equity","PX_LAST")</f>
        <v/>
      </c>
      <c r="F457" s="5">
        <f>D457*E457</f>
        <v/>
      </c>
      <c r="G457">
        <f>AND(B457&gt;=50,B457&lt;=10000)</f>
        <v/>
      </c>
      <c r="H457">
        <f>OR(C457="NAS",C457="NYS",C457="ASE")</f>
        <v/>
      </c>
      <c r="I457">
        <f>F457&gt;=500000</f>
        <v/>
      </c>
      <c r="J457">
        <f>E457&gt;=2</f>
        <v/>
      </c>
      <c r="K457">
        <f>AND(G457,H457,I457,J457)</f>
        <v/>
      </c>
    </row>
    <row r="458">
      <c r="B458" s="5">
        <f>BDP(A458&amp;" US Equity","CUR_MKT_CAP")</f>
        <v/>
      </c>
      <c r="C458">
        <f>BDP(A458&amp;" US Equity","EXCH_CODE")</f>
        <v/>
      </c>
      <c r="D458" s="5">
        <f>BDP(A458&amp;" US Equity","VOLUME_AVG_20D")</f>
        <v/>
      </c>
      <c r="E458" s="6">
        <f>BDP(A458&amp;" US Equity","PX_LAST")</f>
        <v/>
      </c>
      <c r="F458" s="5">
        <f>D458*E458</f>
        <v/>
      </c>
      <c r="G458">
        <f>AND(B458&gt;=50,B458&lt;=10000)</f>
        <v/>
      </c>
      <c r="H458">
        <f>OR(C458="NAS",C458="NYS",C458="ASE")</f>
        <v/>
      </c>
      <c r="I458">
        <f>F458&gt;=500000</f>
        <v/>
      </c>
      <c r="J458">
        <f>E458&gt;=2</f>
        <v/>
      </c>
      <c r="K458">
        <f>AND(G458,H458,I458,J458)</f>
        <v/>
      </c>
    </row>
    <row r="459">
      <c r="B459" s="5">
        <f>BDP(A459&amp;" US Equity","CUR_MKT_CAP")</f>
        <v/>
      </c>
      <c r="C459">
        <f>BDP(A459&amp;" US Equity","EXCH_CODE")</f>
        <v/>
      </c>
      <c r="D459" s="5">
        <f>BDP(A459&amp;" US Equity","VOLUME_AVG_20D")</f>
        <v/>
      </c>
      <c r="E459" s="6">
        <f>BDP(A459&amp;" US Equity","PX_LAST")</f>
        <v/>
      </c>
      <c r="F459" s="5">
        <f>D459*E459</f>
        <v/>
      </c>
      <c r="G459">
        <f>AND(B459&gt;=50,B459&lt;=10000)</f>
        <v/>
      </c>
      <c r="H459">
        <f>OR(C459="NAS",C459="NYS",C459="ASE")</f>
        <v/>
      </c>
      <c r="I459">
        <f>F459&gt;=500000</f>
        <v/>
      </c>
      <c r="J459">
        <f>E459&gt;=2</f>
        <v/>
      </c>
      <c r="K459">
        <f>AND(G459,H459,I459,J459)</f>
        <v/>
      </c>
    </row>
    <row r="460">
      <c r="B460" s="5">
        <f>BDP(A460&amp;" US Equity","CUR_MKT_CAP")</f>
        <v/>
      </c>
      <c r="C460">
        <f>BDP(A460&amp;" US Equity","EXCH_CODE")</f>
        <v/>
      </c>
      <c r="D460" s="5">
        <f>BDP(A460&amp;" US Equity","VOLUME_AVG_20D")</f>
        <v/>
      </c>
      <c r="E460" s="6">
        <f>BDP(A460&amp;" US Equity","PX_LAST")</f>
        <v/>
      </c>
      <c r="F460" s="5">
        <f>D460*E460</f>
        <v/>
      </c>
      <c r="G460">
        <f>AND(B460&gt;=50,B460&lt;=10000)</f>
        <v/>
      </c>
      <c r="H460">
        <f>OR(C460="NAS",C460="NYS",C460="ASE")</f>
        <v/>
      </c>
      <c r="I460">
        <f>F460&gt;=500000</f>
        <v/>
      </c>
      <c r="J460">
        <f>E460&gt;=2</f>
        <v/>
      </c>
      <c r="K460">
        <f>AND(G460,H460,I460,J460)</f>
        <v/>
      </c>
    </row>
    <row r="461">
      <c r="B461" s="5">
        <f>BDP(A461&amp;" US Equity","CUR_MKT_CAP")</f>
        <v/>
      </c>
      <c r="C461">
        <f>BDP(A461&amp;" US Equity","EXCH_CODE")</f>
        <v/>
      </c>
      <c r="D461" s="5">
        <f>BDP(A461&amp;" US Equity","VOLUME_AVG_20D")</f>
        <v/>
      </c>
      <c r="E461" s="6">
        <f>BDP(A461&amp;" US Equity","PX_LAST")</f>
        <v/>
      </c>
      <c r="F461" s="5">
        <f>D461*E461</f>
        <v/>
      </c>
      <c r="G461">
        <f>AND(B461&gt;=50,B461&lt;=10000)</f>
        <v/>
      </c>
      <c r="H461">
        <f>OR(C461="NAS",C461="NYS",C461="ASE")</f>
        <v/>
      </c>
      <c r="I461">
        <f>F461&gt;=500000</f>
        <v/>
      </c>
      <c r="J461">
        <f>E461&gt;=2</f>
        <v/>
      </c>
      <c r="K461">
        <f>AND(G461,H461,I461,J461)</f>
        <v/>
      </c>
    </row>
    <row r="462">
      <c r="B462" s="5">
        <f>BDP(A462&amp;" US Equity","CUR_MKT_CAP")</f>
        <v/>
      </c>
      <c r="C462">
        <f>BDP(A462&amp;" US Equity","EXCH_CODE")</f>
        <v/>
      </c>
      <c r="D462" s="5">
        <f>BDP(A462&amp;" US Equity","VOLUME_AVG_20D")</f>
        <v/>
      </c>
      <c r="E462" s="6">
        <f>BDP(A462&amp;" US Equity","PX_LAST")</f>
        <v/>
      </c>
      <c r="F462" s="5">
        <f>D462*E462</f>
        <v/>
      </c>
      <c r="G462">
        <f>AND(B462&gt;=50,B462&lt;=10000)</f>
        <v/>
      </c>
      <c r="H462">
        <f>OR(C462="NAS",C462="NYS",C462="ASE")</f>
        <v/>
      </c>
      <c r="I462">
        <f>F462&gt;=500000</f>
        <v/>
      </c>
      <c r="J462">
        <f>E462&gt;=2</f>
        <v/>
      </c>
      <c r="K462">
        <f>AND(G462,H462,I462,J462)</f>
        <v/>
      </c>
    </row>
    <row r="463">
      <c r="B463" s="5">
        <f>BDP(A463&amp;" US Equity","CUR_MKT_CAP")</f>
        <v/>
      </c>
      <c r="C463">
        <f>BDP(A463&amp;" US Equity","EXCH_CODE")</f>
        <v/>
      </c>
      <c r="D463" s="5">
        <f>BDP(A463&amp;" US Equity","VOLUME_AVG_20D")</f>
        <v/>
      </c>
      <c r="E463" s="6">
        <f>BDP(A463&amp;" US Equity","PX_LAST")</f>
        <v/>
      </c>
      <c r="F463" s="5">
        <f>D463*E463</f>
        <v/>
      </c>
      <c r="G463">
        <f>AND(B463&gt;=50,B463&lt;=10000)</f>
        <v/>
      </c>
      <c r="H463">
        <f>OR(C463="NAS",C463="NYS",C463="ASE")</f>
        <v/>
      </c>
      <c r="I463">
        <f>F463&gt;=500000</f>
        <v/>
      </c>
      <c r="J463">
        <f>E463&gt;=2</f>
        <v/>
      </c>
      <c r="K463">
        <f>AND(G463,H463,I463,J463)</f>
        <v/>
      </c>
    </row>
    <row r="464">
      <c r="B464" s="5">
        <f>BDP(A464&amp;" US Equity","CUR_MKT_CAP")</f>
        <v/>
      </c>
      <c r="C464">
        <f>BDP(A464&amp;" US Equity","EXCH_CODE")</f>
        <v/>
      </c>
      <c r="D464" s="5">
        <f>BDP(A464&amp;" US Equity","VOLUME_AVG_20D")</f>
        <v/>
      </c>
      <c r="E464" s="6">
        <f>BDP(A464&amp;" US Equity","PX_LAST")</f>
        <v/>
      </c>
      <c r="F464" s="5">
        <f>D464*E464</f>
        <v/>
      </c>
      <c r="G464">
        <f>AND(B464&gt;=50,B464&lt;=10000)</f>
        <v/>
      </c>
      <c r="H464">
        <f>OR(C464="NAS",C464="NYS",C464="ASE")</f>
        <v/>
      </c>
      <c r="I464">
        <f>F464&gt;=500000</f>
        <v/>
      </c>
      <c r="J464">
        <f>E464&gt;=2</f>
        <v/>
      </c>
      <c r="K464">
        <f>AND(G464,H464,I464,J464)</f>
        <v/>
      </c>
    </row>
    <row r="465">
      <c r="B465" s="5">
        <f>BDP(A465&amp;" US Equity","CUR_MKT_CAP")</f>
        <v/>
      </c>
      <c r="C465">
        <f>BDP(A465&amp;" US Equity","EXCH_CODE")</f>
        <v/>
      </c>
      <c r="D465" s="5">
        <f>BDP(A465&amp;" US Equity","VOLUME_AVG_20D")</f>
        <v/>
      </c>
      <c r="E465" s="6">
        <f>BDP(A465&amp;" US Equity","PX_LAST")</f>
        <v/>
      </c>
      <c r="F465" s="5">
        <f>D465*E465</f>
        <v/>
      </c>
      <c r="G465">
        <f>AND(B465&gt;=50,B465&lt;=10000)</f>
        <v/>
      </c>
      <c r="H465">
        <f>OR(C465="NAS",C465="NYS",C465="ASE")</f>
        <v/>
      </c>
      <c r="I465">
        <f>F465&gt;=500000</f>
        <v/>
      </c>
      <c r="J465">
        <f>E465&gt;=2</f>
        <v/>
      </c>
      <c r="K465">
        <f>AND(G465,H465,I465,J465)</f>
        <v/>
      </c>
    </row>
    <row r="466">
      <c r="B466" s="5">
        <f>BDP(A466&amp;" US Equity","CUR_MKT_CAP")</f>
        <v/>
      </c>
      <c r="C466">
        <f>BDP(A466&amp;" US Equity","EXCH_CODE")</f>
        <v/>
      </c>
      <c r="D466" s="5">
        <f>BDP(A466&amp;" US Equity","VOLUME_AVG_20D")</f>
        <v/>
      </c>
      <c r="E466" s="6">
        <f>BDP(A466&amp;" US Equity","PX_LAST")</f>
        <v/>
      </c>
      <c r="F466" s="5">
        <f>D466*E466</f>
        <v/>
      </c>
      <c r="G466">
        <f>AND(B466&gt;=50,B466&lt;=10000)</f>
        <v/>
      </c>
      <c r="H466">
        <f>OR(C466="NAS",C466="NYS",C466="ASE")</f>
        <v/>
      </c>
      <c r="I466">
        <f>F466&gt;=500000</f>
        <v/>
      </c>
      <c r="J466">
        <f>E466&gt;=2</f>
        <v/>
      </c>
      <c r="K466">
        <f>AND(G466,H466,I466,J466)</f>
        <v/>
      </c>
    </row>
    <row r="467">
      <c r="B467" s="5">
        <f>BDP(A467&amp;" US Equity","CUR_MKT_CAP")</f>
        <v/>
      </c>
      <c r="C467">
        <f>BDP(A467&amp;" US Equity","EXCH_CODE")</f>
        <v/>
      </c>
      <c r="D467" s="5">
        <f>BDP(A467&amp;" US Equity","VOLUME_AVG_20D")</f>
        <v/>
      </c>
      <c r="E467" s="6">
        <f>BDP(A467&amp;" US Equity","PX_LAST")</f>
        <v/>
      </c>
      <c r="F467" s="5">
        <f>D467*E467</f>
        <v/>
      </c>
      <c r="G467">
        <f>AND(B467&gt;=50,B467&lt;=10000)</f>
        <v/>
      </c>
      <c r="H467">
        <f>OR(C467="NAS",C467="NYS",C467="ASE")</f>
        <v/>
      </c>
      <c r="I467">
        <f>F467&gt;=500000</f>
        <v/>
      </c>
      <c r="J467">
        <f>E467&gt;=2</f>
        <v/>
      </c>
      <c r="K467">
        <f>AND(G467,H467,I467,J467)</f>
        <v/>
      </c>
    </row>
    <row r="468">
      <c r="B468" s="5">
        <f>BDP(A468&amp;" US Equity","CUR_MKT_CAP")</f>
        <v/>
      </c>
      <c r="C468">
        <f>BDP(A468&amp;" US Equity","EXCH_CODE")</f>
        <v/>
      </c>
      <c r="D468" s="5">
        <f>BDP(A468&amp;" US Equity","VOLUME_AVG_20D")</f>
        <v/>
      </c>
      <c r="E468" s="6">
        <f>BDP(A468&amp;" US Equity","PX_LAST")</f>
        <v/>
      </c>
      <c r="F468" s="5">
        <f>D468*E468</f>
        <v/>
      </c>
      <c r="G468">
        <f>AND(B468&gt;=50,B468&lt;=10000)</f>
        <v/>
      </c>
      <c r="H468">
        <f>OR(C468="NAS",C468="NYS",C468="ASE")</f>
        <v/>
      </c>
      <c r="I468">
        <f>F468&gt;=500000</f>
        <v/>
      </c>
      <c r="J468">
        <f>E468&gt;=2</f>
        <v/>
      </c>
      <c r="K468">
        <f>AND(G468,H468,I468,J468)</f>
        <v/>
      </c>
    </row>
    <row r="469">
      <c r="B469" s="5">
        <f>BDP(A469&amp;" US Equity","CUR_MKT_CAP")</f>
        <v/>
      </c>
      <c r="C469">
        <f>BDP(A469&amp;" US Equity","EXCH_CODE")</f>
        <v/>
      </c>
      <c r="D469" s="5">
        <f>BDP(A469&amp;" US Equity","VOLUME_AVG_20D")</f>
        <v/>
      </c>
      <c r="E469" s="6">
        <f>BDP(A469&amp;" US Equity","PX_LAST")</f>
        <v/>
      </c>
      <c r="F469" s="5">
        <f>D469*E469</f>
        <v/>
      </c>
      <c r="G469">
        <f>AND(B469&gt;=50,B469&lt;=10000)</f>
        <v/>
      </c>
      <c r="H469">
        <f>OR(C469="NAS",C469="NYS",C469="ASE")</f>
        <v/>
      </c>
      <c r="I469">
        <f>F469&gt;=500000</f>
        <v/>
      </c>
      <c r="J469">
        <f>E469&gt;=2</f>
        <v/>
      </c>
      <c r="K469">
        <f>AND(G469,H469,I469,J469)</f>
        <v/>
      </c>
    </row>
    <row r="470">
      <c r="B470" s="5">
        <f>BDP(A470&amp;" US Equity","CUR_MKT_CAP")</f>
        <v/>
      </c>
      <c r="C470">
        <f>BDP(A470&amp;" US Equity","EXCH_CODE")</f>
        <v/>
      </c>
      <c r="D470" s="5">
        <f>BDP(A470&amp;" US Equity","VOLUME_AVG_20D")</f>
        <v/>
      </c>
      <c r="E470" s="6">
        <f>BDP(A470&amp;" US Equity","PX_LAST")</f>
        <v/>
      </c>
      <c r="F470" s="5">
        <f>D470*E470</f>
        <v/>
      </c>
      <c r="G470">
        <f>AND(B470&gt;=50,B470&lt;=10000)</f>
        <v/>
      </c>
      <c r="H470">
        <f>OR(C470="NAS",C470="NYS",C470="ASE")</f>
        <v/>
      </c>
      <c r="I470">
        <f>F470&gt;=500000</f>
        <v/>
      </c>
      <c r="J470">
        <f>E470&gt;=2</f>
        <v/>
      </c>
      <c r="K470">
        <f>AND(G470,H470,I470,J470)</f>
        <v/>
      </c>
    </row>
    <row r="471">
      <c r="B471" s="5">
        <f>BDP(A471&amp;" US Equity","CUR_MKT_CAP")</f>
        <v/>
      </c>
      <c r="C471">
        <f>BDP(A471&amp;" US Equity","EXCH_CODE")</f>
        <v/>
      </c>
      <c r="D471" s="5">
        <f>BDP(A471&amp;" US Equity","VOLUME_AVG_20D")</f>
        <v/>
      </c>
      <c r="E471" s="6">
        <f>BDP(A471&amp;" US Equity","PX_LAST")</f>
        <v/>
      </c>
      <c r="F471" s="5">
        <f>D471*E471</f>
        <v/>
      </c>
      <c r="G471">
        <f>AND(B471&gt;=50,B471&lt;=10000)</f>
        <v/>
      </c>
      <c r="H471">
        <f>OR(C471="NAS",C471="NYS",C471="ASE")</f>
        <v/>
      </c>
      <c r="I471">
        <f>F471&gt;=500000</f>
        <v/>
      </c>
      <c r="J471">
        <f>E471&gt;=2</f>
        <v/>
      </c>
      <c r="K471">
        <f>AND(G471,H471,I471,J471)</f>
        <v/>
      </c>
    </row>
    <row r="472">
      <c r="B472" s="5">
        <f>BDP(A472&amp;" US Equity","CUR_MKT_CAP")</f>
        <v/>
      </c>
      <c r="C472">
        <f>BDP(A472&amp;" US Equity","EXCH_CODE")</f>
        <v/>
      </c>
      <c r="D472" s="5">
        <f>BDP(A472&amp;" US Equity","VOLUME_AVG_20D")</f>
        <v/>
      </c>
      <c r="E472" s="6">
        <f>BDP(A472&amp;" US Equity","PX_LAST")</f>
        <v/>
      </c>
      <c r="F472" s="5">
        <f>D472*E472</f>
        <v/>
      </c>
      <c r="G472">
        <f>AND(B472&gt;=50,B472&lt;=10000)</f>
        <v/>
      </c>
      <c r="H472">
        <f>OR(C472="NAS",C472="NYS",C472="ASE")</f>
        <v/>
      </c>
      <c r="I472">
        <f>F472&gt;=500000</f>
        <v/>
      </c>
      <c r="J472">
        <f>E472&gt;=2</f>
        <v/>
      </c>
      <c r="K472">
        <f>AND(G472,H472,I472,J472)</f>
        <v/>
      </c>
    </row>
    <row r="473">
      <c r="B473" s="5">
        <f>BDP(A473&amp;" US Equity","CUR_MKT_CAP")</f>
        <v/>
      </c>
      <c r="C473">
        <f>BDP(A473&amp;" US Equity","EXCH_CODE")</f>
        <v/>
      </c>
      <c r="D473" s="5">
        <f>BDP(A473&amp;" US Equity","VOLUME_AVG_20D")</f>
        <v/>
      </c>
      <c r="E473" s="6">
        <f>BDP(A473&amp;" US Equity","PX_LAST")</f>
        <v/>
      </c>
      <c r="F473" s="5">
        <f>D473*E473</f>
        <v/>
      </c>
      <c r="G473">
        <f>AND(B473&gt;=50,B473&lt;=10000)</f>
        <v/>
      </c>
      <c r="H473">
        <f>OR(C473="NAS",C473="NYS",C473="ASE")</f>
        <v/>
      </c>
      <c r="I473">
        <f>F473&gt;=500000</f>
        <v/>
      </c>
      <c r="J473">
        <f>E473&gt;=2</f>
        <v/>
      </c>
      <c r="K473">
        <f>AND(G473,H473,I473,J473)</f>
        <v/>
      </c>
    </row>
    <row r="474">
      <c r="B474" s="5">
        <f>BDP(A474&amp;" US Equity","CUR_MKT_CAP")</f>
        <v/>
      </c>
      <c r="C474">
        <f>BDP(A474&amp;" US Equity","EXCH_CODE")</f>
        <v/>
      </c>
      <c r="D474" s="5">
        <f>BDP(A474&amp;" US Equity","VOLUME_AVG_20D")</f>
        <v/>
      </c>
      <c r="E474" s="6">
        <f>BDP(A474&amp;" US Equity","PX_LAST")</f>
        <v/>
      </c>
      <c r="F474" s="5">
        <f>D474*E474</f>
        <v/>
      </c>
      <c r="G474">
        <f>AND(B474&gt;=50,B474&lt;=10000)</f>
        <v/>
      </c>
      <c r="H474">
        <f>OR(C474="NAS",C474="NYS",C474="ASE")</f>
        <v/>
      </c>
      <c r="I474">
        <f>F474&gt;=500000</f>
        <v/>
      </c>
      <c r="J474">
        <f>E474&gt;=2</f>
        <v/>
      </c>
      <c r="K474">
        <f>AND(G474,H474,I474,J474)</f>
        <v/>
      </c>
    </row>
    <row r="475">
      <c r="B475" s="5">
        <f>BDP(A475&amp;" US Equity","CUR_MKT_CAP")</f>
        <v/>
      </c>
      <c r="C475">
        <f>BDP(A475&amp;" US Equity","EXCH_CODE")</f>
        <v/>
      </c>
      <c r="D475" s="5">
        <f>BDP(A475&amp;" US Equity","VOLUME_AVG_20D")</f>
        <v/>
      </c>
      <c r="E475" s="6">
        <f>BDP(A475&amp;" US Equity","PX_LAST")</f>
        <v/>
      </c>
      <c r="F475" s="5">
        <f>D475*E475</f>
        <v/>
      </c>
      <c r="G475">
        <f>AND(B475&gt;=50,B475&lt;=10000)</f>
        <v/>
      </c>
      <c r="H475">
        <f>OR(C475="NAS",C475="NYS",C475="ASE")</f>
        <v/>
      </c>
      <c r="I475">
        <f>F475&gt;=500000</f>
        <v/>
      </c>
      <c r="J475">
        <f>E475&gt;=2</f>
        <v/>
      </c>
      <c r="K475">
        <f>AND(G475,H475,I475,J475)</f>
        <v/>
      </c>
    </row>
    <row r="476">
      <c r="B476" s="5">
        <f>BDP(A476&amp;" US Equity","CUR_MKT_CAP")</f>
        <v/>
      </c>
      <c r="C476">
        <f>BDP(A476&amp;" US Equity","EXCH_CODE")</f>
        <v/>
      </c>
      <c r="D476" s="5">
        <f>BDP(A476&amp;" US Equity","VOLUME_AVG_20D")</f>
        <v/>
      </c>
      <c r="E476" s="6">
        <f>BDP(A476&amp;" US Equity","PX_LAST")</f>
        <v/>
      </c>
      <c r="F476" s="5">
        <f>D476*E476</f>
        <v/>
      </c>
      <c r="G476">
        <f>AND(B476&gt;=50,B476&lt;=10000)</f>
        <v/>
      </c>
      <c r="H476">
        <f>OR(C476="NAS",C476="NYS",C476="ASE")</f>
        <v/>
      </c>
      <c r="I476">
        <f>F476&gt;=500000</f>
        <v/>
      </c>
      <c r="J476">
        <f>E476&gt;=2</f>
        <v/>
      </c>
      <c r="K476">
        <f>AND(G476,H476,I476,J476)</f>
        <v/>
      </c>
    </row>
    <row r="477">
      <c r="B477" s="5">
        <f>BDP(A477&amp;" US Equity","CUR_MKT_CAP")</f>
        <v/>
      </c>
      <c r="C477">
        <f>BDP(A477&amp;" US Equity","EXCH_CODE")</f>
        <v/>
      </c>
      <c r="D477" s="5">
        <f>BDP(A477&amp;" US Equity","VOLUME_AVG_20D")</f>
        <v/>
      </c>
      <c r="E477" s="6">
        <f>BDP(A477&amp;" US Equity","PX_LAST")</f>
        <v/>
      </c>
      <c r="F477" s="5">
        <f>D477*E477</f>
        <v/>
      </c>
      <c r="G477">
        <f>AND(B477&gt;=50,B477&lt;=10000)</f>
        <v/>
      </c>
      <c r="H477">
        <f>OR(C477="NAS",C477="NYS",C477="ASE")</f>
        <v/>
      </c>
      <c r="I477">
        <f>F477&gt;=500000</f>
        <v/>
      </c>
      <c r="J477">
        <f>E477&gt;=2</f>
        <v/>
      </c>
      <c r="K477">
        <f>AND(G477,H477,I477,J477)</f>
        <v/>
      </c>
    </row>
    <row r="478">
      <c r="B478" s="5">
        <f>BDP(A478&amp;" US Equity","CUR_MKT_CAP")</f>
        <v/>
      </c>
      <c r="C478">
        <f>BDP(A478&amp;" US Equity","EXCH_CODE")</f>
        <v/>
      </c>
      <c r="D478" s="5">
        <f>BDP(A478&amp;" US Equity","VOLUME_AVG_20D")</f>
        <v/>
      </c>
      <c r="E478" s="6">
        <f>BDP(A478&amp;" US Equity","PX_LAST")</f>
        <v/>
      </c>
      <c r="F478" s="5">
        <f>D478*E478</f>
        <v/>
      </c>
      <c r="G478">
        <f>AND(B478&gt;=50,B478&lt;=10000)</f>
        <v/>
      </c>
      <c r="H478">
        <f>OR(C478="NAS",C478="NYS",C478="ASE")</f>
        <v/>
      </c>
      <c r="I478">
        <f>F478&gt;=500000</f>
        <v/>
      </c>
      <c r="J478">
        <f>E478&gt;=2</f>
        <v/>
      </c>
      <c r="K478">
        <f>AND(G478,H478,I478,J478)</f>
        <v/>
      </c>
    </row>
    <row r="479">
      <c r="B479" s="5">
        <f>BDP(A479&amp;" US Equity","CUR_MKT_CAP")</f>
        <v/>
      </c>
      <c r="C479">
        <f>BDP(A479&amp;" US Equity","EXCH_CODE")</f>
        <v/>
      </c>
      <c r="D479" s="5">
        <f>BDP(A479&amp;" US Equity","VOLUME_AVG_20D")</f>
        <v/>
      </c>
      <c r="E479" s="6">
        <f>BDP(A479&amp;" US Equity","PX_LAST")</f>
        <v/>
      </c>
      <c r="F479" s="5">
        <f>D479*E479</f>
        <v/>
      </c>
      <c r="G479">
        <f>AND(B479&gt;=50,B479&lt;=10000)</f>
        <v/>
      </c>
      <c r="H479">
        <f>OR(C479="NAS",C479="NYS",C479="ASE")</f>
        <v/>
      </c>
      <c r="I479">
        <f>F479&gt;=500000</f>
        <v/>
      </c>
      <c r="J479">
        <f>E479&gt;=2</f>
        <v/>
      </c>
      <c r="K479">
        <f>AND(G479,H479,I479,J479)</f>
        <v/>
      </c>
    </row>
    <row r="480">
      <c r="B480" s="5">
        <f>BDP(A480&amp;" US Equity","CUR_MKT_CAP")</f>
        <v/>
      </c>
      <c r="C480">
        <f>BDP(A480&amp;" US Equity","EXCH_CODE")</f>
        <v/>
      </c>
      <c r="D480" s="5">
        <f>BDP(A480&amp;" US Equity","VOLUME_AVG_20D")</f>
        <v/>
      </c>
      <c r="E480" s="6">
        <f>BDP(A480&amp;" US Equity","PX_LAST")</f>
        <v/>
      </c>
      <c r="F480" s="5">
        <f>D480*E480</f>
        <v/>
      </c>
      <c r="G480">
        <f>AND(B480&gt;=50,B480&lt;=10000)</f>
        <v/>
      </c>
      <c r="H480">
        <f>OR(C480="NAS",C480="NYS",C480="ASE")</f>
        <v/>
      </c>
      <c r="I480">
        <f>F480&gt;=500000</f>
        <v/>
      </c>
      <c r="J480">
        <f>E480&gt;=2</f>
        <v/>
      </c>
      <c r="K480">
        <f>AND(G480,H480,I480,J480)</f>
        <v/>
      </c>
    </row>
    <row r="481">
      <c r="B481" s="5">
        <f>BDP(A481&amp;" US Equity","CUR_MKT_CAP")</f>
        <v/>
      </c>
      <c r="C481">
        <f>BDP(A481&amp;" US Equity","EXCH_CODE")</f>
        <v/>
      </c>
      <c r="D481" s="5">
        <f>BDP(A481&amp;" US Equity","VOLUME_AVG_20D")</f>
        <v/>
      </c>
      <c r="E481" s="6">
        <f>BDP(A481&amp;" US Equity","PX_LAST")</f>
        <v/>
      </c>
      <c r="F481" s="5">
        <f>D481*E481</f>
        <v/>
      </c>
      <c r="G481">
        <f>AND(B481&gt;=50,B481&lt;=10000)</f>
        <v/>
      </c>
      <c r="H481">
        <f>OR(C481="NAS",C481="NYS",C481="ASE")</f>
        <v/>
      </c>
      <c r="I481">
        <f>F481&gt;=500000</f>
        <v/>
      </c>
      <c r="J481">
        <f>E481&gt;=2</f>
        <v/>
      </c>
      <c r="K481">
        <f>AND(G481,H481,I481,J481)</f>
        <v/>
      </c>
    </row>
    <row r="482">
      <c r="B482" s="5">
        <f>BDP(A482&amp;" US Equity","CUR_MKT_CAP")</f>
        <v/>
      </c>
      <c r="C482">
        <f>BDP(A482&amp;" US Equity","EXCH_CODE")</f>
        <v/>
      </c>
      <c r="D482" s="5">
        <f>BDP(A482&amp;" US Equity","VOLUME_AVG_20D")</f>
        <v/>
      </c>
      <c r="E482" s="6">
        <f>BDP(A482&amp;" US Equity","PX_LAST")</f>
        <v/>
      </c>
      <c r="F482" s="5">
        <f>D482*E482</f>
        <v/>
      </c>
      <c r="G482">
        <f>AND(B482&gt;=50,B482&lt;=10000)</f>
        <v/>
      </c>
      <c r="H482">
        <f>OR(C482="NAS",C482="NYS",C482="ASE")</f>
        <v/>
      </c>
      <c r="I482">
        <f>F482&gt;=500000</f>
        <v/>
      </c>
      <c r="J482">
        <f>E482&gt;=2</f>
        <v/>
      </c>
      <c r="K482">
        <f>AND(G482,H482,I482,J482)</f>
        <v/>
      </c>
    </row>
    <row r="483">
      <c r="B483" s="5">
        <f>BDP(A483&amp;" US Equity","CUR_MKT_CAP")</f>
        <v/>
      </c>
      <c r="C483">
        <f>BDP(A483&amp;" US Equity","EXCH_CODE")</f>
        <v/>
      </c>
      <c r="D483" s="5">
        <f>BDP(A483&amp;" US Equity","VOLUME_AVG_20D")</f>
        <v/>
      </c>
      <c r="E483" s="6">
        <f>BDP(A483&amp;" US Equity","PX_LAST")</f>
        <v/>
      </c>
      <c r="F483" s="5">
        <f>D483*E483</f>
        <v/>
      </c>
      <c r="G483">
        <f>AND(B483&gt;=50,B483&lt;=10000)</f>
        <v/>
      </c>
      <c r="H483">
        <f>OR(C483="NAS",C483="NYS",C483="ASE")</f>
        <v/>
      </c>
      <c r="I483">
        <f>F483&gt;=500000</f>
        <v/>
      </c>
      <c r="J483">
        <f>E483&gt;=2</f>
        <v/>
      </c>
      <c r="K483">
        <f>AND(G483,H483,I483,J483)</f>
        <v/>
      </c>
    </row>
    <row r="484">
      <c r="B484" s="5">
        <f>BDP(A484&amp;" US Equity","CUR_MKT_CAP")</f>
        <v/>
      </c>
      <c r="C484">
        <f>BDP(A484&amp;" US Equity","EXCH_CODE")</f>
        <v/>
      </c>
      <c r="D484" s="5">
        <f>BDP(A484&amp;" US Equity","VOLUME_AVG_20D")</f>
        <v/>
      </c>
      <c r="E484" s="6">
        <f>BDP(A484&amp;" US Equity","PX_LAST")</f>
        <v/>
      </c>
      <c r="F484" s="5">
        <f>D484*E484</f>
        <v/>
      </c>
      <c r="G484">
        <f>AND(B484&gt;=50,B484&lt;=10000)</f>
        <v/>
      </c>
      <c r="H484">
        <f>OR(C484="NAS",C484="NYS",C484="ASE")</f>
        <v/>
      </c>
      <c r="I484">
        <f>F484&gt;=500000</f>
        <v/>
      </c>
      <c r="J484">
        <f>E484&gt;=2</f>
        <v/>
      </c>
      <c r="K484">
        <f>AND(G484,H484,I484,J484)</f>
        <v/>
      </c>
    </row>
    <row r="485">
      <c r="B485" s="5">
        <f>BDP(A485&amp;" US Equity","CUR_MKT_CAP")</f>
        <v/>
      </c>
      <c r="C485">
        <f>BDP(A485&amp;" US Equity","EXCH_CODE")</f>
        <v/>
      </c>
      <c r="D485" s="5">
        <f>BDP(A485&amp;" US Equity","VOLUME_AVG_20D")</f>
        <v/>
      </c>
      <c r="E485" s="6">
        <f>BDP(A485&amp;" US Equity","PX_LAST")</f>
        <v/>
      </c>
      <c r="F485" s="5">
        <f>D485*E485</f>
        <v/>
      </c>
      <c r="G485">
        <f>AND(B485&gt;=50,B485&lt;=10000)</f>
        <v/>
      </c>
      <c r="H485">
        <f>OR(C485="NAS",C485="NYS",C485="ASE")</f>
        <v/>
      </c>
      <c r="I485">
        <f>F485&gt;=500000</f>
        <v/>
      </c>
      <c r="J485">
        <f>E485&gt;=2</f>
        <v/>
      </c>
      <c r="K485">
        <f>AND(G485,H485,I485,J485)</f>
        <v/>
      </c>
    </row>
    <row r="486">
      <c r="B486" s="5">
        <f>BDP(A486&amp;" US Equity","CUR_MKT_CAP")</f>
        <v/>
      </c>
      <c r="C486">
        <f>BDP(A486&amp;" US Equity","EXCH_CODE")</f>
        <v/>
      </c>
      <c r="D486" s="5">
        <f>BDP(A486&amp;" US Equity","VOLUME_AVG_20D")</f>
        <v/>
      </c>
      <c r="E486" s="6">
        <f>BDP(A486&amp;" US Equity","PX_LAST")</f>
        <v/>
      </c>
      <c r="F486" s="5">
        <f>D486*E486</f>
        <v/>
      </c>
      <c r="G486">
        <f>AND(B486&gt;=50,B486&lt;=10000)</f>
        <v/>
      </c>
      <c r="H486">
        <f>OR(C486="NAS",C486="NYS",C486="ASE")</f>
        <v/>
      </c>
      <c r="I486">
        <f>F486&gt;=500000</f>
        <v/>
      </c>
      <c r="J486">
        <f>E486&gt;=2</f>
        <v/>
      </c>
      <c r="K486">
        <f>AND(G486,H486,I486,J486)</f>
        <v/>
      </c>
    </row>
    <row r="487">
      <c r="B487" s="5">
        <f>BDP(A487&amp;" US Equity","CUR_MKT_CAP")</f>
        <v/>
      </c>
      <c r="C487">
        <f>BDP(A487&amp;" US Equity","EXCH_CODE")</f>
        <v/>
      </c>
      <c r="D487" s="5">
        <f>BDP(A487&amp;" US Equity","VOLUME_AVG_20D")</f>
        <v/>
      </c>
      <c r="E487" s="6">
        <f>BDP(A487&amp;" US Equity","PX_LAST")</f>
        <v/>
      </c>
      <c r="F487" s="5">
        <f>D487*E487</f>
        <v/>
      </c>
      <c r="G487">
        <f>AND(B487&gt;=50,B487&lt;=10000)</f>
        <v/>
      </c>
      <c r="H487">
        <f>OR(C487="NAS",C487="NYS",C487="ASE")</f>
        <v/>
      </c>
      <c r="I487">
        <f>F487&gt;=500000</f>
        <v/>
      </c>
      <c r="J487">
        <f>E487&gt;=2</f>
        <v/>
      </c>
      <c r="K487">
        <f>AND(G487,H487,I487,J487)</f>
        <v/>
      </c>
    </row>
    <row r="488">
      <c r="B488" s="5">
        <f>BDP(A488&amp;" US Equity","CUR_MKT_CAP")</f>
        <v/>
      </c>
      <c r="C488">
        <f>BDP(A488&amp;" US Equity","EXCH_CODE")</f>
        <v/>
      </c>
      <c r="D488" s="5">
        <f>BDP(A488&amp;" US Equity","VOLUME_AVG_20D")</f>
        <v/>
      </c>
      <c r="E488" s="6">
        <f>BDP(A488&amp;" US Equity","PX_LAST")</f>
        <v/>
      </c>
      <c r="F488" s="5">
        <f>D488*E488</f>
        <v/>
      </c>
      <c r="G488">
        <f>AND(B488&gt;=50,B488&lt;=10000)</f>
        <v/>
      </c>
      <c r="H488">
        <f>OR(C488="NAS",C488="NYS",C488="ASE")</f>
        <v/>
      </c>
      <c r="I488">
        <f>F488&gt;=500000</f>
        <v/>
      </c>
      <c r="J488">
        <f>E488&gt;=2</f>
        <v/>
      </c>
      <c r="K488">
        <f>AND(G488,H488,I488,J488)</f>
        <v/>
      </c>
    </row>
    <row r="489">
      <c r="B489" s="5">
        <f>BDP(A489&amp;" US Equity","CUR_MKT_CAP")</f>
        <v/>
      </c>
      <c r="C489">
        <f>BDP(A489&amp;" US Equity","EXCH_CODE")</f>
        <v/>
      </c>
      <c r="D489" s="5">
        <f>BDP(A489&amp;" US Equity","VOLUME_AVG_20D")</f>
        <v/>
      </c>
      <c r="E489" s="6">
        <f>BDP(A489&amp;" US Equity","PX_LAST")</f>
        <v/>
      </c>
      <c r="F489" s="5">
        <f>D489*E489</f>
        <v/>
      </c>
      <c r="G489">
        <f>AND(B489&gt;=50,B489&lt;=10000)</f>
        <v/>
      </c>
      <c r="H489">
        <f>OR(C489="NAS",C489="NYS",C489="ASE")</f>
        <v/>
      </c>
      <c r="I489">
        <f>F489&gt;=500000</f>
        <v/>
      </c>
      <c r="J489">
        <f>E489&gt;=2</f>
        <v/>
      </c>
      <c r="K489">
        <f>AND(G489,H489,I489,J489)</f>
        <v/>
      </c>
    </row>
    <row r="490">
      <c r="B490" s="5">
        <f>BDP(A490&amp;" US Equity","CUR_MKT_CAP")</f>
        <v/>
      </c>
      <c r="C490">
        <f>BDP(A490&amp;" US Equity","EXCH_CODE")</f>
        <v/>
      </c>
      <c r="D490" s="5">
        <f>BDP(A490&amp;" US Equity","VOLUME_AVG_20D")</f>
        <v/>
      </c>
      <c r="E490" s="6">
        <f>BDP(A490&amp;" US Equity","PX_LAST")</f>
        <v/>
      </c>
      <c r="F490" s="5">
        <f>D490*E490</f>
        <v/>
      </c>
      <c r="G490">
        <f>AND(B490&gt;=50,B490&lt;=10000)</f>
        <v/>
      </c>
      <c r="H490">
        <f>OR(C490="NAS",C490="NYS",C490="ASE")</f>
        <v/>
      </c>
      <c r="I490">
        <f>F490&gt;=500000</f>
        <v/>
      </c>
      <c r="J490">
        <f>E490&gt;=2</f>
        <v/>
      </c>
      <c r="K490">
        <f>AND(G490,H490,I490,J490)</f>
        <v/>
      </c>
    </row>
    <row r="491">
      <c r="B491" s="5">
        <f>BDP(A491&amp;" US Equity","CUR_MKT_CAP")</f>
        <v/>
      </c>
      <c r="C491">
        <f>BDP(A491&amp;" US Equity","EXCH_CODE")</f>
        <v/>
      </c>
      <c r="D491" s="5">
        <f>BDP(A491&amp;" US Equity","VOLUME_AVG_20D")</f>
        <v/>
      </c>
      <c r="E491" s="6">
        <f>BDP(A491&amp;" US Equity","PX_LAST")</f>
        <v/>
      </c>
      <c r="F491" s="5">
        <f>D491*E491</f>
        <v/>
      </c>
      <c r="G491">
        <f>AND(B491&gt;=50,B491&lt;=10000)</f>
        <v/>
      </c>
      <c r="H491">
        <f>OR(C491="NAS",C491="NYS",C491="ASE")</f>
        <v/>
      </c>
      <c r="I491">
        <f>F491&gt;=500000</f>
        <v/>
      </c>
      <c r="J491">
        <f>E491&gt;=2</f>
        <v/>
      </c>
      <c r="K491">
        <f>AND(G491,H491,I491,J491)</f>
        <v/>
      </c>
    </row>
    <row r="492">
      <c r="B492" s="5">
        <f>BDP(A492&amp;" US Equity","CUR_MKT_CAP")</f>
        <v/>
      </c>
      <c r="C492">
        <f>BDP(A492&amp;" US Equity","EXCH_CODE")</f>
        <v/>
      </c>
      <c r="D492" s="5">
        <f>BDP(A492&amp;" US Equity","VOLUME_AVG_20D")</f>
        <v/>
      </c>
      <c r="E492" s="6">
        <f>BDP(A492&amp;" US Equity","PX_LAST")</f>
        <v/>
      </c>
      <c r="F492" s="5">
        <f>D492*E492</f>
        <v/>
      </c>
      <c r="G492">
        <f>AND(B492&gt;=50,B492&lt;=10000)</f>
        <v/>
      </c>
      <c r="H492">
        <f>OR(C492="NAS",C492="NYS",C492="ASE")</f>
        <v/>
      </c>
      <c r="I492">
        <f>F492&gt;=500000</f>
        <v/>
      </c>
      <c r="J492">
        <f>E492&gt;=2</f>
        <v/>
      </c>
      <c r="K492">
        <f>AND(G492,H492,I492,J492)</f>
        <v/>
      </c>
    </row>
    <row r="493">
      <c r="B493" s="5">
        <f>BDP(A493&amp;" US Equity","CUR_MKT_CAP")</f>
        <v/>
      </c>
      <c r="C493">
        <f>BDP(A493&amp;" US Equity","EXCH_CODE")</f>
        <v/>
      </c>
      <c r="D493" s="5">
        <f>BDP(A493&amp;" US Equity","VOLUME_AVG_20D")</f>
        <v/>
      </c>
      <c r="E493" s="6">
        <f>BDP(A493&amp;" US Equity","PX_LAST")</f>
        <v/>
      </c>
      <c r="F493" s="5">
        <f>D493*E493</f>
        <v/>
      </c>
      <c r="G493">
        <f>AND(B493&gt;=50,B493&lt;=10000)</f>
        <v/>
      </c>
      <c r="H493">
        <f>OR(C493="NAS",C493="NYS",C493="ASE")</f>
        <v/>
      </c>
      <c r="I493">
        <f>F493&gt;=500000</f>
        <v/>
      </c>
      <c r="J493">
        <f>E493&gt;=2</f>
        <v/>
      </c>
      <c r="K493">
        <f>AND(G493,H493,I493,J493)</f>
        <v/>
      </c>
    </row>
    <row r="494">
      <c r="B494" s="5">
        <f>BDP(A494&amp;" US Equity","CUR_MKT_CAP")</f>
        <v/>
      </c>
      <c r="C494">
        <f>BDP(A494&amp;" US Equity","EXCH_CODE")</f>
        <v/>
      </c>
      <c r="D494" s="5">
        <f>BDP(A494&amp;" US Equity","VOLUME_AVG_20D")</f>
        <v/>
      </c>
      <c r="E494" s="6">
        <f>BDP(A494&amp;" US Equity","PX_LAST")</f>
        <v/>
      </c>
      <c r="F494" s="5">
        <f>D494*E494</f>
        <v/>
      </c>
      <c r="G494">
        <f>AND(B494&gt;=50,B494&lt;=10000)</f>
        <v/>
      </c>
      <c r="H494">
        <f>OR(C494="NAS",C494="NYS",C494="ASE")</f>
        <v/>
      </c>
      <c r="I494">
        <f>F494&gt;=500000</f>
        <v/>
      </c>
      <c r="J494">
        <f>E494&gt;=2</f>
        <v/>
      </c>
      <c r="K494">
        <f>AND(G494,H494,I494,J494)</f>
        <v/>
      </c>
    </row>
    <row r="495">
      <c r="B495" s="5">
        <f>BDP(A495&amp;" US Equity","CUR_MKT_CAP")</f>
        <v/>
      </c>
      <c r="C495">
        <f>BDP(A495&amp;" US Equity","EXCH_CODE")</f>
        <v/>
      </c>
      <c r="D495" s="5">
        <f>BDP(A495&amp;" US Equity","VOLUME_AVG_20D")</f>
        <v/>
      </c>
      <c r="E495" s="6">
        <f>BDP(A495&amp;" US Equity","PX_LAST")</f>
        <v/>
      </c>
      <c r="F495" s="5">
        <f>D495*E495</f>
        <v/>
      </c>
      <c r="G495">
        <f>AND(B495&gt;=50,B495&lt;=10000)</f>
        <v/>
      </c>
      <c r="H495">
        <f>OR(C495="NAS",C495="NYS",C495="ASE")</f>
        <v/>
      </c>
      <c r="I495">
        <f>F495&gt;=500000</f>
        <v/>
      </c>
      <c r="J495">
        <f>E495&gt;=2</f>
        <v/>
      </c>
      <c r="K495">
        <f>AND(G495,H495,I495,J495)</f>
        <v/>
      </c>
    </row>
    <row r="496">
      <c r="B496" s="5">
        <f>BDP(A496&amp;" US Equity","CUR_MKT_CAP")</f>
        <v/>
      </c>
      <c r="C496">
        <f>BDP(A496&amp;" US Equity","EXCH_CODE")</f>
        <v/>
      </c>
      <c r="D496" s="5">
        <f>BDP(A496&amp;" US Equity","VOLUME_AVG_20D")</f>
        <v/>
      </c>
      <c r="E496" s="6">
        <f>BDP(A496&amp;" US Equity","PX_LAST")</f>
        <v/>
      </c>
      <c r="F496" s="5">
        <f>D496*E496</f>
        <v/>
      </c>
      <c r="G496">
        <f>AND(B496&gt;=50,B496&lt;=10000)</f>
        <v/>
      </c>
      <c r="H496">
        <f>OR(C496="NAS",C496="NYS",C496="ASE")</f>
        <v/>
      </c>
      <c r="I496">
        <f>F496&gt;=500000</f>
        <v/>
      </c>
      <c r="J496">
        <f>E496&gt;=2</f>
        <v/>
      </c>
      <c r="K496">
        <f>AND(G496,H496,I496,J496)</f>
        <v/>
      </c>
    </row>
    <row r="497">
      <c r="B497" s="5">
        <f>BDP(A497&amp;" US Equity","CUR_MKT_CAP")</f>
        <v/>
      </c>
      <c r="C497">
        <f>BDP(A497&amp;" US Equity","EXCH_CODE")</f>
        <v/>
      </c>
      <c r="D497" s="5">
        <f>BDP(A497&amp;" US Equity","VOLUME_AVG_20D")</f>
        <v/>
      </c>
      <c r="E497" s="6">
        <f>BDP(A497&amp;" US Equity","PX_LAST")</f>
        <v/>
      </c>
      <c r="F497" s="5">
        <f>D497*E497</f>
        <v/>
      </c>
      <c r="G497">
        <f>AND(B497&gt;=50,B497&lt;=10000)</f>
        <v/>
      </c>
      <c r="H497">
        <f>OR(C497="NAS",C497="NYS",C497="ASE")</f>
        <v/>
      </c>
      <c r="I497">
        <f>F497&gt;=500000</f>
        <v/>
      </c>
      <c r="J497">
        <f>E497&gt;=2</f>
        <v/>
      </c>
      <c r="K497">
        <f>AND(G497,H497,I497,J497)</f>
        <v/>
      </c>
    </row>
    <row r="498">
      <c r="B498" s="5">
        <f>BDP(A498&amp;" US Equity","CUR_MKT_CAP")</f>
        <v/>
      </c>
      <c r="C498">
        <f>BDP(A498&amp;" US Equity","EXCH_CODE")</f>
        <v/>
      </c>
      <c r="D498" s="5">
        <f>BDP(A498&amp;" US Equity","VOLUME_AVG_20D")</f>
        <v/>
      </c>
      <c r="E498" s="6">
        <f>BDP(A498&amp;" US Equity","PX_LAST")</f>
        <v/>
      </c>
      <c r="F498" s="5">
        <f>D498*E498</f>
        <v/>
      </c>
      <c r="G498">
        <f>AND(B498&gt;=50,B498&lt;=10000)</f>
        <v/>
      </c>
      <c r="H498">
        <f>OR(C498="NAS",C498="NYS",C498="ASE")</f>
        <v/>
      </c>
      <c r="I498">
        <f>F498&gt;=500000</f>
        <v/>
      </c>
      <c r="J498">
        <f>E498&gt;=2</f>
        <v/>
      </c>
      <c r="K498">
        <f>AND(G498,H498,I498,J498)</f>
        <v/>
      </c>
    </row>
    <row r="499">
      <c r="B499" s="5">
        <f>BDP(A499&amp;" US Equity","CUR_MKT_CAP")</f>
        <v/>
      </c>
      <c r="C499">
        <f>BDP(A499&amp;" US Equity","EXCH_CODE")</f>
        <v/>
      </c>
      <c r="D499" s="5">
        <f>BDP(A499&amp;" US Equity","VOLUME_AVG_20D")</f>
        <v/>
      </c>
      <c r="E499" s="6">
        <f>BDP(A499&amp;" US Equity","PX_LAST")</f>
        <v/>
      </c>
      <c r="F499" s="5">
        <f>D499*E499</f>
        <v/>
      </c>
      <c r="G499">
        <f>AND(B499&gt;=50,B499&lt;=10000)</f>
        <v/>
      </c>
      <c r="H499">
        <f>OR(C499="NAS",C499="NYS",C499="ASE")</f>
        <v/>
      </c>
      <c r="I499">
        <f>F499&gt;=500000</f>
        <v/>
      </c>
      <c r="J499">
        <f>E499&gt;=2</f>
        <v/>
      </c>
      <c r="K499">
        <f>AND(G499,H499,I499,J499)</f>
        <v/>
      </c>
    </row>
    <row r="500">
      <c r="B500" s="5">
        <f>BDP(A500&amp;" US Equity","CUR_MKT_CAP")</f>
        <v/>
      </c>
      <c r="C500">
        <f>BDP(A500&amp;" US Equity","EXCH_CODE")</f>
        <v/>
      </c>
      <c r="D500" s="5">
        <f>BDP(A500&amp;" US Equity","VOLUME_AVG_20D")</f>
        <v/>
      </c>
      <c r="E500" s="6">
        <f>BDP(A500&amp;" US Equity","PX_LAST")</f>
        <v/>
      </c>
      <c r="F500" s="5">
        <f>D500*E500</f>
        <v/>
      </c>
      <c r="G500">
        <f>AND(B500&gt;=50,B500&lt;=10000)</f>
        <v/>
      </c>
      <c r="H500">
        <f>OR(C500="NAS",C500="NYS",C500="ASE")</f>
        <v/>
      </c>
      <c r="I500">
        <f>F500&gt;=500000</f>
        <v/>
      </c>
      <c r="J500">
        <f>E500&gt;=2</f>
        <v/>
      </c>
      <c r="K500">
        <f>AND(G500,H500,I500,J500)</f>
        <v/>
      </c>
    </row>
    <row r="501">
      <c r="B501" s="5">
        <f>BDP(A501&amp;" US Equity","CUR_MKT_CAP")</f>
        <v/>
      </c>
      <c r="C501">
        <f>BDP(A501&amp;" US Equity","EXCH_CODE")</f>
        <v/>
      </c>
      <c r="D501" s="5">
        <f>BDP(A501&amp;" US Equity","VOLUME_AVG_20D")</f>
        <v/>
      </c>
      <c r="E501" s="6">
        <f>BDP(A501&amp;" US Equity","PX_LAST")</f>
        <v/>
      </c>
      <c r="F501" s="5">
        <f>D501*E501</f>
        <v/>
      </c>
      <c r="G501">
        <f>AND(B501&gt;=50,B501&lt;=10000)</f>
        <v/>
      </c>
      <c r="H501">
        <f>OR(C501="NAS",C501="NYS",C501="ASE")</f>
        <v/>
      </c>
      <c r="I501">
        <f>F501&gt;=500000</f>
        <v/>
      </c>
      <c r="J501">
        <f>E501&gt;=2</f>
        <v/>
      </c>
      <c r="K501">
        <f>AND(G501,H501,I501,J501)</f>
        <v/>
      </c>
    </row>
    <row r="502">
      <c r="B502" s="5">
        <f>BDP(A502&amp;" US Equity","CUR_MKT_CAP")</f>
        <v/>
      </c>
      <c r="C502">
        <f>BDP(A502&amp;" US Equity","EXCH_CODE")</f>
        <v/>
      </c>
      <c r="D502" s="5">
        <f>BDP(A502&amp;" US Equity","VOLUME_AVG_20D")</f>
        <v/>
      </c>
      <c r="E502" s="6">
        <f>BDP(A502&amp;" US Equity","PX_LAST")</f>
        <v/>
      </c>
      <c r="F502" s="5">
        <f>D502*E502</f>
        <v/>
      </c>
      <c r="G502">
        <f>AND(B502&gt;=50,B502&lt;=10000)</f>
        <v/>
      </c>
      <c r="H502">
        <f>OR(C502="NAS",C502="NYS",C502="ASE")</f>
        <v/>
      </c>
      <c r="I502">
        <f>F502&gt;=500000</f>
        <v/>
      </c>
      <c r="J502">
        <f>E502&gt;=2</f>
        <v/>
      </c>
      <c r="K502">
        <f>AND(G502,H502,I502,J502)</f>
        <v/>
      </c>
    </row>
    <row r="503">
      <c r="B503" s="5">
        <f>BDP(A503&amp;" US Equity","CUR_MKT_CAP")</f>
        <v/>
      </c>
      <c r="C503">
        <f>BDP(A503&amp;" US Equity","EXCH_CODE")</f>
        <v/>
      </c>
      <c r="D503" s="5">
        <f>BDP(A503&amp;" US Equity","VOLUME_AVG_20D")</f>
        <v/>
      </c>
      <c r="E503" s="6">
        <f>BDP(A503&amp;" US Equity","PX_LAST")</f>
        <v/>
      </c>
      <c r="F503" s="5">
        <f>D503*E503</f>
        <v/>
      </c>
      <c r="G503">
        <f>AND(B503&gt;=50,B503&lt;=10000)</f>
        <v/>
      </c>
      <c r="H503">
        <f>OR(C503="NAS",C503="NYS",C503="ASE")</f>
        <v/>
      </c>
      <c r="I503">
        <f>F503&gt;=500000</f>
        <v/>
      </c>
      <c r="J503">
        <f>E503&gt;=2</f>
        <v/>
      </c>
      <c r="K503">
        <f>AND(G503,H503,I503,J503)</f>
        <v/>
      </c>
    </row>
    <row r="504">
      <c r="B504" s="5">
        <f>BDP(A504&amp;" US Equity","CUR_MKT_CAP")</f>
        <v/>
      </c>
      <c r="C504">
        <f>BDP(A504&amp;" US Equity","EXCH_CODE")</f>
        <v/>
      </c>
      <c r="D504" s="5">
        <f>BDP(A504&amp;" US Equity","VOLUME_AVG_20D")</f>
        <v/>
      </c>
      <c r="E504" s="6">
        <f>BDP(A504&amp;" US Equity","PX_LAST")</f>
        <v/>
      </c>
      <c r="F504" s="5">
        <f>D504*E504</f>
        <v/>
      </c>
      <c r="G504">
        <f>AND(B504&gt;=50,B504&lt;=10000)</f>
        <v/>
      </c>
      <c r="H504">
        <f>OR(C504="NAS",C504="NYS",C504="ASE")</f>
        <v/>
      </c>
      <c r="I504">
        <f>F504&gt;=500000</f>
        <v/>
      </c>
      <c r="J504">
        <f>E504&gt;=2</f>
        <v/>
      </c>
      <c r="K504">
        <f>AND(G504,H504,I504,J504)</f>
        <v/>
      </c>
    </row>
    <row r="505">
      <c r="B505" s="5">
        <f>BDP(A505&amp;" US Equity","CUR_MKT_CAP")</f>
        <v/>
      </c>
      <c r="C505">
        <f>BDP(A505&amp;" US Equity","EXCH_CODE")</f>
        <v/>
      </c>
      <c r="D505" s="5">
        <f>BDP(A505&amp;" US Equity","VOLUME_AVG_20D")</f>
        <v/>
      </c>
      <c r="E505" s="6">
        <f>BDP(A505&amp;" US Equity","PX_LAST")</f>
        <v/>
      </c>
      <c r="F505" s="5">
        <f>D505*E505</f>
        <v/>
      </c>
      <c r="G505">
        <f>AND(B505&gt;=50,B505&lt;=10000)</f>
        <v/>
      </c>
      <c r="H505">
        <f>OR(C505="NAS",C505="NYS",C505="ASE")</f>
        <v/>
      </c>
      <c r="I505">
        <f>F505&gt;=500000</f>
        <v/>
      </c>
      <c r="J505">
        <f>E505&gt;=2</f>
        <v/>
      </c>
      <c r="K505">
        <f>AND(G505,H505,I505,J505)</f>
        <v/>
      </c>
    </row>
    <row r="506">
      <c r="B506" s="5">
        <f>BDP(A506&amp;" US Equity","CUR_MKT_CAP")</f>
        <v/>
      </c>
      <c r="C506">
        <f>BDP(A506&amp;" US Equity","EXCH_CODE")</f>
        <v/>
      </c>
      <c r="D506" s="5">
        <f>BDP(A506&amp;" US Equity","VOLUME_AVG_20D")</f>
        <v/>
      </c>
      <c r="E506" s="6">
        <f>BDP(A506&amp;" US Equity","PX_LAST")</f>
        <v/>
      </c>
      <c r="F506" s="5">
        <f>D506*E506</f>
        <v/>
      </c>
      <c r="G506">
        <f>AND(B506&gt;=50,B506&lt;=10000)</f>
        <v/>
      </c>
      <c r="H506">
        <f>OR(C506="NAS",C506="NYS",C506="ASE")</f>
        <v/>
      </c>
      <c r="I506">
        <f>F506&gt;=500000</f>
        <v/>
      </c>
      <c r="J506">
        <f>E506&gt;=2</f>
        <v/>
      </c>
      <c r="K506">
        <f>AND(G506,H506,I506,J506)</f>
        <v/>
      </c>
    </row>
    <row r="507">
      <c r="B507" s="5">
        <f>BDP(A507&amp;" US Equity","CUR_MKT_CAP")</f>
        <v/>
      </c>
      <c r="C507">
        <f>BDP(A507&amp;" US Equity","EXCH_CODE")</f>
        <v/>
      </c>
      <c r="D507" s="5">
        <f>BDP(A507&amp;" US Equity","VOLUME_AVG_20D")</f>
        <v/>
      </c>
      <c r="E507" s="6">
        <f>BDP(A507&amp;" US Equity","PX_LAST")</f>
        <v/>
      </c>
      <c r="F507" s="5">
        <f>D507*E507</f>
        <v/>
      </c>
      <c r="G507">
        <f>AND(B507&gt;=50,B507&lt;=10000)</f>
        <v/>
      </c>
      <c r="H507">
        <f>OR(C507="NAS",C507="NYS",C507="ASE")</f>
        <v/>
      </c>
      <c r="I507">
        <f>F507&gt;=500000</f>
        <v/>
      </c>
      <c r="J507">
        <f>E507&gt;=2</f>
        <v/>
      </c>
      <c r="K507">
        <f>AND(G507,H507,I507,J507)</f>
        <v/>
      </c>
    </row>
    <row r="508">
      <c r="B508" s="5">
        <f>BDP(A508&amp;" US Equity","CUR_MKT_CAP")</f>
        <v/>
      </c>
      <c r="C508">
        <f>BDP(A508&amp;" US Equity","EXCH_CODE")</f>
        <v/>
      </c>
      <c r="D508" s="5">
        <f>BDP(A508&amp;" US Equity","VOLUME_AVG_20D")</f>
        <v/>
      </c>
      <c r="E508" s="6">
        <f>BDP(A508&amp;" US Equity","PX_LAST")</f>
        <v/>
      </c>
      <c r="F508" s="5">
        <f>D508*E508</f>
        <v/>
      </c>
      <c r="G508">
        <f>AND(B508&gt;=50,B508&lt;=10000)</f>
        <v/>
      </c>
      <c r="H508">
        <f>OR(C508="NAS",C508="NYS",C508="ASE")</f>
        <v/>
      </c>
      <c r="I508">
        <f>F508&gt;=500000</f>
        <v/>
      </c>
      <c r="J508">
        <f>E508&gt;=2</f>
        <v/>
      </c>
      <c r="K508">
        <f>AND(G508,H508,I508,J508)</f>
        <v/>
      </c>
    </row>
    <row r="509">
      <c r="B509" s="5">
        <f>BDP(A509&amp;" US Equity","CUR_MKT_CAP")</f>
        <v/>
      </c>
      <c r="C509">
        <f>BDP(A509&amp;" US Equity","EXCH_CODE")</f>
        <v/>
      </c>
      <c r="D509" s="5">
        <f>BDP(A509&amp;" US Equity","VOLUME_AVG_20D")</f>
        <v/>
      </c>
      <c r="E509" s="6">
        <f>BDP(A509&amp;" US Equity","PX_LAST")</f>
        <v/>
      </c>
      <c r="F509" s="5">
        <f>D509*E509</f>
        <v/>
      </c>
      <c r="G509">
        <f>AND(B509&gt;=50,B509&lt;=10000)</f>
        <v/>
      </c>
      <c r="H509">
        <f>OR(C509="NAS",C509="NYS",C509="ASE")</f>
        <v/>
      </c>
      <c r="I509">
        <f>F509&gt;=500000</f>
        <v/>
      </c>
      <c r="J509">
        <f>E509&gt;=2</f>
        <v/>
      </c>
      <c r="K509">
        <f>AND(G509,H509,I509,J509)</f>
        <v/>
      </c>
    </row>
    <row r="510">
      <c r="B510" s="5">
        <f>BDP(A510&amp;" US Equity","CUR_MKT_CAP")</f>
        <v/>
      </c>
      <c r="C510">
        <f>BDP(A510&amp;" US Equity","EXCH_CODE")</f>
        <v/>
      </c>
      <c r="D510" s="5">
        <f>BDP(A510&amp;" US Equity","VOLUME_AVG_20D")</f>
        <v/>
      </c>
      <c r="E510" s="6">
        <f>BDP(A510&amp;" US Equity","PX_LAST")</f>
        <v/>
      </c>
      <c r="F510" s="5">
        <f>D510*E510</f>
        <v/>
      </c>
      <c r="G510">
        <f>AND(B510&gt;=50,B510&lt;=10000)</f>
        <v/>
      </c>
      <c r="H510">
        <f>OR(C510="NAS",C510="NYS",C510="ASE")</f>
        <v/>
      </c>
      <c r="I510">
        <f>F510&gt;=500000</f>
        <v/>
      </c>
      <c r="J510">
        <f>E510&gt;=2</f>
        <v/>
      </c>
      <c r="K510">
        <f>AND(G510,H510,I510,J510)</f>
        <v/>
      </c>
    </row>
    <row r="511">
      <c r="B511" s="5">
        <f>BDP(A511&amp;" US Equity","CUR_MKT_CAP")</f>
        <v/>
      </c>
      <c r="C511">
        <f>BDP(A511&amp;" US Equity","EXCH_CODE")</f>
        <v/>
      </c>
      <c r="D511" s="5">
        <f>BDP(A511&amp;" US Equity","VOLUME_AVG_20D")</f>
        <v/>
      </c>
      <c r="E511" s="6">
        <f>BDP(A511&amp;" US Equity","PX_LAST")</f>
        <v/>
      </c>
      <c r="F511" s="5">
        <f>D511*E511</f>
        <v/>
      </c>
      <c r="G511">
        <f>AND(B511&gt;=50,B511&lt;=10000)</f>
        <v/>
      </c>
      <c r="H511">
        <f>OR(C511="NAS",C511="NYS",C511="ASE")</f>
        <v/>
      </c>
      <c r="I511">
        <f>F511&gt;=500000</f>
        <v/>
      </c>
      <c r="J511">
        <f>E511&gt;=2</f>
        <v/>
      </c>
      <c r="K511">
        <f>AND(G511,H511,I511,J511)</f>
        <v/>
      </c>
    </row>
    <row r="512">
      <c r="B512" s="5">
        <f>BDP(A512&amp;" US Equity","CUR_MKT_CAP")</f>
        <v/>
      </c>
      <c r="C512">
        <f>BDP(A512&amp;" US Equity","EXCH_CODE")</f>
        <v/>
      </c>
      <c r="D512" s="5">
        <f>BDP(A512&amp;" US Equity","VOLUME_AVG_20D")</f>
        <v/>
      </c>
      <c r="E512" s="6">
        <f>BDP(A512&amp;" US Equity","PX_LAST")</f>
        <v/>
      </c>
      <c r="F512" s="5">
        <f>D512*E512</f>
        <v/>
      </c>
      <c r="G512">
        <f>AND(B512&gt;=50,B512&lt;=10000)</f>
        <v/>
      </c>
      <c r="H512">
        <f>OR(C512="NAS",C512="NYS",C512="ASE")</f>
        <v/>
      </c>
      <c r="I512">
        <f>F512&gt;=500000</f>
        <v/>
      </c>
      <c r="J512">
        <f>E512&gt;=2</f>
        <v/>
      </c>
      <c r="K512">
        <f>AND(G512,H512,I512,J512)</f>
        <v/>
      </c>
    </row>
    <row r="513">
      <c r="B513" s="5">
        <f>BDP(A513&amp;" US Equity","CUR_MKT_CAP")</f>
        <v/>
      </c>
      <c r="C513">
        <f>BDP(A513&amp;" US Equity","EXCH_CODE")</f>
        <v/>
      </c>
      <c r="D513" s="5">
        <f>BDP(A513&amp;" US Equity","VOLUME_AVG_20D")</f>
        <v/>
      </c>
      <c r="E513" s="6">
        <f>BDP(A513&amp;" US Equity","PX_LAST")</f>
        <v/>
      </c>
      <c r="F513" s="5">
        <f>D513*E513</f>
        <v/>
      </c>
      <c r="G513">
        <f>AND(B513&gt;=50,B513&lt;=10000)</f>
        <v/>
      </c>
      <c r="H513">
        <f>OR(C513="NAS",C513="NYS",C513="ASE")</f>
        <v/>
      </c>
      <c r="I513">
        <f>F513&gt;=500000</f>
        <v/>
      </c>
      <c r="J513">
        <f>E513&gt;=2</f>
        <v/>
      </c>
      <c r="K513">
        <f>AND(G513,H513,I513,J513)</f>
        <v/>
      </c>
    </row>
    <row r="514">
      <c r="B514" s="5">
        <f>BDP(A514&amp;" US Equity","CUR_MKT_CAP")</f>
        <v/>
      </c>
      <c r="C514">
        <f>BDP(A514&amp;" US Equity","EXCH_CODE")</f>
        <v/>
      </c>
      <c r="D514" s="5">
        <f>BDP(A514&amp;" US Equity","VOLUME_AVG_20D")</f>
        <v/>
      </c>
      <c r="E514" s="6">
        <f>BDP(A514&amp;" US Equity","PX_LAST")</f>
        <v/>
      </c>
      <c r="F514" s="5">
        <f>D514*E514</f>
        <v/>
      </c>
      <c r="G514">
        <f>AND(B514&gt;=50,B514&lt;=10000)</f>
        <v/>
      </c>
      <c r="H514">
        <f>OR(C514="NAS",C514="NYS",C514="ASE")</f>
        <v/>
      </c>
      <c r="I514">
        <f>F514&gt;=500000</f>
        <v/>
      </c>
      <c r="J514">
        <f>E514&gt;=2</f>
        <v/>
      </c>
      <c r="K514">
        <f>AND(G514,H514,I514,J514)</f>
        <v/>
      </c>
    </row>
    <row r="515">
      <c r="B515" s="5">
        <f>BDP(A515&amp;" US Equity","CUR_MKT_CAP")</f>
        <v/>
      </c>
      <c r="C515">
        <f>BDP(A515&amp;" US Equity","EXCH_CODE")</f>
        <v/>
      </c>
      <c r="D515" s="5">
        <f>BDP(A515&amp;" US Equity","VOLUME_AVG_20D")</f>
        <v/>
      </c>
      <c r="E515" s="6">
        <f>BDP(A515&amp;" US Equity","PX_LAST")</f>
        <v/>
      </c>
      <c r="F515" s="5">
        <f>D515*E515</f>
        <v/>
      </c>
      <c r="G515">
        <f>AND(B515&gt;=50,B515&lt;=10000)</f>
        <v/>
      </c>
      <c r="H515">
        <f>OR(C515="NAS",C515="NYS",C515="ASE")</f>
        <v/>
      </c>
      <c r="I515">
        <f>F515&gt;=500000</f>
        <v/>
      </c>
      <c r="J515">
        <f>E515&gt;=2</f>
        <v/>
      </c>
      <c r="K515">
        <f>AND(G515,H515,I515,J515)</f>
        <v/>
      </c>
    </row>
    <row r="516">
      <c r="B516" s="5">
        <f>BDP(A516&amp;" US Equity","CUR_MKT_CAP")</f>
        <v/>
      </c>
      <c r="C516">
        <f>BDP(A516&amp;" US Equity","EXCH_CODE")</f>
        <v/>
      </c>
      <c r="D516" s="5">
        <f>BDP(A516&amp;" US Equity","VOLUME_AVG_20D")</f>
        <v/>
      </c>
      <c r="E516" s="6">
        <f>BDP(A516&amp;" US Equity","PX_LAST")</f>
        <v/>
      </c>
      <c r="F516" s="5">
        <f>D516*E516</f>
        <v/>
      </c>
      <c r="G516">
        <f>AND(B516&gt;=50,B516&lt;=10000)</f>
        <v/>
      </c>
      <c r="H516">
        <f>OR(C516="NAS",C516="NYS",C516="ASE")</f>
        <v/>
      </c>
      <c r="I516">
        <f>F516&gt;=500000</f>
        <v/>
      </c>
      <c r="J516">
        <f>E516&gt;=2</f>
        <v/>
      </c>
      <c r="K516">
        <f>AND(G516,H516,I516,J516)</f>
        <v/>
      </c>
    </row>
    <row r="517">
      <c r="B517" s="5">
        <f>BDP(A517&amp;" US Equity","CUR_MKT_CAP")</f>
        <v/>
      </c>
      <c r="C517">
        <f>BDP(A517&amp;" US Equity","EXCH_CODE")</f>
        <v/>
      </c>
      <c r="D517" s="5">
        <f>BDP(A517&amp;" US Equity","VOLUME_AVG_20D")</f>
        <v/>
      </c>
      <c r="E517" s="6">
        <f>BDP(A517&amp;" US Equity","PX_LAST")</f>
        <v/>
      </c>
      <c r="F517" s="5">
        <f>D517*E517</f>
        <v/>
      </c>
      <c r="G517">
        <f>AND(B517&gt;=50,B517&lt;=10000)</f>
        <v/>
      </c>
      <c r="H517">
        <f>OR(C517="NAS",C517="NYS",C517="ASE")</f>
        <v/>
      </c>
      <c r="I517">
        <f>F517&gt;=500000</f>
        <v/>
      </c>
      <c r="J517">
        <f>E517&gt;=2</f>
        <v/>
      </c>
      <c r="K517">
        <f>AND(G517,H517,I517,J517)</f>
        <v/>
      </c>
    </row>
    <row r="518">
      <c r="B518" s="5">
        <f>BDP(A518&amp;" US Equity","CUR_MKT_CAP")</f>
        <v/>
      </c>
      <c r="C518">
        <f>BDP(A518&amp;" US Equity","EXCH_CODE")</f>
        <v/>
      </c>
      <c r="D518" s="5">
        <f>BDP(A518&amp;" US Equity","VOLUME_AVG_20D")</f>
        <v/>
      </c>
      <c r="E518" s="6">
        <f>BDP(A518&amp;" US Equity","PX_LAST")</f>
        <v/>
      </c>
      <c r="F518" s="5">
        <f>D518*E518</f>
        <v/>
      </c>
      <c r="G518">
        <f>AND(B518&gt;=50,B518&lt;=10000)</f>
        <v/>
      </c>
      <c r="H518">
        <f>OR(C518="NAS",C518="NYS",C518="ASE")</f>
        <v/>
      </c>
      <c r="I518">
        <f>F518&gt;=500000</f>
        <v/>
      </c>
      <c r="J518">
        <f>E518&gt;=2</f>
        <v/>
      </c>
      <c r="K518">
        <f>AND(G518,H518,I518,J518)</f>
        <v/>
      </c>
    </row>
    <row r="519">
      <c r="B519" s="5">
        <f>BDP(A519&amp;" US Equity","CUR_MKT_CAP")</f>
        <v/>
      </c>
      <c r="C519">
        <f>BDP(A519&amp;" US Equity","EXCH_CODE")</f>
        <v/>
      </c>
      <c r="D519" s="5">
        <f>BDP(A519&amp;" US Equity","VOLUME_AVG_20D")</f>
        <v/>
      </c>
      <c r="E519" s="6">
        <f>BDP(A519&amp;" US Equity","PX_LAST")</f>
        <v/>
      </c>
      <c r="F519" s="5">
        <f>D519*E519</f>
        <v/>
      </c>
      <c r="G519">
        <f>AND(B519&gt;=50,B519&lt;=10000)</f>
        <v/>
      </c>
      <c r="H519">
        <f>OR(C519="NAS",C519="NYS",C519="ASE")</f>
        <v/>
      </c>
      <c r="I519">
        <f>F519&gt;=500000</f>
        <v/>
      </c>
      <c r="J519">
        <f>E519&gt;=2</f>
        <v/>
      </c>
      <c r="K519">
        <f>AND(G519,H519,I519,J519)</f>
        <v/>
      </c>
    </row>
    <row r="520">
      <c r="B520" s="5">
        <f>BDP(A520&amp;" US Equity","CUR_MKT_CAP")</f>
        <v/>
      </c>
      <c r="C520">
        <f>BDP(A520&amp;" US Equity","EXCH_CODE")</f>
        <v/>
      </c>
      <c r="D520" s="5">
        <f>BDP(A520&amp;" US Equity","VOLUME_AVG_20D")</f>
        <v/>
      </c>
      <c r="E520" s="6">
        <f>BDP(A520&amp;" US Equity","PX_LAST")</f>
        <v/>
      </c>
      <c r="F520" s="5">
        <f>D520*E520</f>
        <v/>
      </c>
      <c r="G520">
        <f>AND(B520&gt;=50,B520&lt;=10000)</f>
        <v/>
      </c>
      <c r="H520">
        <f>OR(C520="NAS",C520="NYS",C520="ASE")</f>
        <v/>
      </c>
      <c r="I520">
        <f>F520&gt;=500000</f>
        <v/>
      </c>
      <c r="J520">
        <f>E520&gt;=2</f>
        <v/>
      </c>
      <c r="K520">
        <f>AND(G520,H520,I520,J520)</f>
        <v/>
      </c>
    </row>
    <row r="521">
      <c r="B521" s="5">
        <f>BDP(A521&amp;" US Equity","CUR_MKT_CAP")</f>
        <v/>
      </c>
      <c r="C521">
        <f>BDP(A521&amp;" US Equity","EXCH_CODE")</f>
        <v/>
      </c>
      <c r="D521" s="5">
        <f>BDP(A521&amp;" US Equity","VOLUME_AVG_20D")</f>
        <v/>
      </c>
      <c r="E521" s="6">
        <f>BDP(A521&amp;" US Equity","PX_LAST")</f>
        <v/>
      </c>
      <c r="F521" s="5">
        <f>D521*E521</f>
        <v/>
      </c>
      <c r="G521">
        <f>AND(B521&gt;=50,B521&lt;=10000)</f>
        <v/>
      </c>
      <c r="H521">
        <f>OR(C521="NAS",C521="NYS",C521="ASE")</f>
        <v/>
      </c>
      <c r="I521">
        <f>F521&gt;=500000</f>
        <v/>
      </c>
      <c r="J521">
        <f>E521&gt;=2</f>
        <v/>
      </c>
      <c r="K521">
        <f>AND(G521,H521,I521,J521)</f>
        <v/>
      </c>
    </row>
    <row r="522">
      <c r="B522" s="5">
        <f>BDP(A522&amp;" US Equity","CUR_MKT_CAP")</f>
        <v/>
      </c>
      <c r="C522">
        <f>BDP(A522&amp;" US Equity","EXCH_CODE")</f>
        <v/>
      </c>
      <c r="D522" s="5">
        <f>BDP(A522&amp;" US Equity","VOLUME_AVG_20D")</f>
        <v/>
      </c>
      <c r="E522" s="6">
        <f>BDP(A522&amp;" US Equity","PX_LAST")</f>
        <v/>
      </c>
      <c r="F522" s="5">
        <f>D522*E522</f>
        <v/>
      </c>
      <c r="G522">
        <f>AND(B522&gt;=50,B522&lt;=10000)</f>
        <v/>
      </c>
      <c r="H522">
        <f>OR(C522="NAS",C522="NYS",C522="ASE")</f>
        <v/>
      </c>
      <c r="I522">
        <f>F522&gt;=500000</f>
        <v/>
      </c>
      <c r="J522">
        <f>E522&gt;=2</f>
        <v/>
      </c>
      <c r="K522">
        <f>AND(G522,H522,I522,J522)</f>
        <v/>
      </c>
    </row>
    <row r="523">
      <c r="B523" s="5">
        <f>BDP(A523&amp;" US Equity","CUR_MKT_CAP")</f>
        <v/>
      </c>
      <c r="C523">
        <f>BDP(A523&amp;" US Equity","EXCH_CODE")</f>
        <v/>
      </c>
      <c r="D523" s="5">
        <f>BDP(A523&amp;" US Equity","VOLUME_AVG_20D")</f>
        <v/>
      </c>
      <c r="E523" s="6">
        <f>BDP(A523&amp;" US Equity","PX_LAST")</f>
        <v/>
      </c>
      <c r="F523" s="5">
        <f>D523*E523</f>
        <v/>
      </c>
      <c r="G523">
        <f>AND(B523&gt;=50,B523&lt;=10000)</f>
        <v/>
      </c>
      <c r="H523">
        <f>OR(C523="NAS",C523="NYS",C523="ASE")</f>
        <v/>
      </c>
      <c r="I523">
        <f>F523&gt;=500000</f>
        <v/>
      </c>
      <c r="J523">
        <f>E523&gt;=2</f>
        <v/>
      </c>
      <c r="K523">
        <f>AND(G523,H523,I523,J523)</f>
        <v/>
      </c>
    </row>
    <row r="524">
      <c r="B524" s="5">
        <f>BDP(A524&amp;" US Equity","CUR_MKT_CAP")</f>
        <v/>
      </c>
      <c r="C524">
        <f>BDP(A524&amp;" US Equity","EXCH_CODE")</f>
        <v/>
      </c>
      <c r="D524" s="5">
        <f>BDP(A524&amp;" US Equity","VOLUME_AVG_20D")</f>
        <v/>
      </c>
      <c r="E524" s="6">
        <f>BDP(A524&amp;" US Equity","PX_LAST")</f>
        <v/>
      </c>
      <c r="F524" s="5">
        <f>D524*E524</f>
        <v/>
      </c>
      <c r="G524">
        <f>AND(B524&gt;=50,B524&lt;=10000)</f>
        <v/>
      </c>
      <c r="H524">
        <f>OR(C524="NAS",C524="NYS",C524="ASE")</f>
        <v/>
      </c>
      <c r="I524">
        <f>F524&gt;=500000</f>
        <v/>
      </c>
      <c r="J524">
        <f>E524&gt;=2</f>
        <v/>
      </c>
      <c r="K524">
        <f>AND(G524,H524,I524,J524)</f>
        <v/>
      </c>
    </row>
    <row r="525">
      <c r="B525" s="5">
        <f>BDP(A525&amp;" US Equity","CUR_MKT_CAP")</f>
        <v/>
      </c>
      <c r="C525">
        <f>BDP(A525&amp;" US Equity","EXCH_CODE")</f>
        <v/>
      </c>
      <c r="D525" s="5">
        <f>BDP(A525&amp;" US Equity","VOLUME_AVG_20D")</f>
        <v/>
      </c>
      <c r="E525" s="6">
        <f>BDP(A525&amp;" US Equity","PX_LAST")</f>
        <v/>
      </c>
      <c r="F525" s="5">
        <f>D525*E525</f>
        <v/>
      </c>
      <c r="G525">
        <f>AND(B525&gt;=50,B525&lt;=10000)</f>
        <v/>
      </c>
      <c r="H525">
        <f>OR(C525="NAS",C525="NYS",C525="ASE")</f>
        <v/>
      </c>
      <c r="I525">
        <f>F525&gt;=500000</f>
        <v/>
      </c>
      <c r="J525">
        <f>E525&gt;=2</f>
        <v/>
      </c>
      <c r="K525">
        <f>AND(G525,H525,I525,J525)</f>
        <v/>
      </c>
    </row>
    <row r="526">
      <c r="B526" s="5">
        <f>BDP(A526&amp;" US Equity","CUR_MKT_CAP")</f>
        <v/>
      </c>
      <c r="C526">
        <f>BDP(A526&amp;" US Equity","EXCH_CODE")</f>
        <v/>
      </c>
      <c r="D526" s="5">
        <f>BDP(A526&amp;" US Equity","VOLUME_AVG_20D")</f>
        <v/>
      </c>
      <c r="E526" s="6">
        <f>BDP(A526&amp;" US Equity","PX_LAST")</f>
        <v/>
      </c>
      <c r="F526" s="5">
        <f>D526*E526</f>
        <v/>
      </c>
      <c r="G526">
        <f>AND(B526&gt;=50,B526&lt;=10000)</f>
        <v/>
      </c>
      <c r="H526">
        <f>OR(C526="NAS",C526="NYS",C526="ASE")</f>
        <v/>
      </c>
      <c r="I526">
        <f>F526&gt;=500000</f>
        <v/>
      </c>
      <c r="J526">
        <f>E526&gt;=2</f>
        <v/>
      </c>
      <c r="K526">
        <f>AND(G526,H526,I526,J526)</f>
        <v/>
      </c>
    </row>
    <row r="527">
      <c r="B527" s="5">
        <f>BDP(A527&amp;" US Equity","CUR_MKT_CAP")</f>
        <v/>
      </c>
      <c r="C527">
        <f>BDP(A527&amp;" US Equity","EXCH_CODE")</f>
        <v/>
      </c>
      <c r="D527" s="5">
        <f>BDP(A527&amp;" US Equity","VOLUME_AVG_20D")</f>
        <v/>
      </c>
      <c r="E527" s="6">
        <f>BDP(A527&amp;" US Equity","PX_LAST")</f>
        <v/>
      </c>
      <c r="F527" s="5">
        <f>D527*E527</f>
        <v/>
      </c>
      <c r="G527">
        <f>AND(B527&gt;=50,B527&lt;=10000)</f>
        <v/>
      </c>
      <c r="H527">
        <f>OR(C527="NAS",C527="NYS",C527="ASE")</f>
        <v/>
      </c>
      <c r="I527">
        <f>F527&gt;=500000</f>
        <v/>
      </c>
      <c r="J527">
        <f>E527&gt;=2</f>
        <v/>
      </c>
      <c r="K527">
        <f>AND(G527,H527,I527,J527)</f>
        <v/>
      </c>
    </row>
    <row r="528">
      <c r="B528" s="5">
        <f>BDP(A528&amp;" US Equity","CUR_MKT_CAP")</f>
        <v/>
      </c>
      <c r="C528">
        <f>BDP(A528&amp;" US Equity","EXCH_CODE")</f>
        <v/>
      </c>
      <c r="D528" s="5">
        <f>BDP(A528&amp;" US Equity","VOLUME_AVG_20D")</f>
        <v/>
      </c>
      <c r="E528" s="6">
        <f>BDP(A528&amp;" US Equity","PX_LAST")</f>
        <v/>
      </c>
      <c r="F528" s="5">
        <f>D528*E528</f>
        <v/>
      </c>
      <c r="G528">
        <f>AND(B528&gt;=50,B528&lt;=10000)</f>
        <v/>
      </c>
      <c r="H528">
        <f>OR(C528="NAS",C528="NYS",C528="ASE")</f>
        <v/>
      </c>
      <c r="I528">
        <f>F528&gt;=500000</f>
        <v/>
      </c>
      <c r="J528">
        <f>E528&gt;=2</f>
        <v/>
      </c>
      <c r="K528">
        <f>AND(G528,H528,I528,J528)</f>
        <v/>
      </c>
    </row>
    <row r="529">
      <c r="B529" s="5">
        <f>BDP(A529&amp;" US Equity","CUR_MKT_CAP")</f>
        <v/>
      </c>
      <c r="C529">
        <f>BDP(A529&amp;" US Equity","EXCH_CODE")</f>
        <v/>
      </c>
      <c r="D529" s="5">
        <f>BDP(A529&amp;" US Equity","VOLUME_AVG_20D")</f>
        <v/>
      </c>
      <c r="E529" s="6">
        <f>BDP(A529&amp;" US Equity","PX_LAST")</f>
        <v/>
      </c>
      <c r="F529" s="5">
        <f>D529*E529</f>
        <v/>
      </c>
      <c r="G529">
        <f>AND(B529&gt;=50,B529&lt;=10000)</f>
        <v/>
      </c>
      <c r="H529">
        <f>OR(C529="NAS",C529="NYS",C529="ASE")</f>
        <v/>
      </c>
      <c r="I529">
        <f>F529&gt;=500000</f>
        <v/>
      </c>
      <c r="J529">
        <f>E529&gt;=2</f>
        <v/>
      </c>
      <c r="K529">
        <f>AND(G529,H529,I529,J529)</f>
        <v/>
      </c>
    </row>
    <row r="530">
      <c r="B530" s="5">
        <f>BDP(A530&amp;" US Equity","CUR_MKT_CAP")</f>
        <v/>
      </c>
      <c r="C530">
        <f>BDP(A530&amp;" US Equity","EXCH_CODE")</f>
        <v/>
      </c>
      <c r="D530" s="5">
        <f>BDP(A530&amp;" US Equity","VOLUME_AVG_20D")</f>
        <v/>
      </c>
      <c r="E530" s="6">
        <f>BDP(A530&amp;" US Equity","PX_LAST")</f>
        <v/>
      </c>
      <c r="F530" s="5">
        <f>D530*E530</f>
        <v/>
      </c>
      <c r="G530">
        <f>AND(B530&gt;=50,B530&lt;=10000)</f>
        <v/>
      </c>
      <c r="H530">
        <f>OR(C530="NAS",C530="NYS",C530="ASE")</f>
        <v/>
      </c>
      <c r="I530">
        <f>F530&gt;=500000</f>
        <v/>
      </c>
      <c r="J530">
        <f>E530&gt;=2</f>
        <v/>
      </c>
      <c r="K530">
        <f>AND(G530,H530,I530,J530)</f>
        <v/>
      </c>
    </row>
    <row r="531">
      <c r="B531" s="5">
        <f>BDP(A531&amp;" US Equity","CUR_MKT_CAP")</f>
        <v/>
      </c>
      <c r="C531">
        <f>BDP(A531&amp;" US Equity","EXCH_CODE")</f>
        <v/>
      </c>
      <c r="D531" s="5">
        <f>BDP(A531&amp;" US Equity","VOLUME_AVG_20D")</f>
        <v/>
      </c>
      <c r="E531" s="6">
        <f>BDP(A531&amp;" US Equity","PX_LAST")</f>
        <v/>
      </c>
      <c r="F531" s="5">
        <f>D531*E531</f>
        <v/>
      </c>
      <c r="G531">
        <f>AND(B531&gt;=50,B531&lt;=10000)</f>
        <v/>
      </c>
      <c r="H531">
        <f>OR(C531="NAS",C531="NYS",C531="ASE")</f>
        <v/>
      </c>
      <c r="I531">
        <f>F531&gt;=500000</f>
        <v/>
      </c>
      <c r="J531">
        <f>E531&gt;=2</f>
        <v/>
      </c>
      <c r="K531">
        <f>AND(G531,H531,I531,J531)</f>
        <v/>
      </c>
    </row>
    <row r="532">
      <c r="B532" s="5">
        <f>BDP(A532&amp;" US Equity","CUR_MKT_CAP")</f>
        <v/>
      </c>
      <c r="C532">
        <f>BDP(A532&amp;" US Equity","EXCH_CODE")</f>
        <v/>
      </c>
      <c r="D532" s="5">
        <f>BDP(A532&amp;" US Equity","VOLUME_AVG_20D")</f>
        <v/>
      </c>
      <c r="E532" s="6">
        <f>BDP(A532&amp;" US Equity","PX_LAST")</f>
        <v/>
      </c>
      <c r="F532" s="5">
        <f>D532*E532</f>
        <v/>
      </c>
      <c r="G532">
        <f>AND(B532&gt;=50,B532&lt;=10000)</f>
        <v/>
      </c>
      <c r="H532">
        <f>OR(C532="NAS",C532="NYS",C532="ASE")</f>
        <v/>
      </c>
      <c r="I532">
        <f>F532&gt;=500000</f>
        <v/>
      </c>
      <c r="J532">
        <f>E532&gt;=2</f>
        <v/>
      </c>
      <c r="K532">
        <f>AND(G532,H532,I532,J532)</f>
        <v/>
      </c>
    </row>
    <row r="533">
      <c r="B533" s="5">
        <f>BDP(A533&amp;" US Equity","CUR_MKT_CAP")</f>
        <v/>
      </c>
      <c r="C533">
        <f>BDP(A533&amp;" US Equity","EXCH_CODE")</f>
        <v/>
      </c>
      <c r="D533" s="5">
        <f>BDP(A533&amp;" US Equity","VOLUME_AVG_20D")</f>
        <v/>
      </c>
      <c r="E533" s="6">
        <f>BDP(A533&amp;" US Equity","PX_LAST")</f>
        <v/>
      </c>
      <c r="F533" s="5">
        <f>D533*E533</f>
        <v/>
      </c>
      <c r="G533">
        <f>AND(B533&gt;=50,B533&lt;=10000)</f>
        <v/>
      </c>
      <c r="H533">
        <f>OR(C533="NAS",C533="NYS",C533="ASE")</f>
        <v/>
      </c>
      <c r="I533">
        <f>F533&gt;=500000</f>
        <v/>
      </c>
      <c r="J533">
        <f>E533&gt;=2</f>
        <v/>
      </c>
      <c r="K533">
        <f>AND(G533,H533,I533,J533)</f>
        <v/>
      </c>
    </row>
    <row r="534">
      <c r="B534" s="5">
        <f>BDP(A534&amp;" US Equity","CUR_MKT_CAP")</f>
        <v/>
      </c>
      <c r="C534">
        <f>BDP(A534&amp;" US Equity","EXCH_CODE")</f>
        <v/>
      </c>
      <c r="D534" s="5">
        <f>BDP(A534&amp;" US Equity","VOLUME_AVG_20D")</f>
        <v/>
      </c>
      <c r="E534" s="6">
        <f>BDP(A534&amp;" US Equity","PX_LAST")</f>
        <v/>
      </c>
      <c r="F534" s="5">
        <f>D534*E534</f>
        <v/>
      </c>
      <c r="G534">
        <f>AND(B534&gt;=50,B534&lt;=10000)</f>
        <v/>
      </c>
      <c r="H534">
        <f>OR(C534="NAS",C534="NYS",C534="ASE")</f>
        <v/>
      </c>
      <c r="I534">
        <f>F534&gt;=500000</f>
        <v/>
      </c>
      <c r="J534">
        <f>E534&gt;=2</f>
        <v/>
      </c>
      <c r="K534">
        <f>AND(G534,H534,I534,J534)</f>
        <v/>
      </c>
    </row>
    <row r="535">
      <c r="B535" s="5">
        <f>BDP(A535&amp;" US Equity","CUR_MKT_CAP")</f>
        <v/>
      </c>
      <c r="C535">
        <f>BDP(A535&amp;" US Equity","EXCH_CODE")</f>
        <v/>
      </c>
      <c r="D535" s="5">
        <f>BDP(A535&amp;" US Equity","VOLUME_AVG_20D")</f>
        <v/>
      </c>
      <c r="E535" s="6">
        <f>BDP(A535&amp;" US Equity","PX_LAST")</f>
        <v/>
      </c>
      <c r="F535" s="5">
        <f>D535*E535</f>
        <v/>
      </c>
      <c r="G535">
        <f>AND(B535&gt;=50,B535&lt;=10000)</f>
        <v/>
      </c>
      <c r="H535">
        <f>OR(C535="NAS",C535="NYS",C535="ASE")</f>
        <v/>
      </c>
      <c r="I535">
        <f>F535&gt;=500000</f>
        <v/>
      </c>
      <c r="J535">
        <f>E535&gt;=2</f>
        <v/>
      </c>
      <c r="K535">
        <f>AND(G535,H535,I535,J535)</f>
        <v/>
      </c>
    </row>
    <row r="536">
      <c r="B536" s="5">
        <f>BDP(A536&amp;" US Equity","CUR_MKT_CAP")</f>
        <v/>
      </c>
      <c r="C536">
        <f>BDP(A536&amp;" US Equity","EXCH_CODE")</f>
        <v/>
      </c>
      <c r="D536" s="5">
        <f>BDP(A536&amp;" US Equity","VOLUME_AVG_20D")</f>
        <v/>
      </c>
      <c r="E536" s="6">
        <f>BDP(A536&amp;" US Equity","PX_LAST")</f>
        <v/>
      </c>
      <c r="F536" s="5">
        <f>D536*E536</f>
        <v/>
      </c>
      <c r="G536">
        <f>AND(B536&gt;=50,B536&lt;=10000)</f>
        <v/>
      </c>
      <c r="H536">
        <f>OR(C536="NAS",C536="NYS",C536="ASE")</f>
        <v/>
      </c>
      <c r="I536">
        <f>F536&gt;=500000</f>
        <v/>
      </c>
      <c r="J536">
        <f>E536&gt;=2</f>
        <v/>
      </c>
      <c r="K536">
        <f>AND(G536,H536,I536,J536)</f>
        <v/>
      </c>
    </row>
    <row r="537">
      <c r="B537" s="5">
        <f>BDP(A537&amp;" US Equity","CUR_MKT_CAP")</f>
        <v/>
      </c>
      <c r="C537">
        <f>BDP(A537&amp;" US Equity","EXCH_CODE")</f>
        <v/>
      </c>
      <c r="D537" s="5">
        <f>BDP(A537&amp;" US Equity","VOLUME_AVG_20D")</f>
        <v/>
      </c>
      <c r="E537" s="6">
        <f>BDP(A537&amp;" US Equity","PX_LAST")</f>
        <v/>
      </c>
      <c r="F537" s="5">
        <f>D537*E537</f>
        <v/>
      </c>
      <c r="G537">
        <f>AND(B537&gt;=50,B537&lt;=10000)</f>
        <v/>
      </c>
      <c r="H537">
        <f>OR(C537="NAS",C537="NYS",C537="ASE")</f>
        <v/>
      </c>
      <c r="I537">
        <f>F537&gt;=500000</f>
        <v/>
      </c>
      <c r="J537">
        <f>E537&gt;=2</f>
        <v/>
      </c>
      <c r="K537">
        <f>AND(G537,H537,I537,J537)</f>
        <v/>
      </c>
    </row>
    <row r="538">
      <c r="B538" s="5">
        <f>BDP(A538&amp;" US Equity","CUR_MKT_CAP")</f>
        <v/>
      </c>
      <c r="C538">
        <f>BDP(A538&amp;" US Equity","EXCH_CODE")</f>
        <v/>
      </c>
      <c r="D538" s="5">
        <f>BDP(A538&amp;" US Equity","VOLUME_AVG_20D")</f>
        <v/>
      </c>
      <c r="E538" s="6">
        <f>BDP(A538&amp;" US Equity","PX_LAST")</f>
        <v/>
      </c>
      <c r="F538" s="5">
        <f>D538*E538</f>
        <v/>
      </c>
      <c r="G538">
        <f>AND(B538&gt;=50,B538&lt;=10000)</f>
        <v/>
      </c>
      <c r="H538">
        <f>OR(C538="NAS",C538="NYS",C538="ASE")</f>
        <v/>
      </c>
      <c r="I538">
        <f>F538&gt;=500000</f>
        <v/>
      </c>
      <c r="J538">
        <f>E538&gt;=2</f>
        <v/>
      </c>
      <c r="K538">
        <f>AND(G538,H538,I538,J538)</f>
        <v/>
      </c>
    </row>
    <row r="539">
      <c r="B539" s="5">
        <f>BDP(A539&amp;" US Equity","CUR_MKT_CAP")</f>
        <v/>
      </c>
      <c r="C539">
        <f>BDP(A539&amp;" US Equity","EXCH_CODE")</f>
        <v/>
      </c>
      <c r="D539" s="5">
        <f>BDP(A539&amp;" US Equity","VOLUME_AVG_20D")</f>
        <v/>
      </c>
      <c r="E539" s="6">
        <f>BDP(A539&amp;" US Equity","PX_LAST")</f>
        <v/>
      </c>
      <c r="F539" s="5">
        <f>D539*E539</f>
        <v/>
      </c>
      <c r="G539">
        <f>AND(B539&gt;=50,B539&lt;=10000)</f>
        <v/>
      </c>
      <c r="H539">
        <f>OR(C539="NAS",C539="NYS",C539="ASE")</f>
        <v/>
      </c>
      <c r="I539">
        <f>F539&gt;=500000</f>
        <v/>
      </c>
      <c r="J539">
        <f>E539&gt;=2</f>
        <v/>
      </c>
      <c r="K539">
        <f>AND(G539,H539,I539,J539)</f>
        <v/>
      </c>
    </row>
    <row r="540">
      <c r="B540" s="5">
        <f>BDP(A540&amp;" US Equity","CUR_MKT_CAP")</f>
        <v/>
      </c>
      <c r="C540">
        <f>BDP(A540&amp;" US Equity","EXCH_CODE")</f>
        <v/>
      </c>
      <c r="D540" s="5">
        <f>BDP(A540&amp;" US Equity","VOLUME_AVG_20D")</f>
        <v/>
      </c>
      <c r="E540" s="6">
        <f>BDP(A540&amp;" US Equity","PX_LAST")</f>
        <v/>
      </c>
      <c r="F540" s="5">
        <f>D540*E540</f>
        <v/>
      </c>
      <c r="G540">
        <f>AND(B540&gt;=50,B540&lt;=10000)</f>
        <v/>
      </c>
      <c r="H540">
        <f>OR(C540="NAS",C540="NYS",C540="ASE")</f>
        <v/>
      </c>
      <c r="I540">
        <f>F540&gt;=500000</f>
        <v/>
      </c>
      <c r="J540">
        <f>E540&gt;=2</f>
        <v/>
      </c>
      <c r="K540">
        <f>AND(G540,H540,I540,J540)</f>
        <v/>
      </c>
    </row>
    <row r="541">
      <c r="B541" s="5">
        <f>BDP(A541&amp;" US Equity","CUR_MKT_CAP")</f>
        <v/>
      </c>
      <c r="C541">
        <f>BDP(A541&amp;" US Equity","EXCH_CODE")</f>
        <v/>
      </c>
      <c r="D541" s="5">
        <f>BDP(A541&amp;" US Equity","VOLUME_AVG_20D")</f>
        <v/>
      </c>
      <c r="E541" s="6">
        <f>BDP(A541&amp;" US Equity","PX_LAST")</f>
        <v/>
      </c>
      <c r="F541" s="5">
        <f>D541*E541</f>
        <v/>
      </c>
      <c r="G541">
        <f>AND(B541&gt;=50,B541&lt;=10000)</f>
        <v/>
      </c>
      <c r="H541">
        <f>OR(C541="NAS",C541="NYS",C541="ASE")</f>
        <v/>
      </c>
      <c r="I541">
        <f>F541&gt;=500000</f>
        <v/>
      </c>
      <c r="J541">
        <f>E541&gt;=2</f>
        <v/>
      </c>
      <c r="K541">
        <f>AND(G541,H541,I541,J541)</f>
        <v/>
      </c>
    </row>
    <row r="542">
      <c r="B542" s="5">
        <f>BDP(A542&amp;" US Equity","CUR_MKT_CAP")</f>
        <v/>
      </c>
      <c r="C542">
        <f>BDP(A542&amp;" US Equity","EXCH_CODE")</f>
        <v/>
      </c>
      <c r="D542" s="5">
        <f>BDP(A542&amp;" US Equity","VOLUME_AVG_20D")</f>
        <v/>
      </c>
      <c r="E542" s="6">
        <f>BDP(A542&amp;" US Equity","PX_LAST")</f>
        <v/>
      </c>
      <c r="F542" s="5">
        <f>D542*E542</f>
        <v/>
      </c>
      <c r="G542">
        <f>AND(B542&gt;=50,B542&lt;=10000)</f>
        <v/>
      </c>
      <c r="H542">
        <f>OR(C542="NAS",C542="NYS",C542="ASE")</f>
        <v/>
      </c>
      <c r="I542">
        <f>F542&gt;=500000</f>
        <v/>
      </c>
      <c r="J542">
        <f>E542&gt;=2</f>
        <v/>
      </c>
      <c r="K542">
        <f>AND(G542,H542,I542,J542)</f>
        <v/>
      </c>
    </row>
    <row r="543">
      <c r="B543" s="5">
        <f>BDP(A543&amp;" US Equity","CUR_MKT_CAP")</f>
        <v/>
      </c>
      <c r="C543">
        <f>BDP(A543&amp;" US Equity","EXCH_CODE")</f>
        <v/>
      </c>
      <c r="D543" s="5">
        <f>BDP(A543&amp;" US Equity","VOLUME_AVG_20D")</f>
        <v/>
      </c>
      <c r="E543" s="6">
        <f>BDP(A543&amp;" US Equity","PX_LAST")</f>
        <v/>
      </c>
      <c r="F543" s="5">
        <f>D543*E543</f>
        <v/>
      </c>
      <c r="G543">
        <f>AND(B543&gt;=50,B543&lt;=10000)</f>
        <v/>
      </c>
      <c r="H543">
        <f>OR(C543="NAS",C543="NYS",C543="ASE")</f>
        <v/>
      </c>
      <c r="I543">
        <f>F543&gt;=500000</f>
        <v/>
      </c>
      <c r="J543">
        <f>E543&gt;=2</f>
        <v/>
      </c>
      <c r="K543">
        <f>AND(G543,H543,I543,J543)</f>
        <v/>
      </c>
    </row>
    <row r="544">
      <c r="B544" s="5">
        <f>BDP(A544&amp;" US Equity","CUR_MKT_CAP")</f>
        <v/>
      </c>
      <c r="C544">
        <f>BDP(A544&amp;" US Equity","EXCH_CODE")</f>
        <v/>
      </c>
      <c r="D544" s="5">
        <f>BDP(A544&amp;" US Equity","VOLUME_AVG_20D")</f>
        <v/>
      </c>
      <c r="E544" s="6">
        <f>BDP(A544&amp;" US Equity","PX_LAST")</f>
        <v/>
      </c>
      <c r="F544" s="5">
        <f>D544*E544</f>
        <v/>
      </c>
      <c r="G544">
        <f>AND(B544&gt;=50,B544&lt;=10000)</f>
        <v/>
      </c>
      <c r="H544">
        <f>OR(C544="NAS",C544="NYS",C544="ASE")</f>
        <v/>
      </c>
      <c r="I544">
        <f>F544&gt;=500000</f>
        <v/>
      </c>
      <c r="J544">
        <f>E544&gt;=2</f>
        <v/>
      </c>
      <c r="K544">
        <f>AND(G544,H544,I544,J544)</f>
        <v/>
      </c>
    </row>
    <row r="545">
      <c r="B545" s="5">
        <f>BDP(A545&amp;" US Equity","CUR_MKT_CAP")</f>
        <v/>
      </c>
      <c r="C545">
        <f>BDP(A545&amp;" US Equity","EXCH_CODE")</f>
        <v/>
      </c>
      <c r="D545" s="5">
        <f>BDP(A545&amp;" US Equity","VOLUME_AVG_20D")</f>
        <v/>
      </c>
      <c r="E545" s="6">
        <f>BDP(A545&amp;" US Equity","PX_LAST")</f>
        <v/>
      </c>
      <c r="F545" s="5">
        <f>D545*E545</f>
        <v/>
      </c>
      <c r="G545">
        <f>AND(B545&gt;=50,B545&lt;=10000)</f>
        <v/>
      </c>
      <c r="H545">
        <f>OR(C545="NAS",C545="NYS",C545="ASE")</f>
        <v/>
      </c>
      <c r="I545">
        <f>F545&gt;=500000</f>
        <v/>
      </c>
      <c r="J545">
        <f>E545&gt;=2</f>
        <v/>
      </c>
      <c r="K545">
        <f>AND(G545,H545,I545,J545)</f>
        <v/>
      </c>
    </row>
    <row r="546">
      <c r="B546" s="5">
        <f>BDP(A546&amp;" US Equity","CUR_MKT_CAP")</f>
        <v/>
      </c>
      <c r="C546">
        <f>BDP(A546&amp;" US Equity","EXCH_CODE")</f>
        <v/>
      </c>
      <c r="D546" s="5">
        <f>BDP(A546&amp;" US Equity","VOLUME_AVG_20D")</f>
        <v/>
      </c>
      <c r="E546" s="6">
        <f>BDP(A546&amp;" US Equity","PX_LAST")</f>
        <v/>
      </c>
      <c r="F546" s="5">
        <f>D546*E546</f>
        <v/>
      </c>
      <c r="G546">
        <f>AND(B546&gt;=50,B546&lt;=10000)</f>
        <v/>
      </c>
      <c r="H546">
        <f>OR(C546="NAS",C546="NYS",C546="ASE")</f>
        <v/>
      </c>
      <c r="I546">
        <f>F546&gt;=500000</f>
        <v/>
      </c>
      <c r="J546">
        <f>E546&gt;=2</f>
        <v/>
      </c>
      <c r="K546">
        <f>AND(G546,H546,I546,J546)</f>
        <v/>
      </c>
    </row>
    <row r="547">
      <c r="B547" s="5">
        <f>BDP(A547&amp;" US Equity","CUR_MKT_CAP")</f>
        <v/>
      </c>
      <c r="C547">
        <f>BDP(A547&amp;" US Equity","EXCH_CODE")</f>
        <v/>
      </c>
      <c r="D547" s="5">
        <f>BDP(A547&amp;" US Equity","VOLUME_AVG_20D")</f>
        <v/>
      </c>
      <c r="E547" s="6">
        <f>BDP(A547&amp;" US Equity","PX_LAST")</f>
        <v/>
      </c>
      <c r="F547" s="5">
        <f>D547*E547</f>
        <v/>
      </c>
      <c r="G547">
        <f>AND(B547&gt;=50,B547&lt;=10000)</f>
        <v/>
      </c>
      <c r="H547">
        <f>OR(C547="NAS",C547="NYS",C547="ASE")</f>
        <v/>
      </c>
      <c r="I547">
        <f>F547&gt;=500000</f>
        <v/>
      </c>
      <c r="J547">
        <f>E547&gt;=2</f>
        <v/>
      </c>
      <c r="K547">
        <f>AND(G547,H547,I547,J547)</f>
        <v/>
      </c>
    </row>
    <row r="548">
      <c r="B548" s="5">
        <f>BDP(A548&amp;" US Equity","CUR_MKT_CAP")</f>
        <v/>
      </c>
      <c r="C548">
        <f>BDP(A548&amp;" US Equity","EXCH_CODE")</f>
        <v/>
      </c>
      <c r="D548" s="5">
        <f>BDP(A548&amp;" US Equity","VOLUME_AVG_20D")</f>
        <v/>
      </c>
      <c r="E548" s="6">
        <f>BDP(A548&amp;" US Equity","PX_LAST")</f>
        <v/>
      </c>
      <c r="F548" s="5">
        <f>D548*E548</f>
        <v/>
      </c>
      <c r="G548">
        <f>AND(B548&gt;=50,B548&lt;=10000)</f>
        <v/>
      </c>
      <c r="H548">
        <f>OR(C548="NAS",C548="NYS",C548="ASE")</f>
        <v/>
      </c>
      <c r="I548">
        <f>F548&gt;=500000</f>
        <v/>
      </c>
      <c r="J548">
        <f>E548&gt;=2</f>
        <v/>
      </c>
      <c r="K548">
        <f>AND(G548,H548,I548,J548)</f>
        <v/>
      </c>
    </row>
    <row r="549">
      <c r="B549" s="5">
        <f>BDP(A549&amp;" US Equity","CUR_MKT_CAP")</f>
        <v/>
      </c>
      <c r="C549">
        <f>BDP(A549&amp;" US Equity","EXCH_CODE")</f>
        <v/>
      </c>
      <c r="D549" s="5">
        <f>BDP(A549&amp;" US Equity","VOLUME_AVG_20D")</f>
        <v/>
      </c>
      <c r="E549" s="6">
        <f>BDP(A549&amp;" US Equity","PX_LAST")</f>
        <v/>
      </c>
      <c r="F549" s="5">
        <f>D549*E549</f>
        <v/>
      </c>
      <c r="G549">
        <f>AND(B549&gt;=50,B549&lt;=10000)</f>
        <v/>
      </c>
      <c r="H549">
        <f>OR(C549="NAS",C549="NYS",C549="ASE")</f>
        <v/>
      </c>
      <c r="I549">
        <f>F549&gt;=500000</f>
        <v/>
      </c>
      <c r="J549">
        <f>E549&gt;=2</f>
        <v/>
      </c>
      <c r="K549">
        <f>AND(G549,H549,I549,J549)</f>
        <v/>
      </c>
    </row>
    <row r="550">
      <c r="B550" s="5">
        <f>BDP(A550&amp;" US Equity","CUR_MKT_CAP")</f>
        <v/>
      </c>
      <c r="C550">
        <f>BDP(A550&amp;" US Equity","EXCH_CODE")</f>
        <v/>
      </c>
      <c r="D550" s="5">
        <f>BDP(A550&amp;" US Equity","VOLUME_AVG_20D")</f>
        <v/>
      </c>
      <c r="E550" s="6">
        <f>BDP(A550&amp;" US Equity","PX_LAST")</f>
        <v/>
      </c>
      <c r="F550" s="5">
        <f>D550*E550</f>
        <v/>
      </c>
      <c r="G550">
        <f>AND(B550&gt;=50,B550&lt;=10000)</f>
        <v/>
      </c>
      <c r="H550">
        <f>OR(C550="NAS",C550="NYS",C550="ASE")</f>
        <v/>
      </c>
      <c r="I550">
        <f>F550&gt;=500000</f>
        <v/>
      </c>
      <c r="J550">
        <f>E550&gt;=2</f>
        <v/>
      </c>
      <c r="K550">
        <f>AND(G550,H550,I550,J550)</f>
        <v/>
      </c>
    </row>
    <row r="551">
      <c r="B551" s="5">
        <f>BDP(A551&amp;" US Equity","CUR_MKT_CAP")</f>
        <v/>
      </c>
      <c r="C551">
        <f>BDP(A551&amp;" US Equity","EXCH_CODE")</f>
        <v/>
      </c>
      <c r="D551" s="5">
        <f>BDP(A551&amp;" US Equity","VOLUME_AVG_20D")</f>
        <v/>
      </c>
      <c r="E551" s="6">
        <f>BDP(A551&amp;" US Equity","PX_LAST")</f>
        <v/>
      </c>
      <c r="F551" s="5">
        <f>D551*E551</f>
        <v/>
      </c>
      <c r="G551">
        <f>AND(B551&gt;=50,B551&lt;=10000)</f>
        <v/>
      </c>
      <c r="H551">
        <f>OR(C551="NAS",C551="NYS",C551="ASE")</f>
        <v/>
      </c>
      <c r="I551">
        <f>F551&gt;=500000</f>
        <v/>
      </c>
      <c r="J551">
        <f>E551&gt;=2</f>
        <v/>
      </c>
      <c r="K551">
        <f>AND(G551,H551,I551,J551)</f>
        <v/>
      </c>
    </row>
    <row r="552">
      <c r="B552" s="5">
        <f>BDP(A552&amp;" US Equity","CUR_MKT_CAP")</f>
        <v/>
      </c>
      <c r="C552">
        <f>BDP(A552&amp;" US Equity","EXCH_CODE")</f>
        <v/>
      </c>
      <c r="D552" s="5">
        <f>BDP(A552&amp;" US Equity","VOLUME_AVG_20D")</f>
        <v/>
      </c>
      <c r="E552" s="6">
        <f>BDP(A552&amp;" US Equity","PX_LAST")</f>
        <v/>
      </c>
      <c r="F552" s="5">
        <f>D552*E552</f>
        <v/>
      </c>
      <c r="G552">
        <f>AND(B552&gt;=50,B552&lt;=10000)</f>
        <v/>
      </c>
      <c r="H552">
        <f>OR(C552="NAS",C552="NYS",C552="ASE")</f>
        <v/>
      </c>
      <c r="I552">
        <f>F552&gt;=500000</f>
        <v/>
      </c>
      <c r="J552">
        <f>E552&gt;=2</f>
        <v/>
      </c>
      <c r="K552">
        <f>AND(G552,H552,I552,J552)</f>
        <v/>
      </c>
    </row>
    <row r="553">
      <c r="B553" s="5">
        <f>BDP(A553&amp;" US Equity","CUR_MKT_CAP")</f>
        <v/>
      </c>
      <c r="C553">
        <f>BDP(A553&amp;" US Equity","EXCH_CODE")</f>
        <v/>
      </c>
      <c r="D553" s="5">
        <f>BDP(A553&amp;" US Equity","VOLUME_AVG_20D")</f>
        <v/>
      </c>
      <c r="E553" s="6">
        <f>BDP(A553&amp;" US Equity","PX_LAST")</f>
        <v/>
      </c>
      <c r="F553" s="5">
        <f>D553*E553</f>
        <v/>
      </c>
      <c r="G553">
        <f>AND(B553&gt;=50,B553&lt;=10000)</f>
        <v/>
      </c>
      <c r="H553">
        <f>OR(C553="NAS",C553="NYS",C553="ASE")</f>
        <v/>
      </c>
      <c r="I553">
        <f>F553&gt;=500000</f>
        <v/>
      </c>
      <c r="J553">
        <f>E553&gt;=2</f>
        <v/>
      </c>
      <c r="K553">
        <f>AND(G553,H553,I553,J553)</f>
        <v/>
      </c>
    </row>
    <row r="554">
      <c r="B554" s="5">
        <f>BDP(A554&amp;" US Equity","CUR_MKT_CAP")</f>
        <v/>
      </c>
      <c r="C554">
        <f>BDP(A554&amp;" US Equity","EXCH_CODE")</f>
        <v/>
      </c>
      <c r="D554" s="5">
        <f>BDP(A554&amp;" US Equity","VOLUME_AVG_20D")</f>
        <v/>
      </c>
      <c r="E554" s="6">
        <f>BDP(A554&amp;" US Equity","PX_LAST")</f>
        <v/>
      </c>
      <c r="F554" s="5">
        <f>D554*E554</f>
        <v/>
      </c>
      <c r="G554">
        <f>AND(B554&gt;=50,B554&lt;=10000)</f>
        <v/>
      </c>
      <c r="H554">
        <f>OR(C554="NAS",C554="NYS",C554="ASE")</f>
        <v/>
      </c>
      <c r="I554">
        <f>F554&gt;=500000</f>
        <v/>
      </c>
      <c r="J554">
        <f>E554&gt;=2</f>
        <v/>
      </c>
      <c r="K554">
        <f>AND(G554,H554,I554,J554)</f>
        <v/>
      </c>
    </row>
    <row r="555">
      <c r="B555" s="5">
        <f>BDP(A555&amp;" US Equity","CUR_MKT_CAP")</f>
        <v/>
      </c>
      <c r="C555">
        <f>BDP(A555&amp;" US Equity","EXCH_CODE")</f>
        <v/>
      </c>
      <c r="D555" s="5">
        <f>BDP(A555&amp;" US Equity","VOLUME_AVG_20D")</f>
        <v/>
      </c>
      <c r="E555" s="6">
        <f>BDP(A555&amp;" US Equity","PX_LAST")</f>
        <v/>
      </c>
      <c r="F555" s="5">
        <f>D555*E555</f>
        <v/>
      </c>
      <c r="G555">
        <f>AND(B555&gt;=50,B555&lt;=10000)</f>
        <v/>
      </c>
      <c r="H555">
        <f>OR(C555="NAS",C555="NYS",C555="ASE")</f>
        <v/>
      </c>
      <c r="I555">
        <f>F555&gt;=500000</f>
        <v/>
      </c>
      <c r="J555">
        <f>E555&gt;=2</f>
        <v/>
      </c>
      <c r="K555">
        <f>AND(G555,H555,I555,J555)</f>
        <v/>
      </c>
    </row>
    <row r="556">
      <c r="B556" s="5">
        <f>BDP(A556&amp;" US Equity","CUR_MKT_CAP")</f>
        <v/>
      </c>
      <c r="C556">
        <f>BDP(A556&amp;" US Equity","EXCH_CODE")</f>
        <v/>
      </c>
      <c r="D556" s="5">
        <f>BDP(A556&amp;" US Equity","VOLUME_AVG_20D")</f>
        <v/>
      </c>
      <c r="E556" s="6">
        <f>BDP(A556&amp;" US Equity","PX_LAST")</f>
        <v/>
      </c>
      <c r="F556" s="5">
        <f>D556*E556</f>
        <v/>
      </c>
      <c r="G556">
        <f>AND(B556&gt;=50,B556&lt;=10000)</f>
        <v/>
      </c>
      <c r="H556">
        <f>OR(C556="NAS",C556="NYS",C556="ASE")</f>
        <v/>
      </c>
      <c r="I556">
        <f>F556&gt;=500000</f>
        <v/>
      </c>
      <c r="J556">
        <f>E556&gt;=2</f>
        <v/>
      </c>
      <c r="K556">
        <f>AND(G556,H556,I556,J556)</f>
        <v/>
      </c>
    </row>
    <row r="557">
      <c r="B557" s="5">
        <f>BDP(A557&amp;" US Equity","CUR_MKT_CAP")</f>
        <v/>
      </c>
      <c r="C557">
        <f>BDP(A557&amp;" US Equity","EXCH_CODE")</f>
        <v/>
      </c>
      <c r="D557" s="5">
        <f>BDP(A557&amp;" US Equity","VOLUME_AVG_20D")</f>
        <v/>
      </c>
      <c r="E557" s="6">
        <f>BDP(A557&amp;" US Equity","PX_LAST")</f>
        <v/>
      </c>
      <c r="F557" s="5">
        <f>D557*E557</f>
        <v/>
      </c>
      <c r="G557">
        <f>AND(B557&gt;=50,B557&lt;=10000)</f>
        <v/>
      </c>
      <c r="H557">
        <f>OR(C557="NAS",C557="NYS",C557="ASE")</f>
        <v/>
      </c>
      <c r="I557">
        <f>F557&gt;=500000</f>
        <v/>
      </c>
      <c r="J557">
        <f>E557&gt;=2</f>
        <v/>
      </c>
      <c r="K557">
        <f>AND(G557,H557,I557,J557)</f>
        <v/>
      </c>
    </row>
    <row r="558">
      <c r="B558" s="5">
        <f>BDP(A558&amp;" US Equity","CUR_MKT_CAP")</f>
        <v/>
      </c>
      <c r="C558">
        <f>BDP(A558&amp;" US Equity","EXCH_CODE")</f>
        <v/>
      </c>
      <c r="D558" s="5">
        <f>BDP(A558&amp;" US Equity","VOLUME_AVG_20D")</f>
        <v/>
      </c>
      <c r="E558" s="6">
        <f>BDP(A558&amp;" US Equity","PX_LAST")</f>
        <v/>
      </c>
      <c r="F558" s="5">
        <f>D558*E558</f>
        <v/>
      </c>
      <c r="G558">
        <f>AND(B558&gt;=50,B558&lt;=10000)</f>
        <v/>
      </c>
      <c r="H558">
        <f>OR(C558="NAS",C558="NYS",C558="ASE")</f>
        <v/>
      </c>
      <c r="I558">
        <f>F558&gt;=500000</f>
        <v/>
      </c>
      <c r="J558">
        <f>E558&gt;=2</f>
        <v/>
      </c>
      <c r="K558">
        <f>AND(G558,H558,I558,J558)</f>
        <v/>
      </c>
    </row>
    <row r="559">
      <c r="B559" s="5">
        <f>BDP(A559&amp;" US Equity","CUR_MKT_CAP")</f>
        <v/>
      </c>
      <c r="C559">
        <f>BDP(A559&amp;" US Equity","EXCH_CODE")</f>
        <v/>
      </c>
      <c r="D559" s="5">
        <f>BDP(A559&amp;" US Equity","VOLUME_AVG_20D")</f>
        <v/>
      </c>
      <c r="E559" s="6">
        <f>BDP(A559&amp;" US Equity","PX_LAST")</f>
        <v/>
      </c>
      <c r="F559" s="5">
        <f>D559*E559</f>
        <v/>
      </c>
      <c r="G559">
        <f>AND(B559&gt;=50,B559&lt;=10000)</f>
        <v/>
      </c>
      <c r="H559">
        <f>OR(C559="NAS",C559="NYS",C559="ASE")</f>
        <v/>
      </c>
      <c r="I559">
        <f>F559&gt;=500000</f>
        <v/>
      </c>
      <c r="J559">
        <f>E559&gt;=2</f>
        <v/>
      </c>
      <c r="K559">
        <f>AND(G559,H559,I559,J559)</f>
        <v/>
      </c>
    </row>
    <row r="560">
      <c r="B560" s="5">
        <f>BDP(A560&amp;" US Equity","CUR_MKT_CAP")</f>
        <v/>
      </c>
      <c r="C560">
        <f>BDP(A560&amp;" US Equity","EXCH_CODE")</f>
        <v/>
      </c>
      <c r="D560" s="5">
        <f>BDP(A560&amp;" US Equity","VOLUME_AVG_20D")</f>
        <v/>
      </c>
      <c r="E560" s="6">
        <f>BDP(A560&amp;" US Equity","PX_LAST")</f>
        <v/>
      </c>
      <c r="F560" s="5">
        <f>D560*E560</f>
        <v/>
      </c>
      <c r="G560">
        <f>AND(B560&gt;=50,B560&lt;=10000)</f>
        <v/>
      </c>
      <c r="H560">
        <f>OR(C560="NAS",C560="NYS",C560="ASE")</f>
        <v/>
      </c>
      <c r="I560">
        <f>F560&gt;=500000</f>
        <v/>
      </c>
      <c r="J560">
        <f>E560&gt;=2</f>
        <v/>
      </c>
      <c r="K560">
        <f>AND(G560,H560,I560,J560)</f>
        <v/>
      </c>
    </row>
    <row r="561">
      <c r="B561" s="5">
        <f>BDP(A561&amp;" US Equity","CUR_MKT_CAP")</f>
        <v/>
      </c>
      <c r="C561">
        <f>BDP(A561&amp;" US Equity","EXCH_CODE")</f>
        <v/>
      </c>
      <c r="D561" s="5">
        <f>BDP(A561&amp;" US Equity","VOLUME_AVG_20D")</f>
        <v/>
      </c>
      <c r="E561" s="6">
        <f>BDP(A561&amp;" US Equity","PX_LAST")</f>
        <v/>
      </c>
      <c r="F561" s="5">
        <f>D561*E561</f>
        <v/>
      </c>
      <c r="G561">
        <f>AND(B561&gt;=50,B561&lt;=10000)</f>
        <v/>
      </c>
      <c r="H561">
        <f>OR(C561="NAS",C561="NYS",C561="ASE")</f>
        <v/>
      </c>
      <c r="I561">
        <f>F561&gt;=500000</f>
        <v/>
      </c>
      <c r="J561">
        <f>E561&gt;=2</f>
        <v/>
      </c>
      <c r="K561">
        <f>AND(G561,H561,I561,J561)</f>
        <v/>
      </c>
    </row>
    <row r="562">
      <c r="B562" s="5">
        <f>BDP(A562&amp;" US Equity","CUR_MKT_CAP")</f>
        <v/>
      </c>
      <c r="C562">
        <f>BDP(A562&amp;" US Equity","EXCH_CODE")</f>
        <v/>
      </c>
      <c r="D562" s="5">
        <f>BDP(A562&amp;" US Equity","VOLUME_AVG_20D")</f>
        <v/>
      </c>
      <c r="E562" s="6">
        <f>BDP(A562&amp;" US Equity","PX_LAST")</f>
        <v/>
      </c>
      <c r="F562" s="5">
        <f>D562*E562</f>
        <v/>
      </c>
      <c r="G562">
        <f>AND(B562&gt;=50,B562&lt;=10000)</f>
        <v/>
      </c>
      <c r="H562">
        <f>OR(C562="NAS",C562="NYS",C562="ASE")</f>
        <v/>
      </c>
      <c r="I562">
        <f>F562&gt;=500000</f>
        <v/>
      </c>
      <c r="J562">
        <f>E562&gt;=2</f>
        <v/>
      </c>
      <c r="K562">
        <f>AND(G562,H562,I562,J562)</f>
        <v/>
      </c>
    </row>
    <row r="563">
      <c r="B563" s="5">
        <f>BDP(A563&amp;" US Equity","CUR_MKT_CAP")</f>
        <v/>
      </c>
      <c r="C563">
        <f>BDP(A563&amp;" US Equity","EXCH_CODE")</f>
        <v/>
      </c>
      <c r="D563" s="5">
        <f>BDP(A563&amp;" US Equity","VOLUME_AVG_20D")</f>
        <v/>
      </c>
      <c r="E563" s="6">
        <f>BDP(A563&amp;" US Equity","PX_LAST")</f>
        <v/>
      </c>
      <c r="F563" s="5">
        <f>D563*E563</f>
        <v/>
      </c>
      <c r="G563">
        <f>AND(B563&gt;=50,B563&lt;=10000)</f>
        <v/>
      </c>
      <c r="H563">
        <f>OR(C563="NAS",C563="NYS",C563="ASE")</f>
        <v/>
      </c>
      <c r="I563">
        <f>F563&gt;=500000</f>
        <v/>
      </c>
      <c r="J563">
        <f>E563&gt;=2</f>
        <v/>
      </c>
      <c r="K563">
        <f>AND(G563,H563,I563,J563)</f>
        <v/>
      </c>
    </row>
    <row r="564">
      <c r="B564" s="5">
        <f>BDP(A564&amp;" US Equity","CUR_MKT_CAP")</f>
        <v/>
      </c>
      <c r="C564">
        <f>BDP(A564&amp;" US Equity","EXCH_CODE")</f>
        <v/>
      </c>
      <c r="D564" s="5">
        <f>BDP(A564&amp;" US Equity","VOLUME_AVG_20D")</f>
        <v/>
      </c>
      <c r="E564" s="6">
        <f>BDP(A564&amp;" US Equity","PX_LAST")</f>
        <v/>
      </c>
      <c r="F564" s="5">
        <f>D564*E564</f>
        <v/>
      </c>
      <c r="G564">
        <f>AND(B564&gt;=50,B564&lt;=10000)</f>
        <v/>
      </c>
      <c r="H564">
        <f>OR(C564="NAS",C564="NYS",C564="ASE")</f>
        <v/>
      </c>
      <c r="I564">
        <f>F564&gt;=500000</f>
        <v/>
      </c>
      <c r="J564">
        <f>E564&gt;=2</f>
        <v/>
      </c>
      <c r="K564">
        <f>AND(G564,H564,I564,J564)</f>
        <v/>
      </c>
    </row>
    <row r="565">
      <c r="B565" s="5">
        <f>BDP(A565&amp;" US Equity","CUR_MKT_CAP")</f>
        <v/>
      </c>
      <c r="C565">
        <f>BDP(A565&amp;" US Equity","EXCH_CODE")</f>
        <v/>
      </c>
      <c r="D565" s="5">
        <f>BDP(A565&amp;" US Equity","VOLUME_AVG_20D")</f>
        <v/>
      </c>
      <c r="E565" s="6">
        <f>BDP(A565&amp;" US Equity","PX_LAST")</f>
        <v/>
      </c>
      <c r="F565" s="5">
        <f>D565*E565</f>
        <v/>
      </c>
      <c r="G565">
        <f>AND(B565&gt;=50,B565&lt;=10000)</f>
        <v/>
      </c>
      <c r="H565">
        <f>OR(C565="NAS",C565="NYS",C565="ASE")</f>
        <v/>
      </c>
      <c r="I565">
        <f>F565&gt;=500000</f>
        <v/>
      </c>
      <c r="J565">
        <f>E565&gt;=2</f>
        <v/>
      </c>
      <c r="K565">
        <f>AND(G565,H565,I565,J565)</f>
        <v/>
      </c>
    </row>
    <row r="566">
      <c r="B566" s="5">
        <f>BDP(A566&amp;" US Equity","CUR_MKT_CAP")</f>
        <v/>
      </c>
      <c r="C566">
        <f>BDP(A566&amp;" US Equity","EXCH_CODE")</f>
        <v/>
      </c>
      <c r="D566" s="5">
        <f>BDP(A566&amp;" US Equity","VOLUME_AVG_20D")</f>
        <v/>
      </c>
      <c r="E566" s="6">
        <f>BDP(A566&amp;" US Equity","PX_LAST")</f>
        <v/>
      </c>
      <c r="F566" s="5">
        <f>D566*E566</f>
        <v/>
      </c>
      <c r="G566">
        <f>AND(B566&gt;=50,B566&lt;=10000)</f>
        <v/>
      </c>
      <c r="H566">
        <f>OR(C566="NAS",C566="NYS",C566="ASE")</f>
        <v/>
      </c>
      <c r="I566">
        <f>F566&gt;=500000</f>
        <v/>
      </c>
      <c r="J566">
        <f>E566&gt;=2</f>
        <v/>
      </c>
      <c r="K566">
        <f>AND(G566,H566,I566,J566)</f>
        <v/>
      </c>
    </row>
    <row r="567">
      <c r="B567" s="5">
        <f>BDP(A567&amp;" US Equity","CUR_MKT_CAP")</f>
        <v/>
      </c>
      <c r="C567">
        <f>BDP(A567&amp;" US Equity","EXCH_CODE")</f>
        <v/>
      </c>
      <c r="D567" s="5">
        <f>BDP(A567&amp;" US Equity","VOLUME_AVG_20D")</f>
        <v/>
      </c>
      <c r="E567" s="6">
        <f>BDP(A567&amp;" US Equity","PX_LAST")</f>
        <v/>
      </c>
      <c r="F567" s="5">
        <f>D567*E567</f>
        <v/>
      </c>
      <c r="G567">
        <f>AND(B567&gt;=50,B567&lt;=10000)</f>
        <v/>
      </c>
      <c r="H567">
        <f>OR(C567="NAS",C567="NYS",C567="ASE")</f>
        <v/>
      </c>
      <c r="I567">
        <f>F567&gt;=500000</f>
        <v/>
      </c>
      <c r="J567">
        <f>E567&gt;=2</f>
        <v/>
      </c>
      <c r="K567">
        <f>AND(G567,H567,I567,J567)</f>
        <v/>
      </c>
    </row>
    <row r="568">
      <c r="B568" s="5">
        <f>BDP(A568&amp;" US Equity","CUR_MKT_CAP")</f>
        <v/>
      </c>
      <c r="C568">
        <f>BDP(A568&amp;" US Equity","EXCH_CODE")</f>
        <v/>
      </c>
      <c r="D568" s="5">
        <f>BDP(A568&amp;" US Equity","VOLUME_AVG_20D")</f>
        <v/>
      </c>
      <c r="E568" s="6">
        <f>BDP(A568&amp;" US Equity","PX_LAST")</f>
        <v/>
      </c>
      <c r="F568" s="5">
        <f>D568*E568</f>
        <v/>
      </c>
      <c r="G568">
        <f>AND(B568&gt;=50,B568&lt;=10000)</f>
        <v/>
      </c>
      <c r="H568">
        <f>OR(C568="NAS",C568="NYS",C568="ASE")</f>
        <v/>
      </c>
      <c r="I568">
        <f>F568&gt;=500000</f>
        <v/>
      </c>
      <c r="J568">
        <f>E568&gt;=2</f>
        <v/>
      </c>
      <c r="K568">
        <f>AND(G568,H568,I568,J568)</f>
        <v/>
      </c>
    </row>
    <row r="569">
      <c r="B569" s="5">
        <f>BDP(A569&amp;" US Equity","CUR_MKT_CAP")</f>
        <v/>
      </c>
      <c r="C569">
        <f>BDP(A569&amp;" US Equity","EXCH_CODE")</f>
        <v/>
      </c>
      <c r="D569" s="5">
        <f>BDP(A569&amp;" US Equity","VOLUME_AVG_20D")</f>
        <v/>
      </c>
      <c r="E569" s="6">
        <f>BDP(A569&amp;" US Equity","PX_LAST")</f>
        <v/>
      </c>
      <c r="F569" s="5">
        <f>D569*E569</f>
        <v/>
      </c>
      <c r="G569">
        <f>AND(B569&gt;=50,B569&lt;=10000)</f>
        <v/>
      </c>
      <c r="H569">
        <f>OR(C569="NAS",C569="NYS",C569="ASE")</f>
        <v/>
      </c>
      <c r="I569">
        <f>F569&gt;=500000</f>
        <v/>
      </c>
      <c r="J569">
        <f>E569&gt;=2</f>
        <v/>
      </c>
      <c r="K569">
        <f>AND(G569,H569,I569,J569)</f>
        <v/>
      </c>
    </row>
    <row r="570">
      <c r="B570" s="5">
        <f>BDP(A570&amp;" US Equity","CUR_MKT_CAP")</f>
        <v/>
      </c>
      <c r="C570">
        <f>BDP(A570&amp;" US Equity","EXCH_CODE")</f>
        <v/>
      </c>
      <c r="D570" s="5">
        <f>BDP(A570&amp;" US Equity","VOLUME_AVG_20D")</f>
        <v/>
      </c>
      <c r="E570" s="6">
        <f>BDP(A570&amp;" US Equity","PX_LAST")</f>
        <v/>
      </c>
      <c r="F570" s="5">
        <f>D570*E570</f>
        <v/>
      </c>
      <c r="G570">
        <f>AND(B570&gt;=50,B570&lt;=10000)</f>
        <v/>
      </c>
      <c r="H570">
        <f>OR(C570="NAS",C570="NYS",C570="ASE")</f>
        <v/>
      </c>
      <c r="I570">
        <f>F570&gt;=500000</f>
        <v/>
      </c>
      <c r="J570">
        <f>E570&gt;=2</f>
        <v/>
      </c>
      <c r="K570">
        <f>AND(G570,H570,I570,J570)</f>
        <v/>
      </c>
    </row>
    <row r="571">
      <c r="B571" s="5">
        <f>BDP(A571&amp;" US Equity","CUR_MKT_CAP")</f>
        <v/>
      </c>
      <c r="C571">
        <f>BDP(A571&amp;" US Equity","EXCH_CODE")</f>
        <v/>
      </c>
      <c r="D571" s="5">
        <f>BDP(A571&amp;" US Equity","VOLUME_AVG_20D")</f>
        <v/>
      </c>
      <c r="E571" s="6">
        <f>BDP(A571&amp;" US Equity","PX_LAST")</f>
        <v/>
      </c>
      <c r="F571" s="5">
        <f>D571*E571</f>
        <v/>
      </c>
      <c r="G571">
        <f>AND(B571&gt;=50,B571&lt;=10000)</f>
        <v/>
      </c>
      <c r="H571">
        <f>OR(C571="NAS",C571="NYS",C571="ASE")</f>
        <v/>
      </c>
      <c r="I571">
        <f>F571&gt;=500000</f>
        <v/>
      </c>
      <c r="J571">
        <f>E571&gt;=2</f>
        <v/>
      </c>
      <c r="K571">
        <f>AND(G571,H571,I571,J571)</f>
        <v/>
      </c>
    </row>
    <row r="572">
      <c r="B572" s="5">
        <f>BDP(A572&amp;" US Equity","CUR_MKT_CAP")</f>
        <v/>
      </c>
      <c r="C572">
        <f>BDP(A572&amp;" US Equity","EXCH_CODE")</f>
        <v/>
      </c>
      <c r="D572" s="5">
        <f>BDP(A572&amp;" US Equity","VOLUME_AVG_20D")</f>
        <v/>
      </c>
      <c r="E572" s="6">
        <f>BDP(A572&amp;" US Equity","PX_LAST")</f>
        <v/>
      </c>
      <c r="F572" s="5">
        <f>D572*E572</f>
        <v/>
      </c>
      <c r="G572">
        <f>AND(B572&gt;=50,B572&lt;=10000)</f>
        <v/>
      </c>
      <c r="H572">
        <f>OR(C572="NAS",C572="NYS",C572="ASE")</f>
        <v/>
      </c>
      <c r="I572">
        <f>F572&gt;=500000</f>
        <v/>
      </c>
      <c r="J572">
        <f>E572&gt;=2</f>
        <v/>
      </c>
      <c r="K572">
        <f>AND(G572,H572,I572,J572)</f>
        <v/>
      </c>
    </row>
    <row r="573">
      <c r="B573" s="5">
        <f>BDP(A573&amp;" US Equity","CUR_MKT_CAP")</f>
        <v/>
      </c>
      <c r="C573">
        <f>BDP(A573&amp;" US Equity","EXCH_CODE")</f>
        <v/>
      </c>
      <c r="D573" s="5">
        <f>BDP(A573&amp;" US Equity","VOLUME_AVG_20D")</f>
        <v/>
      </c>
      <c r="E573" s="6">
        <f>BDP(A573&amp;" US Equity","PX_LAST")</f>
        <v/>
      </c>
      <c r="F573" s="5">
        <f>D573*E573</f>
        <v/>
      </c>
      <c r="G573">
        <f>AND(B573&gt;=50,B573&lt;=10000)</f>
        <v/>
      </c>
      <c r="H573">
        <f>OR(C573="NAS",C573="NYS",C573="ASE")</f>
        <v/>
      </c>
      <c r="I573">
        <f>F573&gt;=500000</f>
        <v/>
      </c>
      <c r="J573">
        <f>E573&gt;=2</f>
        <v/>
      </c>
      <c r="K573">
        <f>AND(G573,H573,I573,J573)</f>
        <v/>
      </c>
    </row>
    <row r="574">
      <c r="B574" s="5">
        <f>BDP(A574&amp;" US Equity","CUR_MKT_CAP")</f>
        <v/>
      </c>
      <c r="C574">
        <f>BDP(A574&amp;" US Equity","EXCH_CODE")</f>
        <v/>
      </c>
      <c r="D574" s="5">
        <f>BDP(A574&amp;" US Equity","VOLUME_AVG_20D")</f>
        <v/>
      </c>
      <c r="E574" s="6">
        <f>BDP(A574&amp;" US Equity","PX_LAST")</f>
        <v/>
      </c>
      <c r="F574" s="5">
        <f>D574*E574</f>
        <v/>
      </c>
      <c r="G574">
        <f>AND(B574&gt;=50,B574&lt;=10000)</f>
        <v/>
      </c>
      <c r="H574">
        <f>OR(C574="NAS",C574="NYS",C574="ASE")</f>
        <v/>
      </c>
      <c r="I574">
        <f>F574&gt;=500000</f>
        <v/>
      </c>
      <c r="J574">
        <f>E574&gt;=2</f>
        <v/>
      </c>
      <c r="K574">
        <f>AND(G574,H574,I574,J574)</f>
        <v/>
      </c>
    </row>
    <row r="575">
      <c r="B575" s="5">
        <f>BDP(A575&amp;" US Equity","CUR_MKT_CAP")</f>
        <v/>
      </c>
      <c r="C575">
        <f>BDP(A575&amp;" US Equity","EXCH_CODE")</f>
        <v/>
      </c>
      <c r="D575" s="5">
        <f>BDP(A575&amp;" US Equity","VOLUME_AVG_20D")</f>
        <v/>
      </c>
      <c r="E575" s="6">
        <f>BDP(A575&amp;" US Equity","PX_LAST")</f>
        <v/>
      </c>
      <c r="F575" s="5">
        <f>D575*E575</f>
        <v/>
      </c>
      <c r="G575">
        <f>AND(B575&gt;=50,B575&lt;=10000)</f>
        <v/>
      </c>
      <c r="H575">
        <f>OR(C575="NAS",C575="NYS",C575="ASE")</f>
        <v/>
      </c>
      <c r="I575">
        <f>F575&gt;=500000</f>
        <v/>
      </c>
      <c r="J575">
        <f>E575&gt;=2</f>
        <v/>
      </c>
      <c r="K575">
        <f>AND(G575,H575,I575,J575)</f>
        <v/>
      </c>
    </row>
    <row r="576">
      <c r="B576" s="5">
        <f>BDP(A576&amp;" US Equity","CUR_MKT_CAP")</f>
        <v/>
      </c>
      <c r="C576">
        <f>BDP(A576&amp;" US Equity","EXCH_CODE")</f>
        <v/>
      </c>
      <c r="D576" s="5">
        <f>BDP(A576&amp;" US Equity","VOLUME_AVG_20D")</f>
        <v/>
      </c>
      <c r="E576" s="6">
        <f>BDP(A576&amp;" US Equity","PX_LAST")</f>
        <v/>
      </c>
      <c r="F576" s="5">
        <f>D576*E576</f>
        <v/>
      </c>
      <c r="G576">
        <f>AND(B576&gt;=50,B576&lt;=10000)</f>
        <v/>
      </c>
      <c r="H576">
        <f>OR(C576="NAS",C576="NYS",C576="ASE")</f>
        <v/>
      </c>
      <c r="I576">
        <f>F576&gt;=500000</f>
        <v/>
      </c>
      <c r="J576">
        <f>E576&gt;=2</f>
        <v/>
      </c>
      <c r="K576">
        <f>AND(G576,H576,I576,J576)</f>
        <v/>
      </c>
    </row>
    <row r="577">
      <c r="B577" s="5">
        <f>BDP(A577&amp;" US Equity","CUR_MKT_CAP")</f>
        <v/>
      </c>
      <c r="C577">
        <f>BDP(A577&amp;" US Equity","EXCH_CODE")</f>
        <v/>
      </c>
      <c r="D577" s="5">
        <f>BDP(A577&amp;" US Equity","VOLUME_AVG_20D")</f>
        <v/>
      </c>
      <c r="E577" s="6">
        <f>BDP(A577&amp;" US Equity","PX_LAST")</f>
        <v/>
      </c>
      <c r="F577" s="5">
        <f>D577*E577</f>
        <v/>
      </c>
      <c r="G577">
        <f>AND(B577&gt;=50,B577&lt;=10000)</f>
        <v/>
      </c>
      <c r="H577">
        <f>OR(C577="NAS",C577="NYS",C577="ASE")</f>
        <v/>
      </c>
      <c r="I577">
        <f>F577&gt;=500000</f>
        <v/>
      </c>
      <c r="J577">
        <f>E577&gt;=2</f>
        <v/>
      </c>
      <c r="K577">
        <f>AND(G577,H577,I577,J577)</f>
        <v/>
      </c>
    </row>
    <row r="578">
      <c r="B578" s="5">
        <f>BDP(A578&amp;" US Equity","CUR_MKT_CAP")</f>
        <v/>
      </c>
      <c r="C578">
        <f>BDP(A578&amp;" US Equity","EXCH_CODE")</f>
        <v/>
      </c>
      <c r="D578" s="5">
        <f>BDP(A578&amp;" US Equity","VOLUME_AVG_20D")</f>
        <v/>
      </c>
      <c r="E578" s="6">
        <f>BDP(A578&amp;" US Equity","PX_LAST")</f>
        <v/>
      </c>
      <c r="F578" s="5">
        <f>D578*E578</f>
        <v/>
      </c>
      <c r="G578">
        <f>AND(B578&gt;=50,B578&lt;=10000)</f>
        <v/>
      </c>
      <c r="H578">
        <f>OR(C578="NAS",C578="NYS",C578="ASE")</f>
        <v/>
      </c>
      <c r="I578">
        <f>F578&gt;=500000</f>
        <v/>
      </c>
      <c r="J578">
        <f>E578&gt;=2</f>
        <v/>
      </c>
      <c r="K578">
        <f>AND(G578,H578,I578,J578)</f>
        <v/>
      </c>
    </row>
    <row r="579">
      <c r="B579" s="5">
        <f>BDP(A579&amp;" US Equity","CUR_MKT_CAP")</f>
        <v/>
      </c>
      <c r="C579">
        <f>BDP(A579&amp;" US Equity","EXCH_CODE")</f>
        <v/>
      </c>
      <c r="D579" s="5">
        <f>BDP(A579&amp;" US Equity","VOLUME_AVG_20D")</f>
        <v/>
      </c>
      <c r="E579" s="6">
        <f>BDP(A579&amp;" US Equity","PX_LAST")</f>
        <v/>
      </c>
      <c r="F579" s="5">
        <f>D579*E579</f>
        <v/>
      </c>
      <c r="G579">
        <f>AND(B579&gt;=50,B579&lt;=10000)</f>
        <v/>
      </c>
      <c r="H579">
        <f>OR(C579="NAS",C579="NYS",C579="ASE")</f>
        <v/>
      </c>
      <c r="I579">
        <f>F579&gt;=500000</f>
        <v/>
      </c>
      <c r="J579">
        <f>E579&gt;=2</f>
        <v/>
      </c>
      <c r="K579">
        <f>AND(G579,H579,I579,J579)</f>
        <v/>
      </c>
    </row>
    <row r="580">
      <c r="B580" s="5">
        <f>BDP(A580&amp;" US Equity","CUR_MKT_CAP")</f>
        <v/>
      </c>
      <c r="C580">
        <f>BDP(A580&amp;" US Equity","EXCH_CODE")</f>
        <v/>
      </c>
      <c r="D580" s="5">
        <f>BDP(A580&amp;" US Equity","VOLUME_AVG_20D")</f>
        <v/>
      </c>
      <c r="E580" s="6">
        <f>BDP(A580&amp;" US Equity","PX_LAST")</f>
        <v/>
      </c>
      <c r="F580" s="5">
        <f>D580*E580</f>
        <v/>
      </c>
      <c r="G580">
        <f>AND(B580&gt;=50,B580&lt;=10000)</f>
        <v/>
      </c>
      <c r="H580">
        <f>OR(C580="NAS",C580="NYS",C580="ASE")</f>
        <v/>
      </c>
      <c r="I580">
        <f>F580&gt;=500000</f>
        <v/>
      </c>
      <c r="J580">
        <f>E580&gt;=2</f>
        <v/>
      </c>
      <c r="K580">
        <f>AND(G580,H580,I580,J580)</f>
        <v/>
      </c>
    </row>
    <row r="581">
      <c r="B581" s="5">
        <f>BDP(A581&amp;" US Equity","CUR_MKT_CAP")</f>
        <v/>
      </c>
      <c r="C581">
        <f>BDP(A581&amp;" US Equity","EXCH_CODE")</f>
        <v/>
      </c>
      <c r="D581" s="5">
        <f>BDP(A581&amp;" US Equity","VOLUME_AVG_20D")</f>
        <v/>
      </c>
      <c r="E581" s="6">
        <f>BDP(A581&amp;" US Equity","PX_LAST")</f>
        <v/>
      </c>
      <c r="F581" s="5">
        <f>D581*E581</f>
        <v/>
      </c>
      <c r="G581">
        <f>AND(B581&gt;=50,B581&lt;=10000)</f>
        <v/>
      </c>
      <c r="H581">
        <f>OR(C581="NAS",C581="NYS",C581="ASE")</f>
        <v/>
      </c>
      <c r="I581">
        <f>F581&gt;=500000</f>
        <v/>
      </c>
      <c r="J581">
        <f>E581&gt;=2</f>
        <v/>
      </c>
      <c r="K581">
        <f>AND(G581,H581,I581,J581)</f>
        <v/>
      </c>
    </row>
    <row r="582">
      <c r="B582" s="5">
        <f>BDP(A582&amp;" US Equity","CUR_MKT_CAP")</f>
        <v/>
      </c>
      <c r="C582">
        <f>BDP(A582&amp;" US Equity","EXCH_CODE")</f>
        <v/>
      </c>
      <c r="D582" s="5">
        <f>BDP(A582&amp;" US Equity","VOLUME_AVG_20D")</f>
        <v/>
      </c>
      <c r="E582" s="6">
        <f>BDP(A582&amp;" US Equity","PX_LAST")</f>
        <v/>
      </c>
      <c r="F582" s="5">
        <f>D582*E582</f>
        <v/>
      </c>
      <c r="G582">
        <f>AND(B582&gt;=50,B582&lt;=10000)</f>
        <v/>
      </c>
      <c r="H582">
        <f>OR(C582="NAS",C582="NYS",C582="ASE")</f>
        <v/>
      </c>
      <c r="I582">
        <f>F582&gt;=500000</f>
        <v/>
      </c>
      <c r="J582">
        <f>E582&gt;=2</f>
        <v/>
      </c>
      <c r="K582">
        <f>AND(G582,H582,I582,J582)</f>
        <v/>
      </c>
    </row>
    <row r="583">
      <c r="B583" s="5">
        <f>BDP(A583&amp;" US Equity","CUR_MKT_CAP")</f>
        <v/>
      </c>
      <c r="C583">
        <f>BDP(A583&amp;" US Equity","EXCH_CODE")</f>
        <v/>
      </c>
      <c r="D583" s="5">
        <f>BDP(A583&amp;" US Equity","VOLUME_AVG_20D")</f>
        <v/>
      </c>
      <c r="E583" s="6">
        <f>BDP(A583&amp;" US Equity","PX_LAST")</f>
        <v/>
      </c>
      <c r="F583" s="5">
        <f>D583*E583</f>
        <v/>
      </c>
      <c r="G583">
        <f>AND(B583&gt;=50,B583&lt;=10000)</f>
        <v/>
      </c>
      <c r="H583">
        <f>OR(C583="NAS",C583="NYS",C583="ASE")</f>
        <v/>
      </c>
      <c r="I583">
        <f>F583&gt;=500000</f>
        <v/>
      </c>
      <c r="J583">
        <f>E583&gt;=2</f>
        <v/>
      </c>
      <c r="K583">
        <f>AND(G583,H583,I583,J583)</f>
        <v/>
      </c>
    </row>
    <row r="584">
      <c r="B584" s="5">
        <f>BDP(A584&amp;" US Equity","CUR_MKT_CAP")</f>
        <v/>
      </c>
      <c r="C584">
        <f>BDP(A584&amp;" US Equity","EXCH_CODE")</f>
        <v/>
      </c>
      <c r="D584" s="5">
        <f>BDP(A584&amp;" US Equity","VOLUME_AVG_20D")</f>
        <v/>
      </c>
      <c r="E584" s="6">
        <f>BDP(A584&amp;" US Equity","PX_LAST")</f>
        <v/>
      </c>
      <c r="F584" s="5">
        <f>D584*E584</f>
        <v/>
      </c>
      <c r="G584">
        <f>AND(B584&gt;=50,B584&lt;=10000)</f>
        <v/>
      </c>
      <c r="H584">
        <f>OR(C584="NAS",C584="NYS",C584="ASE")</f>
        <v/>
      </c>
      <c r="I584">
        <f>F584&gt;=500000</f>
        <v/>
      </c>
      <c r="J584">
        <f>E584&gt;=2</f>
        <v/>
      </c>
      <c r="K584">
        <f>AND(G584,H584,I584,J584)</f>
        <v/>
      </c>
    </row>
    <row r="585">
      <c r="B585" s="5">
        <f>BDP(A585&amp;" US Equity","CUR_MKT_CAP")</f>
        <v/>
      </c>
      <c r="C585">
        <f>BDP(A585&amp;" US Equity","EXCH_CODE")</f>
        <v/>
      </c>
      <c r="D585" s="5">
        <f>BDP(A585&amp;" US Equity","VOLUME_AVG_20D")</f>
        <v/>
      </c>
      <c r="E585" s="6">
        <f>BDP(A585&amp;" US Equity","PX_LAST")</f>
        <v/>
      </c>
      <c r="F585" s="5">
        <f>D585*E585</f>
        <v/>
      </c>
      <c r="G585">
        <f>AND(B585&gt;=50,B585&lt;=10000)</f>
        <v/>
      </c>
      <c r="H585">
        <f>OR(C585="NAS",C585="NYS",C585="ASE")</f>
        <v/>
      </c>
      <c r="I585">
        <f>F585&gt;=500000</f>
        <v/>
      </c>
      <c r="J585">
        <f>E585&gt;=2</f>
        <v/>
      </c>
      <c r="K585">
        <f>AND(G585,H585,I585,J585)</f>
        <v/>
      </c>
    </row>
    <row r="586">
      <c r="B586" s="5">
        <f>BDP(A586&amp;" US Equity","CUR_MKT_CAP")</f>
        <v/>
      </c>
      <c r="C586">
        <f>BDP(A586&amp;" US Equity","EXCH_CODE")</f>
        <v/>
      </c>
      <c r="D586" s="5">
        <f>BDP(A586&amp;" US Equity","VOLUME_AVG_20D")</f>
        <v/>
      </c>
      <c r="E586" s="6">
        <f>BDP(A586&amp;" US Equity","PX_LAST")</f>
        <v/>
      </c>
      <c r="F586" s="5">
        <f>D586*E586</f>
        <v/>
      </c>
      <c r="G586">
        <f>AND(B586&gt;=50,B586&lt;=10000)</f>
        <v/>
      </c>
      <c r="H586">
        <f>OR(C586="NAS",C586="NYS",C586="ASE")</f>
        <v/>
      </c>
      <c r="I586">
        <f>F586&gt;=500000</f>
        <v/>
      </c>
      <c r="J586">
        <f>E586&gt;=2</f>
        <v/>
      </c>
      <c r="K586">
        <f>AND(G586,H586,I586,J586)</f>
        <v/>
      </c>
    </row>
    <row r="587">
      <c r="B587" s="5">
        <f>BDP(A587&amp;" US Equity","CUR_MKT_CAP")</f>
        <v/>
      </c>
      <c r="C587">
        <f>BDP(A587&amp;" US Equity","EXCH_CODE")</f>
        <v/>
      </c>
      <c r="D587" s="5">
        <f>BDP(A587&amp;" US Equity","VOLUME_AVG_20D")</f>
        <v/>
      </c>
      <c r="E587" s="6">
        <f>BDP(A587&amp;" US Equity","PX_LAST")</f>
        <v/>
      </c>
      <c r="F587" s="5">
        <f>D587*E587</f>
        <v/>
      </c>
      <c r="G587">
        <f>AND(B587&gt;=50,B587&lt;=10000)</f>
        <v/>
      </c>
      <c r="H587">
        <f>OR(C587="NAS",C587="NYS",C587="ASE")</f>
        <v/>
      </c>
      <c r="I587">
        <f>F587&gt;=500000</f>
        <v/>
      </c>
      <c r="J587">
        <f>E587&gt;=2</f>
        <v/>
      </c>
      <c r="K587">
        <f>AND(G587,H587,I587,J587)</f>
        <v/>
      </c>
    </row>
    <row r="588">
      <c r="B588" s="5">
        <f>BDP(A588&amp;" US Equity","CUR_MKT_CAP")</f>
        <v/>
      </c>
      <c r="C588">
        <f>BDP(A588&amp;" US Equity","EXCH_CODE")</f>
        <v/>
      </c>
      <c r="D588" s="5">
        <f>BDP(A588&amp;" US Equity","VOLUME_AVG_20D")</f>
        <v/>
      </c>
      <c r="E588" s="6">
        <f>BDP(A588&amp;" US Equity","PX_LAST")</f>
        <v/>
      </c>
      <c r="F588" s="5">
        <f>D588*E588</f>
        <v/>
      </c>
      <c r="G588">
        <f>AND(B588&gt;=50,B588&lt;=10000)</f>
        <v/>
      </c>
      <c r="H588">
        <f>OR(C588="NAS",C588="NYS",C588="ASE")</f>
        <v/>
      </c>
      <c r="I588">
        <f>F588&gt;=500000</f>
        <v/>
      </c>
      <c r="J588">
        <f>E588&gt;=2</f>
        <v/>
      </c>
      <c r="K588">
        <f>AND(G588,H588,I588,J588)</f>
        <v/>
      </c>
    </row>
    <row r="589">
      <c r="B589" s="5">
        <f>BDP(A589&amp;" US Equity","CUR_MKT_CAP")</f>
        <v/>
      </c>
      <c r="C589">
        <f>BDP(A589&amp;" US Equity","EXCH_CODE")</f>
        <v/>
      </c>
      <c r="D589" s="5">
        <f>BDP(A589&amp;" US Equity","VOLUME_AVG_20D")</f>
        <v/>
      </c>
      <c r="E589" s="6">
        <f>BDP(A589&amp;" US Equity","PX_LAST")</f>
        <v/>
      </c>
      <c r="F589" s="5">
        <f>D589*E589</f>
        <v/>
      </c>
      <c r="G589">
        <f>AND(B589&gt;=50,B589&lt;=10000)</f>
        <v/>
      </c>
      <c r="H589">
        <f>OR(C589="NAS",C589="NYS",C589="ASE")</f>
        <v/>
      </c>
      <c r="I589">
        <f>F589&gt;=500000</f>
        <v/>
      </c>
      <c r="J589">
        <f>E589&gt;=2</f>
        <v/>
      </c>
      <c r="K589">
        <f>AND(G589,H589,I589,J589)</f>
        <v/>
      </c>
    </row>
    <row r="590">
      <c r="B590" s="5">
        <f>BDP(A590&amp;" US Equity","CUR_MKT_CAP")</f>
        <v/>
      </c>
      <c r="C590">
        <f>BDP(A590&amp;" US Equity","EXCH_CODE")</f>
        <v/>
      </c>
      <c r="D590" s="5">
        <f>BDP(A590&amp;" US Equity","VOLUME_AVG_20D")</f>
        <v/>
      </c>
      <c r="E590" s="6">
        <f>BDP(A590&amp;" US Equity","PX_LAST")</f>
        <v/>
      </c>
      <c r="F590" s="5">
        <f>D590*E590</f>
        <v/>
      </c>
      <c r="G590">
        <f>AND(B590&gt;=50,B590&lt;=10000)</f>
        <v/>
      </c>
      <c r="H590">
        <f>OR(C590="NAS",C590="NYS",C590="ASE")</f>
        <v/>
      </c>
      <c r="I590">
        <f>F590&gt;=500000</f>
        <v/>
      </c>
      <c r="J590">
        <f>E590&gt;=2</f>
        <v/>
      </c>
      <c r="K590">
        <f>AND(G590,H590,I590,J590)</f>
        <v/>
      </c>
    </row>
    <row r="591">
      <c r="B591" s="5">
        <f>BDP(A591&amp;" US Equity","CUR_MKT_CAP")</f>
        <v/>
      </c>
      <c r="C591">
        <f>BDP(A591&amp;" US Equity","EXCH_CODE")</f>
        <v/>
      </c>
      <c r="D591" s="5">
        <f>BDP(A591&amp;" US Equity","VOLUME_AVG_20D")</f>
        <v/>
      </c>
      <c r="E591" s="6">
        <f>BDP(A591&amp;" US Equity","PX_LAST")</f>
        <v/>
      </c>
      <c r="F591" s="5">
        <f>D591*E591</f>
        <v/>
      </c>
      <c r="G591">
        <f>AND(B591&gt;=50,B591&lt;=10000)</f>
        <v/>
      </c>
      <c r="H591">
        <f>OR(C591="NAS",C591="NYS",C591="ASE")</f>
        <v/>
      </c>
      <c r="I591">
        <f>F591&gt;=500000</f>
        <v/>
      </c>
      <c r="J591">
        <f>E591&gt;=2</f>
        <v/>
      </c>
      <c r="K591">
        <f>AND(G591,H591,I591,J591)</f>
        <v/>
      </c>
    </row>
    <row r="592">
      <c r="B592" s="5">
        <f>BDP(A592&amp;" US Equity","CUR_MKT_CAP")</f>
        <v/>
      </c>
      <c r="C592">
        <f>BDP(A592&amp;" US Equity","EXCH_CODE")</f>
        <v/>
      </c>
      <c r="D592" s="5">
        <f>BDP(A592&amp;" US Equity","VOLUME_AVG_20D")</f>
        <v/>
      </c>
      <c r="E592" s="6">
        <f>BDP(A592&amp;" US Equity","PX_LAST")</f>
        <v/>
      </c>
      <c r="F592" s="5">
        <f>D592*E592</f>
        <v/>
      </c>
      <c r="G592">
        <f>AND(B592&gt;=50,B592&lt;=10000)</f>
        <v/>
      </c>
      <c r="H592">
        <f>OR(C592="NAS",C592="NYS",C592="ASE")</f>
        <v/>
      </c>
      <c r="I592">
        <f>F592&gt;=500000</f>
        <v/>
      </c>
      <c r="J592">
        <f>E592&gt;=2</f>
        <v/>
      </c>
      <c r="K592">
        <f>AND(G592,H592,I592,J592)</f>
        <v/>
      </c>
    </row>
    <row r="593">
      <c r="B593" s="5">
        <f>BDP(A593&amp;" US Equity","CUR_MKT_CAP")</f>
        <v/>
      </c>
      <c r="C593">
        <f>BDP(A593&amp;" US Equity","EXCH_CODE")</f>
        <v/>
      </c>
      <c r="D593" s="5">
        <f>BDP(A593&amp;" US Equity","VOLUME_AVG_20D")</f>
        <v/>
      </c>
      <c r="E593" s="6">
        <f>BDP(A593&amp;" US Equity","PX_LAST")</f>
        <v/>
      </c>
      <c r="F593" s="5">
        <f>D593*E593</f>
        <v/>
      </c>
      <c r="G593">
        <f>AND(B593&gt;=50,B593&lt;=10000)</f>
        <v/>
      </c>
      <c r="H593">
        <f>OR(C593="NAS",C593="NYS",C593="ASE")</f>
        <v/>
      </c>
      <c r="I593">
        <f>F593&gt;=500000</f>
        <v/>
      </c>
      <c r="J593">
        <f>E593&gt;=2</f>
        <v/>
      </c>
      <c r="K593">
        <f>AND(G593,H593,I593,J593)</f>
        <v/>
      </c>
    </row>
    <row r="594">
      <c r="B594" s="5">
        <f>BDP(A594&amp;" US Equity","CUR_MKT_CAP")</f>
        <v/>
      </c>
      <c r="C594">
        <f>BDP(A594&amp;" US Equity","EXCH_CODE")</f>
        <v/>
      </c>
      <c r="D594" s="5">
        <f>BDP(A594&amp;" US Equity","VOLUME_AVG_20D")</f>
        <v/>
      </c>
      <c r="E594" s="6">
        <f>BDP(A594&amp;" US Equity","PX_LAST")</f>
        <v/>
      </c>
      <c r="F594" s="5">
        <f>D594*E594</f>
        <v/>
      </c>
      <c r="G594">
        <f>AND(B594&gt;=50,B594&lt;=10000)</f>
        <v/>
      </c>
      <c r="H594">
        <f>OR(C594="NAS",C594="NYS",C594="ASE")</f>
        <v/>
      </c>
      <c r="I594">
        <f>F594&gt;=500000</f>
        <v/>
      </c>
      <c r="J594">
        <f>E594&gt;=2</f>
        <v/>
      </c>
      <c r="K594">
        <f>AND(G594,H594,I594,J594)</f>
        <v/>
      </c>
    </row>
    <row r="595">
      <c r="B595" s="5">
        <f>BDP(A595&amp;" US Equity","CUR_MKT_CAP")</f>
        <v/>
      </c>
      <c r="C595">
        <f>BDP(A595&amp;" US Equity","EXCH_CODE")</f>
        <v/>
      </c>
      <c r="D595" s="5">
        <f>BDP(A595&amp;" US Equity","VOLUME_AVG_20D")</f>
        <v/>
      </c>
      <c r="E595" s="6">
        <f>BDP(A595&amp;" US Equity","PX_LAST")</f>
        <v/>
      </c>
      <c r="F595" s="5">
        <f>D595*E595</f>
        <v/>
      </c>
      <c r="G595">
        <f>AND(B595&gt;=50,B595&lt;=10000)</f>
        <v/>
      </c>
      <c r="H595">
        <f>OR(C595="NAS",C595="NYS",C595="ASE")</f>
        <v/>
      </c>
      <c r="I595">
        <f>F595&gt;=500000</f>
        <v/>
      </c>
      <c r="J595">
        <f>E595&gt;=2</f>
        <v/>
      </c>
      <c r="K595">
        <f>AND(G595,H595,I595,J595)</f>
        <v/>
      </c>
    </row>
    <row r="596">
      <c r="B596" s="5">
        <f>BDP(A596&amp;" US Equity","CUR_MKT_CAP")</f>
        <v/>
      </c>
      <c r="C596">
        <f>BDP(A596&amp;" US Equity","EXCH_CODE")</f>
        <v/>
      </c>
      <c r="D596" s="5">
        <f>BDP(A596&amp;" US Equity","VOLUME_AVG_20D")</f>
        <v/>
      </c>
      <c r="E596" s="6">
        <f>BDP(A596&amp;" US Equity","PX_LAST")</f>
        <v/>
      </c>
      <c r="F596" s="5">
        <f>D596*E596</f>
        <v/>
      </c>
      <c r="G596">
        <f>AND(B596&gt;=50,B596&lt;=10000)</f>
        <v/>
      </c>
      <c r="H596">
        <f>OR(C596="NAS",C596="NYS",C596="ASE")</f>
        <v/>
      </c>
      <c r="I596">
        <f>F596&gt;=500000</f>
        <v/>
      </c>
      <c r="J596">
        <f>E596&gt;=2</f>
        <v/>
      </c>
      <c r="K596">
        <f>AND(G596,H596,I596,J596)</f>
        <v/>
      </c>
    </row>
    <row r="597">
      <c r="B597" s="5">
        <f>BDP(A597&amp;" US Equity","CUR_MKT_CAP")</f>
        <v/>
      </c>
      <c r="C597">
        <f>BDP(A597&amp;" US Equity","EXCH_CODE")</f>
        <v/>
      </c>
      <c r="D597" s="5">
        <f>BDP(A597&amp;" US Equity","VOLUME_AVG_20D")</f>
        <v/>
      </c>
      <c r="E597" s="6">
        <f>BDP(A597&amp;" US Equity","PX_LAST")</f>
        <v/>
      </c>
      <c r="F597" s="5">
        <f>D597*E597</f>
        <v/>
      </c>
      <c r="G597">
        <f>AND(B597&gt;=50,B597&lt;=10000)</f>
        <v/>
      </c>
      <c r="H597">
        <f>OR(C597="NAS",C597="NYS",C597="ASE")</f>
        <v/>
      </c>
      <c r="I597">
        <f>F597&gt;=500000</f>
        <v/>
      </c>
      <c r="J597">
        <f>E597&gt;=2</f>
        <v/>
      </c>
      <c r="K597">
        <f>AND(G597,H597,I597,J597)</f>
        <v/>
      </c>
    </row>
    <row r="598">
      <c r="B598" s="5">
        <f>BDP(A598&amp;" US Equity","CUR_MKT_CAP")</f>
        <v/>
      </c>
      <c r="C598">
        <f>BDP(A598&amp;" US Equity","EXCH_CODE")</f>
        <v/>
      </c>
      <c r="D598" s="5">
        <f>BDP(A598&amp;" US Equity","VOLUME_AVG_20D")</f>
        <v/>
      </c>
      <c r="E598" s="6">
        <f>BDP(A598&amp;" US Equity","PX_LAST")</f>
        <v/>
      </c>
      <c r="F598" s="5">
        <f>D598*E598</f>
        <v/>
      </c>
      <c r="G598">
        <f>AND(B598&gt;=50,B598&lt;=10000)</f>
        <v/>
      </c>
      <c r="H598">
        <f>OR(C598="NAS",C598="NYS",C598="ASE")</f>
        <v/>
      </c>
      <c r="I598">
        <f>F598&gt;=500000</f>
        <v/>
      </c>
      <c r="J598">
        <f>E598&gt;=2</f>
        <v/>
      </c>
      <c r="K598">
        <f>AND(G598,H598,I598,J598)</f>
        <v/>
      </c>
    </row>
    <row r="599">
      <c r="B599" s="5">
        <f>BDP(A599&amp;" US Equity","CUR_MKT_CAP")</f>
        <v/>
      </c>
      <c r="C599">
        <f>BDP(A599&amp;" US Equity","EXCH_CODE")</f>
        <v/>
      </c>
      <c r="D599" s="5">
        <f>BDP(A599&amp;" US Equity","VOLUME_AVG_20D")</f>
        <v/>
      </c>
      <c r="E599" s="6">
        <f>BDP(A599&amp;" US Equity","PX_LAST")</f>
        <v/>
      </c>
      <c r="F599" s="5">
        <f>D599*E599</f>
        <v/>
      </c>
      <c r="G599">
        <f>AND(B599&gt;=50,B599&lt;=10000)</f>
        <v/>
      </c>
      <c r="H599">
        <f>OR(C599="NAS",C599="NYS",C599="ASE")</f>
        <v/>
      </c>
      <c r="I599">
        <f>F599&gt;=500000</f>
        <v/>
      </c>
      <c r="J599">
        <f>E599&gt;=2</f>
        <v/>
      </c>
      <c r="K599">
        <f>AND(G599,H599,I599,J599)</f>
        <v/>
      </c>
    </row>
    <row r="600">
      <c r="B600" s="5">
        <f>BDP(A600&amp;" US Equity","CUR_MKT_CAP")</f>
        <v/>
      </c>
      <c r="C600">
        <f>BDP(A600&amp;" US Equity","EXCH_CODE")</f>
        <v/>
      </c>
      <c r="D600" s="5">
        <f>BDP(A600&amp;" US Equity","VOLUME_AVG_20D")</f>
        <v/>
      </c>
      <c r="E600" s="6">
        <f>BDP(A600&amp;" US Equity","PX_LAST")</f>
        <v/>
      </c>
      <c r="F600" s="5">
        <f>D600*E600</f>
        <v/>
      </c>
      <c r="G600">
        <f>AND(B600&gt;=50,B600&lt;=10000)</f>
        <v/>
      </c>
      <c r="H600">
        <f>OR(C600="NAS",C600="NYS",C600="ASE")</f>
        <v/>
      </c>
      <c r="I600">
        <f>F600&gt;=500000</f>
        <v/>
      </c>
      <c r="J600">
        <f>E600&gt;=2</f>
        <v/>
      </c>
      <c r="K600">
        <f>AND(G600,H600,I600,J600)</f>
        <v/>
      </c>
    </row>
    <row r="601">
      <c r="B601" s="5">
        <f>BDP(A601&amp;" US Equity","CUR_MKT_CAP")</f>
        <v/>
      </c>
      <c r="C601">
        <f>BDP(A601&amp;" US Equity","EXCH_CODE")</f>
        <v/>
      </c>
      <c r="D601" s="5">
        <f>BDP(A601&amp;" US Equity","VOLUME_AVG_20D")</f>
        <v/>
      </c>
      <c r="E601" s="6">
        <f>BDP(A601&amp;" US Equity","PX_LAST")</f>
        <v/>
      </c>
      <c r="F601" s="5">
        <f>D601*E601</f>
        <v/>
      </c>
      <c r="G601">
        <f>AND(B601&gt;=50,B601&lt;=10000)</f>
        <v/>
      </c>
      <c r="H601">
        <f>OR(C601="NAS",C601="NYS",C601="ASE")</f>
        <v/>
      </c>
      <c r="I601">
        <f>F601&gt;=500000</f>
        <v/>
      </c>
      <c r="J601">
        <f>E601&gt;=2</f>
        <v/>
      </c>
      <c r="K601">
        <f>AND(G601,H601,I601,J601)</f>
        <v/>
      </c>
    </row>
    <row r="602">
      <c r="B602" s="5">
        <f>BDP(A602&amp;" US Equity","CUR_MKT_CAP")</f>
        <v/>
      </c>
      <c r="C602">
        <f>BDP(A602&amp;" US Equity","EXCH_CODE")</f>
        <v/>
      </c>
      <c r="D602" s="5">
        <f>BDP(A602&amp;" US Equity","VOLUME_AVG_20D")</f>
        <v/>
      </c>
      <c r="E602" s="6">
        <f>BDP(A602&amp;" US Equity","PX_LAST")</f>
        <v/>
      </c>
      <c r="F602" s="5">
        <f>D602*E602</f>
        <v/>
      </c>
      <c r="G602">
        <f>AND(B602&gt;=50,B602&lt;=10000)</f>
        <v/>
      </c>
      <c r="H602">
        <f>OR(C602="NAS",C602="NYS",C602="ASE")</f>
        <v/>
      </c>
      <c r="I602">
        <f>F602&gt;=500000</f>
        <v/>
      </c>
      <c r="J602">
        <f>E602&gt;=2</f>
        <v/>
      </c>
      <c r="K602">
        <f>AND(G602,H602,I602,J602)</f>
        <v/>
      </c>
    </row>
    <row r="603">
      <c r="B603" s="5">
        <f>BDP(A603&amp;" US Equity","CUR_MKT_CAP")</f>
        <v/>
      </c>
      <c r="C603">
        <f>BDP(A603&amp;" US Equity","EXCH_CODE")</f>
        <v/>
      </c>
      <c r="D603" s="5">
        <f>BDP(A603&amp;" US Equity","VOLUME_AVG_20D")</f>
        <v/>
      </c>
      <c r="E603" s="6">
        <f>BDP(A603&amp;" US Equity","PX_LAST")</f>
        <v/>
      </c>
      <c r="F603" s="5">
        <f>D603*E603</f>
        <v/>
      </c>
      <c r="G603">
        <f>AND(B603&gt;=50,B603&lt;=10000)</f>
        <v/>
      </c>
      <c r="H603">
        <f>OR(C603="NAS",C603="NYS",C603="ASE")</f>
        <v/>
      </c>
      <c r="I603">
        <f>F603&gt;=500000</f>
        <v/>
      </c>
      <c r="J603">
        <f>E603&gt;=2</f>
        <v/>
      </c>
      <c r="K603">
        <f>AND(G603,H603,I603,J603)</f>
        <v/>
      </c>
    </row>
    <row r="604">
      <c r="B604" s="5">
        <f>BDP(A604&amp;" US Equity","CUR_MKT_CAP")</f>
        <v/>
      </c>
      <c r="C604">
        <f>BDP(A604&amp;" US Equity","EXCH_CODE")</f>
        <v/>
      </c>
      <c r="D604" s="5">
        <f>BDP(A604&amp;" US Equity","VOLUME_AVG_20D")</f>
        <v/>
      </c>
      <c r="E604" s="6">
        <f>BDP(A604&amp;" US Equity","PX_LAST")</f>
        <v/>
      </c>
      <c r="F604" s="5">
        <f>D604*E604</f>
        <v/>
      </c>
      <c r="G604">
        <f>AND(B604&gt;=50,B604&lt;=10000)</f>
        <v/>
      </c>
      <c r="H604">
        <f>OR(C604="NAS",C604="NYS",C604="ASE")</f>
        <v/>
      </c>
      <c r="I604">
        <f>F604&gt;=500000</f>
        <v/>
      </c>
      <c r="J604">
        <f>E604&gt;=2</f>
        <v/>
      </c>
      <c r="K604">
        <f>AND(G604,H604,I604,J604)</f>
        <v/>
      </c>
    </row>
    <row r="605">
      <c r="B605" s="5">
        <f>BDP(A605&amp;" US Equity","CUR_MKT_CAP")</f>
        <v/>
      </c>
      <c r="C605">
        <f>BDP(A605&amp;" US Equity","EXCH_CODE")</f>
        <v/>
      </c>
      <c r="D605" s="5">
        <f>BDP(A605&amp;" US Equity","VOLUME_AVG_20D")</f>
        <v/>
      </c>
      <c r="E605" s="6">
        <f>BDP(A605&amp;" US Equity","PX_LAST")</f>
        <v/>
      </c>
      <c r="F605" s="5">
        <f>D605*E605</f>
        <v/>
      </c>
      <c r="G605">
        <f>AND(B605&gt;=50,B605&lt;=10000)</f>
        <v/>
      </c>
      <c r="H605">
        <f>OR(C605="NAS",C605="NYS",C605="ASE")</f>
        <v/>
      </c>
      <c r="I605">
        <f>F605&gt;=500000</f>
        <v/>
      </c>
      <c r="J605">
        <f>E605&gt;=2</f>
        <v/>
      </c>
      <c r="K605">
        <f>AND(G605,H605,I605,J605)</f>
        <v/>
      </c>
    </row>
    <row r="606">
      <c r="B606" s="5">
        <f>BDP(A606&amp;" US Equity","CUR_MKT_CAP")</f>
        <v/>
      </c>
      <c r="C606">
        <f>BDP(A606&amp;" US Equity","EXCH_CODE")</f>
        <v/>
      </c>
      <c r="D606" s="5">
        <f>BDP(A606&amp;" US Equity","VOLUME_AVG_20D")</f>
        <v/>
      </c>
      <c r="E606" s="6">
        <f>BDP(A606&amp;" US Equity","PX_LAST")</f>
        <v/>
      </c>
      <c r="F606" s="5">
        <f>D606*E606</f>
        <v/>
      </c>
      <c r="G606">
        <f>AND(B606&gt;=50,B606&lt;=10000)</f>
        <v/>
      </c>
      <c r="H606">
        <f>OR(C606="NAS",C606="NYS",C606="ASE")</f>
        <v/>
      </c>
      <c r="I606">
        <f>F606&gt;=500000</f>
        <v/>
      </c>
      <c r="J606">
        <f>E606&gt;=2</f>
        <v/>
      </c>
      <c r="K606">
        <f>AND(G606,H606,I606,J606)</f>
        <v/>
      </c>
    </row>
    <row r="607">
      <c r="B607" s="5">
        <f>BDP(A607&amp;" US Equity","CUR_MKT_CAP")</f>
        <v/>
      </c>
      <c r="C607">
        <f>BDP(A607&amp;" US Equity","EXCH_CODE")</f>
        <v/>
      </c>
      <c r="D607" s="5">
        <f>BDP(A607&amp;" US Equity","VOLUME_AVG_20D")</f>
        <v/>
      </c>
      <c r="E607" s="6">
        <f>BDP(A607&amp;" US Equity","PX_LAST")</f>
        <v/>
      </c>
      <c r="F607" s="5">
        <f>D607*E607</f>
        <v/>
      </c>
      <c r="G607">
        <f>AND(B607&gt;=50,B607&lt;=10000)</f>
        <v/>
      </c>
      <c r="H607">
        <f>OR(C607="NAS",C607="NYS",C607="ASE")</f>
        <v/>
      </c>
      <c r="I607">
        <f>F607&gt;=500000</f>
        <v/>
      </c>
      <c r="J607">
        <f>E607&gt;=2</f>
        <v/>
      </c>
      <c r="K607">
        <f>AND(G607,H607,I607,J607)</f>
        <v/>
      </c>
    </row>
    <row r="608">
      <c r="B608" s="5">
        <f>BDP(A608&amp;" US Equity","CUR_MKT_CAP")</f>
        <v/>
      </c>
      <c r="C608">
        <f>BDP(A608&amp;" US Equity","EXCH_CODE")</f>
        <v/>
      </c>
      <c r="D608" s="5">
        <f>BDP(A608&amp;" US Equity","VOLUME_AVG_20D")</f>
        <v/>
      </c>
      <c r="E608" s="6">
        <f>BDP(A608&amp;" US Equity","PX_LAST")</f>
        <v/>
      </c>
      <c r="F608" s="5">
        <f>D608*E608</f>
        <v/>
      </c>
      <c r="G608">
        <f>AND(B608&gt;=50,B608&lt;=10000)</f>
        <v/>
      </c>
      <c r="H608">
        <f>OR(C608="NAS",C608="NYS",C608="ASE")</f>
        <v/>
      </c>
      <c r="I608">
        <f>F608&gt;=500000</f>
        <v/>
      </c>
      <c r="J608">
        <f>E608&gt;=2</f>
        <v/>
      </c>
      <c r="K608">
        <f>AND(G608,H608,I608,J608)</f>
        <v/>
      </c>
    </row>
    <row r="609">
      <c r="B609" s="5">
        <f>BDP(A609&amp;" US Equity","CUR_MKT_CAP")</f>
        <v/>
      </c>
      <c r="C609">
        <f>BDP(A609&amp;" US Equity","EXCH_CODE")</f>
        <v/>
      </c>
      <c r="D609" s="5">
        <f>BDP(A609&amp;" US Equity","VOLUME_AVG_20D")</f>
        <v/>
      </c>
      <c r="E609" s="6">
        <f>BDP(A609&amp;" US Equity","PX_LAST")</f>
        <v/>
      </c>
      <c r="F609" s="5">
        <f>D609*E609</f>
        <v/>
      </c>
      <c r="G609">
        <f>AND(B609&gt;=50,B609&lt;=10000)</f>
        <v/>
      </c>
      <c r="H609">
        <f>OR(C609="NAS",C609="NYS",C609="ASE")</f>
        <v/>
      </c>
      <c r="I609">
        <f>F609&gt;=500000</f>
        <v/>
      </c>
      <c r="J609">
        <f>E609&gt;=2</f>
        <v/>
      </c>
      <c r="K609">
        <f>AND(G609,H609,I609,J609)</f>
        <v/>
      </c>
    </row>
    <row r="610">
      <c r="B610" s="5">
        <f>BDP(A610&amp;" US Equity","CUR_MKT_CAP")</f>
        <v/>
      </c>
      <c r="C610">
        <f>BDP(A610&amp;" US Equity","EXCH_CODE")</f>
        <v/>
      </c>
      <c r="D610" s="5">
        <f>BDP(A610&amp;" US Equity","VOLUME_AVG_20D")</f>
        <v/>
      </c>
      <c r="E610" s="6">
        <f>BDP(A610&amp;" US Equity","PX_LAST")</f>
        <v/>
      </c>
      <c r="F610" s="5">
        <f>D610*E610</f>
        <v/>
      </c>
      <c r="G610">
        <f>AND(B610&gt;=50,B610&lt;=10000)</f>
        <v/>
      </c>
      <c r="H610">
        <f>OR(C610="NAS",C610="NYS",C610="ASE")</f>
        <v/>
      </c>
      <c r="I610">
        <f>F610&gt;=500000</f>
        <v/>
      </c>
      <c r="J610">
        <f>E610&gt;=2</f>
        <v/>
      </c>
      <c r="K610">
        <f>AND(G610,H610,I610,J610)</f>
        <v/>
      </c>
    </row>
    <row r="611">
      <c r="B611" s="5">
        <f>BDP(A611&amp;" US Equity","CUR_MKT_CAP")</f>
        <v/>
      </c>
      <c r="C611">
        <f>BDP(A611&amp;" US Equity","EXCH_CODE")</f>
        <v/>
      </c>
      <c r="D611" s="5">
        <f>BDP(A611&amp;" US Equity","VOLUME_AVG_20D")</f>
        <v/>
      </c>
      <c r="E611" s="6">
        <f>BDP(A611&amp;" US Equity","PX_LAST")</f>
        <v/>
      </c>
      <c r="F611" s="5">
        <f>D611*E611</f>
        <v/>
      </c>
      <c r="G611">
        <f>AND(B611&gt;=50,B611&lt;=10000)</f>
        <v/>
      </c>
      <c r="H611">
        <f>OR(C611="NAS",C611="NYS",C611="ASE")</f>
        <v/>
      </c>
      <c r="I611">
        <f>F611&gt;=500000</f>
        <v/>
      </c>
      <c r="J611">
        <f>E611&gt;=2</f>
        <v/>
      </c>
      <c r="K611">
        <f>AND(G611,H611,I611,J611)</f>
        <v/>
      </c>
    </row>
    <row r="612">
      <c r="B612" s="5">
        <f>BDP(A612&amp;" US Equity","CUR_MKT_CAP")</f>
        <v/>
      </c>
      <c r="C612">
        <f>BDP(A612&amp;" US Equity","EXCH_CODE")</f>
        <v/>
      </c>
      <c r="D612" s="5">
        <f>BDP(A612&amp;" US Equity","VOLUME_AVG_20D")</f>
        <v/>
      </c>
      <c r="E612" s="6">
        <f>BDP(A612&amp;" US Equity","PX_LAST")</f>
        <v/>
      </c>
      <c r="F612" s="5">
        <f>D612*E612</f>
        <v/>
      </c>
      <c r="G612">
        <f>AND(B612&gt;=50,B612&lt;=10000)</f>
        <v/>
      </c>
      <c r="H612">
        <f>OR(C612="NAS",C612="NYS",C612="ASE")</f>
        <v/>
      </c>
      <c r="I612">
        <f>F612&gt;=500000</f>
        <v/>
      </c>
      <c r="J612">
        <f>E612&gt;=2</f>
        <v/>
      </c>
      <c r="K612">
        <f>AND(G612,H612,I612,J612)</f>
        <v/>
      </c>
    </row>
    <row r="613">
      <c r="B613" s="5">
        <f>BDP(A613&amp;" US Equity","CUR_MKT_CAP")</f>
        <v/>
      </c>
      <c r="C613">
        <f>BDP(A613&amp;" US Equity","EXCH_CODE")</f>
        <v/>
      </c>
      <c r="D613" s="5">
        <f>BDP(A613&amp;" US Equity","VOLUME_AVG_20D")</f>
        <v/>
      </c>
      <c r="E613" s="6">
        <f>BDP(A613&amp;" US Equity","PX_LAST")</f>
        <v/>
      </c>
      <c r="F613" s="5">
        <f>D613*E613</f>
        <v/>
      </c>
      <c r="G613">
        <f>AND(B613&gt;=50,B613&lt;=10000)</f>
        <v/>
      </c>
      <c r="H613">
        <f>OR(C613="NAS",C613="NYS",C613="ASE")</f>
        <v/>
      </c>
      <c r="I613">
        <f>F613&gt;=500000</f>
        <v/>
      </c>
      <c r="J613">
        <f>E613&gt;=2</f>
        <v/>
      </c>
      <c r="K613">
        <f>AND(G613,H613,I613,J613)</f>
        <v/>
      </c>
    </row>
    <row r="614">
      <c r="B614" s="5">
        <f>BDP(A614&amp;" US Equity","CUR_MKT_CAP")</f>
        <v/>
      </c>
      <c r="C614">
        <f>BDP(A614&amp;" US Equity","EXCH_CODE")</f>
        <v/>
      </c>
      <c r="D614" s="5">
        <f>BDP(A614&amp;" US Equity","VOLUME_AVG_20D")</f>
        <v/>
      </c>
      <c r="E614" s="6">
        <f>BDP(A614&amp;" US Equity","PX_LAST")</f>
        <v/>
      </c>
      <c r="F614" s="5">
        <f>D614*E614</f>
        <v/>
      </c>
      <c r="G614">
        <f>AND(B614&gt;=50,B614&lt;=10000)</f>
        <v/>
      </c>
      <c r="H614">
        <f>OR(C614="NAS",C614="NYS",C614="ASE")</f>
        <v/>
      </c>
      <c r="I614">
        <f>F614&gt;=500000</f>
        <v/>
      </c>
      <c r="J614">
        <f>E614&gt;=2</f>
        <v/>
      </c>
      <c r="K614">
        <f>AND(G614,H614,I614,J614)</f>
        <v/>
      </c>
    </row>
    <row r="615">
      <c r="B615" s="5">
        <f>BDP(A615&amp;" US Equity","CUR_MKT_CAP")</f>
        <v/>
      </c>
      <c r="C615">
        <f>BDP(A615&amp;" US Equity","EXCH_CODE")</f>
        <v/>
      </c>
      <c r="D615" s="5">
        <f>BDP(A615&amp;" US Equity","VOLUME_AVG_20D")</f>
        <v/>
      </c>
      <c r="E615" s="6">
        <f>BDP(A615&amp;" US Equity","PX_LAST")</f>
        <v/>
      </c>
      <c r="F615" s="5">
        <f>D615*E615</f>
        <v/>
      </c>
      <c r="G615">
        <f>AND(B615&gt;=50,B615&lt;=10000)</f>
        <v/>
      </c>
      <c r="H615">
        <f>OR(C615="NAS",C615="NYS",C615="ASE")</f>
        <v/>
      </c>
      <c r="I615">
        <f>F615&gt;=500000</f>
        <v/>
      </c>
      <c r="J615">
        <f>E615&gt;=2</f>
        <v/>
      </c>
      <c r="K615">
        <f>AND(G615,H615,I615,J615)</f>
        <v/>
      </c>
    </row>
    <row r="616">
      <c r="B616" s="5">
        <f>BDP(A616&amp;" US Equity","CUR_MKT_CAP")</f>
        <v/>
      </c>
      <c r="C616">
        <f>BDP(A616&amp;" US Equity","EXCH_CODE")</f>
        <v/>
      </c>
      <c r="D616" s="5">
        <f>BDP(A616&amp;" US Equity","VOLUME_AVG_20D")</f>
        <v/>
      </c>
      <c r="E616" s="6">
        <f>BDP(A616&amp;" US Equity","PX_LAST")</f>
        <v/>
      </c>
      <c r="F616" s="5">
        <f>D616*E616</f>
        <v/>
      </c>
      <c r="G616">
        <f>AND(B616&gt;=50,B616&lt;=10000)</f>
        <v/>
      </c>
      <c r="H616">
        <f>OR(C616="NAS",C616="NYS",C616="ASE")</f>
        <v/>
      </c>
      <c r="I616">
        <f>F616&gt;=500000</f>
        <v/>
      </c>
      <c r="J616">
        <f>E616&gt;=2</f>
        <v/>
      </c>
      <c r="K616">
        <f>AND(G616,H616,I616,J616)</f>
        <v/>
      </c>
    </row>
    <row r="617">
      <c r="B617" s="5">
        <f>BDP(A617&amp;" US Equity","CUR_MKT_CAP")</f>
        <v/>
      </c>
      <c r="C617">
        <f>BDP(A617&amp;" US Equity","EXCH_CODE")</f>
        <v/>
      </c>
      <c r="D617" s="5">
        <f>BDP(A617&amp;" US Equity","VOLUME_AVG_20D")</f>
        <v/>
      </c>
      <c r="E617" s="6">
        <f>BDP(A617&amp;" US Equity","PX_LAST")</f>
        <v/>
      </c>
      <c r="F617" s="5">
        <f>D617*E617</f>
        <v/>
      </c>
      <c r="G617">
        <f>AND(B617&gt;=50,B617&lt;=10000)</f>
        <v/>
      </c>
      <c r="H617">
        <f>OR(C617="NAS",C617="NYS",C617="ASE")</f>
        <v/>
      </c>
      <c r="I617">
        <f>F617&gt;=500000</f>
        <v/>
      </c>
      <c r="J617">
        <f>E617&gt;=2</f>
        <v/>
      </c>
      <c r="K617">
        <f>AND(G617,H617,I617,J617)</f>
        <v/>
      </c>
    </row>
    <row r="618">
      <c r="B618" s="5">
        <f>BDP(A618&amp;" US Equity","CUR_MKT_CAP")</f>
        <v/>
      </c>
      <c r="C618">
        <f>BDP(A618&amp;" US Equity","EXCH_CODE")</f>
        <v/>
      </c>
      <c r="D618" s="5">
        <f>BDP(A618&amp;" US Equity","VOLUME_AVG_20D")</f>
        <v/>
      </c>
      <c r="E618" s="6">
        <f>BDP(A618&amp;" US Equity","PX_LAST")</f>
        <v/>
      </c>
      <c r="F618" s="5">
        <f>D618*E618</f>
        <v/>
      </c>
      <c r="G618">
        <f>AND(B618&gt;=50,B618&lt;=10000)</f>
        <v/>
      </c>
      <c r="H618">
        <f>OR(C618="NAS",C618="NYS",C618="ASE")</f>
        <v/>
      </c>
      <c r="I618">
        <f>F618&gt;=500000</f>
        <v/>
      </c>
      <c r="J618">
        <f>E618&gt;=2</f>
        <v/>
      </c>
      <c r="K618">
        <f>AND(G618,H618,I618,J618)</f>
        <v/>
      </c>
    </row>
    <row r="619">
      <c r="B619" s="5">
        <f>BDP(A619&amp;" US Equity","CUR_MKT_CAP")</f>
        <v/>
      </c>
      <c r="C619">
        <f>BDP(A619&amp;" US Equity","EXCH_CODE")</f>
        <v/>
      </c>
      <c r="D619" s="5">
        <f>BDP(A619&amp;" US Equity","VOLUME_AVG_20D")</f>
        <v/>
      </c>
      <c r="E619" s="6">
        <f>BDP(A619&amp;" US Equity","PX_LAST")</f>
        <v/>
      </c>
      <c r="F619" s="5">
        <f>D619*E619</f>
        <v/>
      </c>
      <c r="G619">
        <f>AND(B619&gt;=50,B619&lt;=10000)</f>
        <v/>
      </c>
      <c r="H619">
        <f>OR(C619="NAS",C619="NYS",C619="ASE")</f>
        <v/>
      </c>
      <c r="I619">
        <f>F619&gt;=500000</f>
        <v/>
      </c>
      <c r="J619">
        <f>E619&gt;=2</f>
        <v/>
      </c>
      <c r="K619">
        <f>AND(G619,H619,I619,J619)</f>
        <v/>
      </c>
    </row>
    <row r="620">
      <c r="B620" s="5">
        <f>BDP(A620&amp;" US Equity","CUR_MKT_CAP")</f>
        <v/>
      </c>
      <c r="C620">
        <f>BDP(A620&amp;" US Equity","EXCH_CODE")</f>
        <v/>
      </c>
      <c r="D620" s="5">
        <f>BDP(A620&amp;" US Equity","VOLUME_AVG_20D")</f>
        <v/>
      </c>
      <c r="E620" s="6">
        <f>BDP(A620&amp;" US Equity","PX_LAST")</f>
        <v/>
      </c>
      <c r="F620" s="5">
        <f>D620*E620</f>
        <v/>
      </c>
      <c r="G620">
        <f>AND(B620&gt;=50,B620&lt;=10000)</f>
        <v/>
      </c>
      <c r="H620">
        <f>OR(C620="NAS",C620="NYS",C620="ASE")</f>
        <v/>
      </c>
      <c r="I620">
        <f>F620&gt;=500000</f>
        <v/>
      </c>
      <c r="J620">
        <f>E620&gt;=2</f>
        <v/>
      </c>
      <c r="K620">
        <f>AND(G620,H620,I620,J620)</f>
        <v/>
      </c>
    </row>
    <row r="621">
      <c r="B621" s="5">
        <f>BDP(A621&amp;" US Equity","CUR_MKT_CAP")</f>
        <v/>
      </c>
      <c r="C621">
        <f>BDP(A621&amp;" US Equity","EXCH_CODE")</f>
        <v/>
      </c>
      <c r="D621" s="5">
        <f>BDP(A621&amp;" US Equity","VOLUME_AVG_20D")</f>
        <v/>
      </c>
      <c r="E621" s="6">
        <f>BDP(A621&amp;" US Equity","PX_LAST")</f>
        <v/>
      </c>
      <c r="F621" s="5">
        <f>D621*E621</f>
        <v/>
      </c>
      <c r="G621">
        <f>AND(B621&gt;=50,B621&lt;=10000)</f>
        <v/>
      </c>
      <c r="H621">
        <f>OR(C621="NAS",C621="NYS",C621="ASE")</f>
        <v/>
      </c>
      <c r="I621">
        <f>F621&gt;=500000</f>
        <v/>
      </c>
      <c r="J621">
        <f>E621&gt;=2</f>
        <v/>
      </c>
      <c r="K621">
        <f>AND(G621,H621,I621,J621)</f>
        <v/>
      </c>
    </row>
    <row r="622">
      <c r="B622" s="5">
        <f>BDP(A622&amp;" US Equity","CUR_MKT_CAP")</f>
        <v/>
      </c>
      <c r="C622">
        <f>BDP(A622&amp;" US Equity","EXCH_CODE")</f>
        <v/>
      </c>
      <c r="D622" s="5">
        <f>BDP(A622&amp;" US Equity","VOLUME_AVG_20D")</f>
        <v/>
      </c>
      <c r="E622" s="6">
        <f>BDP(A622&amp;" US Equity","PX_LAST")</f>
        <v/>
      </c>
      <c r="F622" s="5">
        <f>D622*E622</f>
        <v/>
      </c>
      <c r="G622">
        <f>AND(B622&gt;=50,B622&lt;=10000)</f>
        <v/>
      </c>
      <c r="H622">
        <f>OR(C622="NAS",C622="NYS",C622="ASE")</f>
        <v/>
      </c>
      <c r="I622">
        <f>F622&gt;=500000</f>
        <v/>
      </c>
      <c r="J622">
        <f>E622&gt;=2</f>
        <v/>
      </c>
      <c r="K622">
        <f>AND(G622,H622,I622,J622)</f>
        <v/>
      </c>
    </row>
    <row r="623">
      <c r="B623" s="5">
        <f>BDP(A623&amp;" US Equity","CUR_MKT_CAP")</f>
        <v/>
      </c>
      <c r="C623">
        <f>BDP(A623&amp;" US Equity","EXCH_CODE")</f>
        <v/>
      </c>
      <c r="D623" s="5">
        <f>BDP(A623&amp;" US Equity","VOLUME_AVG_20D")</f>
        <v/>
      </c>
      <c r="E623" s="6">
        <f>BDP(A623&amp;" US Equity","PX_LAST")</f>
        <v/>
      </c>
      <c r="F623" s="5">
        <f>D623*E623</f>
        <v/>
      </c>
      <c r="G623">
        <f>AND(B623&gt;=50,B623&lt;=10000)</f>
        <v/>
      </c>
      <c r="H623">
        <f>OR(C623="NAS",C623="NYS",C623="ASE")</f>
        <v/>
      </c>
      <c r="I623">
        <f>F623&gt;=500000</f>
        <v/>
      </c>
      <c r="J623">
        <f>E623&gt;=2</f>
        <v/>
      </c>
      <c r="K623">
        <f>AND(G623,H623,I623,J623)</f>
        <v/>
      </c>
    </row>
    <row r="624">
      <c r="B624" s="5">
        <f>BDP(A624&amp;" US Equity","CUR_MKT_CAP")</f>
        <v/>
      </c>
      <c r="C624">
        <f>BDP(A624&amp;" US Equity","EXCH_CODE")</f>
        <v/>
      </c>
      <c r="D624" s="5">
        <f>BDP(A624&amp;" US Equity","VOLUME_AVG_20D")</f>
        <v/>
      </c>
      <c r="E624" s="6">
        <f>BDP(A624&amp;" US Equity","PX_LAST")</f>
        <v/>
      </c>
      <c r="F624" s="5">
        <f>D624*E624</f>
        <v/>
      </c>
      <c r="G624">
        <f>AND(B624&gt;=50,B624&lt;=10000)</f>
        <v/>
      </c>
      <c r="H624">
        <f>OR(C624="NAS",C624="NYS",C624="ASE")</f>
        <v/>
      </c>
      <c r="I624">
        <f>F624&gt;=500000</f>
        <v/>
      </c>
      <c r="J624">
        <f>E624&gt;=2</f>
        <v/>
      </c>
      <c r="K624">
        <f>AND(G624,H624,I624,J624)</f>
        <v/>
      </c>
    </row>
    <row r="625">
      <c r="B625" s="5">
        <f>BDP(A625&amp;" US Equity","CUR_MKT_CAP")</f>
        <v/>
      </c>
      <c r="C625">
        <f>BDP(A625&amp;" US Equity","EXCH_CODE")</f>
        <v/>
      </c>
      <c r="D625" s="5">
        <f>BDP(A625&amp;" US Equity","VOLUME_AVG_20D")</f>
        <v/>
      </c>
      <c r="E625" s="6">
        <f>BDP(A625&amp;" US Equity","PX_LAST")</f>
        <v/>
      </c>
      <c r="F625" s="5">
        <f>D625*E625</f>
        <v/>
      </c>
      <c r="G625">
        <f>AND(B625&gt;=50,B625&lt;=10000)</f>
        <v/>
      </c>
      <c r="H625">
        <f>OR(C625="NAS",C625="NYS",C625="ASE")</f>
        <v/>
      </c>
      <c r="I625">
        <f>F625&gt;=500000</f>
        <v/>
      </c>
      <c r="J625">
        <f>E625&gt;=2</f>
        <v/>
      </c>
      <c r="K625">
        <f>AND(G625,H625,I625,J625)</f>
        <v/>
      </c>
    </row>
    <row r="626">
      <c r="B626" s="5">
        <f>BDP(A626&amp;" US Equity","CUR_MKT_CAP")</f>
        <v/>
      </c>
      <c r="C626">
        <f>BDP(A626&amp;" US Equity","EXCH_CODE")</f>
        <v/>
      </c>
      <c r="D626" s="5">
        <f>BDP(A626&amp;" US Equity","VOLUME_AVG_20D")</f>
        <v/>
      </c>
      <c r="E626" s="6">
        <f>BDP(A626&amp;" US Equity","PX_LAST")</f>
        <v/>
      </c>
      <c r="F626" s="5">
        <f>D626*E626</f>
        <v/>
      </c>
      <c r="G626">
        <f>AND(B626&gt;=50,B626&lt;=10000)</f>
        <v/>
      </c>
      <c r="H626">
        <f>OR(C626="NAS",C626="NYS",C626="ASE")</f>
        <v/>
      </c>
      <c r="I626">
        <f>F626&gt;=500000</f>
        <v/>
      </c>
      <c r="J626">
        <f>E626&gt;=2</f>
        <v/>
      </c>
      <c r="K626">
        <f>AND(G626,H626,I626,J626)</f>
        <v/>
      </c>
    </row>
    <row r="627">
      <c r="B627" s="5">
        <f>BDP(A627&amp;" US Equity","CUR_MKT_CAP")</f>
        <v/>
      </c>
      <c r="C627">
        <f>BDP(A627&amp;" US Equity","EXCH_CODE")</f>
        <v/>
      </c>
      <c r="D627" s="5">
        <f>BDP(A627&amp;" US Equity","VOLUME_AVG_20D")</f>
        <v/>
      </c>
      <c r="E627" s="6">
        <f>BDP(A627&amp;" US Equity","PX_LAST")</f>
        <v/>
      </c>
      <c r="F627" s="5">
        <f>D627*E627</f>
        <v/>
      </c>
      <c r="G627">
        <f>AND(B627&gt;=50,B627&lt;=10000)</f>
        <v/>
      </c>
      <c r="H627">
        <f>OR(C627="NAS",C627="NYS",C627="ASE")</f>
        <v/>
      </c>
      <c r="I627">
        <f>F627&gt;=500000</f>
        <v/>
      </c>
      <c r="J627">
        <f>E627&gt;=2</f>
        <v/>
      </c>
      <c r="K627">
        <f>AND(G627,H627,I627,J627)</f>
        <v/>
      </c>
    </row>
    <row r="628">
      <c r="B628" s="5">
        <f>BDP(A628&amp;" US Equity","CUR_MKT_CAP")</f>
        <v/>
      </c>
      <c r="C628">
        <f>BDP(A628&amp;" US Equity","EXCH_CODE")</f>
        <v/>
      </c>
      <c r="D628" s="5">
        <f>BDP(A628&amp;" US Equity","VOLUME_AVG_20D")</f>
        <v/>
      </c>
      <c r="E628" s="6">
        <f>BDP(A628&amp;" US Equity","PX_LAST")</f>
        <v/>
      </c>
      <c r="F628" s="5">
        <f>D628*E628</f>
        <v/>
      </c>
      <c r="G628">
        <f>AND(B628&gt;=50,B628&lt;=10000)</f>
        <v/>
      </c>
      <c r="H628">
        <f>OR(C628="NAS",C628="NYS",C628="ASE")</f>
        <v/>
      </c>
      <c r="I628">
        <f>F628&gt;=500000</f>
        <v/>
      </c>
      <c r="J628">
        <f>E628&gt;=2</f>
        <v/>
      </c>
      <c r="K628">
        <f>AND(G628,H628,I628,J628)</f>
        <v/>
      </c>
    </row>
    <row r="629">
      <c r="B629" s="5">
        <f>BDP(A629&amp;" US Equity","CUR_MKT_CAP")</f>
        <v/>
      </c>
      <c r="C629">
        <f>BDP(A629&amp;" US Equity","EXCH_CODE")</f>
        <v/>
      </c>
      <c r="D629" s="5">
        <f>BDP(A629&amp;" US Equity","VOLUME_AVG_20D")</f>
        <v/>
      </c>
      <c r="E629" s="6">
        <f>BDP(A629&amp;" US Equity","PX_LAST")</f>
        <v/>
      </c>
      <c r="F629" s="5">
        <f>D629*E629</f>
        <v/>
      </c>
      <c r="G629">
        <f>AND(B629&gt;=50,B629&lt;=10000)</f>
        <v/>
      </c>
      <c r="H629">
        <f>OR(C629="NAS",C629="NYS",C629="ASE")</f>
        <v/>
      </c>
      <c r="I629">
        <f>F629&gt;=500000</f>
        <v/>
      </c>
      <c r="J629">
        <f>E629&gt;=2</f>
        <v/>
      </c>
      <c r="K629">
        <f>AND(G629,H629,I629,J629)</f>
        <v/>
      </c>
    </row>
    <row r="630">
      <c r="B630" s="5">
        <f>BDP(A630&amp;" US Equity","CUR_MKT_CAP")</f>
        <v/>
      </c>
      <c r="C630">
        <f>BDP(A630&amp;" US Equity","EXCH_CODE")</f>
        <v/>
      </c>
      <c r="D630" s="5">
        <f>BDP(A630&amp;" US Equity","VOLUME_AVG_20D")</f>
        <v/>
      </c>
      <c r="E630" s="6">
        <f>BDP(A630&amp;" US Equity","PX_LAST")</f>
        <v/>
      </c>
      <c r="F630" s="5">
        <f>D630*E630</f>
        <v/>
      </c>
      <c r="G630">
        <f>AND(B630&gt;=50,B630&lt;=10000)</f>
        <v/>
      </c>
      <c r="H630">
        <f>OR(C630="NAS",C630="NYS",C630="ASE")</f>
        <v/>
      </c>
      <c r="I630">
        <f>F630&gt;=500000</f>
        <v/>
      </c>
      <c r="J630">
        <f>E630&gt;=2</f>
        <v/>
      </c>
      <c r="K630">
        <f>AND(G630,H630,I630,J630)</f>
        <v/>
      </c>
    </row>
    <row r="631">
      <c r="B631" s="5">
        <f>BDP(A631&amp;" US Equity","CUR_MKT_CAP")</f>
        <v/>
      </c>
      <c r="C631">
        <f>BDP(A631&amp;" US Equity","EXCH_CODE")</f>
        <v/>
      </c>
      <c r="D631" s="5">
        <f>BDP(A631&amp;" US Equity","VOLUME_AVG_20D")</f>
        <v/>
      </c>
      <c r="E631" s="6">
        <f>BDP(A631&amp;" US Equity","PX_LAST")</f>
        <v/>
      </c>
      <c r="F631" s="5">
        <f>D631*E631</f>
        <v/>
      </c>
      <c r="G631">
        <f>AND(B631&gt;=50,B631&lt;=10000)</f>
        <v/>
      </c>
      <c r="H631">
        <f>OR(C631="NAS",C631="NYS",C631="ASE")</f>
        <v/>
      </c>
      <c r="I631">
        <f>F631&gt;=500000</f>
        <v/>
      </c>
      <c r="J631">
        <f>E631&gt;=2</f>
        <v/>
      </c>
      <c r="K631">
        <f>AND(G631,H631,I631,J631)</f>
        <v/>
      </c>
    </row>
    <row r="632">
      <c r="B632" s="5">
        <f>BDP(A632&amp;" US Equity","CUR_MKT_CAP")</f>
        <v/>
      </c>
      <c r="C632">
        <f>BDP(A632&amp;" US Equity","EXCH_CODE")</f>
        <v/>
      </c>
      <c r="D632" s="5">
        <f>BDP(A632&amp;" US Equity","VOLUME_AVG_20D")</f>
        <v/>
      </c>
      <c r="E632" s="6">
        <f>BDP(A632&amp;" US Equity","PX_LAST")</f>
        <v/>
      </c>
      <c r="F632" s="5">
        <f>D632*E632</f>
        <v/>
      </c>
      <c r="G632">
        <f>AND(B632&gt;=50,B632&lt;=10000)</f>
        <v/>
      </c>
      <c r="H632">
        <f>OR(C632="NAS",C632="NYS",C632="ASE")</f>
        <v/>
      </c>
      <c r="I632">
        <f>F632&gt;=500000</f>
        <v/>
      </c>
      <c r="J632">
        <f>E632&gt;=2</f>
        <v/>
      </c>
      <c r="K632">
        <f>AND(G632,H632,I632,J632)</f>
        <v/>
      </c>
    </row>
    <row r="633">
      <c r="B633" s="5">
        <f>BDP(A633&amp;" US Equity","CUR_MKT_CAP")</f>
        <v/>
      </c>
      <c r="C633">
        <f>BDP(A633&amp;" US Equity","EXCH_CODE")</f>
        <v/>
      </c>
      <c r="D633" s="5">
        <f>BDP(A633&amp;" US Equity","VOLUME_AVG_20D")</f>
        <v/>
      </c>
      <c r="E633" s="6">
        <f>BDP(A633&amp;" US Equity","PX_LAST")</f>
        <v/>
      </c>
      <c r="F633" s="5">
        <f>D633*E633</f>
        <v/>
      </c>
      <c r="G633">
        <f>AND(B633&gt;=50,B633&lt;=10000)</f>
        <v/>
      </c>
      <c r="H633">
        <f>OR(C633="NAS",C633="NYS",C633="ASE")</f>
        <v/>
      </c>
      <c r="I633">
        <f>F633&gt;=500000</f>
        <v/>
      </c>
      <c r="J633">
        <f>E633&gt;=2</f>
        <v/>
      </c>
      <c r="K633">
        <f>AND(G633,H633,I633,J633)</f>
        <v/>
      </c>
    </row>
    <row r="634">
      <c r="B634" s="5">
        <f>BDP(A634&amp;" US Equity","CUR_MKT_CAP")</f>
        <v/>
      </c>
      <c r="C634">
        <f>BDP(A634&amp;" US Equity","EXCH_CODE")</f>
        <v/>
      </c>
      <c r="D634" s="5">
        <f>BDP(A634&amp;" US Equity","VOLUME_AVG_20D")</f>
        <v/>
      </c>
      <c r="E634" s="6">
        <f>BDP(A634&amp;" US Equity","PX_LAST")</f>
        <v/>
      </c>
      <c r="F634" s="5">
        <f>D634*E634</f>
        <v/>
      </c>
      <c r="G634">
        <f>AND(B634&gt;=50,B634&lt;=10000)</f>
        <v/>
      </c>
      <c r="H634">
        <f>OR(C634="NAS",C634="NYS",C634="ASE")</f>
        <v/>
      </c>
      <c r="I634">
        <f>F634&gt;=500000</f>
        <v/>
      </c>
      <c r="J634">
        <f>E634&gt;=2</f>
        <v/>
      </c>
      <c r="K634">
        <f>AND(G634,H634,I634,J634)</f>
        <v/>
      </c>
    </row>
    <row r="635">
      <c r="B635" s="5">
        <f>BDP(A635&amp;" US Equity","CUR_MKT_CAP")</f>
        <v/>
      </c>
      <c r="C635">
        <f>BDP(A635&amp;" US Equity","EXCH_CODE")</f>
        <v/>
      </c>
      <c r="D635" s="5">
        <f>BDP(A635&amp;" US Equity","VOLUME_AVG_20D")</f>
        <v/>
      </c>
      <c r="E635" s="6">
        <f>BDP(A635&amp;" US Equity","PX_LAST")</f>
        <v/>
      </c>
      <c r="F635" s="5">
        <f>D635*E635</f>
        <v/>
      </c>
      <c r="G635">
        <f>AND(B635&gt;=50,B635&lt;=10000)</f>
        <v/>
      </c>
      <c r="H635">
        <f>OR(C635="NAS",C635="NYS",C635="ASE")</f>
        <v/>
      </c>
      <c r="I635">
        <f>F635&gt;=500000</f>
        <v/>
      </c>
      <c r="J635">
        <f>E635&gt;=2</f>
        <v/>
      </c>
      <c r="K635">
        <f>AND(G635,H635,I635,J635)</f>
        <v/>
      </c>
    </row>
    <row r="636">
      <c r="B636" s="5">
        <f>BDP(A636&amp;" US Equity","CUR_MKT_CAP")</f>
        <v/>
      </c>
      <c r="C636">
        <f>BDP(A636&amp;" US Equity","EXCH_CODE")</f>
        <v/>
      </c>
      <c r="D636" s="5">
        <f>BDP(A636&amp;" US Equity","VOLUME_AVG_20D")</f>
        <v/>
      </c>
      <c r="E636" s="6">
        <f>BDP(A636&amp;" US Equity","PX_LAST")</f>
        <v/>
      </c>
      <c r="F636" s="5">
        <f>D636*E636</f>
        <v/>
      </c>
      <c r="G636">
        <f>AND(B636&gt;=50,B636&lt;=10000)</f>
        <v/>
      </c>
      <c r="H636">
        <f>OR(C636="NAS",C636="NYS",C636="ASE")</f>
        <v/>
      </c>
      <c r="I636">
        <f>F636&gt;=500000</f>
        <v/>
      </c>
      <c r="J636">
        <f>E636&gt;=2</f>
        <v/>
      </c>
      <c r="K636">
        <f>AND(G636,H636,I636,J636)</f>
        <v/>
      </c>
    </row>
    <row r="637">
      <c r="B637" s="5">
        <f>BDP(A637&amp;" US Equity","CUR_MKT_CAP")</f>
        <v/>
      </c>
      <c r="C637">
        <f>BDP(A637&amp;" US Equity","EXCH_CODE")</f>
        <v/>
      </c>
      <c r="D637" s="5">
        <f>BDP(A637&amp;" US Equity","VOLUME_AVG_20D")</f>
        <v/>
      </c>
      <c r="E637" s="6">
        <f>BDP(A637&amp;" US Equity","PX_LAST")</f>
        <v/>
      </c>
      <c r="F637" s="5">
        <f>D637*E637</f>
        <v/>
      </c>
      <c r="G637">
        <f>AND(B637&gt;=50,B637&lt;=10000)</f>
        <v/>
      </c>
      <c r="H637">
        <f>OR(C637="NAS",C637="NYS",C637="ASE")</f>
        <v/>
      </c>
      <c r="I637">
        <f>F637&gt;=500000</f>
        <v/>
      </c>
      <c r="J637">
        <f>E637&gt;=2</f>
        <v/>
      </c>
      <c r="K637">
        <f>AND(G637,H637,I637,J637)</f>
        <v/>
      </c>
    </row>
    <row r="638">
      <c r="B638" s="5">
        <f>BDP(A638&amp;" US Equity","CUR_MKT_CAP")</f>
        <v/>
      </c>
      <c r="C638">
        <f>BDP(A638&amp;" US Equity","EXCH_CODE")</f>
        <v/>
      </c>
      <c r="D638" s="5">
        <f>BDP(A638&amp;" US Equity","VOLUME_AVG_20D")</f>
        <v/>
      </c>
      <c r="E638" s="6">
        <f>BDP(A638&amp;" US Equity","PX_LAST")</f>
        <v/>
      </c>
      <c r="F638" s="5">
        <f>D638*E638</f>
        <v/>
      </c>
      <c r="G638">
        <f>AND(B638&gt;=50,B638&lt;=10000)</f>
        <v/>
      </c>
      <c r="H638">
        <f>OR(C638="NAS",C638="NYS",C638="ASE")</f>
        <v/>
      </c>
      <c r="I638">
        <f>F638&gt;=500000</f>
        <v/>
      </c>
      <c r="J638">
        <f>E638&gt;=2</f>
        <v/>
      </c>
      <c r="K638">
        <f>AND(G638,H638,I638,J638)</f>
        <v/>
      </c>
    </row>
    <row r="639">
      <c r="B639" s="5">
        <f>BDP(A639&amp;" US Equity","CUR_MKT_CAP")</f>
        <v/>
      </c>
      <c r="C639">
        <f>BDP(A639&amp;" US Equity","EXCH_CODE")</f>
        <v/>
      </c>
      <c r="D639" s="5">
        <f>BDP(A639&amp;" US Equity","VOLUME_AVG_20D")</f>
        <v/>
      </c>
      <c r="E639" s="6">
        <f>BDP(A639&amp;" US Equity","PX_LAST")</f>
        <v/>
      </c>
      <c r="F639" s="5">
        <f>D639*E639</f>
        <v/>
      </c>
      <c r="G639">
        <f>AND(B639&gt;=50,B639&lt;=10000)</f>
        <v/>
      </c>
      <c r="H639">
        <f>OR(C639="NAS",C639="NYS",C639="ASE")</f>
        <v/>
      </c>
      <c r="I639">
        <f>F639&gt;=500000</f>
        <v/>
      </c>
      <c r="J639">
        <f>E639&gt;=2</f>
        <v/>
      </c>
      <c r="K639">
        <f>AND(G639,H639,I639,J639)</f>
        <v/>
      </c>
    </row>
    <row r="640">
      <c r="B640" s="5">
        <f>BDP(A640&amp;" US Equity","CUR_MKT_CAP")</f>
        <v/>
      </c>
      <c r="C640">
        <f>BDP(A640&amp;" US Equity","EXCH_CODE")</f>
        <v/>
      </c>
      <c r="D640" s="5">
        <f>BDP(A640&amp;" US Equity","VOLUME_AVG_20D")</f>
        <v/>
      </c>
      <c r="E640" s="6">
        <f>BDP(A640&amp;" US Equity","PX_LAST")</f>
        <v/>
      </c>
      <c r="F640" s="5">
        <f>D640*E640</f>
        <v/>
      </c>
      <c r="G640">
        <f>AND(B640&gt;=50,B640&lt;=10000)</f>
        <v/>
      </c>
      <c r="H640">
        <f>OR(C640="NAS",C640="NYS",C640="ASE")</f>
        <v/>
      </c>
      <c r="I640">
        <f>F640&gt;=500000</f>
        <v/>
      </c>
      <c r="J640">
        <f>E640&gt;=2</f>
        <v/>
      </c>
      <c r="K640">
        <f>AND(G640,H640,I640,J640)</f>
        <v/>
      </c>
    </row>
    <row r="641">
      <c r="B641" s="5">
        <f>BDP(A641&amp;" US Equity","CUR_MKT_CAP")</f>
        <v/>
      </c>
      <c r="C641">
        <f>BDP(A641&amp;" US Equity","EXCH_CODE")</f>
        <v/>
      </c>
      <c r="D641" s="5">
        <f>BDP(A641&amp;" US Equity","VOLUME_AVG_20D")</f>
        <v/>
      </c>
      <c r="E641" s="6">
        <f>BDP(A641&amp;" US Equity","PX_LAST")</f>
        <v/>
      </c>
      <c r="F641" s="5">
        <f>D641*E641</f>
        <v/>
      </c>
      <c r="G641">
        <f>AND(B641&gt;=50,B641&lt;=10000)</f>
        <v/>
      </c>
      <c r="H641">
        <f>OR(C641="NAS",C641="NYS",C641="ASE")</f>
        <v/>
      </c>
      <c r="I641">
        <f>F641&gt;=500000</f>
        <v/>
      </c>
      <c r="J641">
        <f>E641&gt;=2</f>
        <v/>
      </c>
      <c r="K641">
        <f>AND(G641,H641,I641,J641)</f>
        <v/>
      </c>
    </row>
    <row r="642">
      <c r="B642" s="5">
        <f>BDP(A642&amp;" US Equity","CUR_MKT_CAP")</f>
        <v/>
      </c>
      <c r="C642">
        <f>BDP(A642&amp;" US Equity","EXCH_CODE")</f>
        <v/>
      </c>
      <c r="D642" s="5">
        <f>BDP(A642&amp;" US Equity","VOLUME_AVG_20D")</f>
        <v/>
      </c>
      <c r="E642" s="6">
        <f>BDP(A642&amp;" US Equity","PX_LAST")</f>
        <v/>
      </c>
      <c r="F642" s="5">
        <f>D642*E642</f>
        <v/>
      </c>
      <c r="G642">
        <f>AND(B642&gt;=50,B642&lt;=10000)</f>
        <v/>
      </c>
      <c r="H642">
        <f>OR(C642="NAS",C642="NYS",C642="ASE")</f>
        <v/>
      </c>
      <c r="I642">
        <f>F642&gt;=500000</f>
        <v/>
      </c>
      <c r="J642">
        <f>E642&gt;=2</f>
        <v/>
      </c>
      <c r="K642">
        <f>AND(G642,H642,I642,J642)</f>
        <v/>
      </c>
    </row>
    <row r="643">
      <c r="B643" s="5">
        <f>BDP(A643&amp;" US Equity","CUR_MKT_CAP")</f>
        <v/>
      </c>
      <c r="C643">
        <f>BDP(A643&amp;" US Equity","EXCH_CODE")</f>
        <v/>
      </c>
      <c r="D643" s="5">
        <f>BDP(A643&amp;" US Equity","VOLUME_AVG_20D")</f>
        <v/>
      </c>
      <c r="E643" s="6">
        <f>BDP(A643&amp;" US Equity","PX_LAST")</f>
        <v/>
      </c>
      <c r="F643" s="5">
        <f>D643*E643</f>
        <v/>
      </c>
      <c r="G643">
        <f>AND(B643&gt;=50,B643&lt;=10000)</f>
        <v/>
      </c>
      <c r="H643">
        <f>OR(C643="NAS",C643="NYS",C643="ASE")</f>
        <v/>
      </c>
      <c r="I643">
        <f>F643&gt;=500000</f>
        <v/>
      </c>
      <c r="J643">
        <f>E643&gt;=2</f>
        <v/>
      </c>
      <c r="K643">
        <f>AND(G643,H643,I643,J643)</f>
        <v/>
      </c>
    </row>
    <row r="644">
      <c r="B644" s="5">
        <f>BDP(A644&amp;" US Equity","CUR_MKT_CAP")</f>
        <v/>
      </c>
      <c r="C644">
        <f>BDP(A644&amp;" US Equity","EXCH_CODE")</f>
        <v/>
      </c>
      <c r="D644" s="5">
        <f>BDP(A644&amp;" US Equity","VOLUME_AVG_20D")</f>
        <v/>
      </c>
      <c r="E644" s="6">
        <f>BDP(A644&amp;" US Equity","PX_LAST")</f>
        <v/>
      </c>
      <c r="F644" s="5">
        <f>D644*E644</f>
        <v/>
      </c>
      <c r="G644">
        <f>AND(B644&gt;=50,B644&lt;=10000)</f>
        <v/>
      </c>
      <c r="H644">
        <f>OR(C644="NAS",C644="NYS",C644="ASE")</f>
        <v/>
      </c>
      <c r="I644">
        <f>F644&gt;=500000</f>
        <v/>
      </c>
      <c r="J644">
        <f>E644&gt;=2</f>
        <v/>
      </c>
      <c r="K644">
        <f>AND(G644,H644,I644,J644)</f>
        <v/>
      </c>
    </row>
    <row r="645">
      <c r="B645" s="5">
        <f>BDP(A645&amp;" US Equity","CUR_MKT_CAP")</f>
        <v/>
      </c>
      <c r="C645">
        <f>BDP(A645&amp;" US Equity","EXCH_CODE")</f>
        <v/>
      </c>
      <c r="D645" s="5">
        <f>BDP(A645&amp;" US Equity","VOLUME_AVG_20D")</f>
        <v/>
      </c>
      <c r="E645" s="6">
        <f>BDP(A645&amp;" US Equity","PX_LAST")</f>
        <v/>
      </c>
      <c r="F645" s="5">
        <f>D645*E645</f>
        <v/>
      </c>
      <c r="G645">
        <f>AND(B645&gt;=50,B645&lt;=10000)</f>
        <v/>
      </c>
      <c r="H645">
        <f>OR(C645="NAS",C645="NYS",C645="ASE")</f>
        <v/>
      </c>
      <c r="I645">
        <f>F645&gt;=500000</f>
        <v/>
      </c>
      <c r="J645">
        <f>E645&gt;=2</f>
        <v/>
      </c>
      <c r="K645">
        <f>AND(G645,H645,I645,J645)</f>
        <v/>
      </c>
    </row>
    <row r="646">
      <c r="B646" s="5">
        <f>BDP(A646&amp;" US Equity","CUR_MKT_CAP")</f>
        <v/>
      </c>
      <c r="C646">
        <f>BDP(A646&amp;" US Equity","EXCH_CODE")</f>
        <v/>
      </c>
      <c r="D646" s="5">
        <f>BDP(A646&amp;" US Equity","VOLUME_AVG_20D")</f>
        <v/>
      </c>
      <c r="E646" s="6">
        <f>BDP(A646&amp;" US Equity","PX_LAST")</f>
        <v/>
      </c>
      <c r="F646" s="5">
        <f>D646*E646</f>
        <v/>
      </c>
      <c r="G646">
        <f>AND(B646&gt;=50,B646&lt;=10000)</f>
        <v/>
      </c>
      <c r="H646">
        <f>OR(C646="NAS",C646="NYS",C646="ASE")</f>
        <v/>
      </c>
      <c r="I646">
        <f>F646&gt;=500000</f>
        <v/>
      </c>
      <c r="J646">
        <f>E646&gt;=2</f>
        <v/>
      </c>
      <c r="K646">
        <f>AND(G646,H646,I646,J646)</f>
        <v/>
      </c>
    </row>
    <row r="647">
      <c r="B647" s="5">
        <f>BDP(A647&amp;" US Equity","CUR_MKT_CAP")</f>
        <v/>
      </c>
      <c r="C647">
        <f>BDP(A647&amp;" US Equity","EXCH_CODE")</f>
        <v/>
      </c>
      <c r="D647" s="5">
        <f>BDP(A647&amp;" US Equity","VOLUME_AVG_20D")</f>
        <v/>
      </c>
      <c r="E647" s="6">
        <f>BDP(A647&amp;" US Equity","PX_LAST")</f>
        <v/>
      </c>
      <c r="F647" s="5">
        <f>D647*E647</f>
        <v/>
      </c>
      <c r="G647">
        <f>AND(B647&gt;=50,B647&lt;=10000)</f>
        <v/>
      </c>
      <c r="H647">
        <f>OR(C647="NAS",C647="NYS",C647="ASE")</f>
        <v/>
      </c>
      <c r="I647">
        <f>F647&gt;=500000</f>
        <v/>
      </c>
      <c r="J647">
        <f>E647&gt;=2</f>
        <v/>
      </c>
      <c r="K647">
        <f>AND(G647,H647,I647,J647)</f>
        <v/>
      </c>
    </row>
    <row r="648">
      <c r="B648" s="5">
        <f>BDP(A648&amp;" US Equity","CUR_MKT_CAP")</f>
        <v/>
      </c>
      <c r="C648">
        <f>BDP(A648&amp;" US Equity","EXCH_CODE")</f>
        <v/>
      </c>
      <c r="D648" s="5">
        <f>BDP(A648&amp;" US Equity","VOLUME_AVG_20D")</f>
        <v/>
      </c>
      <c r="E648" s="6">
        <f>BDP(A648&amp;" US Equity","PX_LAST")</f>
        <v/>
      </c>
      <c r="F648" s="5">
        <f>D648*E648</f>
        <v/>
      </c>
      <c r="G648">
        <f>AND(B648&gt;=50,B648&lt;=10000)</f>
        <v/>
      </c>
      <c r="H648">
        <f>OR(C648="NAS",C648="NYS",C648="ASE")</f>
        <v/>
      </c>
      <c r="I648">
        <f>F648&gt;=500000</f>
        <v/>
      </c>
      <c r="J648">
        <f>E648&gt;=2</f>
        <v/>
      </c>
      <c r="K648">
        <f>AND(G648,H648,I648,J648)</f>
        <v/>
      </c>
    </row>
    <row r="649">
      <c r="B649" s="5">
        <f>BDP(A649&amp;" US Equity","CUR_MKT_CAP")</f>
        <v/>
      </c>
      <c r="C649">
        <f>BDP(A649&amp;" US Equity","EXCH_CODE")</f>
        <v/>
      </c>
      <c r="D649" s="5">
        <f>BDP(A649&amp;" US Equity","VOLUME_AVG_20D")</f>
        <v/>
      </c>
      <c r="E649" s="6">
        <f>BDP(A649&amp;" US Equity","PX_LAST")</f>
        <v/>
      </c>
      <c r="F649" s="5">
        <f>D649*E649</f>
        <v/>
      </c>
      <c r="G649">
        <f>AND(B649&gt;=50,B649&lt;=10000)</f>
        <v/>
      </c>
      <c r="H649">
        <f>OR(C649="NAS",C649="NYS",C649="ASE")</f>
        <v/>
      </c>
      <c r="I649">
        <f>F649&gt;=500000</f>
        <v/>
      </c>
      <c r="J649">
        <f>E649&gt;=2</f>
        <v/>
      </c>
      <c r="K649">
        <f>AND(G649,H649,I649,J649)</f>
        <v/>
      </c>
    </row>
    <row r="650">
      <c r="B650" s="5">
        <f>BDP(A650&amp;" US Equity","CUR_MKT_CAP")</f>
        <v/>
      </c>
      <c r="C650">
        <f>BDP(A650&amp;" US Equity","EXCH_CODE")</f>
        <v/>
      </c>
      <c r="D650" s="5">
        <f>BDP(A650&amp;" US Equity","VOLUME_AVG_20D")</f>
        <v/>
      </c>
      <c r="E650" s="6">
        <f>BDP(A650&amp;" US Equity","PX_LAST")</f>
        <v/>
      </c>
      <c r="F650" s="5">
        <f>D650*E650</f>
        <v/>
      </c>
      <c r="G650">
        <f>AND(B650&gt;=50,B650&lt;=10000)</f>
        <v/>
      </c>
      <c r="H650">
        <f>OR(C650="NAS",C650="NYS",C650="ASE")</f>
        <v/>
      </c>
      <c r="I650">
        <f>F650&gt;=500000</f>
        <v/>
      </c>
      <c r="J650">
        <f>E650&gt;=2</f>
        <v/>
      </c>
      <c r="K650">
        <f>AND(G650,H650,I650,J650)</f>
        <v/>
      </c>
    </row>
    <row r="651">
      <c r="B651" s="5">
        <f>BDP(A651&amp;" US Equity","CUR_MKT_CAP")</f>
        <v/>
      </c>
      <c r="C651">
        <f>BDP(A651&amp;" US Equity","EXCH_CODE")</f>
        <v/>
      </c>
      <c r="D651" s="5">
        <f>BDP(A651&amp;" US Equity","VOLUME_AVG_20D")</f>
        <v/>
      </c>
      <c r="E651" s="6">
        <f>BDP(A651&amp;" US Equity","PX_LAST")</f>
        <v/>
      </c>
      <c r="F651" s="5">
        <f>D651*E651</f>
        <v/>
      </c>
      <c r="G651">
        <f>AND(B651&gt;=50,B651&lt;=10000)</f>
        <v/>
      </c>
      <c r="H651">
        <f>OR(C651="NAS",C651="NYS",C651="ASE")</f>
        <v/>
      </c>
      <c r="I651">
        <f>F651&gt;=500000</f>
        <v/>
      </c>
      <c r="J651">
        <f>E651&gt;=2</f>
        <v/>
      </c>
      <c r="K651">
        <f>AND(G651,H651,I651,J651)</f>
        <v/>
      </c>
    </row>
    <row r="652">
      <c r="B652" s="5">
        <f>BDP(A652&amp;" US Equity","CUR_MKT_CAP")</f>
        <v/>
      </c>
      <c r="C652">
        <f>BDP(A652&amp;" US Equity","EXCH_CODE")</f>
        <v/>
      </c>
      <c r="D652" s="5">
        <f>BDP(A652&amp;" US Equity","VOLUME_AVG_20D")</f>
        <v/>
      </c>
      <c r="E652" s="6">
        <f>BDP(A652&amp;" US Equity","PX_LAST")</f>
        <v/>
      </c>
      <c r="F652" s="5">
        <f>D652*E652</f>
        <v/>
      </c>
      <c r="G652">
        <f>AND(B652&gt;=50,B652&lt;=10000)</f>
        <v/>
      </c>
      <c r="H652">
        <f>OR(C652="NAS",C652="NYS",C652="ASE")</f>
        <v/>
      </c>
      <c r="I652">
        <f>F652&gt;=500000</f>
        <v/>
      </c>
      <c r="J652">
        <f>E652&gt;=2</f>
        <v/>
      </c>
      <c r="K652">
        <f>AND(G652,H652,I652,J652)</f>
        <v/>
      </c>
    </row>
    <row r="653">
      <c r="B653" s="5">
        <f>BDP(A653&amp;" US Equity","CUR_MKT_CAP")</f>
        <v/>
      </c>
      <c r="C653">
        <f>BDP(A653&amp;" US Equity","EXCH_CODE")</f>
        <v/>
      </c>
      <c r="D653" s="5">
        <f>BDP(A653&amp;" US Equity","VOLUME_AVG_20D")</f>
        <v/>
      </c>
      <c r="E653" s="6">
        <f>BDP(A653&amp;" US Equity","PX_LAST")</f>
        <v/>
      </c>
      <c r="F653" s="5">
        <f>D653*E653</f>
        <v/>
      </c>
      <c r="G653">
        <f>AND(B653&gt;=50,B653&lt;=10000)</f>
        <v/>
      </c>
      <c r="H653">
        <f>OR(C653="NAS",C653="NYS",C653="ASE")</f>
        <v/>
      </c>
      <c r="I653">
        <f>F653&gt;=500000</f>
        <v/>
      </c>
      <c r="J653">
        <f>E653&gt;=2</f>
        <v/>
      </c>
      <c r="K653">
        <f>AND(G653,H653,I653,J653)</f>
        <v/>
      </c>
    </row>
    <row r="654">
      <c r="B654" s="5">
        <f>BDP(A654&amp;" US Equity","CUR_MKT_CAP")</f>
        <v/>
      </c>
      <c r="C654">
        <f>BDP(A654&amp;" US Equity","EXCH_CODE")</f>
        <v/>
      </c>
      <c r="D654" s="5">
        <f>BDP(A654&amp;" US Equity","VOLUME_AVG_20D")</f>
        <v/>
      </c>
      <c r="E654" s="6">
        <f>BDP(A654&amp;" US Equity","PX_LAST")</f>
        <v/>
      </c>
      <c r="F654" s="5">
        <f>D654*E654</f>
        <v/>
      </c>
      <c r="G654">
        <f>AND(B654&gt;=50,B654&lt;=10000)</f>
        <v/>
      </c>
      <c r="H654">
        <f>OR(C654="NAS",C654="NYS",C654="ASE")</f>
        <v/>
      </c>
      <c r="I654">
        <f>F654&gt;=500000</f>
        <v/>
      </c>
      <c r="J654">
        <f>E654&gt;=2</f>
        <v/>
      </c>
      <c r="K654">
        <f>AND(G654,H654,I654,J654)</f>
        <v/>
      </c>
    </row>
    <row r="655">
      <c r="B655" s="5">
        <f>BDP(A655&amp;" US Equity","CUR_MKT_CAP")</f>
        <v/>
      </c>
      <c r="C655">
        <f>BDP(A655&amp;" US Equity","EXCH_CODE")</f>
        <v/>
      </c>
      <c r="D655" s="5">
        <f>BDP(A655&amp;" US Equity","VOLUME_AVG_20D")</f>
        <v/>
      </c>
      <c r="E655" s="6">
        <f>BDP(A655&amp;" US Equity","PX_LAST")</f>
        <v/>
      </c>
      <c r="F655" s="5">
        <f>D655*E655</f>
        <v/>
      </c>
      <c r="G655">
        <f>AND(B655&gt;=50,B655&lt;=10000)</f>
        <v/>
      </c>
      <c r="H655">
        <f>OR(C655="NAS",C655="NYS",C655="ASE")</f>
        <v/>
      </c>
      <c r="I655">
        <f>F655&gt;=500000</f>
        <v/>
      </c>
      <c r="J655">
        <f>E655&gt;=2</f>
        <v/>
      </c>
      <c r="K655">
        <f>AND(G655,H655,I655,J655)</f>
        <v/>
      </c>
    </row>
    <row r="656">
      <c r="B656" s="5">
        <f>BDP(A656&amp;" US Equity","CUR_MKT_CAP")</f>
        <v/>
      </c>
      <c r="C656">
        <f>BDP(A656&amp;" US Equity","EXCH_CODE")</f>
        <v/>
      </c>
      <c r="D656" s="5">
        <f>BDP(A656&amp;" US Equity","VOLUME_AVG_20D")</f>
        <v/>
      </c>
      <c r="E656" s="6">
        <f>BDP(A656&amp;" US Equity","PX_LAST")</f>
        <v/>
      </c>
      <c r="F656" s="5">
        <f>D656*E656</f>
        <v/>
      </c>
      <c r="G656">
        <f>AND(B656&gt;=50,B656&lt;=10000)</f>
        <v/>
      </c>
      <c r="H656">
        <f>OR(C656="NAS",C656="NYS",C656="ASE")</f>
        <v/>
      </c>
      <c r="I656">
        <f>F656&gt;=500000</f>
        <v/>
      </c>
      <c r="J656">
        <f>E656&gt;=2</f>
        <v/>
      </c>
      <c r="K656">
        <f>AND(G656,H656,I656,J656)</f>
        <v/>
      </c>
    </row>
    <row r="657">
      <c r="B657" s="5">
        <f>BDP(A657&amp;" US Equity","CUR_MKT_CAP")</f>
        <v/>
      </c>
      <c r="C657">
        <f>BDP(A657&amp;" US Equity","EXCH_CODE")</f>
        <v/>
      </c>
      <c r="D657" s="5">
        <f>BDP(A657&amp;" US Equity","VOLUME_AVG_20D")</f>
        <v/>
      </c>
      <c r="E657" s="6">
        <f>BDP(A657&amp;" US Equity","PX_LAST")</f>
        <v/>
      </c>
      <c r="F657" s="5">
        <f>D657*E657</f>
        <v/>
      </c>
      <c r="G657">
        <f>AND(B657&gt;=50,B657&lt;=10000)</f>
        <v/>
      </c>
      <c r="H657">
        <f>OR(C657="NAS",C657="NYS",C657="ASE")</f>
        <v/>
      </c>
      <c r="I657">
        <f>F657&gt;=500000</f>
        <v/>
      </c>
      <c r="J657">
        <f>E657&gt;=2</f>
        <v/>
      </c>
      <c r="K657">
        <f>AND(G657,H657,I657,J657)</f>
        <v/>
      </c>
    </row>
    <row r="658">
      <c r="B658" s="5">
        <f>BDP(A658&amp;" US Equity","CUR_MKT_CAP")</f>
        <v/>
      </c>
      <c r="C658">
        <f>BDP(A658&amp;" US Equity","EXCH_CODE")</f>
        <v/>
      </c>
      <c r="D658" s="5">
        <f>BDP(A658&amp;" US Equity","VOLUME_AVG_20D")</f>
        <v/>
      </c>
      <c r="E658" s="6">
        <f>BDP(A658&amp;" US Equity","PX_LAST")</f>
        <v/>
      </c>
      <c r="F658" s="5">
        <f>D658*E658</f>
        <v/>
      </c>
      <c r="G658">
        <f>AND(B658&gt;=50,B658&lt;=10000)</f>
        <v/>
      </c>
      <c r="H658">
        <f>OR(C658="NAS",C658="NYS",C658="ASE")</f>
        <v/>
      </c>
      <c r="I658">
        <f>F658&gt;=500000</f>
        <v/>
      </c>
      <c r="J658">
        <f>E658&gt;=2</f>
        <v/>
      </c>
      <c r="K658">
        <f>AND(G658,H658,I658,J658)</f>
        <v/>
      </c>
    </row>
    <row r="659">
      <c r="B659" s="5">
        <f>BDP(A659&amp;" US Equity","CUR_MKT_CAP")</f>
        <v/>
      </c>
      <c r="C659">
        <f>BDP(A659&amp;" US Equity","EXCH_CODE")</f>
        <v/>
      </c>
      <c r="D659" s="5">
        <f>BDP(A659&amp;" US Equity","VOLUME_AVG_20D")</f>
        <v/>
      </c>
      <c r="E659" s="6">
        <f>BDP(A659&amp;" US Equity","PX_LAST")</f>
        <v/>
      </c>
      <c r="F659" s="5">
        <f>D659*E659</f>
        <v/>
      </c>
      <c r="G659">
        <f>AND(B659&gt;=50,B659&lt;=10000)</f>
        <v/>
      </c>
      <c r="H659">
        <f>OR(C659="NAS",C659="NYS",C659="ASE")</f>
        <v/>
      </c>
      <c r="I659">
        <f>F659&gt;=500000</f>
        <v/>
      </c>
      <c r="J659">
        <f>E659&gt;=2</f>
        <v/>
      </c>
      <c r="K659">
        <f>AND(G659,H659,I659,J659)</f>
        <v/>
      </c>
    </row>
    <row r="660">
      <c r="B660" s="5">
        <f>BDP(A660&amp;" US Equity","CUR_MKT_CAP")</f>
        <v/>
      </c>
      <c r="C660">
        <f>BDP(A660&amp;" US Equity","EXCH_CODE")</f>
        <v/>
      </c>
      <c r="D660" s="5">
        <f>BDP(A660&amp;" US Equity","VOLUME_AVG_20D")</f>
        <v/>
      </c>
      <c r="E660" s="6">
        <f>BDP(A660&amp;" US Equity","PX_LAST")</f>
        <v/>
      </c>
      <c r="F660" s="5">
        <f>D660*E660</f>
        <v/>
      </c>
      <c r="G660">
        <f>AND(B660&gt;=50,B660&lt;=10000)</f>
        <v/>
      </c>
      <c r="H660">
        <f>OR(C660="NAS",C660="NYS",C660="ASE")</f>
        <v/>
      </c>
      <c r="I660">
        <f>F660&gt;=500000</f>
        <v/>
      </c>
      <c r="J660">
        <f>E660&gt;=2</f>
        <v/>
      </c>
      <c r="K660">
        <f>AND(G660,H660,I660,J660)</f>
        <v/>
      </c>
    </row>
    <row r="661">
      <c r="B661" s="5">
        <f>BDP(A661&amp;" US Equity","CUR_MKT_CAP")</f>
        <v/>
      </c>
      <c r="C661">
        <f>BDP(A661&amp;" US Equity","EXCH_CODE")</f>
        <v/>
      </c>
      <c r="D661" s="5">
        <f>BDP(A661&amp;" US Equity","VOLUME_AVG_20D")</f>
        <v/>
      </c>
      <c r="E661" s="6">
        <f>BDP(A661&amp;" US Equity","PX_LAST")</f>
        <v/>
      </c>
      <c r="F661" s="5">
        <f>D661*E661</f>
        <v/>
      </c>
      <c r="G661">
        <f>AND(B661&gt;=50,B661&lt;=10000)</f>
        <v/>
      </c>
      <c r="H661">
        <f>OR(C661="NAS",C661="NYS",C661="ASE")</f>
        <v/>
      </c>
      <c r="I661">
        <f>F661&gt;=500000</f>
        <v/>
      </c>
      <c r="J661">
        <f>E661&gt;=2</f>
        <v/>
      </c>
      <c r="K661">
        <f>AND(G661,H661,I661,J661)</f>
        <v/>
      </c>
    </row>
    <row r="662">
      <c r="B662" s="5">
        <f>BDP(A662&amp;" US Equity","CUR_MKT_CAP")</f>
        <v/>
      </c>
      <c r="C662">
        <f>BDP(A662&amp;" US Equity","EXCH_CODE")</f>
        <v/>
      </c>
      <c r="D662" s="5">
        <f>BDP(A662&amp;" US Equity","VOLUME_AVG_20D")</f>
        <v/>
      </c>
      <c r="E662" s="6">
        <f>BDP(A662&amp;" US Equity","PX_LAST")</f>
        <v/>
      </c>
      <c r="F662" s="5">
        <f>D662*E662</f>
        <v/>
      </c>
      <c r="G662">
        <f>AND(B662&gt;=50,B662&lt;=10000)</f>
        <v/>
      </c>
      <c r="H662">
        <f>OR(C662="NAS",C662="NYS",C662="ASE")</f>
        <v/>
      </c>
      <c r="I662">
        <f>F662&gt;=500000</f>
        <v/>
      </c>
      <c r="J662">
        <f>E662&gt;=2</f>
        <v/>
      </c>
      <c r="K662">
        <f>AND(G662,H662,I662,J662)</f>
        <v/>
      </c>
    </row>
    <row r="663">
      <c r="B663" s="5">
        <f>BDP(A663&amp;" US Equity","CUR_MKT_CAP")</f>
        <v/>
      </c>
      <c r="C663">
        <f>BDP(A663&amp;" US Equity","EXCH_CODE")</f>
        <v/>
      </c>
      <c r="D663" s="5">
        <f>BDP(A663&amp;" US Equity","VOLUME_AVG_20D")</f>
        <v/>
      </c>
      <c r="E663" s="6">
        <f>BDP(A663&amp;" US Equity","PX_LAST")</f>
        <v/>
      </c>
      <c r="F663" s="5">
        <f>D663*E663</f>
        <v/>
      </c>
      <c r="G663">
        <f>AND(B663&gt;=50,B663&lt;=10000)</f>
        <v/>
      </c>
      <c r="H663">
        <f>OR(C663="NAS",C663="NYS",C663="ASE")</f>
        <v/>
      </c>
      <c r="I663">
        <f>F663&gt;=500000</f>
        <v/>
      </c>
      <c r="J663">
        <f>E663&gt;=2</f>
        <v/>
      </c>
      <c r="K663">
        <f>AND(G663,H663,I663,J663)</f>
        <v/>
      </c>
    </row>
    <row r="664">
      <c r="B664" s="5">
        <f>BDP(A664&amp;" US Equity","CUR_MKT_CAP")</f>
        <v/>
      </c>
      <c r="C664">
        <f>BDP(A664&amp;" US Equity","EXCH_CODE")</f>
        <v/>
      </c>
      <c r="D664" s="5">
        <f>BDP(A664&amp;" US Equity","VOLUME_AVG_20D")</f>
        <v/>
      </c>
      <c r="E664" s="6">
        <f>BDP(A664&amp;" US Equity","PX_LAST")</f>
        <v/>
      </c>
      <c r="F664" s="5">
        <f>D664*E664</f>
        <v/>
      </c>
      <c r="G664">
        <f>AND(B664&gt;=50,B664&lt;=10000)</f>
        <v/>
      </c>
      <c r="H664">
        <f>OR(C664="NAS",C664="NYS",C664="ASE")</f>
        <v/>
      </c>
      <c r="I664">
        <f>F664&gt;=500000</f>
        <v/>
      </c>
      <c r="J664">
        <f>E664&gt;=2</f>
        <v/>
      </c>
      <c r="K664">
        <f>AND(G664,H664,I664,J664)</f>
        <v/>
      </c>
    </row>
    <row r="665">
      <c r="B665" s="5">
        <f>BDP(A665&amp;" US Equity","CUR_MKT_CAP")</f>
        <v/>
      </c>
      <c r="C665">
        <f>BDP(A665&amp;" US Equity","EXCH_CODE")</f>
        <v/>
      </c>
      <c r="D665" s="5">
        <f>BDP(A665&amp;" US Equity","VOLUME_AVG_20D")</f>
        <v/>
      </c>
      <c r="E665" s="6">
        <f>BDP(A665&amp;" US Equity","PX_LAST")</f>
        <v/>
      </c>
      <c r="F665" s="5">
        <f>D665*E665</f>
        <v/>
      </c>
      <c r="G665">
        <f>AND(B665&gt;=50,B665&lt;=10000)</f>
        <v/>
      </c>
      <c r="H665">
        <f>OR(C665="NAS",C665="NYS",C665="ASE")</f>
        <v/>
      </c>
      <c r="I665">
        <f>F665&gt;=500000</f>
        <v/>
      </c>
      <c r="J665">
        <f>E665&gt;=2</f>
        <v/>
      </c>
      <c r="K665">
        <f>AND(G665,H665,I665,J665)</f>
        <v/>
      </c>
    </row>
    <row r="666">
      <c r="B666" s="5">
        <f>BDP(A666&amp;" US Equity","CUR_MKT_CAP")</f>
        <v/>
      </c>
      <c r="C666">
        <f>BDP(A666&amp;" US Equity","EXCH_CODE")</f>
        <v/>
      </c>
      <c r="D666" s="5">
        <f>BDP(A666&amp;" US Equity","VOLUME_AVG_20D")</f>
        <v/>
      </c>
      <c r="E666" s="6">
        <f>BDP(A666&amp;" US Equity","PX_LAST")</f>
        <v/>
      </c>
      <c r="F666" s="5">
        <f>D666*E666</f>
        <v/>
      </c>
      <c r="G666">
        <f>AND(B666&gt;=50,B666&lt;=10000)</f>
        <v/>
      </c>
      <c r="H666">
        <f>OR(C666="NAS",C666="NYS",C666="ASE")</f>
        <v/>
      </c>
      <c r="I666">
        <f>F666&gt;=500000</f>
        <v/>
      </c>
      <c r="J666">
        <f>E666&gt;=2</f>
        <v/>
      </c>
      <c r="K666">
        <f>AND(G666,H666,I666,J666)</f>
        <v/>
      </c>
    </row>
    <row r="667">
      <c r="B667" s="5">
        <f>BDP(A667&amp;" US Equity","CUR_MKT_CAP")</f>
        <v/>
      </c>
      <c r="C667">
        <f>BDP(A667&amp;" US Equity","EXCH_CODE")</f>
        <v/>
      </c>
      <c r="D667" s="5">
        <f>BDP(A667&amp;" US Equity","VOLUME_AVG_20D")</f>
        <v/>
      </c>
      <c r="E667" s="6">
        <f>BDP(A667&amp;" US Equity","PX_LAST")</f>
        <v/>
      </c>
      <c r="F667" s="5">
        <f>D667*E667</f>
        <v/>
      </c>
      <c r="G667">
        <f>AND(B667&gt;=50,B667&lt;=10000)</f>
        <v/>
      </c>
      <c r="H667">
        <f>OR(C667="NAS",C667="NYS",C667="ASE")</f>
        <v/>
      </c>
      <c r="I667">
        <f>F667&gt;=500000</f>
        <v/>
      </c>
      <c r="J667">
        <f>E667&gt;=2</f>
        <v/>
      </c>
      <c r="K667">
        <f>AND(G667,H667,I667,J667)</f>
        <v/>
      </c>
    </row>
    <row r="668">
      <c r="B668" s="5">
        <f>BDP(A668&amp;" US Equity","CUR_MKT_CAP")</f>
        <v/>
      </c>
      <c r="C668">
        <f>BDP(A668&amp;" US Equity","EXCH_CODE")</f>
        <v/>
      </c>
      <c r="D668" s="5">
        <f>BDP(A668&amp;" US Equity","VOLUME_AVG_20D")</f>
        <v/>
      </c>
      <c r="E668" s="6">
        <f>BDP(A668&amp;" US Equity","PX_LAST")</f>
        <v/>
      </c>
      <c r="F668" s="5">
        <f>D668*E668</f>
        <v/>
      </c>
      <c r="G668">
        <f>AND(B668&gt;=50,B668&lt;=10000)</f>
        <v/>
      </c>
      <c r="H668">
        <f>OR(C668="NAS",C668="NYS",C668="ASE")</f>
        <v/>
      </c>
      <c r="I668">
        <f>F668&gt;=500000</f>
        <v/>
      </c>
      <c r="J668">
        <f>E668&gt;=2</f>
        <v/>
      </c>
      <c r="K668">
        <f>AND(G668,H668,I668,J668)</f>
        <v/>
      </c>
    </row>
    <row r="669">
      <c r="B669" s="5">
        <f>BDP(A669&amp;" US Equity","CUR_MKT_CAP")</f>
        <v/>
      </c>
      <c r="C669">
        <f>BDP(A669&amp;" US Equity","EXCH_CODE")</f>
        <v/>
      </c>
      <c r="D669" s="5">
        <f>BDP(A669&amp;" US Equity","VOLUME_AVG_20D")</f>
        <v/>
      </c>
      <c r="E669" s="6">
        <f>BDP(A669&amp;" US Equity","PX_LAST")</f>
        <v/>
      </c>
      <c r="F669" s="5">
        <f>D669*E669</f>
        <v/>
      </c>
      <c r="G669">
        <f>AND(B669&gt;=50,B669&lt;=10000)</f>
        <v/>
      </c>
      <c r="H669">
        <f>OR(C669="NAS",C669="NYS",C669="ASE")</f>
        <v/>
      </c>
      <c r="I669">
        <f>F669&gt;=500000</f>
        <v/>
      </c>
      <c r="J669">
        <f>E669&gt;=2</f>
        <v/>
      </c>
      <c r="K669">
        <f>AND(G669,H669,I669,J669)</f>
        <v/>
      </c>
    </row>
    <row r="670">
      <c r="B670" s="5">
        <f>BDP(A670&amp;" US Equity","CUR_MKT_CAP")</f>
        <v/>
      </c>
      <c r="C670">
        <f>BDP(A670&amp;" US Equity","EXCH_CODE")</f>
        <v/>
      </c>
      <c r="D670" s="5">
        <f>BDP(A670&amp;" US Equity","VOLUME_AVG_20D")</f>
        <v/>
      </c>
      <c r="E670" s="6">
        <f>BDP(A670&amp;" US Equity","PX_LAST")</f>
        <v/>
      </c>
      <c r="F670" s="5">
        <f>D670*E670</f>
        <v/>
      </c>
      <c r="G670">
        <f>AND(B670&gt;=50,B670&lt;=10000)</f>
        <v/>
      </c>
      <c r="H670">
        <f>OR(C670="NAS",C670="NYS",C670="ASE")</f>
        <v/>
      </c>
      <c r="I670">
        <f>F670&gt;=500000</f>
        <v/>
      </c>
      <c r="J670">
        <f>E670&gt;=2</f>
        <v/>
      </c>
      <c r="K670">
        <f>AND(G670,H670,I670,J670)</f>
        <v/>
      </c>
    </row>
    <row r="671">
      <c r="B671" s="5">
        <f>BDP(A671&amp;" US Equity","CUR_MKT_CAP")</f>
        <v/>
      </c>
      <c r="C671">
        <f>BDP(A671&amp;" US Equity","EXCH_CODE")</f>
        <v/>
      </c>
      <c r="D671" s="5">
        <f>BDP(A671&amp;" US Equity","VOLUME_AVG_20D")</f>
        <v/>
      </c>
      <c r="E671" s="6">
        <f>BDP(A671&amp;" US Equity","PX_LAST")</f>
        <v/>
      </c>
      <c r="F671" s="5">
        <f>D671*E671</f>
        <v/>
      </c>
      <c r="G671">
        <f>AND(B671&gt;=50,B671&lt;=10000)</f>
        <v/>
      </c>
      <c r="H671">
        <f>OR(C671="NAS",C671="NYS",C671="ASE")</f>
        <v/>
      </c>
      <c r="I671">
        <f>F671&gt;=500000</f>
        <v/>
      </c>
      <c r="J671">
        <f>E671&gt;=2</f>
        <v/>
      </c>
      <c r="K671">
        <f>AND(G671,H671,I671,J671)</f>
        <v/>
      </c>
    </row>
    <row r="672">
      <c r="B672" s="5">
        <f>BDP(A672&amp;" US Equity","CUR_MKT_CAP")</f>
        <v/>
      </c>
      <c r="C672">
        <f>BDP(A672&amp;" US Equity","EXCH_CODE")</f>
        <v/>
      </c>
      <c r="D672" s="5">
        <f>BDP(A672&amp;" US Equity","VOLUME_AVG_20D")</f>
        <v/>
      </c>
      <c r="E672" s="6">
        <f>BDP(A672&amp;" US Equity","PX_LAST")</f>
        <v/>
      </c>
      <c r="F672" s="5">
        <f>D672*E672</f>
        <v/>
      </c>
      <c r="G672">
        <f>AND(B672&gt;=50,B672&lt;=10000)</f>
        <v/>
      </c>
      <c r="H672">
        <f>OR(C672="NAS",C672="NYS",C672="ASE")</f>
        <v/>
      </c>
      <c r="I672">
        <f>F672&gt;=500000</f>
        <v/>
      </c>
      <c r="J672">
        <f>E672&gt;=2</f>
        <v/>
      </c>
      <c r="K672">
        <f>AND(G672,H672,I672,J672)</f>
        <v/>
      </c>
    </row>
    <row r="673">
      <c r="B673" s="5">
        <f>BDP(A673&amp;" US Equity","CUR_MKT_CAP")</f>
        <v/>
      </c>
      <c r="C673">
        <f>BDP(A673&amp;" US Equity","EXCH_CODE")</f>
        <v/>
      </c>
      <c r="D673" s="5">
        <f>BDP(A673&amp;" US Equity","VOLUME_AVG_20D")</f>
        <v/>
      </c>
      <c r="E673" s="6">
        <f>BDP(A673&amp;" US Equity","PX_LAST")</f>
        <v/>
      </c>
      <c r="F673" s="5">
        <f>D673*E673</f>
        <v/>
      </c>
      <c r="G673">
        <f>AND(B673&gt;=50,B673&lt;=10000)</f>
        <v/>
      </c>
      <c r="H673">
        <f>OR(C673="NAS",C673="NYS",C673="ASE")</f>
        <v/>
      </c>
      <c r="I673">
        <f>F673&gt;=500000</f>
        <v/>
      </c>
      <c r="J673">
        <f>E673&gt;=2</f>
        <v/>
      </c>
      <c r="K673">
        <f>AND(G673,H673,I673,J673)</f>
        <v/>
      </c>
    </row>
    <row r="674">
      <c r="B674" s="5">
        <f>BDP(A674&amp;" US Equity","CUR_MKT_CAP")</f>
        <v/>
      </c>
      <c r="C674">
        <f>BDP(A674&amp;" US Equity","EXCH_CODE")</f>
        <v/>
      </c>
      <c r="D674" s="5">
        <f>BDP(A674&amp;" US Equity","VOLUME_AVG_20D")</f>
        <v/>
      </c>
      <c r="E674" s="6">
        <f>BDP(A674&amp;" US Equity","PX_LAST")</f>
        <v/>
      </c>
      <c r="F674" s="5">
        <f>D674*E674</f>
        <v/>
      </c>
      <c r="G674">
        <f>AND(B674&gt;=50,B674&lt;=10000)</f>
        <v/>
      </c>
      <c r="H674">
        <f>OR(C674="NAS",C674="NYS",C674="ASE")</f>
        <v/>
      </c>
      <c r="I674">
        <f>F674&gt;=500000</f>
        <v/>
      </c>
      <c r="J674">
        <f>E674&gt;=2</f>
        <v/>
      </c>
      <c r="K674">
        <f>AND(G674,H674,I674,J674)</f>
        <v/>
      </c>
    </row>
    <row r="675">
      <c r="B675" s="5">
        <f>BDP(A675&amp;" US Equity","CUR_MKT_CAP")</f>
        <v/>
      </c>
      <c r="C675">
        <f>BDP(A675&amp;" US Equity","EXCH_CODE")</f>
        <v/>
      </c>
      <c r="D675" s="5">
        <f>BDP(A675&amp;" US Equity","VOLUME_AVG_20D")</f>
        <v/>
      </c>
      <c r="E675" s="6">
        <f>BDP(A675&amp;" US Equity","PX_LAST")</f>
        <v/>
      </c>
      <c r="F675" s="5">
        <f>D675*E675</f>
        <v/>
      </c>
      <c r="G675">
        <f>AND(B675&gt;=50,B675&lt;=10000)</f>
        <v/>
      </c>
      <c r="H675">
        <f>OR(C675="NAS",C675="NYS",C675="ASE")</f>
        <v/>
      </c>
      <c r="I675">
        <f>F675&gt;=500000</f>
        <v/>
      </c>
      <c r="J675">
        <f>E675&gt;=2</f>
        <v/>
      </c>
      <c r="K675">
        <f>AND(G675,H675,I675,J675)</f>
        <v/>
      </c>
    </row>
    <row r="676">
      <c r="B676" s="5">
        <f>BDP(A676&amp;" US Equity","CUR_MKT_CAP")</f>
        <v/>
      </c>
      <c r="C676">
        <f>BDP(A676&amp;" US Equity","EXCH_CODE")</f>
        <v/>
      </c>
      <c r="D676" s="5">
        <f>BDP(A676&amp;" US Equity","VOLUME_AVG_20D")</f>
        <v/>
      </c>
      <c r="E676" s="6">
        <f>BDP(A676&amp;" US Equity","PX_LAST")</f>
        <v/>
      </c>
      <c r="F676" s="5">
        <f>D676*E676</f>
        <v/>
      </c>
      <c r="G676">
        <f>AND(B676&gt;=50,B676&lt;=10000)</f>
        <v/>
      </c>
      <c r="H676">
        <f>OR(C676="NAS",C676="NYS",C676="ASE")</f>
        <v/>
      </c>
      <c r="I676">
        <f>F676&gt;=500000</f>
        <v/>
      </c>
      <c r="J676">
        <f>E676&gt;=2</f>
        <v/>
      </c>
      <c r="K676">
        <f>AND(G676,H676,I676,J676)</f>
        <v/>
      </c>
    </row>
    <row r="677">
      <c r="B677" s="5">
        <f>BDP(A677&amp;" US Equity","CUR_MKT_CAP")</f>
        <v/>
      </c>
      <c r="C677">
        <f>BDP(A677&amp;" US Equity","EXCH_CODE")</f>
        <v/>
      </c>
      <c r="D677" s="5">
        <f>BDP(A677&amp;" US Equity","VOLUME_AVG_20D")</f>
        <v/>
      </c>
      <c r="E677" s="6">
        <f>BDP(A677&amp;" US Equity","PX_LAST")</f>
        <v/>
      </c>
      <c r="F677" s="5">
        <f>D677*E677</f>
        <v/>
      </c>
      <c r="G677">
        <f>AND(B677&gt;=50,B677&lt;=10000)</f>
        <v/>
      </c>
      <c r="H677">
        <f>OR(C677="NAS",C677="NYS",C677="ASE")</f>
        <v/>
      </c>
      <c r="I677">
        <f>F677&gt;=500000</f>
        <v/>
      </c>
      <c r="J677">
        <f>E677&gt;=2</f>
        <v/>
      </c>
      <c r="K677">
        <f>AND(G677,H677,I677,J677)</f>
        <v/>
      </c>
    </row>
    <row r="678">
      <c r="B678" s="5">
        <f>BDP(A678&amp;" US Equity","CUR_MKT_CAP")</f>
        <v/>
      </c>
      <c r="C678">
        <f>BDP(A678&amp;" US Equity","EXCH_CODE")</f>
        <v/>
      </c>
      <c r="D678" s="5">
        <f>BDP(A678&amp;" US Equity","VOLUME_AVG_20D")</f>
        <v/>
      </c>
      <c r="E678" s="6">
        <f>BDP(A678&amp;" US Equity","PX_LAST")</f>
        <v/>
      </c>
      <c r="F678" s="5">
        <f>D678*E678</f>
        <v/>
      </c>
      <c r="G678">
        <f>AND(B678&gt;=50,B678&lt;=10000)</f>
        <v/>
      </c>
      <c r="H678">
        <f>OR(C678="NAS",C678="NYS",C678="ASE")</f>
        <v/>
      </c>
      <c r="I678">
        <f>F678&gt;=500000</f>
        <v/>
      </c>
      <c r="J678">
        <f>E678&gt;=2</f>
        <v/>
      </c>
      <c r="K678">
        <f>AND(G678,H678,I678,J678)</f>
        <v/>
      </c>
    </row>
    <row r="679">
      <c r="B679" s="5">
        <f>BDP(A679&amp;" US Equity","CUR_MKT_CAP")</f>
        <v/>
      </c>
      <c r="C679">
        <f>BDP(A679&amp;" US Equity","EXCH_CODE")</f>
        <v/>
      </c>
      <c r="D679" s="5">
        <f>BDP(A679&amp;" US Equity","VOLUME_AVG_20D")</f>
        <v/>
      </c>
      <c r="E679" s="6">
        <f>BDP(A679&amp;" US Equity","PX_LAST")</f>
        <v/>
      </c>
      <c r="F679" s="5">
        <f>D679*E679</f>
        <v/>
      </c>
      <c r="G679">
        <f>AND(B679&gt;=50,B679&lt;=10000)</f>
        <v/>
      </c>
      <c r="H679">
        <f>OR(C679="NAS",C679="NYS",C679="ASE")</f>
        <v/>
      </c>
      <c r="I679">
        <f>F679&gt;=500000</f>
        <v/>
      </c>
      <c r="J679">
        <f>E679&gt;=2</f>
        <v/>
      </c>
      <c r="K679">
        <f>AND(G679,H679,I679,J679)</f>
        <v/>
      </c>
    </row>
    <row r="680">
      <c r="B680" s="5">
        <f>BDP(A680&amp;" US Equity","CUR_MKT_CAP")</f>
        <v/>
      </c>
      <c r="C680">
        <f>BDP(A680&amp;" US Equity","EXCH_CODE")</f>
        <v/>
      </c>
      <c r="D680" s="5">
        <f>BDP(A680&amp;" US Equity","VOLUME_AVG_20D")</f>
        <v/>
      </c>
      <c r="E680" s="6">
        <f>BDP(A680&amp;" US Equity","PX_LAST")</f>
        <v/>
      </c>
      <c r="F680" s="5">
        <f>D680*E680</f>
        <v/>
      </c>
      <c r="G680">
        <f>AND(B680&gt;=50,B680&lt;=10000)</f>
        <v/>
      </c>
      <c r="H680">
        <f>OR(C680="NAS",C680="NYS",C680="ASE")</f>
        <v/>
      </c>
      <c r="I680">
        <f>F680&gt;=500000</f>
        <v/>
      </c>
      <c r="J680">
        <f>E680&gt;=2</f>
        <v/>
      </c>
      <c r="K680">
        <f>AND(G680,H680,I680,J680)</f>
        <v/>
      </c>
    </row>
    <row r="681">
      <c r="B681" s="5">
        <f>BDP(A681&amp;" US Equity","CUR_MKT_CAP")</f>
        <v/>
      </c>
      <c r="C681">
        <f>BDP(A681&amp;" US Equity","EXCH_CODE")</f>
        <v/>
      </c>
      <c r="D681" s="5">
        <f>BDP(A681&amp;" US Equity","VOLUME_AVG_20D")</f>
        <v/>
      </c>
      <c r="E681" s="6">
        <f>BDP(A681&amp;" US Equity","PX_LAST")</f>
        <v/>
      </c>
      <c r="F681" s="5">
        <f>D681*E681</f>
        <v/>
      </c>
      <c r="G681">
        <f>AND(B681&gt;=50,B681&lt;=10000)</f>
        <v/>
      </c>
      <c r="H681">
        <f>OR(C681="NAS",C681="NYS",C681="ASE")</f>
        <v/>
      </c>
      <c r="I681">
        <f>F681&gt;=500000</f>
        <v/>
      </c>
      <c r="J681">
        <f>E681&gt;=2</f>
        <v/>
      </c>
      <c r="K681">
        <f>AND(G681,H681,I681,J681)</f>
        <v/>
      </c>
    </row>
    <row r="682">
      <c r="B682" s="5">
        <f>BDP(A682&amp;" US Equity","CUR_MKT_CAP")</f>
        <v/>
      </c>
      <c r="C682">
        <f>BDP(A682&amp;" US Equity","EXCH_CODE")</f>
        <v/>
      </c>
      <c r="D682" s="5">
        <f>BDP(A682&amp;" US Equity","VOLUME_AVG_20D")</f>
        <v/>
      </c>
      <c r="E682" s="6">
        <f>BDP(A682&amp;" US Equity","PX_LAST")</f>
        <v/>
      </c>
      <c r="F682" s="5">
        <f>D682*E682</f>
        <v/>
      </c>
      <c r="G682">
        <f>AND(B682&gt;=50,B682&lt;=10000)</f>
        <v/>
      </c>
      <c r="H682">
        <f>OR(C682="NAS",C682="NYS",C682="ASE")</f>
        <v/>
      </c>
      <c r="I682">
        <f>F682&gt;=500000</f>
        <v/>
      </c>
      <c r="J682">
        <f>E682&gt;=2</f>
        <v/>
      </c>
      <c r="K682">
        <f>AND(G682,H682,I682,J682)</f>
        <v/>
      </c>
    </row>
    <row r="683">
      <c r="B683" s="5">
        <f>BDP(A683&amp;" US Equity","CUR_MKT_CAP")</f>
        <v/>
      </c>
      <c r="C683">
        <f>BDP(A683&amp;" US Equity","EXCH_CODE")</f>
        <v/>
      </c>
      <c r="D683" s="5">
        <f>BDP(A683&amp;" US Equity","VOLUME_AVG_20D")</f>
        <v/>
      </c>
      <c r="E683" s="6">
        <f>BDP(A683&amp;" US Equity","PX_LAST")</f>
        <v/>
      </c>
      <c r="F683" s="5">
        <f>D683*E683</f>
        <v/>
      </c>
      <c r="G683">
        <f>AND(B683&gt;=50,B683&lt;=10000)</f>
        <v/>
      </c>
      <c r="H683">
        <f>OR(C683="NAS",C683="NYS",C683="ASE")</f>
        <v/>
      </c>
      <c r="I683">
        <f>F683&gt;=500000</f>
        <v/>
      </c>
      <c r="J683">
        <f>E683&gt;=2</f>
        <v/>
      </c>
      <c r="K683">
        <f>AND(G683,H683,I683,J683)</f>
        <v/>
      </c>
    </row>
    <row r="684">
      <c r="B684" s="5">
        <f>BDP(A684&amp;" US Equity","CUR_MKT_CAP")</f>
        <v/>
      </c>
      <c r="C684">
        <f>BDP(A684&amp;" US Equity","EXCH_CODE")</f>
        <v/>
      </c>
      <c r="D684" s="5">
        <f>BDP(A684&amp;" US Equity","VOLUME_AVG_20D")</f>
        <v/>
      </c>
      <c r="E684" s="6">
        <f>BDP(A684&amp;" US Equity","PX_LAST")</f>
        <v/>
      </c>
      <c r="F684" s="5">
        <f>D684*E684</f>
        <v/>
      </c>
      <c r="G684">
        <f>AND(B684&gt;=50,B684&lt;=10000)</f>
        <v/>
      </c>
      <c r="H684">
        <f>OR(C684="NAS",C684="NYS",C684="ASE")</f>
        <v/>
      </c>
      <c r="I684">
        <f>F684&gt;=500000</f>
        <v/>
      </c>
      <c r="J684">
        <f>E684&gt;=2</f>
        <v/>
      </c>
      <c r="K684">
        <f>AND(G684,H684,I684,J684)</f>
        <v/>
      </c>
    </row>
    <row r="685">
      <c r="B685" s="5">
        <f>BDP(A685&amp;" US Equity","CUR_MKT_CAP")</f>
        <v/>
      </c>
      <c r="C685">
        <f>BDP(A685&amp;" US Equity","EXCH_CODE")</f>
        <v/>
      </c>
      <c r="D685" s="5">
        <f>BDP(A685&amp;" US Equity","VOLUME_AVG_20D")</f>
        <v/>
      </c>
      <c r="E685" s="6">
        <f>BDP(A685&amp;" US Equity","PX_LAST")</f>
        <v/>
      </c>
      <c r="F685" s="5">
        <f>D685*E685</f>
        <v/>
      </c>
      <c r="G685">
        <f>AND(B685&gt;=50,B685&lt;=10000)</f>
        <v/>
      </c>
      <c r="H685">
        <f>OR(C685="NAS",C685="NYS",C685="ASE")</f>
        <v/>
      </c>
      <c r="I685">
        <f>F685&gt;=500000</f>
        <v/>
      </c>
      <c r="J685">
        <f>E685&gt;=2</f>
        <v/>
      </c>
      <c r="K685">
        <f>AND(G685,H685,I685,J685)</f>
        <v/>
      </c>
    </row>
    <row r="686">
      <c r="B686" s="5">
        <f>BDP(A686&amp;" US Equity","CUR_MKT_CAP")</f>
        <v/>
      </c>
      <c r="C686">
        <f>BDP(A686&amp;" US Equity","EXCH_CODE")</f>
        <v/>
      </c>
      <c r="D686" s="5">
        <f>BDP(A686&amp;" US Equity","VOLUME_AVG_20D")</f>
        <v/>
      </c>
      <c r="E686" s="6">
        <f>BDP(A686&amp;" US Equity","PX_LAST")</f>
        <v/>
      </c>
      <c r="F686" s="5">
        <f>D686*E686</f>
        <v/>
      </c>
      <c r="G686">
        <f>AND(B686&gt;=50,B686&lt;=10000)</f>
        <v/>
      </c>
      <c r="H686">
        <f>OR(C686="NAS",C686="NYS",C686="ASE")</f>
        <v/>
      </c>
      <c r="I686">
        <f>F686&gt;=500000</f>
        <v/>
      </c>
      <c r="J686">
        <f>E686&gt;=2</f>
        <v/>
      </c>
      <c r="K686">
        <f>AND(G686,H686,I686,J686)</f>
        <v/>
      </c>
    </row>
    <row r="687">
      <c r="B687" s="5">
        <f>BDP(A687&amp;" US Equity","CUR_MKT_CAP")</f>
        <v/>
      </c>
      <c r="C687">
        <f>BDP(A687&amp;" US Equity","EXCH_CODE")</f>
        <v/>
      </c>
      <c r="D687" s="5">
        <f>BDP(A687&amp;" US Equity","VOLUME_AVG_20D")</f>
        <v/>
      </c>
      <c r="E687" s="6">
        <f>BDP(A687&amp;" US Equity","PX_LAST")</f>
        <v/>
      </c>
      <c r="F687" s="5">
        <f>D687*E687</f>
        <v/>
      </c>
      <c r="G687">
        <f>AND(B687&gt;=50,B687&lt;=10000)</f>
        <v/>
      </c>
      <c r="H687">
        <f>OR(C687="NAS",C687="NYS",C687="ASE")</f>
        <v/>
      </c>
      <c r="I687">
        <f>F687&gt;=500000</f>
        <v/>
      </c>
      <c r="J687">
        <f>E687&gt;=2</f>
        <v/>
      </c>
      <c r="K687">
        <f>AND(G687,H687,I687,J687)</f>
        <v/>
      </c>
    </row>
    <row r="688">
      <c r="B688" s="5">
        <f>BDP(A688&amp;" US Equity","CUR_MKT_CAP")</f>
        <v/>
      </c>
      <c r="C688">
        <f>BDP(A688&amp;" US Equity","EXCH_CODE")</f>
        <v/>
      </c>
      <c r="D688" s="5">
        <f>BDP(A688&amp;" US Equity","VOLUME_AVG_20D")</f>
        <v/>
      </c>
      <c r="E688" s="6">
        <f>BDP(A688&amp;" US Equity","PX_LAST")</f>
        <v/>
      </c>
      <c r="F688" s="5">
        <f>D688*E688</f>
        <v/>
      </c>
      <c r="G688">
        <f>AND(B688&gt;=50,B688&lt;=10000)</f>
        <v/>
      </c>
      <c r="H688">
        <f>OR(C688="NAS",C688="NYS",C688="ASE")</f>
        <v/>
      </c>
      <c r="I688">
        <f>F688&gt;=500000</f>
        <v/>
      </c>
      <c r="J688">
        <f>E688&gt;=2</f>
        <v/>
      </c>
      <c r="K688">
        <f>AND(G688,H688,I688,J688)</f>
        <v/>
      </c>
    </row>
    <row r="689">
      <c r="B689" s="5">
        <f>BDP(A689&amp;" US Equity","CUR_MKT_CAP")</f>
        <v/>
      </c>
      <c r="C689">
        <f>BDP(A689&amp;" US Equity","EXCH_CODE")</f>
        <v/>
      </c>
      <c r="D689" s="5">
        <f>BDP(A689&amp;" US Equity","VOLUME_AVG_20D")</f>
        <v/>
      </c>
      <c r="E689" s="6">
        <f>BDP(A689&amp;" US Equity","PX_LAST")</f>
        <v/>
      </c>
      <c r="F689" s="5">
        <f>D689*E689</f>
        <v/>
      </c>
      <c r="G689">
        <f>AND(B689&gt;=50,B689&lt;=10000)</f>
        <v/>
      </c>
      <c r="H689">
        <f>OR(C689="NAS",C689="NYS",C689="ASE")</f>
        <v/>
      </c>
      <c r="I689">
        <f>F689&gt;=500000</f>
        <v/>
      </c>
      <c r="J689">
        <f>E689&gt;=2</f>
        <v/>
      </c>
      <c r="K689">
        <f>AND(G689,H689,I689,J689)</f>
        <v/>
      </c>
    </row>
    <row r="690">
      <c r="B690" s="5">
        <f>BDP(A690&amp;" US Equity","CUR_MKT_CAP")</f>
        <v/>
      </c>
      <c r="C690">
        <f>BDP(A690&amp;" US Equity","EXCH_CODE")</f>
        <v/>
      </c>
      <c r="D690" s="5">
        <f>BDP(A690&amp;" US Equity","VOLUME_AVG_20D")</f>
        <v/>
      </c>
      <c r="E690" s="6">
        <f>BDP(A690&amp;" US Equity","PX_LAST")</f>
        <v/>
      </c>
      <c r="F690" s="5">
        <f>D690*E690</f>
        <v/>
      </c>
      <c r="G690">
        <f>AND(B690&gt;=50,B690&lt;=10000)</f>
        <v/>
      </c>
      <c r="H690">
        <f>OR(C690="NAS",C690="NYS",C690="ASE")</f>
        <v/>
      </c>
      <c r="I690">
        <f>F690&gt;=500000</f>
        <v/>
      </c>
      <c r="J690">
        <f>E690&gt;=2</f>
        <v/>
      </c>
      <c r="K690">
        <f>AND(G690,H690,I690,J690)</f>
        <v/>
      </c>
    </row>
    <row r="691">
      <c r="B691" s="5">
        <f>BDP(A691&amp;" US Equity","CUR_MKT_CAP")</f>
        <v/>
      </c>
      <c r="C691">
        <f>BDP(A691&amp;" US Equity","EXCH_CODE")</f>
        <v/>
      </c>
      <c r="D691" s="5">
        <f>BDP(A691&amp;" US Equity","VOLUME_AVG_20D")</f>
        <v/>
      </c>
      <c r="E691" s="6">
        <f>BDP(A691&amp;" US Equity","PX_LAST")</f>
        <v/>
      </c>
      <c r="F691" s="5">
        <f>D691*E691</f>
        <v/>
      </c>
      <c r="G691">
        <f>AND(B691&gt;=50,B691&lt;=10000)</f>
        <v/>
      </c>
      <c r="H691">
        <f>OR(C691="NAS",C691="NYS",C691="ASE")</f>
        <v/>
      </c>
      <c r="I691">
        <f>F691&gt;=500000</f>
        <v/>
      </c>
      <c r="J691">
        <f>E691&gt;=2</f>
        <v/>
      </c>
      <c r="K691">
        <f>AND(G691,H691,I691,J691)</f>
        <v/>
      </c>
    </row>
    <row r="692">
      <c r="B692" s="5">
        <f>BDP(A692&amp;" US Equity","CUR_MKT_CAP")</f>
        <v/>
      </c>
      <c r="C692">
        <f>BDP(A692&amp;" US Equity","EXCH_CODE")</f>
        <v/>
      </c>
      <c r="D692" s="5">
        <f>BDP(A692&amp;" US Equity","VOLUME_AVG_20D")</f>
        <v/>
      </c>
      <c r="E692" s="6">
        <f>BDP(A692&amp;" US Equity","PX_LAST")</f>
        <v/>
      </c>
      <c r="F692" s="5">
        <f>D692*E692</f>
        <v/>
      </c>
      <c r="G692">
        <f>AND(B692&gt;=50,B692&lt;=10000)</f>
        <v/>
      </c>
      <c r="H692">
        <f>OR(C692="NAS",C692="NYS",C692="ASE")</f>
        <v/>
      </c>
      <c r="I692">
        <f>F692&gt;=500000</f>
        <v/>
      </c>
      <c r="J692">
        <f>E692&gt;=2</f>
        <v/>
      </c>
      <c r="K692">
        <f>AND(G692,H692,I692,J692)</f>
        <v/>
      </c>
    </row>
    <row r="693">
      <c r="B693" s="5">
        <f>BDP(A693&amp;" US Equity","CUR_MKT_CAP")</f>
        <v/>
      </c>
      <c r="C693">
        <f>BDP(A693&amp;" US Equity","EXCH_CODE")</f>
        <v/>
      </c>
      <c r="D693" s="5">
        <f>BDP(A693&amp;" US Equity","VOLUME_AVG_20D")</f>
        <v/>
      </c>
      <c r="E693" s="6">
        <f>BDP(A693&amp;" US Equity","PX_LAST")</f>
        <v/>
      </c>
      <c r="F693" s="5">
        <f>D693*E693</f>
        <v/>
      </c>
      <c r="G693">
        <f>AND(B693&gt;=50,B693&lt;=10000)</f>
        <v/>
      </c>
      <c r="H693">
        <f>OR(C693="NAS",C693="NYS",C693="ASE")</f>
        <v/>
      </c>
      <c r="I693">
        <f>F693&gt;=500000</f>
        <v/>
      </c>
      <c r="J693">
        <f>E693&gt;=2</f>
        <v/>
      </c>
      <c r="K693">
        <f>AND(G693,H693,I693,J693)</f>
        <v/>
      </c>
    </row>
    <row r="694">
      <c r="B694" s="5">
        <f>BDP(A694&amp;" US Equity","CUR_MKT_CAP")</f>
        <v/>
      </c>
      <c r="C694">
        <f>BDP(A694&amp;" US Equity","EXCH_CODE")</f>
        <v/>
      </c>
      <c r="D694" s="5">
        <f>BDP(A694&amp;" US Equity","VOLUME_AVG_20D")</f>
        <v/>
      </c>
      <c r="E694" s="6">
        <f>BDP(A694&amp;" US Equity","PX_LAST")</f>
        <v/>
      </c>
      <c r="F694" s="5">
        <f>D694*E694</f>
        <v/>
      </c>
      <c r="G694">
        <f>AND(B694&gt;=50,B694&lt;=10000)</f>
        <v/>
      </c>
      <c r="H694">
        <f>OR(C694="NAS",C694="NYS",C694="ASE")</f>
        <v/>
      </c>
      <c r="I694">
        <f>F694&gt;=500000</f>
        <v/>
      </c>
      <c r="J694">
        <f>E694&gt;=2</f>
        <v/>
      </c>
      <c r="K694">
        <f>AND(G694,H694,I694,J694)</f>
        <v/>
      </c>
    </row>
    <row r="695">
      <c r="B695" s="5">
        <f>BDP(A695&amp;" US Equity","CUR_MKT_CAP")</f>
        <v/>
      </c>
      <c r="C695">
        <f>BDP(A695&amp;" US Equity","EXCH_CODE")</f>
        <v/>
      </c>
      <c r="D695" s="5">
        <f>BDP(A695&amp;" US Equity","VOLUME_AVG_20D")</f>
        <v/>
      </c>
      <c r="E695" s="6">
        <f>BDP(A695&amp;" US Equity","PX_LAST")</f>
        <v/>
      </c>
      <c r="F695" s="5">
        <f>D695*E695</f>
        <v/>
      </c>
      <c r="G695">
        <f>AND(B695&gt;=50,B695&lt;=10000)</f>
        <v/>
      </c>
      <c r="H695">
        <f>OR(C695="NAS",C695="NYS",C695="ASE")</f>
        <v/>
      </c>
      <c r="I695">
        <f>F695&gt;=500000</f>
        <v/>
      </c>
      <c r="J695">
        <f>E695&gt;=2</f>
        <v/>
      </c>
      <c r="K695">
        <f>AND(G695,H695,I695,J695)</f>
        <v/>
      </c>
    </row>
    <row r="696">
      <c r="B696" s="5">
        <f>BDP(A696&amp;" US Equity","CUR_MKT_CAP")</f>
        <v/>
      </c>
      <c r="C696">
        <f>BDP(A696&amp;" US Equity","EXCH_CODE")</f>
        <v/>
      </c>
      <c r="D696" s="5">
        <f>BDP(A696&amp;" US Equity","VOLUME_AVG_20D")</f>
        <v/>
      </c>
      <c r="E696" s="6">
        <f>BDP(A696&amp;" US Equity","PX_LAST")</f>
        <v/>
      </c>
      <c r="F696" s="5">
        <f>D696*E696</f>
        <v/>
      </c>
      <c r="G696">
        <f>AND(B696&gt;=50,B696&lt;=10000)</f>
        <v/>
      </c>
      <c r="H696">
        <f>OR(C696="NAS",C696="NYS",C696="ASE")</f>
        <v/>
      </c>
      <c r="I696">
        <f>F696&gt;=500000</f>
        <v/>
      </c>
      <c r="J696">
        <f>E696&gt;=2</f>
        <v/>
      </c>
      <c r="K696">
        <f>AND(G696,H696,I696,J696)</f>
        <v/>
      </c>
    </row>
    <row r="697">
      <c r="B697" s="5">
        <f>BDP(A697&amp;" US Equity","CUR_MKT_CAP")</f>
        <v/>
      </c>
      <c r="C697">
        <f>BDP(A697&amp;" US Equity","EXCH_CODE")</f>
        <v/>
      </c>
      <c r="D697" s="5">
        <f>BDP(A697&amp;" US Equity","VOLUME_AVG_20D")</f>
        <v/>
      </c>
      <c r="E697" s="6">
        <f>BDP(A697&amp;" US Equity","PX_LAST")</f>
        <v/>
      </c>
      <c r="F697" s="5">
        <f>D697*E697</f>
        <v/>
      </c>
      <c r="G697">
        <f>AND(B697&gt;=50,B697&lt;=10000)</f>
        <v/>
      </c>
      <c r="H697">
        <f>OR(C697="NAS",C697="NYS",C697="ASE")</f>
        <v/>
      </c>
      <c r="I697">
        <f>F697&gt;=500000</f>
        <v/>
      </c>
      <c r="J697">
        <f>E697&gt;=2</f>
        <v/>
      </c>
      <c r="K697">
        <f>AND(G697,H697,I697,J697)</f>
        <v/>
      </c>
    </row>
    <row r="698">
      <c r="B698" s="5">
        <f>BDP(A698&amp;" US Equity","CUR_MKT_CAP")</f>
        <v/>
      </c>
      <c r="C698">
        <f>BDP(A698&amp;" US Equity","EXCH_CODE")</f>
        <v/>
      </c>
      <c r="D698" s="5">
        <f>BDP(A698&amp;" US Equity","VOLUME_AVG_20D")</f>
        <v/>
      </c>
      <c r="E698" s="6">
        <f>BDP(A698&amp;" US Equity","PX_LAST")</f>
        <v/>
      </c>
      <c r="F698" s="5">
        <f>D698*E698</f>
        <v/>
      </c>
      <c r="G698">
        <f>AND(B698&gt;=50,B698&lt;=10000)</f>
        <v/>
      </c>
      <c r="H698">
        <f>OR(C698="NAS",C698="NYS",C698="ASE")</f>
        <v/>
      </c>
      <c r="I698">
        <f>F698&gt;=500000</f>
        <v/>
      </c>
      <c r="J698">
        <f>E698&gt;=2</f>
        <v/>
      </c>
      <c r="K698">
        <f>AND(G698,H698,I698,J698)</f>
        <v/>
      </c>
    </row>
    <row r="699">
      <c r="B699" s="5">
        <f>BDP(A699&amp;" US Equity","CUR_MKT_CAP")</f>
        <v/>
      </c>
      <c r="C699">
        <f>BDP(A699&amp;" US Equity","EXCH_CODE")</f>
        <v/>
      </c>
      <c r="D699" s="5">
        <f>BDP(A699&amp;" US Equity","VOLUME_AVG_20D")</f>
        <v/>
      </c>
      <c r="E699" s="6">
        <f>BDP(A699&amp;" US Equity","PX_LAST")</f>
        <v/>
      </c>
      <c r="F699" s="5">
        <f>D699*E699</f>
        <v/>
      </c>
      <c r="G699">
        <f>AND(B699&gt;=50,B699&lt;=10000)</f>
        <v/>
      </c>
      <c r="H699">
        <f>OR(C699="NAS",C699="NYS",C699="ASE")</f>
        <v/>
      </c>
      <c r="I699">
        <f>F699&gt;=500000</f>
        <v/>
      </c>
      <c r="J699">
        <f>E699&gt;=2</f>
        <v/>
      </c>
      <c r="K699">
        <f>AND(G699,H699,I699,J699)</f>
        <v/>
      </c>
    </row>
    <row r="700">
      <c r="B700" s="5">
        <f>BDP(A700&amp;" US Equity","CUR_MKT_CAP")</f>
        <v/>
      </c>
      <c r="C700">
        <f>BDP(A700&amp;" US Equity","EXCH_CODE")</f>
        <v/>
      </c>
      <c r="D700" s="5">
        <f>BDP(A700&amp;" US Equity","VOLUME_AVG_20D")</f>
        <v/>
      </c>
      <c r="E700" s="6">
        <f>BDP(A700&amp;" US Equity","PX_LAST")</f>
        <v/>
      </c>
      <c r="F700" s="5">
        <f>D700*E700</f>
        <v/>
      </c>
      <c r="G700">
        <f>AND(B700&gt;=50,B700&lt;=10000)</f>
        <v/>
      </c>
      <c r="H700">
        <f>OR(C700="NAS",C700="NYS",C700="ASE")</f>
        <v/>
      </c>
      <c r="I700">
        <f>F700&gt;=500000</f>
        <v/>
      </c>
      <c r="J700">
        <f>E700&gt;=2</f>
        <v/>
      </c>
      <c r="K700">
        <f>AND(G700,H700,I700,J700)</f>
        <v/>
      </c>
    </row>
    <row r="701">
      <c r="B701" s="5">
        <f>BDP(A701&amp;" US Equity","CUR_MKT_CAP")</f>
        <v/>
      </c>
      <c r="C701">
        <f>BDP(A701&amp;" US Equity","EXCH_CODE")</f>
        <v/>
      </c>
      <c r="D701" s="5">
        <f>BDP(A701&amp;" US Equity","VOLUME_AVG_20D")</f>
        <v/>
      </c>
      <c r="E701" s="6">
        <f>BDP(A701&amp;" US Equity","PX_LAST")</f>
        <v/>
      </c>
      <c r="F701" s="5">
        <f>D701*E701</f>
        <v/>
      </c>
      <c r="G701">
        <f>AND(B701&gt;=50,B701&lt;=10000)</f>
        <v/>
      </c>
      <c r="H701">
        <f>OR(C701="NAS",C701="NYS",C701="ASE")</f>
        <v/>
      </c>
      <c r="I701">
        <f>F701&gt;=500000</f>
        <v/>
      </c>
      <c r="J701">
        <f>E701&gt;=2</f>
        <v/>
      </c>
      <c r="K701">
        <f>AND(G701,H701,I701,J701)</f>
        <v/>
      </c>
    </row>
    <row r="702">
      <c r="B702" s="5">
        <f>BDP(A702&amp;" US Equity","CUR_MKT_CAP")</f>
        <v/>
      </c>
      <c r="C702">
        <f>BDP(A702&amp;" US Equity","EXCH_CODE")</f>
        <v/>
      </c>
      <c r="D702" s="5">
        <f>BDP(A702&amp;" US Equity","VOLUME_AVG_20D")</f>
        <v/>
      </c>
      <c r="E702" s="6">
        <f>BDP(A702&amp;" US Equity","PX_LAST")</f>
        <v/>
      </c>
      <c r="F702" s="5">
        <f>D702*E702</f>
        <v/>
      </c>
      <c r="G702">
        <f>AND(B702&gt;=50,B702&lt;=10000)</f>
        <v/>
      </c>
      <c r="H702">
        <f>OR(C702="NAS",C702="NYS",C702="ASE")</f>
        <v/>
      </c>
      <c r="I702">
        <f>F702&gt;=500000</f>
        <v/>
      </c>
      <c r="J702">
        <f>E702&gt;=2</f>
        <v/>
      </c>
      <c r="K702">
        <f>AND(G702,H702,I702,J702)</f>
        <v/>
      </c>
    </row>
    <row r="703">
      <c r="B703" s="5">
        <f>BDP(A703&amp;" US Equity","CUR_MKT_CAP")</f>
        <v/>
      </c>
      <c r="C703">
        <f>BDP(A703&amp;" US Equity","EXCH_CODE")</f>
        <v/>
      </c>
      <c r="D703" s="5">
        <f>BDP(A703&amp;" US Equity","VOLUME_AVG_20D")</f>
        <v/>
      </c>
      <c r="E703" s="6">
        <f>BDP(A703&amp;" US Equity","PX_LAST")</f>
        <v/>
      </c>
      <c r="F703" s="5">
        <f>D703*E703</f>
        <v/>
      </c>
      <c r="G703">
        <f>AND(B703&gt;=50,B703&lt;=10000)</f>
        <v/>
      </c>
      <c r="H703">
        <f>OR(C703="NAS",C703="NYS",C703="ASE")</f>
        <v/>
      </c>
      <c r="I703">
        <f>F703&gt;=500000</f>
        <v/>
      </c>
      <c r="J703">
        <f>E703&gt;=2</f>
        <v/>
      </c>
      <c r="K703">
        <f>AND(G703,H703,I703,J703)</f>
        <v/>
      </c>
    </row>
    <row r="704">
      <c r="B704" s="5">
        <f>BDP(A704&amp;" US Equity","CUR_MKT_CAP")</f>
        <v/>
      </c>
      <c r="C704">
        <f>BDP(A704&amp;" US Equity","EXCH_CODE")</f>
        <v/>
      </c>
      <c r="D704" s="5">
        <f>BDP(A704&amp;" US Equity","VOLUME_AVG_20D")</f>
        <v/>
      </c>
      <c r="E704" s="6">
        <f>BDP(A704&amp;" US Equity","PX_LAST")</f>
        <v/>
      </c>
      <c r="F704" s="5">
        <f>D704*E704</f>
        <v/>
      </c>
      <c r="G704">
        <f>AND(B704&gt;=50,B704&lt;=10000)</f>
        <v/>
      </c>
      <c r="H704">
        <f>OR(C704="NAS",C704="NYS",C704="ASE")</f>
        <v/>
      </c>
      <c r="I704">
        <f>F704&gt;=500000</f>
        <v/>
      </c>
      <c r="J704">
        <f>E704&gt;=2</f>
        <v/>
      </c>
      <c r="K704">
        <f>AND(G704,H704,I704,J704)</f>
        <v/>
      </c>
    </row>
    <row r="705">
      <c r="B705" s="5">
        <f>BDP(A705&amp;" US Equity","CUR_MKT_CAP")</f>
        <v/>
      </c>
      <c r="C705">
        <f>BDP(A705&amp;" US Equity","EXCH_CODE")</f>
        <v/>
      </c>
      <c r="D705" s="5">
        <f>BDP(A705&amp;" US Equity","VOLUME_AVG_20D")</f>
        <v/>
      </c>
      <c r="E705" s="6">
        <f>BDP(A705&amp;" US Equity","PX_LAST")</f>
        <v/>
      </c>
      <c r="F705" s="5">
        <f>D705*E705</f>
        <v/>
      </c>
      <c r="G705">
        <f>AND(B705&gt;=50,B705&lt;=10000)</f>
        <v/>
      </c>
      <c r="H705">
        <f>OR(C705="NAS",C705="NYS",C705="ASE")</f>
        <v/>
      </c>
      <c r="I705">
        <f>F705&gt;=500000</f>
        <v/>
      </c>
      <c r="J705">
        <f>E705&gt;=2</f>
        <v/>
      </c>
      <c r="K705">
        <f>AND(G705,H705,I705,J705)</f>
        <v/>
      </c>
    </row>
    <row r="706">
      <c r="B706" s="5">
        <f>BDP(A706&amp;" US Equity","CUR_MKT_CAP")</f>
        <v/>
      </c>
      <c r="C706">
        <f>BDP(A706&amp;" US Equity","EXCH_CODE")</f>
        <v/>
      </c>
      <c r="D706" s="5">
        <f>BDP(A706&amp;" US Equity","VOLUME_AVG_20D")</f>
        <v/>
      </c>
      <c r="E706" s="6">
        <f>BDP(A706&amp;" US Equity","PX_LAST")</f>
        <v/>
      </c>
      <c r="F706" s="5">
        <f>D706*E706</f>
        <v/>
      </c>
      <c r="G706">
        <f>AND(B706&gt;=50,B706&lt;=10000)</f>
        <v/>
      </c>
      <c r="H706">
        <f>OR(C706="NAS",C706="NYS",C706="ASE")</f>
        <v/>
      </c>
      <c r="I706">
        <f>F706&gt;=500000</f>
        <v/>
      </c>
      <c r="J706">
        <f>E706&gt;=2</f>
        <v/>
      </c>
      <c r="K706">
        <f>AND(G706,H706,I706,J706)</f>
        <v/>
      </c>
    </row>
    <row r="707">
      <c r="B707" s="5">
        <f>BDP(A707&amp;" US Equity","CUR_MKT_CAP")</f>
        <v/>
      </c>
      <c r="C707">
        <f>BDP(A707&amp;" US Equity","EXCH_CODE")</f>
        <v/>
      </c>
      <c r="D707" s="5">
        <f>BDP(A707&amp;" US Equity","VOLUME_AVG_20D")</f>
        <v/>
      </c>
      <c r="E707" s="6">
        <f>BDP(A707&amp;" US Equity","PX_LAST")</f>
        <v/>
      </c>
      <c r="F707" s="5">
        <f>D707*E707</f>
        <v/>
      </c>
      <c r="G707">
        <f>AND(B707&gt;=50,B707&lt;=10000)</f>
        <v/>
      </c>
      <c r="H707">
        <f>OR(C707="NAS",C707="NYS",C707="ASE")</f>
        <v/>
      </c>
      <c r="I707">
        <f>F707&gt;=500000</f>
        <v/>
      </c>
      <c r="J707">
        <f>E707&gt;=2</f>
        <v/>
      </c>
      <c r="K707">
        <f>AND(G707,H707,I707,J707)</f>
        <v/>
      </c>
    </row>
    <row r="708">
      <c r="B708" s="5">
        <f>BDP(A708&amp;" US Equity","CUR_MKT_CAP")</f>
        <v/>
      </c>
      <c r="C708">
        <f>BDP(A708&amp;" US Equity","EXCH_CODE")</f>
        <v/>
      </c>
      <c r="D708" s="5">
        <f>BDP(A708&amp;" US Equity","VOLUME_AVG_20D")</f>
        <v/>
      </c>
      <c r="E708" s="6">
        <f>BDP(A708&amp;" US Equity","PX_LAST")</f>
        <v/>
      </c>
      <c r="F708" s="5">
        <f>D708*E708</f>
        <v/>
      </c>
      <c r="G708">
        <f>AND(B708&gt;=50,B708&lt;=10000)</f>
        <v/>
      </c>
      <c r="H708">
        <f>OR(C708="NAS",C708="NYS",C708="ASE")</f>
        <v/>
      </c>
      <c r="I708">
        <f>F708&gt;=500000</f>
        <v/>
      </c>
      <c r="J708">
        <f>E708&gt;=2</f>
        <v/>
      </c>
      <c r="K708">
        <f>AND(G708,H708,I708,J708)</f>
        <v/>
      </c>
    </row>
    <row r="709">
      <c r="B709" s="5">
        <f>BDP(A709&amp;" US Equity","CUR_MKT_CAP")</f>
        <v/>
      </c>
      <c r="C709">
        <f>BDP(A709&amp;" US Equity","EXCH_CODE")</f>
        <v/>
      </c>
      <c r="D709" s="5">
        <f>BDP(A709&amp;" US Equity","VOLUME_AVG_20D")</f>
        <v/>
      </c>
      <c r="E709" s="6">
        <f>BDP(A709&amp;" US Equity","PX_LAST")</f>
        <v/>
      </c>
      <c r="F709" s="5">
        <f>D709*E709</f>
        <v/>
      </c>
      <c r="G709">
        <f>AND(B709&gt;=50,B709&lt;=10000)</f>
        <v/>
      </c>
      <c r="H709">
        <f>OR(C709="NAS",C709="NYS",C709="ASE")</f>
        <v/>
      </c>
      <c r="I709">
        <f>F709&gt;=500000</f>
        <v/>
      </c>
      <c r="J709">
        <f>E709&gt;=2</f>
        <v/>
      </c>
      <c r="K709">
        <f>AND(G709,H709,I709,J709)</f>
        <v/>
      </c>
    </row>
    <row r="710">
      <c r="B710" s="5">
        <f>BDP(A710&amp;" US Equity","CUR_MKT_CAP")</f>
        <v/>
      </c>
      <c r="C710">
        <f>BDP(A710&amp;" US Equity","EXCH_CODE")</f>
        <v/>
      </c>
      <c r="D710" s="5">
        <f>BDP(A710&amp;" US Equity","VOLUME_AVG_20D")</f>
        <v/>
      </c>
      <c r="E710" s="6">
        <f>BDP(A710&amp;" US Equity","PX_LAST")</f>
        <v/>
      </c>
      <c r="F710" s="5">
        <f>D710*E710</f>
        <v/>
      </c>
      <c r="G710">
        <f>AND(B710&gt;=50,B710&lt;=10000)</f>
        <v/>
      </c>
      <c r="H710">
        <f>OR(C710="NAS",C710="NYS",C710="ASE")</f>
        <v/>
      </c>
      <c r="I710">
        <f>F710&gt;=500000</f>
        <v/>
      </c>
      <c r="J710">
        <f>E710&gt;=2</f>
        <v/>
      </c>
      <c r="K710">
        <f>AND(G710,H710,I710,J710)</f>
        <v/>
      </c>
    </row>
    <row r="711">
      <c r="B711" s="5">
        <f>BDP(A711&amp;" US Equity","CUR_MKT_CAP")</f>
        <v/>
      </c>
      <c r="C711">
        <f>BDP(A711&amp;" US Equity","EXCH_CODE")</f>
        <v/>
      </c>
      <c r="D711" s="5">
        <f>BDP(A711&amp;" US Equity","VOLUME_AVG_20D")</f>
        <v/>
      </c>
      <c r="E711" s="6">
        <f>BDP(A711&amp;" US Equity","PX_LAST")</f>
        <v/>
      </c>
      <c r="F711" s="5">
        <f>D711*E711</f>
        <v/>
      </c>
      <c r="G711">
        <f>AND(B711&gt;=50,B711&lt;=10000)</f>
        <v/>
      </c>
      <c r="H711">
        <f>OR(C711="NAS",C711="NYS",C711="ASE")</f>
        <v/>
      </c>
      <c r="I711">
        <f>F711&gt;=500000</f>
        <v/>
      </c>
      <c r="J711">
        <f>E711&gt;=2</f>
        <v/>
      </c>
      <c r="K711">
        <f>AND(G711,H711,I711,J711)</f>
        <v/>
      </c>
    </row>
    <row r="712">
      <c r="B712" s="5">
        <f>BDP(A712&amp;" US Equity","CUR_MKT_CAP")</f>
        <v/>
      </c>
      <c r="C712">
        <f>BDP(A712&amp;" US Equity","EXCH_CODE")</f>
        <v/>
      </c>
      <c r="D712" s="5">
        <f>BDP(A712&amp;" US Equity","VOLUME_AVG_20D")</f>
        <v/>
      </c>
      <c r="E712" s="6">
        <f>BDP(A712&amp;" US Equity","PX_LAST")</f>
        <v/>
      </c>
      <c r="F712" s="5">
        <f>D712*E712</f>
        <v/>
      </c>
      <c r="G712">
        <f>AND(B712&gt;=50,B712&lt;=10000)</f>
        <v/>
      </c>
      <c r="H712">
        <f>OR(C712="NAS",C712="NYS",C712="ASE")</f>
        <v/>
      </c>
      <c r="I712">
        <f>F712&gt;=500000</f>
        <v/>
      </c>
      <c r="J712">
        <f>E712&gt;=2</f>
        <v/>
      </c>
      <c r="K712">
        <f>AND(G712,H712,I712,J712)</f>
        <v/>
      </c>
    </row>
    <row r="713">
      <c r="B713" s="5">
        <f>BDP(A713&amp;" US Equity","CUR_MKT_CAP")</f>
        <v/>
      </c>
      <c r="C713">
        <f>BDP(A713&amp;" US Equity","EXCH_CODE")</f>
        <v/>
      </c>
      <c r="D713" s="5">
        <f>BDP(A713&amp;" US Equity","VOLUME_AVG_20D")</f>
        <v/>
      </c>
      <c r="E713" s="6">
        <f>BDP(A713&amp;" US Equity","PX_LAST")</f>
        <v/>
      </c>
      <c r="F713" s="5">
        <f>D713*E713</f>
        <v/>
      </c>
      <c r="G713">
        <f>AND(B713&gt;=50,B713&lt;=10000)</f>
        <v/>
      </c>
      <c r="H713">
        <f>OR(C713="NAS",C713="NYS",C713="ASE")</f>
        <v/>
      </c>
      <c r="I713">
        <f>F713&gt;=500000</f>
        <v/>
      </c>
      <c r="J713">
        <f>E713&gt;=2</f>
        <v/>
      </c>
      <c r="K713">
        <f>AND(G713,H713,I713,J713)</f>
        <v/>
      </c>
    </row>
    <row r="714">
      <c r="B714" s="5">
        <f>BDP(A714&amp;" US Equity","CUR_MKT_CAP")</f>
        <v/>
      </c>
      <c r="C714">
        <f>BDP(A714&amp;" US Equity","EXCH_CODE")</f>
        <v/>
      </c>
      <c r="D714" s="5">
        <f>BDP(A714&amp;" US Equity","VOLUME_AVG_20D")</f>
        <v/>
      </c>
      <c r="E714" s="6">
        <f>BDP(A714&amp;" US Equity","PX_LAST")</f>
        <v/>
      </c>
      <c r="F714" s="5">
        <f>D714*E714</f>
        <v/>
      </c>
      <c r="G714">
        <f>AND(B714&gt;=50,B714&lt;=10000)</f>
        <v/>
      </c>
      <c r="H714">
        <f>OR(C714="NAS",C714="NYS",C714="ASE")</f>
        <v/>
      </c>
      <c r="I714">
        <f>F714&gt;=500000</f>
        <v/>
      </c>
      <c r="J714">
        <f>E714&gt;=2</f>
        <v/>
      </c>
      <c r="K714">
        <f>AND(G714,H714,I714,J714)</f>
        <v/>
      </c>
    </row>
    <row r="715">
      <c r="B715" s="5">
        <f>BDP(A715&amp;" US Equity","CUR_MKT_CAP")</f>
        <v/>
      </c>
      <c r="C715">
        <f>BDP(A715&amp;" US Equity","EXCH_CODE")</f>
        <v/>
      </c>
      <c r="D715" s="5">
        <f>BDP(A715&amp;" US Equity","VOLUME_AVG_20D")</f>
        <v/>
      </c>
      <c r="E715" s="6">
        <f>BDP(A715&amp;" US Equity","PX_LAST")</f>
        <v/>
      </c>
      <c r="F715" s="5">
        <f>D715*E715</f>
        <v/>
      </c>
      <c r="G715">
        <f>AND(B715&gt;=50,B715&lt;=10000)</f>
        <v/>
      </c>
      <c r="H715">
        <f>OR(C715="NAS",C715="NYS",C715="ASE")</f>
        <v/>
      </c>
      <c r="I715">
        <f>F715&gt;=500000</f>
        <v/>
      </c>
      <c r="J715">
        <f>E715&gt;=2</f>
        <v/>
      </c>
      <c r="K715">
        <f>AND(G715,H715,I715,J715)</f>
        <v/>
      </c>
    </row>
    <row r="716">
      <c r="B716" s="5">
        <f>BDP(A716&amp;" US Equity","CUR_MKT_CAP")</f>
        <v/>
      </c>
      <c r="C716">
        <f>BDP(A716&amp;" US Equity","EXCH_CODE")</f>
        <v/>
      </c>
      <c r="D716" s="5">
        <f>BDP(A716&amp;" US Equity","VOLUME_AVG_20D")</f>
        <v/>
      </c>
      <c r="E716" s="6">
        <f>BDP(A716&amp;" US Equity","PX_LAST")</f>
        <v/>
      </c>
      <c r="F716" s="5">
        <f>D716*E716</f>
        <v/>
      </c>
      <c r="G716">
        <f>AND(B716&gt;=50,B716&lt;=10000)</f>
        <v/>
      </c>
      <c r="H716">
        <f>OR(C716="NAS",C716="NYS",C716="ASE")</f>
        <v/>
      </c>
      <c r="I716">
        <f>F716&gt;=500000</f>
        <v/>
      </c>
      <c r="J716">
        <f>E716&gt;=2</f>
        <v/>
      </c>
      <c r="K716">
        <f>AND(G716,H716,I716,J716)</f>
        <v/>
      </c>
    </row>
    <row r="717">
      <c r="B717" s="5">
        <f>BDP(A717&amp;" US Equity","CUR_MKT_CAP")</f>
        <v/>
      </c>
      <c r="C717">
        <f>BDP(A717&amp;" US Equity","EXCH_CODE")</f>
        <v/>
      </c>
      <c r="D717" s="5">
        <f>BDP(A717&amp;" US Equity","VOLUME_AVG_20D")</f>
        <v/>
      </c>
      <c r="E717" s="6">
        <f>BDP(A717&amp;" US Equity","PX_LAST")</f>
        <v/>
      </c>
      <c r="F717" s="5">
        <f>D717*E717</f>
        <v/>
      </c>
      <c r="G717">
        <f>AND(B717&gt;=50,B717&lt;=10000)</f>
        <v/>
      </c>
      <c r="H717">
        <f>OR(C717="NAS",C717="NYS",C717="ASE")</f>
        <v/>
      </c>
      <c r="I717">
        <f>F717&gt;=500000</f>
        <v/>
      </c>
      <c r="J717">
        <f>E717&gt;=2</f>
        <v/>
      </c>
      <c r="K717">
        <f>AND(G717,H717,I717,J717)</f>
        <v/>
      </c>
    </row>
    <row r="718">
      <c r="B718" s="5">
        <f>BDP(A718&amp;" US Equity","CUR_MKT_CAP")</f>
        <v/>
      </c>
      <c r="C718">
        <f>BDP(A718&amp;" US Equity","EXCH_CODE")</f>
        <v/>
      </c>
      <c r="D718" s="5">
        <f>BDP(A718&amp;" US Equity","VOLUME_AVG_20D")</f>
        <v/>
      </c>
      <c r="E718" s="6">
        <f>BDP(A718&amp;" US Equity","PX_LAST")</f>
        <v/>
      </c>
      <c r="F718" s="5">
        <f>D718*E718</f>
        <v/>
      </c>
      <c r="G718">
        <f>AND(B718&gt;=50,B718&lt;=10000)</f>
        <v/>
      </c>
      <c r="H718">
        <f>OR(C718="NAS",C718="NYS",C718="ASE")</f>
        <v/>
      </c>
      <c r="I718">
        <f>F718&gt;=500000</f>
        <v/>
      </c>
      <c r="J718">
        <f>E718&gt;=2</f>
        <v/>
      </c>
      <c r="K718">
        <f>AND(G718,H718,I718,J718)</f>
        <v/>
      </c>
    </row>
    <row r="719">
      <c r="B719" s="5">
        <f>BDP(A719&amp;" US Equity","CUR_MKT_CAP")</f>
        <v/>
      </c>
      <c r="C719">
        <f>BDP(A719&amp;" US Equity","EXCH_CODE")</f>
        <v/>
      </c>
      <c r="D719" s="5">
        <f>BDP(A719&amp;" US Equity","VOLUME_AVG_20D")</f>
        <v/>
      </c>
      <c r="E719" s="6">
        <f>BDP(A719&amp;" US Equity","PX_LAST")</f>
        <v/>
      </c>
      <c r="F719" s="5">
        <f>D719*E719</f>
        <v/>
      </c>
      <c r="G719">
        <f>AND(B719&gt;=50,B719&lt;=10000)</f>
        <v/>
      </c>
      <c r="H719">
        <f>OR(C719="NAS",C719="NYS",C719="ASE")</f>
        <v/>
      </c>
      <c r="I719">
        <f>F719&gt;=500000</f>
        <v/>
      </c>
      <c r="J719">
        <f>E719&gt;=2</f>
        <v/>
      </c>
      <c r="K719">
        <f>AND(G719,H719,I719,J719)</f>
        <v/>
      </c>
    </row>
    <row r="720">
      <c r="B720" s="5">
        <f>BDP(A720&amp;" US Equity","CUR_MKT_CAP")</f>
        <v/>
      </c>
      <c r="C720">
        <f>BDP(A720&amp;" US Equity","EXCH_CODE")</f>
        <v/>
      </c>
      <c r="D720" s="5">
        <f>BDP(A720&amp;" US Equity","VOLUME_AVG_20D")</f>
        <v/>
      </c>
      <c r="E720" s="6">
        <f>BDP(A720&amp;" US Equity","PX_LAST")</f>
        <v/>
      </c>
      <c r="F720" s="5">
        <f>D720*E720</f>
        <v/>
      </c>
      <c r="G720">
        <f>AND(B720&gt;=50,B720&lt;=10000)</f>
        <v/>
      </c>
      <c r="H720">
        <f>OR(C720="NAS",C720="NYS",C720="ASE")</f>
        <v/>
      </c>
      <c r="I720">
        <f>F720&gt;=500000</f>
        <v/>
      </c>
      <c r="J720">
        <f>E720&gt;=2</f>
        <v/>
      </c>
      <c r="K720">
        <f>AND(G720,H720,I720,J720)</f>
        <v/>
      </c>
    </row>
    <row r="721">
      <c r="B721" s="5">
        <f>BDP(A721&amp;" US Equity","CUR_MKT_CAP")</f>
        <v/>
      </c>
      <c r="C721">
        <f>BDP(A721&amp;" US Equity","EXCH_CODE")</f>
        <v/>
      </c>
      <c r="D721" s="5">
        <f>BDP(A721&amp;" US Equity","VOLUME_AVG_20D")</f>
        <v/>
      </c>
      <c r="E721" s="6">
        <f>BDP(A721&amp;" US Equity","PX_LAST")</f>
        <v/>
      </c>
      <c r="F721" s="5">
        <f>D721*E721</f>
        <v/>
      </c>
      <c r="G721">
        <f>AND(B721&gt;=50,B721&lt;=10000)</f>
        <v/>
      </c>
      <c r="H721">
        <f>OR(C721="NAS",C721="NYS",C721="ASE")</f>
        <v/>
      </c>
      <c r="I721">
        <f>F721&gt;=500000</f>
        <v/>
      </c>
      <c r="J721">
        <f>E721&gt;=2</f>
        <v/>
      </c>
      <c r="K721">
        <f>AND(G721,H721,I721,J721)</f>
        <v/>
      </c>
    </row>
    <row r="722">
      <c r="B722" s="5">
        <f>BDP(A722&amp;" US Equity","CUR_MKT_CAP")</f>
        <v/>
      </c>
      <c r="C722">
        <f>BDP(A722&amp;" US Equity","EXCH_CODE")</f>
        <v/>
      </c>
      <c r="D722" s="5">
        <f>BDP(A722&amp;" US Equity","VOLUME_AVG_20D")</f>
        <v/>
      </c>
      <c r="E722" s="6">
        <f>BDP(A722&amp;" US Equity","PX_LAST")</f>
        <v/>
      </c>
      <c r="F722" s="5">
        <f>D722*E722</f>
        <v/>
      </c>
      <c r="G722">
        <f>AND(B722&gt;=50,B722&lt;=10000)</f>
        <v/>
      </c>
      <c r="H722">
        <f>OR(C722="NAS",C722="NYS",C722="ASE")</f>
        <v/>
      </c>
      <c r="I722">
        <f>F722&gt;=500000</f>
        <v/>
      </c>
      <c r="J722">
        <f>E722&gt;=2</f>
        <v/>
      </c>
      <c r="K722">
        <f>AND(G722,H722,I722,J722)</f>
        <v/>
      </c>
    </row>
    <row r="723">
      <c r="B723" s="5">
        <f>BDP(A723&amp;" US Equity","CUR_MKT_CAP")</f>
        <v/>
      </c>
      <c r="C723">
        <f>BDP(A723&amp;" US Equity","EXCH_CODE")</f>
        <v/>
      </c>
      <c r="D723" s="5">
        <f>BDP(A723&amp;" US Equity","VOLUME_AVG_20D")</f>
        <v/>
      </c>
      <c r="E723" s="6">
        <f>BDP(A723&amp;" US Equity","PX_LAST")</f>
        <v/>
      </c>
      <c r="F723" s="5">
        <f>D723*E723</f>
        <v/>
      </c>
      <c r="G723">
        <f>AND(B723&gt;=50,B723&lt;=10000)</f>
        <v/>
      </c>
      <c r="H723">
        <f>OR(C723="NAS",C723="NYS",C723="ASE")</f>
        <v/>
      </c>
      <c r="I723">
        <f>F723&gt;=500000</f>
        <v/>
      </c>
      <c r="J723">
        <f>E723&gt;=2</f>
        <v/>
      </c>
      <c r="K723">
        <f>AND(G723,H723,I723,J723)</f>
        <v/>
      </c>
    </row>
    <row r="724">
      <c r="B724" s="5">
        <f>BDP(A724&amp;" US Equity","CUR_MKT_CAP")</f>
        <v/>
      </c>
      <c r="C724">
        <f>BDP(A724&amp;" US Equity","EXCH_CODE")</f>
        <v/>
      </c>
      <c r="D724" s="5">
        <f>BDP(A724&amp;" US Equity","VOLUME_AVG_20D")</f>
        <v/>
      </c>
      <c r="E724" s="6">
        <f>BDP(A724&amp;" US Equity","PX_LAST")</f>
        <v/>
      </c>
      <c r="F724" s="5">
        <f>D724*E724</f>
        <v/>
      </c>
      <c r="G724">
        <f>AND(B724&gt;=50,B724&lt;=10000)</f>
        <v/>
      </c>
      <c r="H724">
        <f>OR(C724="NAS",C724="NYS",C724="ASE")</f>
        <v/>
      </c>
      <c r="I724">
        <f>F724&gt;=500000</f>
        <v/>
      </c>
      <c r="J724">
        <f>E724&gt;=2</f>
        <v/>
      </c>
      <c r="K724">
        <f>AND(G724,H724,I724,J724)</f>
        <v/>
      </c>
    </row>
    <row r="725">
      <c r="B725" s="5">
        <f>BDP(A725&amp;" US Equity","CUR_MKT_CAP")</f>
        <v/>
      </c>
      <c r="C725">
        <f>BDP(A725&amp;" US Equity","EXCH_CODE")</f>
        <v/>
      </c>
      <c r="D725" s="5">
        <f>BDP(A725&amp;" US Equity","VOLUME_AVG_20D")</f>
        <v/>
      </c>
      <c r="E725" s="6">
        <f>BDP(A725&amp;" US Equity","PX_LAST")</f>
        <v/>
      </c>
      <c r="F725" s="5">
        <f>D725*E725</f>
        <v/>
      </c>
      <c r="G725">
        <f>AND(B725&gt;=50,B725&lt;=10000)</f>
        <v/>
      </c>
      <c r="H725">
        <f>OR(C725="NAS",C725="NYS",C725="ASE")</f>
        <v/>
      </c>
      <c r="I725">
        <f>F725&gt;=500000</f>
        <v/>
      </c>
      <c r="J725">
        <f>E725&gt;=2</f>
        <v/>
      </c>
      <c r="K725">
        <f>AND(G725,H725,I725,J725)</f>
        <v/>
      </c>
    </row>
    <row r="726">
      <c r="B726" s="5">
        <f>BDP(A726&amp;" US Equity","CUR_MKT_CAP")</f>
        <v/>
      </c>
      <c r="C726">
        <f>BDP(A726&amp;" US Equity","EXCH_CODE")</f>
        <v/>
      </c>
      <c r="D726" s="5">
        <f>BDP(A726&amp;" US Equity","VOLUME_AVG_20D")</f>
        <v/>
      </c>
      <c r="E726" s="6">
        <f>BDP(A726&amp;" US Equity","PX_LAST")</f>
        <v/>
      </c>
      <c r="F726" s="5">
        <f>D726*E726</f>
        <v/>
      </c>
      <c r="G726">
        <f>AND(B726&gt;=50,B726&lt;=10000)</f>
        <v/>
      </c>
      <c r="H726">
        <f>OR(C726="NAS",C726="NYS",C726="ASE")</f>
        <v/>
      </c>
      <c r="I726">
        <f>F726&gt;=500000</f>
        <v/>
      </c>
      <c r="J726">
        <f>E726&gt;=2</f>
        <v/>
      </c>
      <c r="K726">
        <f>AND(G726,H726,I726,J726)</f>
        <v/>
      </c>
    </row>
    <row r="727">
      <c r="B727" s="5">
        <f>BDP(A727&amp;" US Equity","CUR_MKT_CAP")</f>
        <v/>
      </c>
      <c r="C727">
        <f>BDP(A727&amp;" US Equity","EXCH_CODE")</f>
        <v/>
      </c>
      <c r="D727" s="5">
        <f>BDP(A727&amp;" US Equity","VOLUME_AVG_20D")</f>
        <v/>
      </c>
      <c r="E727" s="6">
        <f>BDP(A727&amp;" US Equity","PX_LAST")</f>
        <v/>
      </c>
      <c r="F727" s="5">
        <f>D727*E727</f>
        <v/>
      </c>
      <c r="G727">
        <f>AND(B727&gt;=50,B727&lt;=10000)</f>
        <v/>
      </c>
      <c r="H727">
        <f>OR(C727="NAS",C727="NYS",C727="ASE")</f>
        <v/>
      </c>
      <c r="I727">
        <f>F727&gt;=500000</f>
        <v/>
      </c>
      <c r="J727">
        <f>E727&gt;=2</f>
        <v/>
      </c>
      <c r="K727">
        <f>AND(G727,H727,I727,J727)</f>
        <v/>
      </c>
    </row>
    <row r="728">
      <c r="B728" s="5">
        <f>BDP(A728&amp;" US Equity","CUR_MKT_CAP")</f>
        <v/>
      </c>
      <c r="C728">
        <f>BDP(A728&amp;" US Equity","EXCH_CODE")</f>
        <v/>
      </c>
      <c r="D728" s="5">
        <f>BDP(A728&amp;" US Equity","VOLUME_AVG_20D")</f>
        <v/>
      </c>
      <c r="E728" s="6">
        <f>BDP(A728&amp;" US Equity","PX_LAST")</f>
        <v/>
      </c>
      <c r="F728" s="5">
        <f>D728*E728</f>
        <v/>
      </c>
      <c r="G728">
        <f>AND(B728&gt;=50,B728&lt;=10000)</f>
        <v/>
      </c>
      <c r="H728">
        <f>OR(C728="NAS",C728="NYS",C728="ASE")</f>
        <v/>
      </c>
      <c r="I728">
        <f>F728&gt;=500000</f>
        <v/>
      </c>
      <c r="J728">
        <f>E728&gt;=2</f>
        <v/>
      </c>
      <c r="K728">
        <f>AND(G728,H728,I728,J728)</f>
        <v/>
      </c>
    </row>
    <row r="729">
      <c r="B729" s="5">
        <f>BDP(A729&amp;" US Equity","CUR_MKT_CAP")</f>
        <v/>
      </c>
      <c r="C729">
        <f>BDP(A729&amp;" US Equity","EXCH_CODE")</f>
        <v/>
      </c>
      <c r="D729" s="5">
        <f>BDP(A729&amp;" US Equity","VOLUME_AVG_20D")</f>
        <v/>
      </c>
      <c r="E729" s="6">
        <f>BDP(A729&amp;" US Equity","PX_LAST")</f>
        <v/>
      </c>
      <c r="F729" s="5">
        <f>D729*E729</f>
        <v/>
      </c>
      <c r="G729">
        <f>AND(B729&gt;=50,B729&lt;=10000)</f>
        <v/>
      </c>
      <c r="H729">
        <f>OR(C729="NAS",C729="NYS",C729="ASE")</f>
        <v/>
      </c>
      <c r="I729">
        <f>F729&gt;=500000</f>
        <v/>
      </c>
      <c r="J729">
        <f>E729&gt;=2</f>
        <v/>
      </c>
      <c r="K729">
        <f>AND(G729,H729,I729,J729)</f>
        <v/>
      </c>
    </row>
    <row r="730">
      <c r="B730" s="5">
        <f>BDP(A730&amp;" US Equity","CUR_MKT_CAP")</f>
        <v/>
      </c>
      <c r="C730">
        <f>BDP(A730&amp;" US Equity","EXCH_CODE")</f>
        <v/>
      </c>
      <c r="D730" s="5">
        <f>BDP(A730&amp;" US Equity","VOLUME_AVG_20D")</f>
        <v/>
      </c>
      <c r="E730" s="6">
        <f>BDP(A730&amp;" US Equity","PX_LAST")</f>
        <v/>
      </c>
      <c r="F730" s="5">
        <f>D730*E730</f>
        <v/>
      </c>
      <c r="G730">
        <f>AND(B730&gt;=50,B730&lt;=10000)</f>
        <v/>
      </c>
      <c r="H730">
        <f>OR(C730="NAS",C730="NYS",C730="ASE")</f>
        <v/>
      </c>
      <c r="I730">
        <f>F730&gt;=500000</f>
        <v/>
      </c>
      <c r="J730">
        <f>E730&gt;=2</f>
        <v/>
      </c>
      <c r="K730">
        <f>AND(G730,H730,I730,J730)</f>
        <v/>
      </c>
    </row>
    <row r="731">
      <c r="B731" s="5">
        <f>BDP(A731&amp;" US Equity","CUR_MKT_CAP")</f>
        <v/>
      </c>
      <c r="C731">
        <f>BDP(A731&amp;" US Equity","EXCH_CODE")</f>
        <v/>
      </c>
      <c r="D731" s="5">
        <f>BDP(A731&amp;" US Equity","VOLUME_AVG_20D")</f>
        <v/>
      </c>
      <c r="E731" s="6">
        <f>BDP(A731&amp;" US Equity","PX_LAST")</f>
        <v/>
      </c>
      <c r="F731" s="5">
        <f>D731*E731</f>
        <v/>
      </c>
      <c r="G731">
        <f>AND(B731&gt;=50,B731&lt;=10000)</f>
        <v/>
      </c>
      <c r="H731">
        <f>OR(C731="NAS",C731="NYS",C731="ASE")</f>
        <v/>
      </c>
      <c r="I731">
        <f>F731&gt;=500000</f>
        <v/>
      </c>
      <c r="J731">
        <f>E731&gt;=2</f>
        <v/>
      </c>
      <c r="K731">
        <f>AND(G731,H731,I731,J731)</f>
        <v/>
      </c>
    </row>
    <row r="732">
      <c r="B732" s="5">
        <f>BDP(A732&amp;" US Equity","CUR_MKT_CAP")</f>
        <v/>
      </c>
      <c r="C732">
        <f>BDP(A732&amp;" US Equity","EXCH_CODE")</f>
        <v/>
      </c>
      <c r="D732" s="5">
        <f>BDP(A732&amp;" US Equity","VOLUME_AVG_20D")</f>
        <v/>
      </c>
      <c r="E732" s="6">
        <f>BDP(A732&amp;" US Equity","PX_LAST")</f>
        <v/>
      </c>
      <c r="F732" s="5">
        <f>D732*E732</f>
        <v/>
      </c>
      <c r="G732">
        <f>AND(B732&gt;=50,B732&lt;=10000)</f>
        <v/>
      </c>
      <c r="H732">
        <f>OR(C732="NAS",C732="NYS",C732="ASE")</f>
        <v/>
      </c>
      <c r="I732">
        <f>F732&gt;=500000</f>
        <v/>
      </c>
      <c r="J732">
        <f>E732&gt;=2</f>
        <v/>
      </c>
      <c r="K732">
        <f>AND(G732,H732,I732,J732)</f>
        <v/>
      </c>
    </row>
    <row r="733">
      <c r="B733" s="5">
        <f>BDP(A733&amp;" US Equity","CUR_MKT_CAP")</f>
        <v/>
      </c>
      <c r="C733">
        <f>BDP(A733&amp;" US Equity","EXCH_CODE")</f>
        <v/>
      </c>
      <c r="D733" s="5">
        <f>BDP(A733&amp;" US Equity","VOLUME_AVG_20D")</f>
        <v/>
      </c>
      <c r="E733" s="6">
        <f>BDP(A733&amp;" US Equity","PX_LAST")</f>
        <v/>
      </c>
      <c r="F733" s="5">
        <f>D733*E733</f>
        <v/>
      </c>
      <c r="G733">
        <f>AND(B733&gt;=50,B733&lt;=10000)</f>
        <v/>
      </c>
      <c r="H733">
        <f>OR(C733="NAS",C733="NYS",C733="ASE")</f>
        <v/>
      </c>
      <c r="I733">
        <f>F733&gt;=500000</f>
        <v/>
      </c>
      <c r="J733">
        <f>E733&gt;=2</f>
        <v/>
      </c>
      <c r="K733">
        <f>AND(G733,H733,I733,J733)</f>
        <v/>
      </c>
    </row>
    <row r="734">
      <c r="B734" s="5">
        <f>BDP(A734&amp;" US Equity","CUR_MKT_CAP")</f>
        <v/>
      </c>
      <c r="C734">
        <f>BDP(A734&amp;" US Equity","EXCH_CODE")</f>
        <v/>
      </c>
      <c r="D734" s="5">
        <f>BDP(A734&amp;" US Equity","VOLUME_AVG_20D")</f>
        <v/>
      </c>
      <c r="E734" s="6">
        <f>BDP(A734&amp;" US Equity","PX_LAST")</f>
        <v/>
      </c>
      <c r="F734" s="5">
        <f>D734*E734</f>
        <v/>
      </c>
      <c r="G734">
        <f>AND(B734&gt;=50,B734&lt;=10000)</f>
        <v/>
      </c>
      <c r="H734">
        <f>OR(C734="NAS",C734="NYS",C734="ASE")</f>
        <v/>
      </c>
      <c r="I734">
        <f>F734&gt;=500000</f>
        <v/>
      </c>
      <c r="J734">
        <f>E734&gt;=2</f>
        <v/>
      </c>
      <c r="K734">
        <f>AND(G734,H734,I734,J734)</f>
        <v/>
      </c>
    </row>
    <row r="735">
      <c r="B735" s="5">
        <f>BDP(A735&amp;" US Equity","CUR_MKT_CAP")</f>
        <v/>
      </c>
      <c r="C735">
        <f>BDP(A735&amp;" US Equity","EXCH_CODE")</f>
        <v/>
      </c>
      <c r="D735" s="5">
        <f>BDP(A735&amp;" US Equity","VOLUME_AVG_20D")</f>
        <v/>
      </c>
      <c r="E735" s="6">
        <f>BDP(A735&amp;" US Equity","PX_LAST")</f>
        <v/>
      </c>
      <c r="F735" s="5">
        <f>D735*E735</f>
        <v/>
      </c>
      <c r="G735">
        <f>AND(B735&gt;=50,B735&lt;=10000)</f>
        <v/>
      </c>
      <c r="H735">
        <f>OR(C735="NAS",C735="NYS",C735="ASE")</f>
        <v/>
      </c>
      <c r="I735">
        <f>F735&gt;=500000</f>
        <v/>
      </c>
      <c r="J735">
        <f>E735&gt;=2</f>
        <v/>
      </c>
      <c r="K735">
        <f>AND(G735,H735,I735,J735)</f>
        <v/>
      </c>
    </row>
    <row r="736">
      <c r="B736" s="5">
        <f>BDP(A736&amp;" US Equity","CUR_MKT_CAP")</f>
        <v/>
      </c>
      <c r="C736">
        <f>BDP(A736&amp;" US Equity","EXCH_CODE")</f>
        <v/>
      </c>
      <c r="D736" s="5">
        <f>BDP(A736&amp;" US Equity","VOLUME_AVG_20D")</f>
        <v/>
      </c>
      <c r="E736" s="6">
        <f>BDP(A736&amp;" US Equity","PX_LAST")</f>
        <v/>
      </c>
      <c r="F736" s="5">
        <f>D736*E736</f>
        <v/>
      </c>
      <c r="G736">
        <f>AND(B736&gt;=50,B736&lt;=10000)</f>
        <v/>
      </c>
      <c r="H736">
        <f>OR(C736="NAS",C736="NYS",C736="ASE")</f>
        <v/>
      </c>
      <c r="I736">
        <f>F736&gt;=500000</f>
        <v/>
      </c>
      <c r="J736">
        <f>E736&gt;=2</f>
        <v/>
      </c>
      <c r="K736">
        <f>AND(G736,H736,I736,J736)</f>
        <v/>
      </c>
    </row>
    <row r="737">
      <c r="B737" s="5">
        <f>BDP(A737&amp;" US Equity","CUR_MKT_CAP")</f>
        <v/>
      </c>
      <c r="C737">
        <f>BDP(A737&amp;" US Equity","EXCH_CODE")</f>
        <v/>
      </c>
      <c r="D737" s="5">
        <f>BDP(A737&amp;" US Equity","VOLUME_AVG_20D")</f>
        <v/>
      </c>
      <c r="E737" s="6">
        <f>BDP(A737&amp;" US Equity","PX_LAST")</f>
        <v/>
      </c>
      <c r="F737" s="5">
        <f>D737*E737</f>
        <v/>
      </c>
      <c r="G737">
        <f>AND(B737&gt;=50,B737&lt;=10000)</f>
        <v/>
      </c>
      <c r="H737">
        <f>OR(C737="NAS",C737="NYS",C737="ASE")</f>
        <v/>
      </c>
      <c r="I737">
        <f>F737&gt;=500000</f>
        <v/>
      </c>
      <c r="J737">
        <f>E737&gt;=2</f>
        <v/>
      </c>
      <c r="K737">
        <f>AND(G737,H737,I737,J737)</f>
        <v/>
      </c>
    </row>
    <row r="738">
      <c r="B738" s="5">
        <f>BDP(A738&amp;" US Equity","CUR_MKT_CAP")</f>
        <v/>
      </c>
      <c r="C738">
        <f>BDP(A738&amp;" US Equity","EXCH_CODE")</f>
        <v/>
      </c>
      <c r="D738" s="5">
        <f>BDP(A738&amp;" US Equity","VOLUME_AVG_20D")</f>
        <v/>
      </c>
      <c r="E738" s="6">
        <f>BDP(A738&amp;" US Equity","PX_LAST")</f>
        <v/>
      </c>
      <c r="F738" s="5">
        <f>D738*E738</f>
        <v/>
      </c>
      <c r="G738">
        <f>AND(B738&gt;=50,B738&lt;=10000)</f>
        <v/>
      </c>
      <c r="H738">
        <f>OR(C738="NAS",C738="NYS",C738="ASE")</f>
        <v/>
      </c>
      <c r="I738">
        <f>F738&gt;=500000</f>
        <v/>
      </c>
      <c r="J738">
        <f>E738&gt;=2</f>
        <v/>
      </c>
      <c r="K738">
        <f>AND(G738,H738,I738,J738)</f>
        <v/>
      </c>
    </row>
    <row r="739">
      <c r="B739" s="5">
        <f>BDP(A739&amp;" US Equity","CUR_MKT_CAP")</f>
        <v/>
      </c>
      <c r="C739">
        <f>BDP(A739&amp;" US Equity","EXCH_CODE")</f>
        <v/>
      </c>
      <c r="D739" s="5">
        <f>BDP(A739&amp;" US Equity","VOLUME_AVG_20D")</f>
        <v/>
      </c>
      <c r="E739" s="6">
        <f>BDP(A739&amp;" US Equity","PX_LAST")</f>
        <v/>
      </c>
      <c r="F739" s="5">
        <f>D739*E739</f>
        <v/>
      </c>
      <c r="G739">
        <f>AND(B739&gt;=50,B739&lt;=10000)</f>
        <v/>
      </c>
      <c r="H739">
        <f>OR(C739="NAS",C739="NYS",C739="ASE")</f>
        <v/>
      </c>
      <c r="I739">
        <f>F739&gt;=500000</f>
        <v/>
      </c>
      <c r="J739">
        <f>E739&gt;=2</f>
        <v/>
      </c>
      <c r="K739">
        <f>AND(G739,H739,I739,J739)</f>
        <v/>
      </c>
    </row>
    <row r="740">
      <c r="B740" s="5">
        <f>BDP(A740&amp;" US Equity","CUR_MKT_CAP")</f>
        <v/>
      </c>
      <c r="C740">
        <f>BDP(A740&amp;" US Equity","EXCH_CODE")</f>
        <v/>
      </c>
      <c r="D740" s="5">
        <f>BDP(A740&amp;" US Equity","VOLUME_AVG_20D")</f>
        <v/>
      </c>
      <c r="E740" s="6">
        <f>BDP(A740&amp;" US Equity","PX_LAST")</f>
        <v/>
      </c>
      <c r="F740" s="5">
        <f>D740*E740</f>
        <v/>
      </c>
      <c r="G740">
        <f>AND(B740&gt;=50,B740&lt;=10000)</f>
        <v/>
      </c>
      <c r="H740">
        <f>OR(C740="NAS",C740="NYS",C740="ASE")</f>
        <v/>
      </c>
      <c r="I740">
        <f>F740&gt;=500000</f>
        <v/>
      </c>
      <c r="J740">
        <f>E740&gt;=2</f>
        <v/>
      </c>
      <c r="K740">
        <f>AND(G740,H740,I740,J740)</f>
        <v/>
      </c>
    </row>
    <row r="741">
      <c r="B741" s="5">
        <f>BDP(A741&amp;" US Equity","CUR_MKT_CAP")</f>
        <v/>
      </c>
      <c r="C741">
        <f>BDP(A741&amp;" US Equity","EXCH_CODE")</f>
        <v/>
      </c>
      <c r="D741" s="5">
        <f>BDP(A741&amp;" US Equity","VOLUME_AVG_20D")</f>
        <v/>
      </c>
      <c r="E741" s="6">
        <f>BDP(A741&amp;" US Equity","PX_LAST")</f>
        <v/>
      </c>
      <c r="F741" s="5">
        <f>D741*E741</f>
        <v/>
      </c>
      <c r="G741">
        <f>AND(B741&gt;=50,B741&lt;=10000)</f>
        <v/>
      </c>
      <c r="H741">
        <f>OR(C741="NAS",C741="NYS",C741="ASE")</f>
        <v/>
      </c>
      <c r="I741">
        <f>F741&gt;=500000</f>
        <v/>
      </c>
      <c r="J741">
        <f>E741&gt;=2</f>
        <v/>
      </c>
      <c r="K741">
        <f>AND(G741,H741,I741,J741)</f>
        <v/>
      </c>
    </row>
    <row r="742">
      <c r="B742" s="5">
        <f>BDP(A742&amp;" US Equity","CUR_MKT_CAP")</f>
        <v/>
      </c>
      <c r="C742">
        <f>BDP(A742&amp;" US Equity","EXCH_CODE")</f>
        <v/>
      </c>
      <c r="D742" s="5">
        <f>BDP(A742&amp;" US Equity","VOLUME_AVG_20D")</f>
        <v/>
      </c>
      <c r="E742" s="6">
        <f>BDP(A742&amp;" US Equity","PX_LAST")</f>
        <v/>
      </c>
      <c r="F742" s="5">
        <f>D742*E742</f>
        <v/>
      </c>
      <c r="G742">
        <f>AND(B742&gt;=50,B742&lt;=10000)</f>
        <v/>
      </c>
      <c r="H742">
        <f>OR(C742="NAS",C742="NYS",C742="ASE")</f>
        <v/>
      </c>
      <c r="I742">
        <f>F742&gt;=500000</f>
        <v/>
      </c>
      <c r="J742">
        <f>E742&gt;=2</f>
        <v/>
      </c>
      <c r="K742">
        <f>AND(G742,H742,I742,J742)</f>
        <v/>
      </c>
    </row>
    <row r="743">
      <c r="B743" s="5">
        <f>BDP(A743&amp;" US Equity","CUR_MKT_CAP")</f>
        <v/>
      </c>
      <c r="C743">
        <f>BDP(A743&amp;" US Equity","EXCH_CODE")</f>
        <v/>
      </c>
      <c r="D743" s="5">
        <f>BDP(A743&amp;" US Equity","VOLUME_AVG_20D")</f>
        <v/>
      </c>
      <c r="E743" s="6">
        <f>BDP(A743&amp;" US Equity","PX_LAST")</f>
        <v/>
      </c>
      <c r="F743" s="5">
        <f>D743*E743</f>
        <v/>
      </c>
      <c r="G743">
        <f>AND(B743&gt;=50,B743&lt;=10000)</f>
        <v/>
      </c>
      <c r="H743">
        <f>OR(C743="NAS",C743="NYS",C743="ASE")</f>
        <v/>
      </c>
      <c r="I743">
        <f>F743&gt;=500000</f>
        <v/>
      </c>
      <c r="J743">
        <f>E743&gt;=2</f>
        <v/>
      </c>
      <c r="K743">
        <f>AND(G743,H743,I743,J743)</f>
        <v/>
      </c>
    </row>
    <row r="744">
      <c r="B744" s="5">
        <f>BDP(A744&amp;" US Equity","CUR_MKT_CAP")</f>
        <v/>
      </c>
      <c r="C744">
        <f>BDP(A744&amp;" US Equity","EXCH_CODE")</f>
        <v/>
      </c>
      <c r="D744" s="5">
        <f>BDP(A744&amp;" US Equity","VOLUME_AVG_20D")</f>
        <v/>
      </c>
      <c r="E744" s="6">
        <f>BDP(A744&amp;" US Equity","PX_LAST")</f>
        <v/>
      </c>
      <c r="F744" s="5">
        <f>D744*E744</f>
        <v/>
      </c>
      <c r="G744">
        <f>AND(B744&gt;=50,B744&lt;=10000)</f>
        <v/>
      </c>
      <c r="H744">
        <f>OR(C744="NAS",C744="NYS",C744="ASE")</f>
        <v/>
      </c>
      <c r="I744">
        <f>F744&gt;=500000</f>
        <v/>
      </c>
      <c r="J744">
        <f>E744&gt;=2</f>
        <v/>
      </c>
      <c r="K744">
        <f>AND(G744,H744,I744,J744)</f>
        <v/>
      </c>
    </row>
    <row r="745">
      <c r="B745" s="5">
        <f>BDP(A745&amp;" US Equity","CUR_MKT_CAP")</f>
        <v/>
      </c>
      <c r="C745">
        <f>BDP(A745&amp;" US Equity","EXCH_CODE")</f>
        <v/>
      </c>
      <c r="D745" s="5">
        <f>BDP(A745&amp;" US Equity","VOLUME_AVG_20D")</f>
        <v/>
      </c>
      <c r="E745" s="6">
        <f>BDP(A745&amp;" US Equity","PX_LAST")</f>
        <v/>
      </c>
      <c r="F745" s="5">
        <f>D745*E745</f>
        <v/>
      </c>
      <c r="G745">
        <f>AND(B745&gt;=50,B745&lt;=10000)</f>
        <v/>
      </c>
      <c r="H745">
        <f>OR(C745="NAS",C745="NYS",C745="ASE")</f>
        <v/>
      </c>
      <c r="I745">
        <f>F745&gt;=500000</f>
        <v/>
      </c>
      <c r="J745">
        <f>E745&gt;=2</f>
        <v/>
      </c>
      <c r="K745">
        <f>AND(G745,H745,I745,J745)</f>
        <v/>
      </c>
    </row>
    <row r="746">
      <c r="B746" s="5">
        <f>BDP(A746&amp;" US Equity","CUR_MKT_CAP")</f>
        <v/>
      </c>
      <c r="C746">
        <f>BDP(A746&amp;" US Equity","EXCH_CODE")</f>
        <v/>
      </c>
      <c r="D746" s="5">
        <f>BDP(A746&amp;" US Equity","VOLUME_AVG_20D")</f>
        <v/>
      </c>
      <c r="E746" s="6">
        <f>BDP(A746&amp;" US Equity","PX_LAST")</f>
        <v/>
      </c>
      <c r="F746" s="5">
        <f>D746*E746</f>
        <v/>
      </c>
      <c r="G746">
        <f>AND(B746&gt;=50,B746&lt;=10000)</f>
        <v/>
      </c>
      <c r="H746">
        <f>OR(C746="NAS",C746="NYS",C746="ASE")</f>
        <v/>
      </c>
      <c r="I746">
        <f>F746&gt;=500000</f>
        <v/>
      </c>
      <c r="J746">
        <f>E746&gt;=2</f>
        <v/>
      </c>
      <c r="K746">
        <f>AND(G746,H746,I746,J746)</f>
        <v/>
      </c>
    </row>
    <row r="747">
      <c r="B747" s="5">
        <f>BDP(A747&amp;" US Equity","CUR_MKT_CAP")</f>
        <v/>
      </c>
      <c r="C747">
        <f>BDP(A747&amp;" US Equity","EXCH_CODE")</f>
        <v/>
      </c>
      <c r="D747" s="5">
        <f>BDP(A747&amp;" US Equity","VOLUME_AVG_20D")</f>
        <v/>
      </c>
      <c r="E747" s="6">
        <f>BDP(A747&amp;" US Equity","PX_LAST")</f>
        <v/>
      </c>
      <c r="F747" s="5">
        <f>D747*E747</f>
        <v/>
      </c>
      <c r="G747">
        <f>AND(B747&gt;=50,B747&lt;=10000)</f>
        <v/>
      </c>
      <c r="H747">
        <f>OR(C747="NAS",C747="NYS",C747="ASE")</f>
        <v/>
      </c>
      <c r="I747">
        <f>F747&gt;=500000</f>
        <v/>
      </c>
      <c r="J747">
        <f>E747&gt;=2</f>
        <v/>
      </c>
      <c r="K747">
        <f>AND(G747,H747,I747,J747)</f>
        <v/>
      </c>
    </row>
    <row r="748">
      <c r="B748" s="5">
        <f>BDP(A748&amp;" US Equity","CUR_MKT_CAP")</f>
        <v/>
      </c>
      <c r="C748">
        <f>BDP(A748&amp;" US Equity","EXCH_CODE")</f>
        <v/>
      </c>
      <c r="D748" s="5">
        <f>BDP(A748&amp;" US Equity","VOLUME_AVG_20D")</f>
        <v/>
      </c>
      <c r="E748" s="6">
        <f>BDP(A748&amp;" US Equity","PX_LAST")</f>
        <v/>
      </c>
      <c r="F748" s="5">
        <f>D748*E748</f>
        <v/>
      </c>
      <c r="G748">
        <f>AND(B748&gt;=50,B748&lt;=10000)</f>
        <v/>
      </c>
      <c r="H748">
        <f>OR(C748="NAS",C748="NYS",C748="ASE")</f>
        <v/>
      </c>
      <c r="I748">
        <f>F748&gt;=500000</f>
        <v/>
      </c>
      <c r="J748">
        <f>E748&gt;=2</f>
        <v/>
      </c>
      <c r="K748">
        <f>AND(G748,H748,I748,J748)</f>
        <v/>
      </c>
    </row>
    <row r="749">
      <c r="B749" s="5">
        <f>BDP(A749&amp;" US Equity","CUR_MKT_CAP")</f>
        <v/>
      </c>
      <c r="C749">
        <f>BDP(A749&amp;" US Equity","EXCH_CODE")</f>
        <v/>
      </c>
      <c r="D749" s="5">
        <f>BDP(A749&amp;" US Equity","VOLUME_AVG_20D")</f>
        <v/>
      </c>
      <c r="E749" s="6">
        <f>BDP(A749&amp;" US Equity","PX_LAST")</f>
        <v/>
      </c>
      <c r="F749" s="5">
        <f>D749*E749</f>
        <v/>
      </c>
      <c r="G749">
        <f>AND(B749&gt;=50,B749&lt;=10000)</f>
        <v/>
      </c>
      <c r="H749">
        <f>OR(C749="NAS",C749="NYS",C749="ASE")</f>
        <v/>
      </c>
      <c r="I749">
        <f>F749&gt;=500000</f>
        <v/>
      </c>
      <c r="J749">
        <f>E749&gt;=2</f>
        <v/>
      </c>
      <c r="K749">
        <f>AND(G749,H749,I749,J749)</f>
        <v/>
      </c>
    </row>
    <row r="750">
      <c r="B750" s="5">
        <f>BDP(A750&amp;" US Equity","CUR_MKT_CAP")</f>
        <v/>
      </c>
      <c r="C750">
        <f>BDP(A750&amp;" US Equity","EXCH_CODE")</f>
        <v/>
      </c>
      <c r="D750" s="5">
        <f>BDP(A750&amp;" US Equity","VOLUME_AVG_20D")</f>
        <v/>
      </c>
      <c r="E750" s="6">
        <f>BDP(A750&amp;" US Equity","PX_LAST")</f>
        <v/>
      </c>
      <c r="F750" s="5">
        <f>D750*E750</f>
        <v/>
      </c>
      <c r="G750">
        <f>AND(B750&gt;=50,B750&lt;=10000)</f>
        <v/>
      </c>
      <c r="H750">
        <f>OR(C750="NAS",C750="NYS",C750="ASE")</f>
        <v/>
      </c>
      <c r="I750">
        <f>F750&gt;=500000</f>
        <v/>
      </c>
      <c r="J750">
        <f>E750&gt;=2</f>
        <v/>
      </c>
      <c r="K750">
        <f>AND(G750,H750,I750,J750)</f>
        <v/>
      </c>
    </row>
    <row r="751">
      <c r="B751" s="5">
        <f>BDP(A751&amp;" US Equity","CUR_MKT_CAP")</f>
        <v/>
      </c>
      <c r="C751">
        <f>BDP(A751&amp;" US Equity","EXCH_CODE")</f>
        <v/>
      </c>
      <c r="D751" s="5">
        <f>BDP(A751&amp;" US Equity","VOLUME_AVG_20D")</f>
        <v/>
      </c>
      <c r="E751" s="6">
        <f>BDP(A751&amp;" US Equity","PX_LAST")</f>
        <v/>
      </c>
      <c r="F751" s="5">
        <f>D751*E751</f>
        <v/>
      </c>
      <c r="G751">
        <f>AND(B751&gt;=50,B751&lt;=10000)</f>
        <v/>
      </c>
      <c r="H751">
        <f>OR(C751="NAS",C751="NYS",C751="ASE")</f>
        <v/>
      </c>
      <c r="I751">
        <f>F751&gt;=500000</f>
        <v/>
      </c>
      <c r="J751">
        <f>E751&gt;=2</f>
        <v/>
      </c>
      <c r="K751">
        <f>AND(G751,H751,I751,J751)</f>
        <v/>
      </c>
    </row>
    <row r="752">
      <c r="B752" s="5">
        <f>BDP(A752&amp;" US Equity","CUR_MKT_CAP")</f>
        <v/>
      </c>
      <c r="C752">
        <f>BDP(A752&amp;" US Equity","EXCH_CODE")</f>
        <v/>
      </c>
      <c r="D752" s="5">
        <f>BDP(A752&amp;" US Equity","VOLUME_AVG_20D")</f>
        <v/>
      </c>
      <c r="E752" s="6">
        <f>BDP(A752&amp;" US Equity","PX_LAST")</f>
        <v/>
      </c>
      <c r="F752" s="5">
        <f>D752*E752</f>
        <v/>
      </c>
      <c r="G752">
        <f>AND(B752&gt;=50,B752&lt;=10000)</f>
        <v/>
      </c>
      <c r="H752">
        <f>OR(C752="NAS",C752="NYS",C752="ASE")</f>
        <v/>
      </c>
      <c r="I752">
        <f>F752&gt;=500000</f>
        <v/>
      </c>
      <c r="J752">
        <f>E752&gt;=2</f>
        <v/>
      </c>
      <c r="K752">
        <f>AND(G752,H752,I752,J752)</f>
        <v/>
      </c>
    </row>
    <row r="753">
      <c r="B753" s="5">
        <f>BDP(A753&amp;" US Equity","CUR_MKT_CAP")</f>
        <v/>
      </c>
      <c r="C753">
        <f>BDP(A753&amp;" US Equity","EXCH_CODE")</f>
        <v/>
      </c>
      <c r="D753" s="5">
        <f>BDP(A753&amp;" US Equity","VOLUME_AVG_20D")</f>
        <v/>
      </c>
      <c r="E753" s="6">
        <f>BDP(A753&amp;" US Equity","PX_LAST")</f>
        <v/>
      </c>
      <c r="F753" s="5">
        <f>D753*E753</f>
        <v/>
      </c>
      <c r="G753">
        <f>AND(B753&gt;=50,B753&lt;=10000)</f>
        <v/>
      </c>
      <c r="H753">
        <f>OR(C753="NAS",C753="NYS",C753="ASE")</f>
        <v/>
      </c>
      <c r="I753">
        <f>F753&gt;=500000</f>
        <v/>
      </c>
      <c r="J753">
        <f>E753&gt;=2</f>
        <v/>
      </c>
      <c r="K753">
        <f>AND(G753,H753,I753,J753)</f>
        <v/>
      </c>
    </row>
    <row r="754">
      <c r="B754" s="5">
        <f>BDP(A754&amp;" US Equity","CUR_MKT_CAP")</f>
        <v/>
      </c>
      <c r="C754">
        <f>BDP(A754&amp;" US Equity","EXCH_CODE")</f>
        <v/>
      </c>
      <c r="D754" s="5">
        <f>BDP(A754&amp;" US Equity","VOLUME_AVG_20D")</f>
        <v/>
      </c>
      <c r="E754" s="6">
        <f>BDP(A754&amp;" US Equity","PX_LAST")</f>
        <v/>
      </c>
      <c r="F754" s="5">
        <f>D754*E754</f>
        <v/>
      </c>
      <c r="G754">
        <f>AND(B754&gt;=50,B754&lt;=10000)</f>
        <v/>
      </c>
      <c r="H754">
        <f>OR(C754="NAS",C754="NYS",C754="ASE")</f>
        <v/>
      </c>
      <c r="I754">
        <f>F754&gt;=500000</f>
        <v/>
      </c>
      <c r="J754">
        <f>E754&gt;=2</f>
        <v/>
      </c>
      <c r="K754">
        <f>AND(G754,H754,I754,J754)</f>
        <v/>
      </c>
    </row>
    <row r="755">
      <c r="B755" s="5">
        <f>BDP(A755&amp;" US Equity","CUR_MKT_CAP")</f>
        <v/>
      </c>
      <c r="C755">
        <f>BDP(A755&amp;" US Equity","EXCH_CODE")</f>
        <v/>
      </c>
      <c r="D755" s="5">
        <f>BDP(A755&amp;" US Equity","VOLUME_AVG_20D")</f>
        <v/>
      </c>
      <c r="E755" s="6">
        <f>BDP(A755&amp;" US Equity","PX_LAST")</f>
        <v/>
      </c>
      <c r="F755" s="5">
        <f>D755*E755</f>
        <v/>
      </c>
      <c r="G755">
        <f>AND(B755&gt;=50,B755&lt;=10000)</f>
        <v/>
      </c>
      <c r="H755">
        <f>OR(C755="NAS",C755="NYS",C755="ASE")</f>
        <v/>
      </c>
      <c r="I755">
        <f>F755&gt;=500000</f>
        <v/>
      </c>
      <c r="J755">
        <f>E755&gt;=2</f>
        <v/>
      </c>
      <c r="K755">
        <f>AND(G755,H755,I755,J755)</f>
        <v/>
      </c>
    </row>
    <row r="756">
      <c r="B756" s="5">
        <f>BDP(A756&amp;" US Equity","CUR_MKT_CAP")</f>
        <v/>
      </c>
      <c r="C756">
        <f>BDP(A756&amp;" US Equity","EXCH_CODE")</f>
        <v/>
      </c>
      <c r="D756" s="5">
        <f>BDP(A756&amp;" US Equity","VOLUME_AVG_20D")</f>
        <v/>
      </c>
      <c r="E756" s="6">
        <f>BDP(A756&amp;" US Equity","PX_LAST")</f>
        <v/>
      </c>
      <c r="F756" s="5">
        <f>D756*E756</f>
        <v/>
      </c>
      <c r="G756">
        <f>AND(B756&gt;=50,B756&lt;=10000)</f>
        <v/>
      </c>
      <c r="H756">
        <f>OR(C756="NAS",C756="NYS",C756="ASE")</f>
        <v/>
      </c>
      <c r="I756">
        <f>F756&gt;=500000</f>
        <v/>
      </c>
      <c r="J756">
        <f>E756&gt;=2</f>
        <v/>
      </c>
      <c r="K756">
        <f>AND(G756,H756,I756,J756)</f>
        <v/>
      </c>
    </row>
    <row r="757">
      <c r="B757" s="5">
        <f>BDP(A757&amp;" US Equity","CUR_MKT_CAP")</f>
        <v/>
      </c>
      <c r="C757">
        <f>BDP(A757&amp;" US Equity","EXCH_CODE")</f>
        <v/>
      </c>
      <c r="D757" s="5">
        <f>BDP(A757&amp;" US Equity","VOLUME_AVG_20D")</f>
        <v/>
      </c>
      <c r="E757" s="6">
        <f>BDP(A757&amp;" US Equity","PX_LAST")</f>
        <v/>
      </c>
      <c r="F757" s="5">
        <f>D757*E757</f>
        <v/>
      </c>
      <c r="G757">
        <f>AND(B757&gt;=50,B757&lt;=10000)</f>
        <v/>
      </c>
      <c r="H757">
        <f>OR(C757="NAS",C757="NYS",C757="ASE")</f>
        <v/>
      </c>
      <c r="I757">
        <f>F757&gt;=500000</f>
        <v/>
      </c>
      <c r="J757">
        <f>E757&gt;=2</f>
        <v/>
      </c>
      <c r="K757">
        <f>AND(G757,H757,I757,J757)</f>
        <v/>
      </c>
    </row>
    <row r="758">
      <c r="B758" s="5">
        <f>BDP(A758&amp;" US Equity","CUR_MKT_CAP")</f>
        <v/>
      </c>
      <c r="C758">
        <f>BDP(A758&amp;" US Equity","EXCH_CODE")</f>
        <v/>
      </c>
      <c r="D758" s="5">
        <f>BDP(A758&amp;" US Equity","VOLUME_AVG_20D")</f>
        <v/>
      </c>
      <c r="E758" s="6">
        <f>BDP(A758&amp;" US Equity","PX_LAST")</f>
        <v/>
      </c>
      <c r="F758" s="5">
        <f>D758*E758</f>
        <v/>
      </c>
      <c r="G758">
        <f>AND(B758&gt;=50,B758&lt;=10000)</f>
        <v/>
      </c>
      <c r="H758">
        <f>OR(C758="NAS",C758="NYS",C758="ASE")</f>
        <v/>
      </c>
      <c r="I758">
        <f>F758&gt;=500000</f>
        <v/>
      </c>
      <c r="J758">
        <f>E758&gt;=2</f>
        <v/>
      </c>
      <c r="K758">
        <f>AND(G758,H758,I758,J758)</f>
        <v/>
      </c>
    </row>
    <row r="759">
      <c r="B759" s="5">
        <f>BDP(A759&amp;" US Equity","CUR_MKT_CAP")</f>
        <v/>
      </c>
      <c r="C759">
        <f>BDP(A759&amp;" US Equity","EXCH_CODE")</f>
        <v/>
      </c>
      <c r="D759" s="5">
        <f>BDP(A759&amp;" US Equity","VOLUME_AVG_20D")</f>
        <v/>
      </c>
      <c r="E759" s="6">
        <f>BDP(A759&amp;" US Equity","PX_LAST")</f>
        <v/>
      </c>
      <c r="F759" s="5">
        <f>D759*E759</f>
        <v/>
      </c>
      <c r="G759">
        <f>AND(B759&gt;=50,B759&lt;=10000)</f>
        <v/>
      </c>
      <c r="H759">
        <f>OR(C759="NAS",C759="NYS",C759="ASE")</f>
        <v/>
      </c>
      <c r="I759">
        <f>F759&gt;=500000</f>
        <v/>
      </c>
      <c r="J759">
        <f>E759&gt;=2</f>
        <v/>
      </c>
      <c r="K759">
        <f>AND(G759,H759,I759,J759)</f>
        <v/>
      </c>
    </row>
    <row r="760">
      <c r="B760" s="5">
        <f>BDP(A760&amp;" US Equity","CUR_MKT_CAP")</f>
        <v/>
      </c>
      <c r="C760">
        <f>BDP(A760&amp;" US Equity","EXCH_CODE")</f>
        <v/>
      </c>
      <c r="D760" s="5">
        <f>BDP(A760&amp;" US Equity","VOLUME_AVG_20D")</f>
        <v/>
      </c>
      <c r="E760" s="6">
        <f>BDP(A760&amp;" US Equity","PX_LAST")</f>
        <v/>
      </c>
      <c r="F760" s="5">
        <f>D760*E760</f>
        <v/>
      </c>
      <c r="G760">
        <f>AND(B760&gt;=50,B760&lt;=10000)</f>
        <v/>
      </c>
      <c r="H760">
        <f>OR(C760="NAS",C760="NYS",C760="ASE")</f>
        <v/>
      </c>
      <c r="I760">
        <f>F760&gt;=500000</f>
        <v/>
      </c>
      <c r="J760">
        <f>E760&gt;=2</f>
        <v/>
      </c>
      <c r="K760">
        <f>AND(G760,H760,I760,J760)</f>
        <v/>
      </c>
    </row>
    <row r="761">
      <c r="B761" s="5">
        <f>BDP(A761&amp;" US Equity","CUR_MKT_CAP")</f>
        <v/>
      </c>
      <c r="C761">
        <f>BDP(A761&amp;" US Equity","EXCH_CODE")</f>
        <v/>
      </c>
      <c r="D761" s="5">
        <f>BDP(A761&amp;" US Equity","VOLUME_AVG_20D")</f>
        <v/>
      </c>
      <c r="E761" s="6">
        <f>BDP(A761&amp;" US Equity","PX_LAST")</f>
        <v/>
      </c>
      <c r="F761" s="5">
        <f>D761*E761</f>
        <v/>
      </c>
      <c r="G761">
        <f>AND(B761&gt;=50,B761&lt;=10000)</f>
        <v/>
      </c>
      <c r="H761">
        <f>OR(C761="NAS",C761="NYS",C761="ASE")</f>
        <v/>
      </c>
      <c r="I761">
        <f>F761&gt;=500000</f>
        <v/>
      </c>
      <c r="J761">
        <f>E761&gt;=2</f>
        <v/>
      </c>
      <c r="K761">
        <f>AND(G761,H761,I761,J761)</f>
        <v/>
      </c>
    </row>
    <row r="762">
      <c r="B762" s="5">
        <f>BDP(A762&amp;" US Equity","CUR_MKT_CAP")</f>
        <v/>
      </c>
      <c r="C762">
        <f>BDP(A762&amp;" US Equity","EXCH_CODE")</f>
        <v/>
      </c>
      <c r="D762" s="5">
        <f>BDP(A762&amp;" US Equity","VOLUME_AVG_20D")</f>
        <v/>
      </c>
      <c r="E762" s="6">
        <f>BDP(A762&amp;" US Equity","PX_LAST")</f>
        <v/>
      </c>
      <c r="F762" s="5">
        <f>D762*E762</f>
        <v/>
      </c>
      <c r="G762">
        <f>AND(B762&gt;=50,B762&lt;=10000)</f>
        <v/>
      </c>
      <c r="H762">
        <f>OR(C762="NAS",C762="NYS",C762="ASE")</f>
        <v/>
      </c>
      <c r="I762">
        <f>F762&gt;=500000</f>
        <v/>
      </c>
      <c r="J762">
        <f>E762&gt;=2</f>
        <v/>
      </c>
      <c r="K762">
        <f>AND(G762,H762,I762,J762)</f>
        <v/>
      </c>
    </row>
    <row r="763">
      <c r="B763" s="5">
        <f>BDP(A763&amp;" US Equity","CUR_MKT_CAP")</f>
        <v/>
      </c>
      <c r="C763">
        <f>BDP(A763&amp;" US Equity","EXCH_CODE")</f>
        <v/>
      </c>
      <c r="D763" s="5">
        <f>BDP(A763&amp;" US Equity","VOLUME_AVG_20D")</f>
        <v/>
      </c>
      <c r="E763" s="6">
        <f>BDP(A763&amp;" US Equity","PX_LAST")</f>
        <v/>
      </c>
      <c r="F763" s="5">
        <f>D763*E763</f>
        <v/>
      </c>
      <c r="G763">
        <f>AND(B763&gt;=50,B763&lt;=10000)</f>
        <v/>
      </c>
      <c r="H763">
        <f>OR(C763="NAS",C763="NYS",C763="ASE")</f>
        <v/>
      </c>
      <c r="I763">
        <f>F763&gt;=500000</f>
        <v/>
      </c>
      <c r="J763">
        <f>E763&gt;=2</f>
        <v/>
      </c>
      <c r="K763">
        <f>AND(G763,H763,I763,J763)</f>
        <v/>
      </c>
    </row>
    <row r="764">
      <c r="B764" s="5">
        <f>BDP(A764&amp;" US Equity","CUR_MKT_CAP")</f>
        <v/>
      </c>
      <c r="C764">
        <f>BDP(A764&amp;" US Equity","EXCH_CODE")</f>
        <v/>
      </c>
      <c r="D764" s="5">
        <f>BDP(A764&amp;" US Equity","VOLUME_AVG_20D")</f>
        <v/>
      </c>
      <c r="E764" s="6">
        <f>BDP(A764&amp;" US Equity","PX_LAST")</f>
        <v/>
      </c>
      <c r="F764" s="5">
        <f>D764*E764</f>
        <v/>
      </c>
      <c r="G764">
        <f>AND(B764&gt;=50,B764&lt;=10000)</f>
        <v/>
      </c>
      <c r="H764">
        <f>OR(C764="NAS",C764="NYS",C764="ASE")</f>
        <v/>
      </c>
      <c r="I764">
        <f>F764&gt;=500000</f>
        <v/>
      </c>
      <c r="J764">
        <f>E764&gt;=2</f>
        <v/>
      </c>
      <c r="K764">
        <f>AND(G764,H764,I764,J764)</f>
        <v/>
      </c>
    </row>
    <row r="765">
      <c r="B765" s="5">
        <f>BDP(A765&amp;" US Equity","CUR_MKT_CAP")</f>
        <v/>
      </c>
      <c r="C765">
        <f>BDP(A765&amp;" US Equity","EXCH_CODE")</f>
        <v/>
      </c>
      <c r="D765" s="5">
        <f>BDP(A765&amp;" US Equity","VOLUME_AVG_20D")</f>
        <v/>
      </c>
      <c r="E765" s="6">
        <f>BDP(A765&amp;" US Equity","PX_LAST")</f>
        <v/>
      </c>
      <c r="F765" s="5">
        <f>D765*E765</f>
        <v/>
      </c>
      <c r="G765">
        <f>AND(B765&gt;=50,B765&lt;=10000)</f>
        <v/>
      </c>
      <c r="H765">
        <f>OR(C765="NAS",C765="NYS",C765="ASE")</f>
        <v/>
      </c>
      <c r="I765">
        <f>F765&gt;=500000</f>
        <v/>
      </c>
      <c r="J765">
        <f>E765&gt;=2</f>
        <v/>
      </c>
      <c r="K765">
        <f>AND(G765,H765,I765,J765)</f>
        <v/>
      </c>
    </row>
    <row r="766">
      <c r="B766" s="5">
        <f>BDP(A766&amp;" US Equity","CUR_MKT_CAP")</f>
        <v/>
      </c>
      <c r="C766">
        <f>BDP(A766&amp;" US Equity","EXCH_CODE")</f>
        <v/>
      </c>
      <c r="D766" s="5">
        <f>BDP(A766&amp;" US Equity","VOLUME_AVG_20D")</f>
        <v/>
      </c>
      <c r="E766" s="6">
        <f>BDP(A766&amp;" US Equity","PX_LAST")</f>
        <v/>
      </c>
      <c r="F766" s="5">
        <f>D766*E766</f>
        <v/>
      </c>
      <c r="G766">
        <f>AND(B766&gt;=50,B766&lt;=10000)</f>
        <v/>
      </c>
      <c r="H766">
        <f>OR(C766="NAS",C766="NYS",C766="ASE")</f>
        <v/>
      </c>
      <c r="I766">
        <f>F766&gt;=500000</f>
        <v/>
      </c>
      <c r="J766">
        <f>E766&gt;=2</f>
        <v/>
      </c>
      <c r="K766">
        <f>AND(G766,H766,I766,J766)</f>
        <v/>
      </c>
    </row>
    <row r="767">
      <c r="B767" s="5">
        <f>BDP(A767&amp;" US Equity","CUR_MKT_CAP")</f>
        <v/>
      </c>
      <c r="C767">
        <f>BDP(A767&amp;" US Equity","EXCH_CODE")</f>
        <v/>
      </c>
      <c r="D767" s="5">
        <f>BDP(A767&amp;" US Equity","VOLUME_AVG_20D")</f>
        <v/>
      </c>
      <c r="E767" s="6">
        <f>BDP(A767&amp;" US Equity","PX_LAST")</f>
        <v/>
      </c>
      <c r="F767" s="5">
        <f>D767*E767</f>
        <v/>
      </c>
      <c r="G767">
        <f>AND(B767&gt;=50,B767&lt;=10000)</f>
        <v/>
      </c>
      <c r="H767">
        <f>OR(C767="NAS",C767="NYS",C767="ASE")</f>
        <v/>
      </c>
      <c r="I767">
        <f>F767&gt;=500000</f>
        <v/>
      </c>
      <c r="J767">
        <f>E767&gt;=2</f>
        <v/>
      </c>
      <c r="K767">
        <f>AND(G767,H767,I767,J767)</f>
        <v/>
      </c>
    </row>
    <row r="768">
      <c r="B768" s="5">
        <f>BDP(A768&amp;" US Equity","CUR_MKT_CAP")</f>
        <v/>
      </c>
      <c r="C768">
        <f>BDP(A768&amp;" US Equity","EXCH_CODE")</f>
        <v/>
      </c>
      <c r="D768" s="5">
        <f>BDP(A768&amp;" US Equity","VOLUME_AVG_20D")</f>
        <v/>
      </c>
      <c r="E768" s="6">
        <f>BDP(A768&amp;" US Equity","PX_LAST")</f>
        <v/>
      </c>
      <c r="F768" s="5">
        <f>D768*E768</f>
        <v/>
      </c>
      <c r="G768">
        <f>AND(B768&gt;=50,B768&lt;=10000)</f>
        <v/>
      </c>
      <c r="H768">
        <f>OR(C768="NAS",C768="NYS",C768="ASE")</f>
        <v/>
      </c>
      <c r="I768">
        <f>F768&gt;=500000</f>
        <v/>
      </c>
      <c r="J768">
        <f>E768&gt;=2</f>
        <v/>
      </c>
      <c r="K768">
        <f>AND(G768,H768,I768,J768)</f>
        <v/>
      </c>
    </row>
    <row r="769">
      <c r="B769" s="5">
        <f>BDP(A769&amp;" US Equity","CUR_MKT_CAP")</f>
        <v/>
      </c>
      <c r="C769">
        <f>BDP(A769&amp;" US Equity","EXCH_CODE")</f>
        <v/>
      </c>
      <c r="D769" s="5">
        <f>BDP(A769&amp;" US Equity","VOLUME_AVG_20D")</f>
        <v/>
      </c>
      <c r="E769" s="6">
        <f>BDP(A769&amp;" US Equity","PX_LAST")</f>
        <v/>
      </c>
      <c r="F769" s="5">
        <f>D769*E769</f>
        <v/>
      </c>
      <c r="G769">
        <f>AND(B769&gt;=50,B769&lt;=10000)</f>
        <v/>
      </c>
      <c r="H769">
        <f>OR(C769="NAS",C769="NYS",C769="ASE")</f>
        <v/>
      </c>
      <c r="I769">
        <f>F769&gt;=500000</f>
        <v/>
      </c>
      <c r="J769">
        <f>E769&gt;=2</f>
        <v/>
      </c>
      <c r="K769">
        <f>AND(G769,H769,I769,J769)</f>
        <v/>
      </c>
    </row>
    <row r="770">
      <c r="B770" s="5">
        <f>BDP(A770&amp;" US Equity","CUR_MKT_CAP")</f>
        <v/>
      </c>
      <c r="C770">
        <f>BDP(A770&amp;" US Equity","EXCH_CODE")</f>
        <v/>
      </c>
      <c r="D770" s="5">
        <f>BDP(A770&amp;" US Equity","VOLUME_AVG_20D")</f>
        <v/>
      </c>
      <c r="E770" s="6">
        <f>BDP(A770&amp;" US Equity","PX_LAST")</f>
        <v/>
      </c>
      <c r="F770" s="5">
        <f>D770*E770</f>
        <v/>
      </c>
      <c r="G770">
        <f>AND(B770&gt;=50,B770&lt;=10000)</f>
        <v/>
      </c>
      <c r="H770">
        <f>OR(C770="NAS",C770="NYS",C770="ASE")</f>
        <v/>
      </c>
      <c r="I770">
        <f>F770&gt;=500000</f>
        <v/>
      </c>
      <c r="J770">
        <f>E770&gt;=2</f>
        <v/>
      </c>
      <c r="K770">
        <f>AND(G770,H770,I770,J770)</f>
        <v/>
      </c>
    </row>
    <row r="771">
      <c r="B771" s="5">
        <f>BDP(A771&amp;" US Equity","CUR_MKT_CAP")</f>
        <v/>
      </c>
      <c r="C771">
        <f>BDP(A771&amp;" US Equity","EXCH_CODE")</f>
        <v/>
      </c>
      <c r="D771" s="5">
        <f>BDP(A771&amp;" US Equity","VOLUME_AVG_20D")</f>
        <v/>
      </c>
      <c r="E771" s="6">
        <f>BDP(A771&amp;" US Equity","PX_LAST")</f>
        <v/>
      </c>
      <c r="F771" s="5">
        <f>D771*E771</f>
        <v/>
      </c>
      <c r="G771">
        <f>AND(B771&gt;=50,B771&lt;=10000)</f>
        <v/>
      </c>
      <c r="H771">
        <f>OR(C771="NAS",C771="NYS",C771="ASE")</f>
        <v/>
      </c>
      <c r="I771">
        <f>F771&gt;=500000</f>
        <v/>
      </c>
      <c r="J771">
        <f>E771&gt;=2</f>
        <v/>
      </c>
      <c r="K771">
        <f>AND(G771,H771,I771,J771)</f>
        <v/>
      </c>
    </row>
    <row r="772">
      <c r="B772" s="5">
        <f>BDP(A772&amp;" US Equity","CUR_MKT_CAP")</f>
        <v/>
      </c>
      <c r="C772">
        <f>BDP(A772&amp;" US Equity","EXCH_CODE")</f>
        <v/>
      </c>
      <c r="D772" s="5">
        <f>BDP(A772&amp;" US Equity","VOLUME_AVG_20D")</f>
        <v/>
      </c>
      <c r="E772" s="6">
        <f>BDP(A772&amp;" US Equity","PX_LAST")</f>
        <v/>
      </c>
      <c r="F772" s="5">
        <f>D772*E772</f>
        <v/>
      </c>
      <c r="G772">
        <f>AND(B772&gt;=50,B772&lt;=10000)</f>
        <v/>
      </c>
      <c r="H772">
        <f>OR(C772="NAS",C772="NYS",C772="ASE")</f>
        <v/>
      </c>
      <c r="I772">
        <f>F772&gt;=500000</f>
        <v/>
      </c>
      <c r="J772">
        <f>E772&gt;=2</f>
        <v/>
      </c>
      <c r="K772">
        <f>AND(G772,H772,I772,J772)</f>
        <v/>
      </c>
    </row>
    <row r="773">
      <c r="B773" s="5">
        <f>BDP(A773&amp;" US Equity","CUR_MKT_CAP")</f>
        <v/>
      </c>
      <c r="C773">
        <f>BDP(A773&amp;" US Equity","EXCH_CODE")</f>
        <v/>
      </c>
      <c r="D773" s="5">
        <f>BDP(A773&amp;" US Equity","VOLUME_AVG_20D")</f>
        <v/>
      </c>
      <c r="E773" s="6">
        <f>BDP(A773&amp;" US Equity","PX_LAST")</f>
        <v/>
      </c>
      <c r="F773" s="5">
        <f>D773*E773</f>
        <v/>
      </c>
      <c r="G773">
        <f>AND(B773&gt;=50,B773&lt;=10000)</f>
        <v/>
      </c>
      <c r="H773">
        <f>OR(C773="NAS",C773="NYS",C773="ASE")</f>
        <v/>
      </c>
      <c r="I773">
        <f>F773&gt;=500000</f>
        <v/>
      </c>
      <c r="J773">
        <f>E773&gt;=2</f>
        <v/>
      </c>
      <c r="K773">
        <f>AND(G773,H773,I773,J773)</f>
        <v/>
      </c>
    </row>
    <row r="774">
      <c r="B774" s="5">
        <f>BDP(A774&amp;" US Equity","CUR_MKT_CAP")</f>
        <v/>
      </c>
      <c r="C774">
        <f>BDP(A774&amp;" US Equity","EXCH_CODE")</f>
        <v/>
      </c>
      <c r="D774" s="5">
        <f>BDP(A774&amp;" US Equity","VOLUME_AVG_20D")</f>
        <v/>
      </c>
      <c r="E774" s="6">
        <f>BDP(A774&amp;" US Equity","PX_LAST")</f>
        <v/>
      </c>
      <c r="F774" s="5">
        <f>D774*E774</f>
        <v/>
      </c>
      <c r="G774">
        <f>AND(B774&gt;=50,B774&lt;=10000)</f>
        <v/>
      </c>
      <c r="H774">
        <f>OR(C774="NAS",C774="NYS",C774="ASE")</f>
        <v/>
      </c>
      <c r="I774">
        <f>F774&gt;=500000</f>
        <v/>
      </c>
      <c r="J774">
        <f>E774&gt;=2</f>
        <v/>
      </c>
      <c r="K774">
        <f>AND(G774,H774,I774,J774)</f>
        <v/>
      </c>
    </row>
    <row r="775">
      <c r="B775" s="5">
        <f>BDP(A775&amp;" US Equity","CUR_MKT_CAP")</f>
        <v/>
      </c>
      <c r="C775">
        <f>BDP(A775&amp;" US Equity","EXCH_CODE")</f>
        <v/>
      </c>
      <c r="D775" s="5">
        <f>BDP(A775&amp;" US Equity","VOLUME_AVG_20D")</f>
        <v/>
      </c>
      <c r="E775" s="6">
        <f>BDP(A775&amp;" US Equity","PX_LAST")</f>
        <v/>
      </c>
      <c r="F775" s="5">
        <f>D775*E775</f>
        <v/>
      </c>
      <c r="G775">
        <f>AND(B775&gt;=50,B775&lt;=10000)</f>
        <v/>
      </c>
      <c r="H775">
        <f>OR(C775="NAS",C775="NYS",C775="ASE")</f>
        <v/>
      </c>
      <c r="I775">
        <f>F775&gt;=500000</f>
        <v/>
      </c>
      <c r="J775">
        <f>E775&gt;=2</f>
        <v/>
      </c>
      <c r="K775">
        <f>AND(G775,H775,I775,J775)</f>
        <v/>
      </c>
    </row>
    <row r="776">
      <c r="B776" s="5">
        <f>BDP(A776&amp;" US Equity","CUR_MKT_CAP")</f>
        <v/>
      </c>
      <c r="C776">
        <f>BDP(A776&amp;" US Equity","EXCH_CODE")</f>
        <v/>
      </c>
      <c r="D776" s="5">
        <f>BDP(A776&amp;" US Equity","VOLUME_AVG_20D")</f>
        <v/>
      </c>
      <c r="E776" s="6">
        <f>BDP(A776&amp;" US Equity","PX_LAST")</f>
        <v/>
      </c>
      <c r="F776" s="5">
        <f>D776*E776</f>
        <v/>
      </c>
      <c r="G776">
        <f>AND(B776&gt;=50,B776&lt;=10000)</f>
        <v/>
      </c>
      <c r="H776">
        <f>OR(C776="NAS",C776="NYS",C776="ASE")</f>
        <v/>
      </c>
      <c r="I776">
        <f>F776&gt;=500000</f>
        <v/>
      </c>
      <c r="J776">
        <f>E776&gt;=2</f>
        <v/>
      </c>
      <c r="K776">
        <f>AND(G776,H776,I776,J776)</f>
        <v/>
      </c>
    </row>
    <row r="777">
      <c r="B777" s="5">
        <f>BDP(A777&amp;" US Equity","CUR_MKT_CAP")</f>
        <v/>
      </c>
      <c r="C777">
        <f>BDP(A777&amp;" US Equity","EXCH_CODE")</f>
        <v/>
      </c>
      <c r="D777" s="5">
        <f>BDP(A777&amp;" US Equity","VOLUME_AVG_20D")</f>
        <v/>
      </c>
      <c r="E777" s="6">
        <f>BDP(A777&amp;" US Equity","PX_LAST")</f>
        <v/>
      </c>
      <c r="F777" s="5">
        <f>D777*E777</f>
        <v/>
      </c>
      <c r="G777">
        <f>AND(B777&gt;=50,B777&lt;=10000)</f>
        <v/>
      </c>
      <c r="H777">
        <f>OR(C777="NAS",C777="NYS",C777="ASE")</f>
        <v/>
      </c>
      <c r="I777">
        <f>F777&gt;=500000</f>
        <v/>
      </c>
      <c r="J777">
        <f>E777&gt;=2</f>
        <v/>
      </c>
      <c r="K777">
        <f>AND(G777,H777,I777,J777)</f>
        <v/>
      </c>
    </row>
    <row r="778">
      <c r="B778" s="5">
        <f>BDP(A778&amp;" US Equity","CUR_MKT_CAP")</f>
        <v/>
      </c>
      <c r="C778">
        <f>BDP(A778&amp;" US Equity","EXCH_CODE")</f>
        <v/>
      </c>
      <c r="D778" s="5">
        <f>BDP(A778&amp;" US Equity","VOLUME_AVG_20D")</f>
        <v/>
      </c>
      <c r="E778" s="6">
        <f>BDP(A778&amp;" US Equity","PX_LAST")</f>
        <v/>
      </c>
      <c r="F778" s="5">
        <f>D778*E778</f>
        <v/>
      </c>
      <c r="G778">
        <f>AND(B778&gt;=50,B778&lt;=10000)</f>
        <v/>
      </c>
      <c r="H778">
        <f>OR(C778="NAS",C778="NYS",C778="ASE")</f>
        <v/>
      </c>
      <c r="I778">
        <f>F778&gt;=500000</f>
        <v/>
      </c>
      <c r="J778">
        <f>E778&gt;=2</f>
        <v/>
      </c>
      <c r="K778">
        <f>AND(G778,H778,I778,J778)</f>
        <v/>
      </c>
    </row>
    <row r="779">
      <c r="B779" s="5">
        <f>BDP(A779&amp;" US Equity","CUR_MKT_CAP")</f>
        <v/>
      </c>
      <c r="C779">
        <f>BDP(A779&amp;" US Equity","EXCH_CODE")</f>
        <v/>
      </c>
      <c r="D779" s="5">
        <f>BDP(A779&amp;" US Equity","VOLUME_AVG_20D")</f>
        <v/>
      </c>
      <c r="E779" s="6">
        <f>BDP(A779&amp;" US Equity","PX_LAST")</f>
        <v/>
      </c>
      <c r="F779" s="5">
        <f>D779*E779</f>
        <v/>
      </c>
      <c r="G779">
        <f>AND(B779&gt;=50,B779&lt;=10000)</f>
        <v/>
      </c>
      <c r="H779">
        <f>OR(C779="NAS",C779="NYS",C779="ASE")</f>
        <v/>
      </c>
      <c r="I779">
        <f>F779&gt;=500000</f>
        <v/>
      </c>
      <c r="J779">
        <f>E779&gt;=2</f>
        <v/>
      </c>
      <c r="K779">
        <f>AND(G779,H779,I779,J779)</f>
        <v/>
      </c>
    </row>
    <row r="780">
      <c r="B780" s="5">
        <f>BDP(A780&amp;" US Equity","CUR_MKT_CAP")</f>
        <v/>
      </c>
      <c r="C780">
        <f>BDP(A780&amp;" US Equity","EXCH_CODE")</f>
        <v/>
      </c>
      <c r="D780" s="5">
        <f>BDP(A780&amp;" US Equity","VOLUME_AVG_20D")</f>
        <v/>
      </c>
      <c r="E780" s="6">
        <f>BDP(A780&amp;" US Equity","PX_LAST")</f>
        <v/>
      </c>
      <c r="F780" s="5">
        <f>D780*E780</f>
        <v/>
      </c>
      <c r="G780">
        <f>AND(B780&gt;=50,B780&lt;=10000)</f>
        <v/>
      </c>
      <c r="H780">
        <f>OR(C780="NAS",C780="NYS",C780="ASE")</f>
        <v/>
      </c>
      <c r="I780">
        <f>F780&gt;=500000</f>
        <v/>
      </c>
      <c r="J780">
        <f>E780&gt;=2</f>
        <v/>
      </c>
      <c r="K780">
        <f>AND(G780,H780,I780,J780)</f>
        <v/>
      </c>
    </row>
    <row r="781">
      <c r="B781" s="5">
        <f>BDP(A781&amp;" US Equity","CUR_MKT_CAP")</f>
        <v/>
      </c>
      <c r="C781">
        <f>BDP(A781&amp;" US Equity","EXCH_CODE")</f>
        <v/>
      </c>
      <c r="D781" s="5">
        <f>BDP(A781&amp;" US Equity","VOLUME_AVG_20D")</f>
        <v/>
      </c>
      <c r="E781" s="6">
        <f>BDP(A781&amp;" US Equity","PX_LAST")</f>
        <v/>
      </c>
      <c r="F781" s="5">
        <f>D781*E781</f>
        <v/>
      </c>
      <c r="G781">
        <f>AND(B781&gt;=50,B781&lt;=10000)</f>
        <v/>
      </c>
      <c r="H781">
        <f>OR(C781="NAS",C781="NYS",C781="ASE")</f>
        <v/>
      </c>
      <c r="I781">
        <f>F781&gt;=500000</f>
        <v/>
      </c>
      <c r="J781">
        <f>E781&gt;=2</f>
        <v/>
      </c>
      <c r="K781">
        <f>AND(G781,H781,I781,J781)</f>
        <v/>
      </c>
    </row>
    <row r="782">
      <c r="B782" s="5">
        <f>BDP(A782&amp;" US Equity","CUR_MKT_CAP")</f>
        <v/>
      </c>
      <c r="C782">
        <f>BDP(A782&amp;" US Equity","EXCH_CODE")</f>
        <v/>
      </c>
      <c r="D782" s="5">
        <f>BDP(A782&amp;" US Equity","VOLUME_AVG_20D")</f>
        <v/>
      </c>
      <c r="E782" s="6">
        <f>BDP(A782&amp;" US Equity","PX_LAST")</f>
        <v/>
      </c>
      <c r="F782" s="5">
        <f>D782*E782</f>
        <v/>
      </c>
      <c r="G782">
        <f>AND(B782&gt;=50,B782&lt;=10000)</f>
        <v/>
      </c>
      <c r="H782">
        <f>OR(C782="NAS",C782="NYS",C782="ASE")</f>
        <v/>
      </c>
      <c r="I782">
        <f>F782&gt;=500000</f>
        <v/>
      </c>
      <c r="J782">
        <f>E782&gt;=2</f>
        <v/>
      </c>
      <c r="K782">
        <f>AND(G782,H782,I782,J782)</f>
        <v/>
      </c>
    </row>
    <row r="783">
      <c r="B783" s="5">
        <f>BDP(A783&amp;" US Equity","CUR_MKT_CAP")</f>
        <v/>
      </c>
      <c r="C783">
        <f>BDP(A783&amp;" US Equity","EXCH_CODE")</f>
        <v/>
      </c>
      <c r="D783" s="5">
        <f>BDP(A783&amp;" US Equity","VOLUME_AVG_20D")</f>
        <v/>
      </c>
      <c r="E783" s="6">
        <f>BDP(A783&amp;" US Equity","PX_LAST")</f>
        <v/>
      </c>
      <c r="F783" s="5">
        <f>D783*E783</f>
        <v/>
      </c>
      <c r="G783">
        <f>AND(B783&gt;=50,B783&lt;=10000)</f>
        <v/>
      </c>
      <c r="H783">
        <f>OR(C783="NAS",C783="NYS",C783="ASE")</f>
        <v/>
      </c>
      <c r="I783">
        <f>F783&gt;=500000</f>
        <v/>
      </c>
      <c r="J783">
        <f>E783&gt;=2</f>
        <v/>
      </c>
      <c r="K783">
        <f>AND(G783,H783,I783,J783)</f>
        <v/>
      </c>
    </row>
    <row r="784">
      <c r="B784" s="5">
        <f>BDP(A784&amp;" US Equity","CUR_MKT_CAP")</f>
        <v/>
      </c>
      <c r="C784">
        <f>BDP(A784&amp;" US Equity","EXCH_CODE")</f>
        <v/>
      </c>
      <c r="D784" s="5">
        <f>BDP(A784&amp;" US Equity","VOLUME_AVG_20D")</f>
        <v/>
      </c>
      <c r="E784" s="6">
        <f>BDP(A784&amp;" US Equity","PX_LAST")</f>
        <v/>
      </c>
      <c r="F784" s="5">
        <f>D784*E784</f>
        <v/>
      </c>
      <c r="G784">
        <f>AND(B784&gt;=50,B784&lt;=10000)</f>
        <v/>
      </c>
      <c r="H784">
        <f>OR(C784="NAS",C784="NYS",C784="ASE")</f>
        <v/>
      </c>
      <c r="I784">
        <f>F784&gt;=500000</f>
        <v/>
      </c>
      <c r="J784">
        <f>E784&gt;=2</f>
        <v/>
      </c>
      <c r="K784">
        <f>AND(G784,H784,I784,J784)</f>
        <v/>
      </c>
    </row>
    <row r="785">
      <c r="B785" s="5">
        <f>BDP(A785&amp;" US Equity","CUR_MKT_CAP")</f>
        <v/>
      </c>
      <c r="C785">
        <f>BDP(A785&amp;" US Equity","EXCH_CODE")</f>
        <v/>
      </c>
      <c r="D785" s="5">
        <f>BDP(A785&amp;" US Equity","VOLUME_AVG_20D")</f>
        <v/>
      </c>
      <c r="E785" s="6">
        <f>BDP(A785&amp;" US Equity","PX_LAST")</f>
        <v/>
      </c>
      <c r="F785" s="5">
        <f>D785*E785</f>
        <v/>
      </c>
      <c r="G785">
        <f>AND(B785&gt;=50,B785&lt;=10000)</f>
        <v/>
      </c>
      <c r="H785">
        <f>OR(C785="NAS",C785="NYS",C785="ASE")</f>
        <v/>
      </c>
      <c r="I785">
        <f>F785&gt;=500000</f>
        <v/>
      </c>
      <c r="J785">
        <f>E785&gt;=2</f>
        <v/>
      </c>
      <c r="K785">
        <f>AND(G785,H785,I785,J785)</f>
        <v/>
      </c>
    </row>
    <row r="786">
      <c r="B786" s="5">
        <f>BDP(A786&amp;" US Equity","CUR_MKT_CAP")</f>
        <v/>
      </c>
      <c r="C786">
        <f>BDP(A786&amp;" US Equity","EXCH_CODE")</f>
        <v/>
      </c>
      <c r="D786" s="5">
        <f>BDP(A786&amp;" US Equity","VOLUME_AVG_20D")</f>
        <v/>
      </c>
      <c r="E786" s="6">
        <f>BDP(A786&amp;" US Equity","PX_LAST")</f>
        <v/>
      </c>
      <c r="F786" s="5">
        <f>D786*E786</f>
        <v/>
      </c>
      <c r="G786">
        <f>AND(B786&gt;=50,B786&lt;=10000)</f>
        <v/>
      </c>
      <c r="H786">
        <f>OR(C786="NAS",C786="NYS",C786="ASE")</f>
        <v/>
      </c>
      <c r="I786">
        <f>F786&gt;=500000</f>
        <v/>
      </c>
      <c r="J786">
        <f>E786&gt;=2</f>
        <v/>
      </c>
      <c r="K786">
        <f>AND(G786,H786,I786,J786)</f>
        <v/>
      </c>
    </row>
    <row r="787">
      <c r="B787" s="5">
        <f>BDP(A787&amp;" US Equity","CUR_MKT_CAP")</f>
        <v/>
      </c>
      <c r="C787">
        <f>BDP(A787&amp;" US Equity","EXCH_CODE")</f>
        <v/>
      </c>
      <c r="D787" s="5">
        <f>BDP(A787&amp;" US Equity","VOLUME_AVG_20D")</f>
        <v/>
      </c>
      <c r="E787" s="6">
        <f>BDP(A787&amp;" US Equity","PX_LAST")</f>
        <v/>
      </c>
      <c r="F787" s="5">
        <f>D787*E787</f>
        <v/>
      </c>
      <c r="G787">
        <f>AND(B787&gt;=50,B787&lt;=10000)</f>
        <v/>
      </c>
      <c r="H787">
        <f>OR(C787="NAS",C787="NYS",C787="ASE")</f>
        <v/>
      </c>
      <c r="I787">
        <f>F787&gt;=500000</f>
        <v/>
      </c>
      <c r="J787">
        <f>E787&gt;=2</f>
        <v/>
      </c>
      <c r="K787">
        <f>AND(G787,H787,I787,J787)</f>
        <v/>
      </c>
    </row>
    <row r="788">
      <c r="B788" s="5">
        <f>BDP(A788&amp;" US Equity","CUR_MKT_CAP")</f>
        <v/>
      </c>
      <c r="C788">
        <f>BDP(A788&amp;" US Equity","EXCH_CODE")</f>
        <v/>
      </c>
      <c r="D788" s="5">
        <f>BDP(A788&amp;" US Equity","VOLUME_AVG_20D")</f>
        <v/>
      </c>
      <c r="E788" s="6">
        <f>BDP(A788&amp;" US Equity","PX_LAST")</f>
        <v/>
      </c>
      <c r="F788" s="5">
        <f>D788*E788</f>
        <v/>
      </c>
      <c r="G788">
        <f>AND(B788&gt;=50,B788&lt;=10000)</f>
        <v/>
      </c>
      <c r="H788">
        <f>OR(C788="NAS",C788="NYS",C788="ASE")</f>
        <v/>
      </c>
      <c r="I788">
        <f>F788&gt;=500000</f>
        <v/>
      </c>
      <c r="J788">
        <f>E788&gt;=2</f>
        <v/>
      </c>
      <c r="K788">
        <f>AND(G788,H788,I788,J788)</f>
        <v/>
      </c>
    </row>
    <row r="789">
      <c r="B789" s="5">
        <f>BDP(A789&amp;" US Equity","CUR_MKT_CAP")</f>
        <v/>
      </c>
      <c r="C789">
        <f>BDP(A789&amp;" US Equity","EXCH_CODE")</f>
        <v/>
      </c>
      <c r="D789" s="5">
        <f>BDP(A789&amp;" US Equity","VOLUME_AVG_20D")</f>
        <v/>
      </c>
      <c r="E789" s="6">
        <f>BDP(A789&amp;" US Equity","PX_LAST")</f>
        <v/>
      </c>
      <c r="F789" s="5">
        <f>D789*E789</f>
        <v/>
      </c>
      <c r="G789">
        <f>AND(B789&gt;=50,B789&lt;=10000)</f>
        <v/>
      </c>
      <c r="H789">
        <f>OR(C789="NAS",C789="NYS",C789="ASE")</f>
        <v/>
      </c>
      <c r="I789">
        <f>F789&gt;=500000</f>
        <v/>
      </c>
      <c r="J789">
        <f>E789&gt;=2</f>
        <v/>
      </c>
      <c r="K789">
        <f>AND(G789,H789,I789,J789)</f>
        <v/>
      </c>
    </row>
    <row r="790">
      <c r="B790" s="5">
        <f>BDP(A790&amp;" US Equity","CUR_MKT_CAP")</f>
        <v/>
      </c>
      <c r="C790">
        <f>BDP(A790&amp;" US Equity","EXCH_CODE")</f>
        <v/>
      </c>
      <c r="D790" s="5">
        <f>BDP(A790&amp;" US Equity","VOLUME_AVG_20D")</f>
        <v/>
      </c>
      <c r="E790" s="6">
        <f>BDP(A790&amp;" US Equity","PX_LAST")</f>
        <v/>
      </c>
      <c r="F790" s="5">
        <f>D790*E790</f>
        <v/>
      </c>
      <c r="G790">
        <f>AND(B790&gt;=50,B790&lt;=10000)</f>
        <v/>
      </c>
      <c r="H790">
        <f>OR(C790="NAS",C790="NYS",C790="ASE")</f>
        <v/>
      </c>
      <c r="I790">
        <f>F790&gt;=500000</f>
        <v/>
      </c>
      <c r="J790">
        <f>E790&gt;=2</f>
        <v/>
      </c>
      <c r="K790">
        <f>AND(G790,H790,I790,J790)</f>
        <v/>
      </c>
    </row>
    <row r="791">
      <c r="B791" s="5">
        <f>BDP(A791&amp;" US Equity","CUR_MKT_CAP")</f>
        <v/>
      </c>
      <c r="C791">
        <f>BDP(A791&amp;" US Equity","EXCH_CODE")</f>
        <v/>
      </c>
      <c r="D791" s="5">
        <f>BDP(A791&amp;" US Equity","VOLUME_AVG_20D")</f>
        <v/>
      </c>
      <c r="E791" s="6">
        <f>BDP(A791&amp;" US Equity","PX_LAST")</f>
        <v/>
      </c>
      <c r="F791" s="5">
        <f>D791*E791</f>
        <v/>
      </c>
      <c r="G791">
        <f>AND(B791&gt;=50,B791&lt;=10000)</f>
        <v/>
      </c>
      <c r="H791">
        <f>OR(C791="NAS",C791="NYS",C791="ASE")</f>
        <v/>
      </c>
      <c r="I791">
        <f>F791&gt;=500000</f>
        <v/>
      </c>
      <c r="J791">
        <f>E791&gt;=2</f>
        <v/>
      </c>
      <c r="K791">
        <f>AND(G791,H791,I791,J791)</f>
        <v/>
      </c>
    </row>
    <row r="792">
      <c r="B792" s="5">
        <f>BDP(A792&amp;" US Equity","CUR_MKT_CAP")</f>
        <v/>
      </c>
      <c r="C792">
        <f>BDP(A792&amp;" US Equity","EXCH_CODE")</f>
        <v/>
      </c>
      <c r="D792" s="5">
        <f>BDP(A792&amp;" US Equity","VOLUME_AVG_20D")</f>
        <v/>
      </c>
      <c r="E792" s="6">
        <f>BDP(A792&amp;" US Equity","PX_LAST")</f>
        <v/>
      </c>
      <c r="F792" s="5">
        <f>D792*E792</f>
        <v/>
      </c>
      <c r="G792">
        <f>AND(B792&gt;=50,B792&lt;=10000)</f>
        <v/>
      </c>
      <c r="H792">
        <f>OR(C792="NAS",C792="NYS",C792="ASE")</f>
        <v/>
      </c>
      <c r="I792">
        <f>F792&gt;=500000</f>
        <v/>
      </c>
      <c r="J792">
        <f>E792&gt;=2</f>
        <v/>
      </c>
      <c r="K792">
        <f>AND(G792,H792,I792,J792)</f>
        <v/>
      </c>
    </row>
    <row r="793">
      <c r="B793" s="5">
        <f>BDP(A793&amp;" US Equity","CUR_MKT_CAP")</f>
        <v/>
      </c>
      <c r="C793">
        <f>BDP(A793&amp;" US Equity","EXCH_CODE")</f>
        <v/>
      </c>
      <c r="D793" s="5">
        <f>BDP(A793&amp;" US Equity","VOLUME_AVG_20D")</f>
        <v/>
      </c>
      <c r="E793" s="6">
        <f>BDP(A793&amp;" US Equity","PX_LAST")</f>
        <v/>
      </c>
      <c r="F793" s="5">
        <f>D793*E793</f>
        <v/>
      </c>
      <c r="G793">
        <f>AND(B793&gt;=50,B793&lt;=10000)</f>
        <v/>
      </c>
      <c r="H793">
        <f>OR(C793="NAS",C793="NYS",C793="ASE")</f>
        <v/>
      </c>
      <c r="I793">
        <f>F793&gt;=500000</f>
        <v/>
      </c>
      <c r="J793">
        <f>E793&gt;=2</f>
        <v/>
      </c>
      <c r="K793">
        <f>AND(G793,H793,I793,J793)</f>
        <v/>
      </c>
    </row>
    <row r="794">
      <c r="B794" s="5">
        <f>BDP(A794&amp;" US Equity","CUR_MKT_CAP")</f>
        <v/>
      </c>
      <c r="C794">
        <f>BDP(A794&amp;" US Equity","EXCH_CODE")</f>
        <v/>
      </c>
      <c r="D794" s="5">
        <f>BDP(A794&amp;" US Equity","VOLUME_AVG_20D")</f>
        <v/>
      </c>
      <c r="E794" s="6">
        <f>BDP(A794&amp;" US Equity","PX_LAST")</f>
        <v/>
      </c>
      <c r="F794" s="5">
        <f>D794*E794</f>
        <v/>
      </c>
      <c r="G794">
        <f>AND(B794&gt;=50,B794&lt;=10000)</f>
        <v/>
      </c>
      <c r="H794">
        <f>OR(C794="NAS",C794="NYS",C794="ASE")</f>
        <v/>
      </c>
      <c r="I794">
        <f>F794&gt;=500000</f>
        <v/>
      </c>
      <c r="J794">
        <f>E794&gt;=2</f>
        <v/>
      </c>
      <c r="K794">
        <f>AND(G794,H794,I794,J794)</f>
        <v/>
      </c>
    </row>
    <row r="795">
      <c r="B795" s="5">
        <f>BDP(A795&amp;" US Equity","CUR_MKT_CAP")</f>
        <v/>
      </c>
      <c r="C795">
        <f>BDP(A795&amp;" US Equity","EXCH_CODE")</f>
        <v/>
      </c>
      <c r="D795" s="5">
        <f>BDP(A795&amp;" US Equity","VOLUME_AVG_20D")</f>
        <v/>
      </c>
      <c r="E795" s="6">
        <f>BDP(A795&amp;" US Equity","PX_LAST")</f>
        <v/>
      </c>
      <c r="F795" s="5">
        <f>D795*E795</f>
        <v/>
      </c>
      <c r="G795">
        <f>AND(B795&gt;=50,B795&lt;=10000)</f>
        <v/>
      </c>
      <c r="H795">
        <f>OR(C795="NAS",C795="NYS",C795="ASE")</f>
        <v/>
      </c>
      <c r="I795">
        <f>F795&gt;=500000</f>
        <v/>
      </c>
      <c r="J795">
        <f>E795&gt;=2</f>
        <v/>
      </c>
      <c r="K795">
        <f>AND(G795,H795,I795,J795)</f>
        <v/>
      </c>
    </row>
    <row r="796">
      <c r="B796" s="5">
        <f>BDP(A796&amp;" US Equity","CUR_MKT_CAP")</f>
        <v/>
      </c>
      <c r="C796">
        <f>BDP(A796&amp;" US Equity","EXCH_CODE")</f>
        <v/>
      </c>
      <c r="D796" s="5">
        <f>BDP(A796&amp;" US Equity","VOLUME_AVG_20D")</f>
        <v/>
      </c>
      <c r="E796" s="6">
        <f>BDP(A796&amp;" US Equity","PX_LAST")</f>
        <v/>
      </c>
      <c r="F796" s="5">
        <f>D796*E796</f>
        <v/>
      </c>
      <c r="G796">
        <f>AND(B796&gt;=50,B796&lt;=10000)</f>
        <v/>
      </c>
      <c r="H796">
        <f>OR(C796="NAS",C796="NYS",C796="ASE")</f>
        <v/>
      </c>
      <c r="I796">
        <f>F796&gt;=500000</f>
        <v/>
      </c>
      <c r="J796">
        <f>E796&gt;=2</f>
        <v/>
      </c>
      <c r="K796">
        <f>AND(G796,H796,I796,J796)</f>
        <v/>
      </c>
    </row>
    <row r="797">
      <c r="B797" s="5">
        <f>BDP(A797&amp;" US Equity","CUR_MKT_CAP")</f>
        <v/>
      </c>
      <c r="C797">
        <f>BDP(A797&amp;" US Equity","EXCH_CODE")</f>
        <v/>
      </c>
      <c r="D797" s="5">
        <f>BDP(A797&amp;" US Equity","VOLUME_AVG_20D")</f>
        <v/>
      </c>
      <c r="E797" s="6">
        <f>BDP(A797&amp;" US Equity","PX_LAST")</f>
        <v/>
      </c>
      <c r="F797" s="5">
        <f>D797*E797</f>
        <v/>
      </c>
      <c r="G797">
        <f>AND(B797&gt;=50,B797&lt;=10000)</f>
        <v/>
      </c>
      <c r="H797">
        <f>OR(C797="NAS",C797="NYS",C797="ASE")</f>
        <v/>
      </c>
      <c r="I797">
        <f>F797&gt;=500000</f>
        <v/>
      </c>
      <c r="J797">
        <f>E797&gt;=2</f>
        <v/>
      </c>
      <c r="K797">
        <f>AND(G797,H797,I797,J797)</f>
        <v/>
      </c>
    </row>
    <row r="798">
      <c r="B798" s="5">
        <f>BDP(A798&amp;" US Equity","CUR_MKT_CAP")</f>
        <v/>
      </c>
      <c r="C798">
        <f>BDP(A798&amp;" US Equity","EXCH_CODE")</f>
        <v/>
      </c>
      <c r="D798" s="5">
        <f>BDP(A798&amp;" US Equity","VOLUME_AVG_20D")</f>
        <v/>
      </c>
      <c r="E798" s="6">
        <f>BDP(A798&amp;" US Equity","PX_LAST")</f>
        <v/>
      </c>
      <c r="F798" s="5">
        <f>D798*E798</f>
        <v/>
      </c>
      <c r="G798">
        <f>AND(B798&gt;=50,B798&lt;=10000)</f>
        <v/>
      </c>
      <c r="H798">
        <f>OR(C798="NAS",C798="NYS",C798="ASE")</f>
        <v/>
      </c>
      <c r="I798">
        <f>F798&gt;=500000</f>
        <v/>
      </c>
      <c r="J798">
        <f>E798&gt;=2</f>
        <v/>
      </c>
      <c r="K798">
        <f>AND(G798,H798,I798,J798)</f>
        <v/>
      </c>
    </row>
    <row r="799">
      <c r="B799" s="5">
        <f>BDP(A799&amp;" US Equity","CUR_MKT_CAP")</f>
        <v/>
      </c>
      <c r="C799">
        <f>BDP(A799&amp;" US Equity","EXCH_CODE")</f>
        <v/>
      </c>
      <c r="D799" s="5">
        <f>BDP(A799&amp;" US Equity","VOLUME_AVG_20D")</f>
        <v/>
      </c>
      <c r="E799" s="6">
        <f>BDP(A799&amp;" US Equity","PX_LAST")</f>
        <v/>
      </c>
      <c r="F799" s="5">
        <f>D799*E799</f>
        <v/>
      </c>
      <c r="G799">
        <f>AND(B799&gt;=50,B799&lt;=10000)</f>
        <v/>
      </c>
      <c r="H799">
        <f>OR(C799="NAS",C799="NYS",C799="ASE")</f>
        <v/>
      </c>
      <c r="I799">
        <f>F799&gt;=500000</f>
        <v/>
      </c>
      <c r="J799">
        <f>E799&gt;=2</f>
        <v/>
      </c>
      <c r="K799">
        <f>AND(G799,H799,I799,J799)</f>
        <v/>
      </c>
    </row>
    <row r="800">
      <c r="B800" s="5">
        <f>BDP(A800&amp;" US Equity","CUR_MKT_CAP")</f>
        <v/>
      </c>
      <c r="C800">
        <f>BDP(A800&amp;" US Equity","EXCH_CODE")</f>
        <v/>
      </c>
      <c r="D800" s="5">
        <f>BDP(A800&amp;" US Equity","VOLUME_AVG_20D")</f>
        <v/>
      </c>
      <c r="E800" s="6">
        <f>BDP(A800&amp;" US Equity","PX_LAST")</f>
        <v/>
      </c>
      <c r="F800" s="5">
        <f>D800*E800</f>
        <v/>
      </c>
      <c r="G800">
        <f>AND(B800&gt;=50,B800&lt;=10000)</f>
        <v/>
      </c>
      <c r="H800">
        <f>OR(C800="NAS",C800="NYS",C800="ASE")</f>
        <v/>
      </c>
      <c r="I800">
        <f>F800&gt;=500000</f>
        <v/>
      </c>
      <c r="J800">
        <f>E800&gt;=2</f>
        <v/>
      </c>
      <c r="K800">
        <f>AND(G800,H800,I800,J800)</f>
        <v/>
      </c>
    </row>
    <row r="801">
      <c r="B801" s="5">
        <f>BDP(A801&amp;" US Equity","CUR_MKT_CAP")</f>
        <v/>
      </c>
      <c r="C801">
        <f>BDP(A801&amp;" US Equity","EXCH_CODE")</f>
        <v/>
      </c>
      <c r="D801" s="5">
        <f>BDP(A801&amp;" US Equity","VOLUME_AVG_20D")</f>
        <v/>
      </c>
      <c r="E801" s="6">
        <f>BDP(A801&amp;" US Equity","PX_LAST")</f>
        <v/>
      </c>
      <c r="F801" s="5">
        <f>D801*E801</f>
        <v/>
      </c>
      <c r="G801">
        <f>AND(B801&gt;=50,B801&lt;=10000)</f>
        <v/>
      </c>
      <c r="H801">
        <f>OR(C801="NAS",C801="NYS",C801="ASE")</f>
        <v/>
      </c>
      <c r="I801">
        <f>F801&gt;=500000</f>
        <v/>
      </c>
      <c r="J801">
        <f>E801&gt;=2</f>
        <v/>
      </c>
      <c r="K801">
        <f>AND(G801,H801,I801,J801)</f>
        <v/>
      </c>
    </row>
    <row r="802">
      <c r="B802" s="5">
        <f>BDP(A802&amp;" US Equity","CUR_MKT_CAP")</f>
        <v/>
      </c>
      <c r="C802">
        <f>BDP(A802&amp;" US Equity","EXCH_CODE")</f>
        <v/>
      </c>
      <c r="D802" s="5">
        <f>BDP(A802&amp;" US Equity","VOLUME_AVG_20D")</f>
        <v/>
      </c>
      <c r="E802" s="6">
        <f>BDP(A802&amp;" US Equity","PX_LAST")</f>
        <v/>
      </c>
      <c r="F802" s="5">
        <f>D802*E802</f>
        <v/>
      </c>
      <c r="G802">
        <f>AND(B802&gt;=50,B802&lt;=10000)</f>
        <v/>
      </c>
      <c r="H802">
        <f>OR(C802="NAS",C802="NYS",C802="ASE")</f>
        <v/>
      </c>
      <c r="I802">
        <f>F802&gt;=500000</f>
        <v/>
      </c>
      <c r="J802">
        <f>E802&gt;=2</f>
        <v/>
      </c>
      <c r="K802">
        <f>AND(G802,H802,I802,J802)</f>
        <v/>
      </c>
    </row>
    <row r="803">
      <c r="B803" s="5">
        <f>BDP(A803&amp;" US Equity","CUR_MKT_CAP")</f>
        <v/>
      </c>
      <c r="C803">
        <f>BDP(A803&amp;" US Equity","EXCH_CODE")</f>
        <v/>
      </c>
      <c r="D803" s="5">
        <f>BDP(A803&amp;" US Equity","VOLUME_AVG_20D")</f>
        <v/>
      </c>
      <c r="E803" s="6">
        <f>BDP(A803&amp;" US Equity","PX_LAST")</f>
        <v/>
      </c>
      <c r="F803" s="5">
        <f>D803*E803</f>
        <v/>
      </c>
      <c r="G803">
        <f>AND(B803&gt;=50,B803&lt;=10000)</f>
        <v/>
      </c>
      <c r="H803">
        <f>OR(C803="NAS",C803="NYS",C803="ASE")</f>
        <v/>
      </c>
      <c r="I803">
        <f>F803&gt;=500000</f>
        <v/>
      </c>
      <c r="J803">
        <f>E803&gt;=2</f>
        <v/>
      </c>
      <c r="K803">
        <f>AND(G803,H803,I803,J803)</f>
        <v/>
      </c>
    </row>
    <row r="804">
      <c r="B804" s="5">
        <f>BDP(A804&amp;" US Equity","CUR_MKT_CAP")</f>
        <v/>
      </c>
      <c r="C804">
        <f>BDP(A804&amp;" US Equity","EXCH_CODE")</f>
        <v/>
      </c>
      <c r="D804" s="5">
        <f>BDP(A804&amp;" US Equity","VOLUME_AVG_20D")</f>
        <v/>
      </c>
      <c r="E804" s="6">
        <f>BDP(A804&amp;" US Equity","PX_LAST")</f>
        <v/>
      </c>
      <c r="F804" s="5">
        <f>D804*E804</f>
        <v/>
      </c>
      <c r="G804">
        <f>AND(B804&gt;=50,B804&lt;=10000)</f>
        <v/>
      </c>
      <c r="H804">
        <f>OR(C804="NAS",C804="NYS",C804="ASE")</f>
        <v/>
      </c>
      <c r="I804">
        <f>F804&gt;=500000</f>
        <v/>
      </c>
      <c r="J804">
        <f>E804&gt;=2</f>
        <v/>
      </c>
      <c r="K804">
        <f>AND(G804,H804,I804,J804)</f>
        <v/>
      </c>
    </row>
    <row r="805">
      <c r="B805" s="5">
        <f>BDP(A805&amp;" US Equity","CUR_MKT_CAP")</f>
        <v/>
      </c>
      <c r="C805">
        <f>BDP(A805&amp;" US Equity","EXCH_CODE")</f>
        <v/>
      </c>
      <c r="D805" s="5">
        <f>BDP(A805&amp;" US Equity","VOLUME_AVG_20D")</f>
        <v/>
      </c>
      <c r="E805" s="6">
        <f>BDP(A805&amp;" US Equity","PX_LAST")</f>
        <v/>
      </c>
      <c r="F805" s="5">
        <f>D805*E805</f>
        <v/>
      </c>
      <c r="G805">
        <f>AND(B805&gt;=50,B805&lt;=10000)</f>
        <v/>
      </c>
      <c r="H805">
        <f>OR(C805="NAS",C805="NYS",C805="ASE")</f>
        <v/>
      </c>
      <c r="I805">
        <f>F805&gt;=500000</f>
        <v/>
      </c>
      <c r="J805">
        <f>E805&gt;=2</f>
        <v/>
      </c>
      <c r="K805">
        <f>AND(G805,H805,I805,J805)</f>
        <v/>
      </c>
    </row>
    <row r="806">
      <c r="B806" s="5">
        <f>BDP(A806&amp;" US Equity","CUR_MKT_CAP")</f>
        <v/>
      </c>
      <c r="C806">
        <f>BDP(A806&amp;" US Equity","EXCH_CODE")</f>
        <v/>
      </c>
      <c r="D806" s="5">
        <f>BDP(A806&amp;" US Equity","VOLUME_AVG_20D")</f>
        <v/>
      </c>
      <c r="E806" s="6">
        <f>BDP(A806&amp;" US Equity","PX_LAST")</f>
        <v/>
      </c>
      <c r="F806" s="5">
        <f>D806*E806</f>
        <v/>
      </c>
      <c r="G806">
        <f>AND(B806&gt;=50,B806&lt;=10000)</f>
        <v/>
      </c>
      <c r="H806">
        <f>OR(C806="NAS",C806="NYS",C806="ASE")</f>
        <v/>
      </c>
      <c r="I806">
        <f>F806&gt;=500000</f>
        <v/>
      </c>
      <c r="J806">
        <f>E806&gt;=2</f>
        <v/>
      </c>
      <c r="K806">
        <f>AND(G806,H806,I806,J806)</f>
        <v/>
      </c>
    </row>
    <row r="807">
      <c r="B807" s="5">
        <f>BDP(A807&amp;" US Equity","CUR_MKT_CAP")</f>
        <v/>
      </c>
      <c r="C807">
        <f>BDP(A807&amp;" US Equity","EXCH_CODE")</f>
        <v/>
      </c>
      <c r="D807" s="5">
        <f>BDP(A807&amp;" US Equity","VOLUME_AVG_20D")</f>
        <v/>
      </c>
      <c r="E807" s="6">
        <f>BDP(A807&amp;" US Equity","PX_LAST")</f>
        <v/>
      </c>
      <c r="F807" s="5">
        <f>D807*E807</f>
        <v/>
      </c>
      <c r="G807">
        <f>AND(B807&gt;=50,B807&lt;=10000)</f>
        <v/>
      </c>
      <c r="H807">
        <f>OR(C807="NAS",C807="NYS",C807="ASE")</f>
        <v/>
      </c>
      <c r="I807">
        <f>F807&gt;=500000</f>
        <v/>
      </c>
      <c r="J807">
        <f>E807&gt;=2</f>
        <v/>
      </c>
      <c r="K807">
        <f>AND(G807,H807,I807,J807)</f>
        <v/>
      </c>
    </row>
    <row r="808">
      <c r="B808" s="5">
        <f>BDP(A808&amp;" US Equity","CUR_MKT_CAP")</f>
        <v/>
      </c>
      <c r="C808">
        <f>BDP(A808&amp;" US Equity","EXCH_CODE")</f>
        <v/>
      </c>
      <c r="D808" s="5">
        <f>BDP(A808&amp;" US Equity","VOLUME_AVG_20D")</f>
        <v/>
      </c>
      <c r="E808" s="6">
        <f>BDP(A808&amp;" US Equity","PX_LAST")</f>
        <v/>
      </c>
      <c r="F808" s="5">
        <f>D808*E808</f>
        <v/>
      </c>
      <c r="G808">
        <f>AND(B808&gt;=50,B808&lt;=10000)</f>
        <v/>
      </c>
      <c r="H808">
        <f>OR(C808="NAS",C808="NYS",C808="ASE")</f>
        <v/>
      </c>
      <c r="I808">
        <f>F808&gt;=500000</f>
        <v/>
      </c>
      <c r="J808">
        <f>E808&gt;=2</f>
        <v/>
      </c>
      <c r="K808">
        <f>AND(G808,H808,I808,J808)</f>
        <v/>
      </c>
    </row>
    <row r="809">
      <c r="B809" s="5">
        <f>BDP(A809&amp;" US Equity","CUR_MKT_CAP")</f>
        <v/>
      </c>
      <c r="C809">
        <f>BDP(A809&amp;" US Equity","EXCH_CODE")</f>
        <v/>
      </c>
      <c r="D809" s="5">
        <f>BDP(A809&amp;" US Equity","VOLUME_AVG_20D")</f>
        <v/>
      </c>
      <c r="E809" s="6">
        <f>BDP(A809&amp;" US Equity","PX_LAST")</f>
        <v/>
      </c>
      <c r="F809" s="5">
        <f>D809*E809</f>
        <v/>
      </c>
      <c r="G809">
        <f>AND(B809&gt;=50,B809&lt;=10000)</f>
        <v/>
      </c>
      <c r="H809">
        <f>OR(C809="NAS",C809="NYS",C809="ASE")</f>
        <v/>
      </c>
      <c r="I809">
        <f>F809&gt;=500000</f>
        <v/>
      </c>
      <c r="J809">
        <f>E809&gt;=2</f>
        <v/>
      </c>
      <c r="K809">
        <f>AND(G809,H809,I809,J809)</f>
        <v/>
      </c>
    </row>
    <row r="810">
      <c r="B810" s="5">
        <f>BDP(A810&amp;" US Equity","CUR_MKT_CAP")</f>
        <v/>
      </c>
      <c r="C810">
        <f>BDP(A810&amp;" US Equity","EXCH_CODE")</f>
        <v/>
      </c>
      <c r="D810" s="5">
        <f>BDP(A810&amp;" US Equity","VOLUME_AVG_20D")</f>
        <v/>
      </c>
      <c r="E810" s="6">
        <f>BDP(A810&amp;" US Equity","PX_LAST")</f>
        <v/>
      </c>
      <c r="F810" s="5">
        <f>D810*E810</f>
        <v/>
      </c>
      <c r="G810">
        <f>AND(B810&gt;=50,B810&lt;=10000)</f>
        <v/>
      </c>
      <c r="H810">
        <f>OR(C810="NAS",C810="NYS",C810="ASE")</f>
        <v/>
      </c>
      <c r="I810">
        <f>F810&gt;=500000</f>
        <v/>
      </c>
      <c r="J810">
        <f>E810&gt;=2</f>
        <v/>
      </c>
      <c r="K810">
        <f>AND(G810,H810,I810,J810)</f>
        <v/>
      </c>
    </row>
    <row r="811">
      <c r="B811" s="5">
        <f>BDP(A811&amp;" US Equity","CUR_MKT_CAP")</f>
        <v/>
      </c>
      <c r="C811">
        <f>BDP(A811&amp;" US Equity","EXCH_CODE")</f>
        <v/>
      </c>
      <c r="D811" s="5">
        <f>BDP(A811&amp;" US Equity","VOLUME_AVG_20D")</f>
        <v/>
      </c>
      <c r="E811" s="6">
        <f>BDP(A811&amp;" US Equity","PX_LAST")</f>
        <v/>
      </c>
      <c r="F811" s="5">
        <f>D811*E811</f>
        <v/>
      </c>
      <c r="G811">
        <f>AND(B811&gt;=50,B811&lt;=10000)</f>
        <v/>
      </c>
      <c r="H811">
        <f>OR(C811="NAS",C811="NYS",C811="ASE")</f>
        <v/>
      </c>
      <c r="I811">
        <f>F811&gt;=500000</f>
        <v/>
      </c>
      <c r="J811">
        <f>E811&gt;=2</f>
        <v/>
      </c>
      <c r="K811">
        <f>AND(G811,H811,I811,J811)</f>
        <v/>
      </c>
    </row>
    <row r="812">
      <c r="B812" s="5">
        <f>BDP(A812&amp;" US Equity","CUR_MKT_CAP")</f>
        <v/>
      </c>
      <c r="C812">
        <f>BDP(A812&amp;" US Equity","EXCH_CODE")</f>
        <v/>
      </c>
      <c r="D812" s="5">
        <f>BDP(A812&amp;" US Equity","VOLUME_AVG_20D")</f>
        <v/>
      </c>
      <c r="E812" s="6">
        <f>BDP(A812&amp;" US Equity","PX_LAST")</f>
        <v/>
      </c>
      <c r="F812" s="5">
        <f>D812*E812</f>
        <v/>
      </c>
      <c r="G812">
        <f>AND(B812&gt;=50,B812&lt;=10000)</f>
        <v/>
      </c>
      <c r="H812">
        <f>OR(C812="NAS",C812="NYS",C812="ASE")</f>
        <v/>
      </c>
      <c r="I812">
        <f>F812&gt;=500000</f>
        <v/>
      </c>
      <c r="J812">
        <f>E812&gt;=2</f>
        <v/>
      </c>
      <c r="K812">
        <f>AND(G812,H812,I812,J812)</f>
        <v/>
      </c>
    </row>
    <row r="813">
      <c r="B813" s="5">
        <f>BDP(A813&amp;" US Equity","CUR_MKT_CAP")</f>
        <v/>
      </c>
      <c r="C813">
        <f>BDP(A813&amp;" US Equity","EXCH_CODE")</f>
        <v/>
      </c>
      <c r="D813" s="5">
        <f>BDP(A813&amp;" US Equity","VOLUME_AVG_20D")</f>
        <v/>
      </c>
      <c r="E813" s="6">
        <f>BDP(A813&amp;" US Equity","PX_LAST")</f>
        <v/>
      </c>
      <c r="F813" s="5">
        <f>D813*E813</f>
        <v/>
      </c>
      <c r="G813">
        <f>AND(B813&gt;=50,B813&lt;=10000)</f>
        <v/>
      </c>
      <c r="H813">
        <f>OR(C813="NAS",C813="NYS",C813="ASE")</f>
        <v/>
      </c>
      <c r="I813">
        <f>F813&gt;=500000</f>
        <v/>
      </c>
      <c r="J813">
        <f>E813&gt;=2</f>
        <v/>
      </c>
      <c r="K813">
        <f>AND(G813,H813,I813,J813)</f>
        <v/>
      </c>
    </row>
    <row r="814">
      <c r="B814" s="5">
        <f>BDP(A814&amp;" US Equity","CUR_MKT_CAP")</f>
        <v/>
      </c>
      <c r="C814">
        <f>BDP(A814&amp;" US Equity","EXCH_CODE")</f>
        <v/>
      </c>
      <c r="D814" s="5">
        <f>BDP(A814&amp;" US Equity","VOLUME_AVG_20D")</f>
        <v/>
      </c>
      <c r="E814" s="6">
        <f>BDP(A814&amp;" US Equity","PX_LAST")</f>
        <v/>
      </c>
      <c r="F814" s="5">
        <f>D814*E814</f>
        <v/>
      </c>
      <c r="G814">
        <f>AND(B814&gt;=50,B814&lt;=10000)</f>
        <v/>
      </c>
      <c r="H814">
        <f>OR(C814="NAS",C814="NYS",C814="ASE")</f>
        <v/>
      </c>
      <c r="I814">
        <f>F814&gt;=500000</f>
        <v/>
      </c>
      <c r="J814">
        <f>E814&gt;=2</f>
        <v/>
      </c>
      <c r="K814">
        <f>AND(G814,H814,I814,J814)</f>
        <v/>
      </c>
    </row>
    <row r="815">
      <c r="B815" s="5">
        <f>BDP(A815&amp;" US Equity","CUR_MKT_CAP")</f>
        <v/>
      </c>
      <c r="C815">
        <f>BDP(A815&amp;" US Equity","EXCH_CODE")</f>
        <v/>
      </c>
      <c r="D815" s="5">
        <f>BDP(A815&amp;" US Equity","VOLUME_AVG_20D")</f>
        <v/>
      </c>
      <c r="E815" s="6">
        <f>BDP(A815&amp;" US Equity","PX_LAST")</f>
        <v/>
      </c>
      <c r="F815" s="5">
        <f>D815*E815</f>
        <v/>
      </c>
      <c r="G815">
        <f>AND(B815&gt;=50,B815&lt;=10000)</f>
        <v/>
      </c>
      <c r="H815">
        <f>OR(C815="NAS",C815="NYS",C815="ASE")</f>
        <v/>
      </c>
      <c r="I815">
        <f>F815&gt;=500000</f>
        <v/>
      </c>
      <c r="J815">
        <f>E815&gt;=2</f>
        <v/>
      </c>
      <c r="K815">
        <f>AND(G815,H815,I815,J815)</f>
        <v/>
      </c>
    </row>
    <row r="816">
      <c r="B816" s="5">
        <f>BDP(A816&amp;" US Equity","CUR_MKT_CAP")</f>
        <v/>
      </c>
      <c r="C816">
        <f>BDP(A816&amp;" US Equity","EXCH_CODE")</f>
        <v/>
      </c>
      <c r="D816" s="5">
        <f>BDP(A816&amp;" US Equity","VOLUME_AVG_20D")</f>
        <v/>
      </c>
      <c r="E816" s="6">
        <f>BDP(A816&amp;" US Equity","PX_LAST")</f>
        <v/>
      </c>
      <c r="F816" s="5">
        <f>D816*E816</f>
        <v/>
      </c>
      <c r="G816">
        <f>AND(B816&gt;=50,B816&lt;=10000)</f>
        <v/>
      </c>
      <c r="H816">
        <f>OR(C816="NAS",C816="NYS",C816="ASE")</f>
        <v/>
      </c>
      <c r="I816">
        <f>F816&gt;=500000</f>
        <v/>
      </c>
      <c r="J816">
        <f>E816&gt;=2</f>
        <v/>
      </c>
      <c r="K816">
        <f>AND(G816,H816,I816,J816)</f>
        <v/>
      </c>
    </row>
    <row r="817">
      <c r="B817" s="5">
        <f>BDP(A817&amp;" US Equity","CUR_MKT_CAP")</f>
        <v/>
      </c>
      <c r="C817">
        <f>BDP(A817&amp;" US Equity","EXCH_CODE")</f>
        <v/>
      </c>
      <c r="D817" s="5">
        <f>BDP(A817&amp;" US Equity","VOLUME_AVG_20D")</f>
        <v/>
      </c>
      <c r="E817" s="6">
        <f>BDP(A817&amp;" US Equity","PX_LAST")</f>
        <v/>
      </c>
      <c r="F817" s="5">
        <f>D817*E817</f>
        <v/>
      </c>
      <c r="G817">
        <f>AND(B817&gt;=50,B817&lt;=10000)</f>
        <v/>
      </c>
      <c r="H817">
        <f>OR(C817="NAS",C817="NYS",C817="ASE")</f>
        <v/>
      </c>
      <c r="I817">
        <f>F817&gt;=500000</f>
        <v/>
      </c>
      <c r="J817">
        <f>E817&gt;=2</f>
        <v/>
      </c>
      <c r="K817">
        <f>AND(G817,H817,I817,J817)</f>
        <v/>
      </c>
    </row>
    <row r="818">
      <c r="B818" s="5">
        <f>BDP(A818&amp;" US Equity","CUR_MKT_CAP")</f>
        <v/>
      </c>
      <c r="C818">
        <f>BDP(A818&amp;" US Equity","EXCH_CODE")</f>
        <v/>
      </c>
      <c r="D818" s="5">
        <f>BDP(A818&amp;" US Equity","VOLUME_AVG_20D")</f>
        <v/>
      </c>
      <c r="E818" s="6">
        <f>BDP(A818&amp;" US Equity","PX_LAST")</f>
        <v/>
      </c>
      <c r="F818" s="5">
        <f>D818*E818</f>
        <v/>
      </c>
      <c r="G818">
        <f>AND(B818&gt;=50,B818&lt;=10000)</f>
        <v/>
      </c>
      <c r="H818">
        <f>OR(C818="NAS",C818="NYS",C818="ASE")</f>
        <v/>
      </c>
      <c r="I818">
        <f>F818&gt;=500000</f>
        <v/>
      </c>
      <c r="J818">
        <f>E818&gt;=2</f>
        <v/>
      </c>
      <c r="K818">
        <f>AND(G818,H818,I818,J818)</f>
        <v/>
      </c>
    </row>
    <row r="819">
      <c r="B819" s="5">
        <f>BDP(A819&amp;" US Equity","CUR_MKT_CAP")</f>
        <v/>
      </c>
      <c r="C819">
        <f>BDP(A819&amp;" US Equity","EXCH_CODE")</f>
        <v/>
      </c>
      <c r="D819" s="5">
        <f>BDP(A819&amp;" US Equity","VOLUME_AVG_20D")</f>
        <v/>
      </c>
      <c r="E819" s="6">
        <f>BDP(A819&amp;" US Equity","PX_LAST")</f>
        <v/>
      </c>
      <c r="F819" s="5">
        <f>D819*E819</f>
        <v/>
      </c>
      <c r="G819">
        <f>AND(B819&gt;=50,B819&lt;=10000)</f>
        <v/>
      </c>
      <c r="H819">
        <f>OR(C819="NAS",C819="NYS",C819="ASE")</f>
        <v/>
      </c>
      <c r="I819">
        <f>F819&gt;=500000</f>
        <v/>
      </c>
      <c r="J819">
        <f>E819&gt;=2</f>
        <v/>
      </c>
      <c r="K819">
        <f>AND(G819,H819,I819,J819)</f>
        <v/>
      </c>
    </row>
    <row r="820">
      <c r="B820" s="5">
        <f>BDP(A820&amp;" US Equity","CUR_MKT_CAP")</f>
        <v/>
      </c>
      <c r="C820">
        <f>BDP(A820&amp;" US Equity","EXCH_CODE")</f>
        <v/>
      </c>
      <c r="D820" s="5">
        <f>BDP(A820&amp;" US Equity","VOLUME_AVG_20D")</f>
        <v/>
      </c>
      <c r="E820" s="6">
        <f>BDP(A820&amp;" US Equity","PX_LAST")</f>
        <v/>
      </c>
      <c r="F820" s="5">
        <f>D820*E820</f>
        <v/>
      </c>
      <c r="G820">
        <f>AND(B820&gt;=50,B820&lt;=10000)</f>
        <v/>
      </c>
      <c r="H820">
        <f>OR(C820="NAS",C820="NYS",C820="ASE")</f>
        <v/>
      </c>
      <c r="I820">
        <f>F820&gt;=500000</f>
        <v/>
      </c>
      <c r="J820">
        <f>E820&gt;=2</f>
        <v/>
      </c>
      <c r="K820">
        <f>AND(G820,H820,I820,J820)</f>
        <v/>
      </c>
    </row>
    <row r="821">
      <c r="B821" s="5">
        <f>BDP(A821&amp;" US Equity","CUR_MKT_CAP")</f>
        <v/>
      </c>
      <c r="C821">
        <f>BDP(A821&amp;" US Equity","EXCH_CODE")</f>
        <v/>
      </c>
      <c r="D821" s="5">
        <f>BDP(A821&amp;" US Equity","VOLUME_AVG_20D")</f>
        <v/>
      </c>
      <c r="E821" s="6">
        <f>BDP(A821&amp;" US Equity","PX_LAST")</f>
        <v/>
      </c>
      <c r="F821" s="5">
        <f>D821*E821</f>
        <v/>
      </c>
      <c r="G821">
        <f>AND(B821&gt;=50,B821&lt;=10000)</f>
        <v/>
      </c>
      <c r="H821">
        <f>OR(C821="NAS",C821="NYS",C821="ASE")</f>
        <v/>
      </c>
      <c r="I821">
        <f>F821&gt;=500000</f>
        <v/>
      </c>
      <c r="J821">
        <f>E821&gt;=2</f>
        <v/>
      </c>
      <c r="K821">
        <f>AND(G821,H821,I821,J821)</f>
        <v/>
      </c>
    </row>
    <row r="822">
      <c r="B822" s="5">
        <f>BDP(A822&amp;" US Equity","CUR_MKT_CAP")</f>
        <v/>
      </c>
      <c r="C822">
        <f>BDP(A822&amp;" US Equity","EXCH_CODE")</f>
        <v/>
      </c>
      <c r="D822" s="5">
        <f>BDP(A822&amp;" US Equity","VOLUME_AVG_20D")</f>
        <v/>
      </c>
      <c r="E822" s="6">
        <f>BDP(A822&amp;" US Equity","PX_LAST")</f>
        <v/>
      </c>
      <c r="F822" s="5">
        <f>D822*E822</f>
        <v/>
      </c>
      <c r="G822">
        <f>AND(B822&gt;=50,B822&lt;=10000)</f>
        <v/>
      </c>
      <c r="H822">
        <f>OR(C822="NAS",C822="NYS",C822="ASE")</f>
        <v/>
      </c>
      <c r="I822">
        <f>F822&gt;=500000</f>
        <v/>
      </c>
      <c r="J822">
        <f>E822&gt;=2</f>
        <v/>
      </c>
      <c r="K822">
        <f>AND(G822,H822,I822,J822)</f>
        <v/>
      </c>
    </row>
    <row r="823">
      <c r="B823" s="5">
        <f>BDP(A823&amp;" US Equity","CUR_MKT_CAP")</f>
        <v/>
      </c>
      <c r="C823">
        <f>BDP(A823&amp;" US Equity","EXCH_CODE")</f>
        <v/>
      </c>
      <c r="D823" s="5">
        <f>BDP(A823&amp;" US Equity","VOLUME_AVG_20D")</f>
        <v/>
      </c>
      <c r="E823" s="6">
        <f>BDP(A823&amp;" US Equity","PX_LAST")</f>
        <v/>
      </c>
      <c r="F823" s="5">
        <f>D823*E823</f>
        <v/>
      </c>
      <c r="G823">
        <f>AND(B823&gt;=50,B823&lt;=10000)</f>
        <v/>
      </c>
      <c r="H823">
        <f>OR(C823="NAS",C823="NYS",C823="ASE")</f>
        <v/>
      </c>
      <c r="I823">
        <f>F823&gt;=500000</f>
        <v/>
      </c>
      <c r="J823">
        <f>E823&gt;=2</f>
        <v/>
      </c>
      <c r="K823">
        <f>AND(G823,H823,I823,J823)</f>
        <v/>
      </c>
    </row>
    <row r="824">
      <c r="B824" s="5">
        <f>BDP(A824&amp;" US Equity","CUR_MKT_CAP")</f>
        <v/>
      </c>
      <c r="C824">
        <f>BDP(A824&amp;" US Equity","EXCH_CODE")</f>
        <v/>
      </c>
      <c r="D824" s="5">
        <f>BDP(A824&amp;" US Equity","VOLUME_AVG_20D")</f>
        <v/>
      </c>
      <c r="E824" s="6">
        <f>BDP(A824&amp;" US Equity","PX_LAST")</f>
        <v/>
      </c>
      <c r="F824" s="5">
        <f>D824*E824</f>
        <v/>
      </c>
      <c r="G824">
        <f>AND(B824&gt;=50,B824&lt;=10000)</f>
        <v/>
      </c>
      <c r="H824">
        <f>OR(C824="NAS",C824="NYS",C824="ASE")</f>
        <v/>
      </c>
      <c r="I824">
        <f>F824&gt;=500000</f>
        <v/>
      </c>
      <c r="J824">
        <f>E824&gt;=2</f>
        <v/>
      </c>
      <c r="K824">
        <f>AND(G824,H824,I824,J824)</f>
        <v/>
      </c>
    </row>
    <row r="825">
      <c r="B825" s="5">
        <f>BDP(A825&amp;" US Equity","CUR_MKT_CAP")</f>
        <v/>
      </c>
      <c r="C825">
        <f>BDP(A825&amp;" US Equity","EXCH_CODE")</f>
        <v/>
      </c>
      <c r="D825" s="5">
        <f>BDP(A825&amp;" US Equity","VOLUME_AVG_20D")</f>
        <v/>
      </c>
      <c r="E825" s="6">
        <f>BDP(A825&amp;" US Equity","PX_LAST")</f>
        <v/>
      </c>
      <c r="F825" s="5">
        <f>D825*E825</f>
        <v/>
      </c>
      <c r="G825">
        <f>AND(B825&gt;=50,B825&lt;=10000)</f>
        <v/>
      </c>
      <c r="H825">
        <f>OR(C825="NAS",C825="NYS",C825="ASE")</f>
        <v/>
      </c>
      <c r="I825">
        <f>F825&gt;=500000</f>
        <v/>
      </c>
      <c r="J825">
        <f>E825&gt;=2</f>
        <v/>
      </c>
      <c r="K825">
        <f>AND(G825,H825,I825,J825)</f>
        <v/>
      </c>
    </row>
    <row r="826">
      <c r="B826" s="5">
        <f>BDP(A826&amp;" US Equity","CUR_MKT_CAP")</f>
        <v/>
      </c>
      <c r="C826">
        <f>BDP(A826&amp;" US Equity","EXCH_CODE")</f>
        <v/>
      </c>
      <c r="D826" s="5">
        <f>BDP(A826&amp;" US Equity","VOLUME_AVG_20D")</f>
        <v/>
      </c>
      <c r="E826" s="6">
        <f>BDP(A826&amp;" US Equity","PX_LAST")</f>
        <v/>
      </c>
      <c r="F826" s="5">
        <f>D826*E826</f>
        <v/>
      </c>
      <c r="G826">
        <f>AND(B826&gt;=50,B826&lt;=10000)</f>
        <v/>
      </c>
      <c r="H826">
        <f>OR(C826="NAS",C826="NYS",C826="ASE")</f>
        <v/>
      </c>
      <c r="I826">
        <f>F826&gt;=500000</f>
        <v/>
      </c>
      <c r="J826">
        <f>E826&gt;=2</f>
        <v/>
      </c>
      <c r="K826">
        <f>AND(G826,H826,I826,J826)</f>
        <v/>
      </c>
    </row>
    <row r="827">
      <c r="B827" s="5">
        <f>BDP(A827&amp;" US Equity","CUR_MKT_CAP")</f>
        <v/>
      </c>
      <c r="C827">
        <f>BDP(A827&amp;" US Equity","EXCH_CODE")</f>
        <v/>
      </c>
      <c r="D827" s="5">
        <f>BDP(A827&amp;" US Equity","VOLUME_AVG_20D")</f>
        <v/>
      </c>
      <c r="E827" s="6">
        <f>BDP(A827&amp;" US Equity","PX_LAST")</f>
        <v/>
      </c>
      <c r="F827" s="5">
        <f>D827*E827</f>
        <v/>
      </c>
      <c r="G827">
        <f>AND(B827&gt;=50,B827&lt;=10000)</f>
        <v/>
      </c>
      <c r="H827">
        <f>OR(C827="NAS",C827="NYS",C827="ASE")</f>
        <v/>
      </c>
      <c r="I827">
        <f>F827&gt;=500000</f>
        <v/>
      </c>
      <c r="J827">
        <f>E827&gt;=2</f>
        <v/>
      </c>
      <c r="K827">
        <f>AND(G827,H827,I827,J827)</f>
        <v/>
      </c>
    </row>
    <row r="828">
      <c r="B828" s="5">
        <f>BDP(A828&amp;" US Equity","CUR_MKT_CAP")</f>
        <v/>
      </c>
      <c r="C828">
        <f>BDP(A828&amp;" US Equity","EXCH_CODE")</f>
        <v/>
      </c>
      <c r="D828" s="5">
        <f>BDP(A828&amp;" US Equity","VOLUME_AVG_20D")</f>
        <v/>
      </c>
      <c r="E828" s="6">
        <f>BDP(A828&amp;" US Equity","PX_LAST")</f>
        <v/>
      </c>
      <c r="F828" s="5">
        <f>D828*E828</f>
        <v/>
      </c>
      <c r="G828">
        <f>AND(B828&gt;=50,B828&lt;=10000)</f>
        <v/>
      </c>
      <c r="H828">
        <f>OR(C828="NAS",C828="NYS",C828="ASE")</f>
        <v/>
      </c>
      <c r="I828">
        <f>F828&gt;=500000</f>
        <v/>
      </c>
      <c r="J828">
        <f>E828&gt;=2</f>
        <v/>
      </c>
      <c r="K828">
        <f>AND(G828,H828,I828,J828)</f>
        <v/>
      </c>
    </row>
    <row r="829">
      <c r="B829" s="5">
        <f>BDP(A829&amp;" US Equity","CUR_MKT_CAP")</f>
        <v/>
      </c>
      <c r="C829">
        <f>BDP(A829&amp;" US Equity","EXCH_CODE")</f>
        <v/>
      </c>
      <c r="D829" s="5">
        <f>BDP(A829&amp;" US Equity","VOLUME_AVG_20D")</f>
        <v/>
      </c>
      <c r="E829" s="6">
        <f>BDP(A829&amp;" US Equity","PX_LAST")</f>
        <v/>
      </c>
      <c r="F829" s="5">
        <f>D829*E829</f>
        <v/>
      </c>
      <c r="G829">
        <f>AND(B829&gt;=50,B829&lt;=10000)</f>
        <v/>
      </c>
      <c r="H829">
        <f>OR(C829="NAS",C829="NYS",C829="ASE")</f>
        <v/>
      </c>
      <c r="I829">
        <f>F829&gt;=500000</f>
        <v/>
      </c>
      <c r="J829">
        <f>E829&gt;=2</f>
        <v/>
      </c>
      <c r="K829">
        <f>AND(G829,H829,I829,J829)</f>
        <v/>
      </c>
    </row>
    <row r="830">
      <c r="B830" s="5">
        <f>BDP(A830&amp;" US Equity","CUR_MKT_CAP")</f>
        <v/>
      </c>
      <c r="C830">
        <f>BDP(A830&amp;" US Equity","EXCH_CODE")</f>
        <v/>
      </c>
      <c r="D830" s="5">
        <f>BDP(A830&amp;" US Equity","VOLUME_AVG_20D")</f>
        <v/>
      </c>
      <c r="E830" s="6">
        <f>BDP(A830&amp;" US Equity","PX_LAST")</f>
        <v/>
      </c>
      <c r="F830" s="5">
        <f>D830*E830</f>
        <v/>
      </c>
      <c r="G830">
        <f>AND(B830&gt;=50,B830&lt;=10000)</f>
        <v/>
      </c>
      <c r="H830">
        <f>OR(C830="NAS",C830="NYS",C830="ASE")</f>
        <v/>
      </c>
      <c r="I830">
        <f>F830&gt;=500000</f>
        <v/>
      </c>
      <c r="J830">
        <f>E830&gt;=2</f>
        <v/>
      </c>
      <c r="K830">
        <f>AND(G830,H830,I830,J830)</f>
        <v/>
      </c>
    </row>
    <row r="831">
      <c r="B831" s="5">
        <f>BDP(A831&amp;" US Equity","CUR_MKT_CAP")</f>
        <v/>
      </c>
      <c r="C831">
        <f>BDP(A831&amp;" US Equity","EXCH_CODE")</f>
        <v/>
      </c>
      <c r="D831" s="5">
        <f>BDP(A831&amp;" US Equity","VOLUME_AVG_20D")</f>
        <v/>
      </c>
      <c r="E831" s="6">
        <f>BDP(A831&amp;" US Equity","PX_LAST")</f>
        <v/>
      </c>
      <c r="F831" s="5">
        <f>D831*E831</f>
        <v/>
      </c>
      <c r="G831">
        <f>AND(B831&gt;=50,B831&lt;=10000)</f>
        <v/>
      </c>
      <c r="H831">
        <f>OR(C831="NAS",C831="NYS",C831="ASE")</f>
        <v/>
      </c>
      <c r="I831">
        <f>F831&gt;=500000</f>
        <v/>
      </c>
      <c r="J831">
        <f>E831&gt;=2</f>
        <v/>
      </c>
      <c r="K831">
        <f>AND(G831,H831,I831,J831)</f>
        <v/>
      </c>
    </row>
    <row r="832">
      <c r="B832" s="5">
        <f>BDP(A832&amp;" US Equity","CUR_MKT_CAP")</f>
        <v/>
      </c>
      <c r="C832">
        <f>BDP(A832&amp;" US Equity","EXCH_CODE")</f>
        <v/>
      </c>
      <c r="D832" s="5">
        <f>BDP(A832&amp;" US Equity","VOLUME_AVG_20D")</f>
        <v/>
      </c>
      <c r="E832" s="6">
        <f>BDP(A832&amp;" US Equity","PX_LAST")</f>
        <v/>
      </c>
      <c r="F832" s="5">
        <f>D832*E832</f>
        <v/>
      </c>
      <c r="G832">
        <f>AND(B832&gt;=50,B832&lt;=10000)</f>
        <v/>
      </c>
      <c r="H832">
        <f>OR(C832="NAS",C832="NYS",C832="ASE")</f>
        <v/>
      </c>
      <c r="I832">
        <f>F832&gt;=500000</f>
        <v/>
      </c>
      <c r="J832">
        <f>E832&gt;=2</f>
        <v/>
      </c>
      <c r="K832">
        <f>AND(G832,H832,I832,J832)</f>
        <v/>
      </c>
    </row>
    <row r="833">
      <c r="B833" s="5">
        <f>BDP(A833&amp;" US Equity","CUR_MKT_CAP")</f>
        <v/>
      </c>
      <c r="C833">
        <f>BDP(A833&amp;" US Equity","EXCH_CODE")</f>
        <v/>
      </c>
      <c r="D833" s="5">
        <f>BDP(A833&amp;" US Equity","VOLUME_AVG_20D")</f>
        <v/>
      </c>
      <c r="E833" s="6">
        <f>BDP(A833&amp;" US Equity","PX_LAST")</f>
        <v/>
      </c>
      <c r="F833" s="5">
        <f>D833*E833</f>
        <v/>
      </c>
      <c r="G833">
        <f>AND(B833&gt;=50,B833&lt;=10000)</f>
        <v/>
      </c>
      <c r="H833">
        <f>OR(C833="NAS",C833="NYS",C833="ASE")</f>
        <v/>
      </c>
      <c r="I833">
        <f>F833&gt;=500000</f>
        <v/>
      </c>
      <c r="J833">
        <f>E833&gt;=2</f>
        <v/>
      </c>
      <c r="K833">
        <f>AND(G833,H833,I833,J833)</f>
        <v/>
      </c>
    </row>
    <row r="834">
      <c r="B834" s="5">
        <f>BDP(A834&amp;" US Equity","CUR_MKT_CAP")</f>
        <v/>
      </c>
      <c r="C834">
        <f>BDP(A834&amp;" US Equity","EXCH_CODE")</f>
        <v/>
      </c>
      <c r="D834" s="5">
        <f>BDP(A834&amp;" US Equity","VOLUME_AVG_20D")</f>
        <v/>
      </c>
      <c r="E834" s="6">
        <f>BDP(A834&amp;" US Equity","PX_LAST")</f>
        <v/>
      </c>
      <c r="F834" s="5">
        <f>D834*E834</f>
        <v/>
      </c>
      <c r="G834">
        <f>AND(B834&gt;=50,B834&lt;=10000)</f>
        <v/>
      </c>
      <c r="H834">
        <f>OR(C834="NAS",C834="NYS",C834="ASE")</f>
        <v/>
      </c>
      <c r="I834">
        <f>F834&gt;=500000</f>
        <v/>
      </c>
      <c r="J834">
        <f>E834&gt;=2</f>
        <v/>
      </c>
      <c r="K834">
        <f>AND(G834,H834,I834,J834)</f>
        <v/>
      </c>
    </row>
    <row r="835">
      <c r="B835" s="5">
        <f>BDP(A835&amp;" US Equity","CUR_MKT_CAP")</f>
        <v/>
      </c>
      <c r="C835">
        <f>BDP(A835&amp;" US Equity","EXCH_CODE")</f>
        <v/>
      </c>
      <c r="D835" s="5">
        <f>BDP(A835&amp;" US Equity","VOLUME_AVG_20D")</f>
        <v/>
      </c>
      <c r="E835" s="6">
        <f>BDP(A835&amp;" US Equity","PX_LAST")</f>
        <v/>
      </c>
      <c r="F835" s="5">
        <f>D835*E835</f>
        <v/>
      </c>
      <c r="G835">
        <f>AND(B835&gt;=50,B835&lt;=10000)</f>
        <v/>
      </c>
      <c r="H835">
        <f>OR(C835="NAS",C835="NYS",C835="ASE")</f>
        <v/>
      </c>
      <c r="I835">
        <f>F835&gt;=500000</f>
        <v/>
      </c>
      <c r="J835">
        <f>E835&gt;=2</f>
        <v/>
      </c>
      <c r="K835">
        <f>AND(G835,H835,I835,J835)</f>
        <v/>
      </c>
    </row>
    <row r="836">
      <c r="B836" s="5">
        <f>BDP(A836&amp;" US Equity","CUR_MKT_CAP")</f>
        <v/>
      </c>
      <c r="C836">
        <f>BDP(A836&amp;" US Equity","EXCH_CODE")</f>
        <v/>
      </c>
      <c r="D836" s="5">
        <f>BDP(A836&amp;" US Equity","VOLUME_AVG_20D")</f>
        <v/>
      </c>
      <c r="E836" s="6">
        <f>BDP(A836&amp;" US Equity","PX_LAST")</f>
        <v/>
      </c>
      <c r="F836" s="5">
        <f>D836*E836</f>
        <v/>
      </c>
      <c r="G836">
        <f>AND(B836&gt;=50,B836&lt;=10000)</f>
        <v/>
      </c>
      <c r="H836">
        <f>OR(C836="NAS",C836="NYS",C836="ASE")</f>
        <v/>
      </c>
      <c r="I836">
        <f>F836&gt;=500000</f>
        <v/>
      </c>
      <c r="J836">
        <f>E836&gt;=2</f>
        <v/>
      </c>
      <c r="K836">
        <f>AND(G836,H836,I836,J836)</f>
        <v/>
      </c>
    </row>
    <row r="837">
      <c r="B837" s="5">
        <f>BDP(A837&amp;" US Equity","CUR_MKT_CAP")</f>
        <v/>
      </c>
      <c r="C837">
        <f>BDP(A837&amp;" US Equity","EXCH_CODE")</f>
        <v/>
      </c>
      <c r="D837" s="5">
        <f>BDP(A837&amp;" US Equity","VOLUME_AVG_20D")</f>
        <v/>
      </c>
      <c r="E837" s="6">
        <f>BDP(A837&amp;" US Equity","PX_LAST")</f>
        <v/>
      </c>
      <c r="F837" s="5">
        <f>D837*E837</f>
        <v/>
      </c>
      <c r="G837">
        <f>AND(B837&gt;=50,B837&lt;=10000)</f>
        <v/>
      </c>
      <c r="H837">
        <f>OR(C837="NAS",C837="NYS",C837="ASE")</f>
        <v/>
      </c>
      <c r="I837">
        <f>F837&gt;=500000</f>
        <v/>
      </c>
      <c r="J837">
        <f>E837&gt;=2</f>
        <v/>
      </c>
      <c r="K837">
        <f>AND(G837,H837,I837,J837)</f>
        <v/>
      </c>
    </row>
    <row r="838">
      <c r="B838" s="5">
        <f>BDP(A838&amp;" US Equity","CUR_MKT_CAP")</f>
        <v/>
      </c>
      <c r="C838">
        <f>BDP(A838&amp;" US Equity","EXCH_CODE")</f>
        <v/>
      </c>
      <c r="D838" s="5">
        <f>BDP(A838&amp;" US Equity","VOLUME_AVG_20D")</f>
        <v/>
      </c>
      <c r="E838" s="6">
        <f>BDP(A838&amp;" US Equity","PX_LAST")</f>
        <v/>
      </c>
      <c r="F838" s="5">
        <f>D838*E838</f>
        <v/>
      </c>
      <c r="G838">
        <f>AND(B838&gt;=50,B838&lt;=10000)</f>
        <v/>
      </c>
      <c r="H838">
        <f>OR(C838="NAS",C838="NYS",C838="ASE")</f>
        <v/>
      </c>
      <c r="I838">
        <f>F838&gt;=500000</f>
        <v/>
      </c>
      <c r="J838">
        <f>E838&gt;=2</f>
        <v/>
      </c>
      <c r="K838">
        <f>AND(G838,H838,I838,J838)</f>
        <v/>
      </c>
    </row>
    <row r="839">
      <c r="B839" s="5">
        <f>BDP(A839&amp;" US Equity","CUR_MKT_CAP")</f>
        <v/>
      </c>
      <c r="C839">
        <f>BDP(A839&amp;" US Equity","EXCH_CODE")</f>
        <v/>
      </c>
      <c r="D839" s="5">
        <f>BDP(A839&amp;" US Equity","VOLUME_AVG_20D")</f>
        <v/>
      </c>
      <c r="E839" s="6">
        <f>BDP(A839&amp;" US Equity","PX_LAST")</f>
        <v/>
      </c>
      <c r="F839" s="5">
        <f>D839*E839</f>
        <v/>
      </c>
      <c r="G839">
        <f>AND(B839&gt;=50,B839&lt;=10000)</f>
        <v/>
      </c>
      <c r="H839">
        <f>OR(C839="NAS",C839="NYS",C839="ASE")</f>
        <v/>
      </c>
      <c r="I839">
        <f>F839&gt;=500000</f>
        <v/>
      </c>
      <c r="J839">
        <f>E839&gt;=2</f>
        <v/>
      </c>
      <c r="K839">
        <f>AND(G839,H839,I839,J839)</f>
        <v/>
      </c>
    </row>
    <row r="840">
      <c r="B840" s="5">
        <f>BDP(A840&amp;" US Equity","CUR_MKT_CAP")</f>
        <v/>
      </c>
      <c r="C840">
        <f>BDP(A840&amp;" US Equity","EXCH_CODE")</f>
        <v/>
      </c>
      <c r="D840" s="5">
        <f>BDP(A840&amp;" US Equity","VOLUME_AVG_20D")</f>
        <v/>
      </c>
      <c r="E840" s="6">
        <f>BDP(A840&amp;" US Equity","PX_LAST")</f>
        <v/>
      </c>
      <c r="F840" s="5">
        <f>D840*E840</f>
        <v/>
      </c>
      <c r="G840">
        <f>AND(B840&gt;=50,B840&lt;=10000)</f>
        <v/>
      </c>
      <c r="H840">
        <f>OR(C840="NAS",C840="NYS",C840="ASE")</f>
        <v/>
      </c>
      <c r="I840">
        <f>F840&gt;=500000</f>
        <v/>
      </c>
      <c r="J840">
        <f>E840&gt;=2</f>
        <v/>
      </c>
      <c r="K840">
        <f>AND(G840,H840,I840,J840)</f>
        <v/>
      </c>
    </row>
    <row r="841">
      <c r="B841" s="5">
        <f>BDP(A841&amp;" US Equity","CUR_MKT_CAP")</f>
        <v/>
      </c>
      <c r="C841">
        <f>BDP(A841&amp;" US Equity","EXCH_CODE")</f>
        <v/>
      </c>
      <c r="D841" s="5">
        <f>BDP(A841&amp;" US Equity","VOLUME_AVG_20D")</f>
        <v/>
      </c>
      <c r="E841" s="6">
        <f>BDP(A841&amp;" US Equity","PX_LAST")</f>
        <v/>
      </c>
      <c r="F841" s="5">
        <f>D841*E841</f>
        <v/>
      </c>
      <c r="G841">
        <f>AND(B841&gt;=50,B841&lt;=10000)</f>
        <v/>
      </c>
      <c r="H841">
        <f>OR(C841="NAS",C841="NYS",C841="ASE")</f>
        <v/>
      </c>
      <c r="I841">
        <f>F841&gt;=500000</f>
        <v/>
      </c>
      <c r="J841">
        <f>E841&gt;=2</f>
        <v/>
      </c>
      <c r="K841">
        <f>AND(G841,H841,I841,J841)</f>
        <v/>
      </c>
    </row>
    <row r="842">
      <c r="B842" s="5">
        <f>BDP(A842&amp;" US Equity","CUR_MKT_CAP")</f>
        <v/>
      </c>
      <c r="C842">
        <f>BDP(A842&amp;" US Equity","EXCH_CODE")</f>
        <v/>
      </c>
      <c r="D842" s="5">
        <f>BDP(A842&amp;" US Equity","VOLUME_AVG_20D")</f>
        <v/>
      </c>
      <c r="E842" s="6">
        <f>BDP(A842&amp;" US Equity","PX_LAST")</f>
        <v/>
      </c>
      <c r="F842" s="5">
        <f>D842*E842</f>
        <v/>
      </c>
      <c r="G842">
        <f>AND(B842&gt;=50,B842&lt;=10000)</f>
        <v/>
      </c>
      <c r="H842">
        <f>OR(C842="NAS",C842="NYS",C842="ASE")</f>
        <v/>
      </c>
      <c r="I842">
        <f>F842&gt;=500000</f>
        <v/>
      </c>
      <c r="J842">
        <f>E842&gt;=2</f>
        <v/>
      </c>
      <c r="K842">
        <f>AND(G842,H842,I842,J842)</f>
        <v/>
      </c>
    </row>
    <row r="843">
      <c r="B843" s="5">
        <f>BDP(A843&amp;" US Equity","CUR_MKT_CAP")</f>
        <v/>
      </c>
      <c r="C843">
        <f>BDP(A843&amp;" US Equity","EXCH_CODE")</f>
        <v/>
      </c>
      <c r="D843" s="5">
        <f>BDP(A843&amp;" US Equity","VOLUME_AVG_20D")</f>
        <v/>
      </c>
      <c r="E843" s="6">
        <f>BDP(A843&amp;" US Equity","PX_LAST")</f>
        <v/>
      </c>
      <c r="F843" s="5">
        <f>D843*E843</f>
        <v/>
      </c>
      <c r="G843">
        <f>AND(B843&gt;=50,B843&lt;=10000)</f>
        <v/>
      </c>
      <c r="H843">
        <f>OR(C843="NAS",C843="NYS",C843="ASE")</f>
        <v/>
      </c>
      <c r="I843">
        <f>F843&gt;=500000</f>
        <v/>
      </c>
      <c r="J843">
        <f>E843&gt;=2</f>
        <v/>
      </c>
      <c r="K843">
        <f>AND(G843,H843,I843,J843)</f>
        <v/>
      </c>
    </row>
    <row r="844">
      <c r="B844" s="5">
        <f>BDP(A844&amp;" US Equity","CUR_MKT_CAP")</f>
        <v/>
      </c>
      <c r="C844">
        <f>BDP(A844&amp;" US Equity","EXCH_CODE")</f>
        <v/>
      </c>
      <c r="D844" s="5">
        <f>BDP(A844&amp;" US Equity","VOLUME_AVG_20D")</f>
        <v/>
      </c>
      <c r="E844" s="6">
        <f>BDP(A844&amp;" US Equity","PX_LAST")</f>
        <v/>
      </c>
      <c r="F844" s="5">
        <f>D844*E844</f>
        <v/>
      </c>
      <c r="G844">
        <f>AND(B844&gt;=50,B844&lt;=10000)</f>
        <v/>
      </c>
      <c r="H844">
        <f>OR(C844="NAS",C844="NYS",C844="ASE")</f>
        <v/>
      </c>
      <c r="I844">
        <f>F844&gt;=500000</f>
        <v/>
      </c>
      <c r="J844">
        <f>E844&gt;=2</f>
        <v/>
      </c>
      <c r="K844">
        <f>AND(G844,H844,I844,J844)</f>
        <v/>
      </c>
    </row>
    <row r="845">
      <c r="B845" s="5">
        <f>BDP(A845&amp;" US Equity","CUR_MKT_CAP")</f>
        <v/>
      </c>
      <c r="C845">
        <f>BDP(A845&amp;" US Equity","EXCH_CODE")</f>
        <v/>
      </c>
      <c r="D845" s="5">
        <f>BDP(A845&amp;" US Equity","VOLUME_AVG_20D")</f>
        <v/>
      </c>
      <c r="E845" s="6">
        <f>BDP(A845&amp;" US Equity","PX_LAST")</f>
        <v/>
      </c>
      <c r="F845" s="5">
        <f>D845*E845</f>
        <v/>
      </c>
      <c r="G845">
        <f>AND(B845&gt;=50,B845&lt;=10000)</f>
        <v/>
      </c>
      <c r="H845">
        <f>OR(C845="NAS",C845="NYS",C845="ASE")</f>
        <v/>
      </c>
      <c r="I845">
        <f>F845&gt;=500000</f>
        <v/>
      </c>
      <c r="J845">
        <f>E845&gt;=2</f>
        <v/>
      </c>
      <c r="K845">
        <f>AND(G845,H845,I845,J845)</f>
        <v/>
      </c>
    </row>
    <row r="846">
      <c r="B846" s="5">
        <f>BDP(A846&amp;" US Equity","CUR_MKT_CAP")</f>
        <v/>
      </c>
      <c r="C846">
        <f>BDP(A846&amp;" US Equity","EXCH_CODE")</f>
        <v/>
      </c>
      <c r="D846" s="5">
        <f>BDP(A846&amp;" US Equity","VOLUME_AVG_20D")</f>
        <v/>
      </c>
      <c r="E846" s="6">
        <f>BDP(A846&amp;" US Equity","PX_LAST")</f>
        <v/>
      </c>
      <c r="F846" s="5">
        <f>D846*E846</f>
        <v/>
      </c>
      <c r="G846">
        <f>AND(B846&gt;=50,B846&lt;=10000)</f>
        <v/>
      </c>
      <c r="H846">
        <f>OR(C846="NAS",C846="NYS",C846="ASE")</f>
        <v/>
      </c>
      <c r="I846">
        <f>F846&gt;=500000</f>
        <v/>
      </c>
      <c r="J846">
        <f>E846&gt;=2</f>
        <v/>
      </c>
      <c r="K846">
        <f>AND(G846,H846,I846,J846)</f>
        <v/>
      </c>
    </row>
    <row r="847">
      <c r="B847" s="5">
        <f>BDP(A847&amp;" US Equity","CUR_MKT_CAP")</f>
        <v/>
      </c>
      <c r="C847">
        <f>BDP(A847&amp;" US Equity","EXCH_CODE")</f>
        <v/>
      </c>
      <c r="D847" s="5">
        <f>BDP(A847&amp;" US Equity","VOLUME_AVG_20D")</f>
        <v/>
      </c>
      <c r="E847" s="6">
        <f>BDP(A847&amp;" US Equity","PX_LAST")</f>
        <v/>
      </c>
      <c r="F847" s="5">
        <f>D847*E847</f>
        <v/>
      </c>
      <c r="G847">
        <f>AND(B847&gt;=50,B847&lt;=10000)</f>
        <v/>
      </c>
      <c r="H847">
        <f>OR(C847="NAS",C847="NYS",C847="ASE")</f>
        <v/>
      </c>
      <c r="I847">
        <f>F847&gt;=500000</f>
        <v/>
      </c>
      <c r="J847">
        <f>E847&gt;=2</f>
        <v/>
      </c>
      <c r="K847">
        <f>AND(G847,H847,I847,J847)</f>
        <v/>
      </c>
    </row>
    <row r="848">
      <c r="B848" s="5">
        <f>BDP(A848&amp;" US Equity","CUR_MKT_CAP")</f>
        <v/>
      </c>
      <c r="C848">
        <f>BDP(A848&amp;" US Equity","EXCH_CODE")</f>
        <v/>
      </c>
      <c r="D848" s="5">
        <f>BDP(A848&amp;" US Equity","VOLUME_AVG_20D")</f>
        <v/>
      </c>
      <c r="E848" s="6">
        <f>BDP(A848&amp;" US Equity","PX_LAST")</f>
        <v/>
      </c>
      <c r="F848" s="5">
        <f>D848*E848</f>
        <v/>
      </c>
      <c r="G848">
        <f>AND(B848&gt;=50,B848&lt;=10000)</f>
        <v/>
      </c>
      <c r="H848">
        <f>OR(C848="NAS",C848="NYS",C848="ASE")</f>
        <v/>
      </c>
      <c r="I848">
        <f>F848&gt;=500000</f>
        <v/>
      </c>
      <c r="J848">
        <f>E848&gt;=2</f>
        <v/>
      </c>
      <c r="K848">
        <f>AND(G848,H848,I848,J848)</f>
        <v/>
      </c>
    </row>
    <row r="849">
      <c r="B849" s="5">
        <f>BDP(A849&amp;" US Equity","CUR_MKT_CAP")</f>
        <v/>
      </c>
      <c r="C849">
        <f>BDP(A849&amp;" US Equity","EXCH_CODE")</f>
        <v/>
      </c>
      <c r="D849" s="5">
        <f>BDP(A849&amp;" US Equity","VOLUME_AVG_20D")</f>
        <v/>
      </c>
      <c r="E849" s="6">
        <f>BDP(A849&amp;" US Equity","PX_LAST")</f>
        <v/>
      </c>
      <c r="F849" s="5">
        <f>D849*E849</f>
        <v/>
      </c>
      <c r="G849">
        <f>AND(B849&gt;=50,B849&lt;=10000)</f>
        <v/>
      </c>
      <c r="H849">
        <f>OR(C849="NAS",C849="NYS",C849="ASE")</f>
        <v/>
      </c>
      <c r="I849">
        <f>F849&gt;=500000</f>
        <v/>
      </c>
      <c r="J849">
        <f>E849&gt;=2</f>
        <v/>
      </c>
      <c r="K849">
        <f>AND(G849,H849,I849,J849)</f>
        <v/>
      </c>
    </row>
    <row r="850">
      <c r="B850" s="5">
        <f>BDP(A850&amp;" US Equity","CUR_MKT_CAP")</f>
        <v/>
      </c>
      <c r="C850">
        <f>BDP(A850&amp;" US Equity","EXCH_CODE")</f>
        <v/>
      </c>
      <c r="D850" s="5">
        <f>BDP(A850&amp;" US Equity","VOLUME_AVG_20D")</f>
        <v/>
      </c>
      <c r="E850" s="6">
        <f>BDP(A850&amp;" US Equity","PX_LAST")</f>
        <v/>
      </c>
      <c r="F850" s="5">
        <f>D850*E850</f>
        <v/>
      </c>
      <c r="G850">
        <f>AND(B850&gt;=50,B850&lt;=10000)</f>
        <v/>
      </c>
      <c r="H850">
        <f>OR(C850="NAS",C850="NYS",C850="ASE")</f>
        <v/>
      </c>
      <c r="I850">
        <f>F850&gt;=500000</f>
        <v/>
      </c>
      <c r="J850">
        <f>E850&gt;=2</f>
        <v/>
      </c>
      <c r="K850">
        <f>AND(G850,H850,I850,J850)</f>
        <v/>
      </c>
    </row>
    <row r="851">
      <c r="B851" s="5">
        <f>BDP(A851&amp;" US Equity","CUR_MKT_CAP")</f>
        <v/>
      </c>
      <c r="C851">
        <f>BDP(A851&amp;" US Equity","EXCH_CODE")</f>
        <v/>
      </c>
      <c r="D851" s="5">
        <f>BDP(A851&amp;" US Equity","VOLUME_AVG_20D")</f>
        <v/>
      </c>
      <c r="E851" s="6">
        <f>BDP(A851&amp;" US Equity","PX_LAST")</f>
        <v/>
      </c>
      <c r="F851" s="5">
        <f>D851*E851</f>
        <v/>
      </c>
      <c r="G851">
        <f>AND(B851&gt;=50,B851&lt;=10000)</f>
        <v/>
      </c>
      <c r="H851">
        <f>OR(C851="NAS",C851="NYS",C851="ASE")</f>
        <v/>
      </c>
      <c r="I851">
        <f>F851&gt;=500000</f>
        <v/>
      </c>
      <c r="J851">
        <f>E851&gt;=2</f>
        <v/>
      </c>
      <c r="K851">
        <f>AND(G851,H851,I851,J851)</f>
        <v/>
      </c>
    </row>
    <row r="852">
      <c r="B852" s="5">
        <f>BDP(A852&amp;" US Equity","CUR_MKT_CAP")</f>
        <v/>
      </c>
      <c r="C852">
        <f>BDP(A852&amp;" US Equity","EXCH_CODE")</f>
        <v/>
      </c>
      <c r="D852" s="5">
        <f>BDP(A852&amp;" US Equity","VOLUME_AVG_20D")</f>
        <v/>
      </c>
      <c r="E852" s="6">
        <f>BDP(A852&amp;" US Equity","PX_LAST")</f>
        <v/>
      </c>
      <c r="F852" s="5">
        <f>D852*E852</f>
        <v/>
      </c>
      <c r="G852">
        <f>AND(B852&gt;=50,B852&lt;=10000)</f>
        <v/>
      </c>
      <c r="H852">
        <f>OR(C852="NAS",C852="NYS",C852="ASE")</f>
        <v/>
      </c>
      <c r="I852">
        <f>F852&gt;=500000</f>
        <v/>
      </c>
      <c r="J852">
        <f>E852&gt;=2</f>
        <v/>
      </c>
      <c r="K852">
        <f>AND(G852,H852,I852,J852)</f>
        <v/>
      </c>
    </row>
    <row r="853">
      <c r="B853" s="5">
        <f>BDP(A853&amp;" US Equity","CUR_MKT_CAP")</f>
        <v/>
      </c>
      <c r="C853">
        <f>BDP(A853&amp;" US Equity","EXCH_CODE")</f>
        <v/>
      </c>
      <c r="D853" s="5">
        <f>BDP(A853&amp;" US Equity","VOLUME_AVG_20D")</f>
        <v/>
      </c>
      <c r="E853" s="6">
        <f>BDP(A853&amp;" US Equity","PX_LAST")</f>
        <v/>
      </c>
      <c r="F853" s="5">
        <f>D853*E853</f>
        <v/>
      </c>
      <c r="G853">
        <f>AND(B853&gt;=50,B853&lt;=10000)</f>
        <v/>
      </c>
      <c r="H853">
        <f>OR(C853="NAS",C853="NYS",C853="ASE")</f>
        <v/>
      </c>
      <c r="I853">
        <f>F853&gt;=500000</f>
        <v/>
      </c>
      <c r="J853">
        <f>E853&gt;=2</f>
        <v/>
      </c>
      <c r="K853">
        <f>AND(G853,H853,I853,J853)</f>
        <v/>
      </c>
    </row>
    <row r="854">
      <c r="B854" s="5">
        <f>BDP(A854&amp;" US Equity","CUR_MKT_CAP")</f>
        <v/>
      </c>
      <c r="C854">
        <f>BDP(A854&amp;" US Equity","EXCH_CODE")</f>
        <v/>
      </c>
      <c r="D854" s="5">
        <f>BDP(A854&amp;" US Equity","VOLUME_AVG_20D")</f>
        <v/>
      </c>
      <c r="E854" s="6">
        <f>BDP(A854&amp;" US Equity","PX_LAST")</f>
        <v/>
      </c>
      <c r="F854" s="5">
        <f>D854*E854</f>
        <v/>
      </c>
      <c r="G854">
        <f>AND(B854&gt;=50,B854&lt;=10000)</f>
        <v/>
      </c>
      <c r="H854">
        <f>OR(C854="NAS",C854="NYS",C854="ASE")</f>
        <v/>
      </c>
      <c r="I854">
        <f>F854&gt;=500000</f>
        <v/>
      </c>
      <c r="J854">
        <f>E854&gt;=2</f>
        <v/>
      </c>
      <c r="K854">
        <f>AND(G854,H854,I854,J854)</f>
        <v/>
      </c>
    </row>
    <row r="855">
      <c r="B855" s="5">
        <f>BDP(A855&amp;" US Equity","CUR_MKT_CAP")</f>
        <v/>
      </c>
      <c r="C855">
        <f>BDP(A855&amp;" US Equity","EXCH_CODE")</f>
        <v/>
      </c>
      <c r="D855" s="5">
        <f>BDP(A855&amp;" US Equity","VOLUME_AVG_20D")</f>
        <v/>
      </c>
      <c r="E855" s="6">
        <f>BDP(A855&amp;" US Equity","PX_LAST")</f>
        <v/>
      </c>
      <c r="F855" s="5">
        <f>D855*E855</f>
        <v/>
      </c>
      <c r="G855">
        <f>AND(B855&gt;=50,B855&lt;=10000)</f>
        <v/>
      </c>
      <c r="H855">
        <f>OR(C855="NAS",C855="NYS",C855="ASE")</f>
        <v/>
      </c>
      <c r="I855">
        <f>F855&gt;=500000</f>
        <v/>
      </c>
      <c r="J855">
        <f>E855&gt;=2</f>
        <v/>
      </c>
      <c r="K855">
        <f>AND(G855,H855,I855,J855)</f>
        <v/>
      </c>
    </row>
    <row r="856">
      <c r="B856" s="5">
        <f>BDP(A856&amp;" US Equity","CUR_MKT_CAP")</f>
        <v/>
      </c>
      <c r="C856">
        <f>BDP(A856&amp;" US Equity","EXCH_CODE")</f>
        <v/>
      </c>
      <c r="D856" s="5">
        <f>BDP(A856&amp;" US Equity","VOLUME_AVG_20D")</f>
        <v/>
      </c>
      <c r="E856" s="6">
        <f>BDP(A856&amp;" US Equity","PX_LAST")</f>
        <v/>
      </c>
      <c r="F856" s="5">
        <f>D856*E856</f>
        <v/>
      </c>
      <c r="G856">
        <f>AND(B856&gt;=50,B856&lt;=10000)</f>
        <v/>
      </c>
      <c r="H856">
        <f>OR(C856="NAS",C856="NYS",C856="ASE")</f>
        <v/>
      </c>
      <c r="I856">
        <f>F856&gt;=500000</f>
        <v/>
      </c>
      <c r="J856">
        <f>E856&gt;=2</f>
        <v/>
      </c>
      <c r="K856">
        <f>AND(G856,H856,I856,J856)</f>
        <v/>
      </c>
    </row>
    <row r="857">
      <c r="B857" s="5">
        <f>BDP(A857&amp;" US Equity","CUR_MKT_CAP")</f>
        <v/>
      </c>
      <c r="C857">
        <f>BDP(A857&amp;" US Equity","EXCH_CODE")</f>
        <v/>
      </c>
      <c r="D857" s="5">
        <f>BDP(A857&amp;" US Equity","VOLUME_AVG_20D")</f>
        <v/>
      </c>
      <c r="E857" s="6">
        <f>BDP(A857&amp;" US Equity","PX_LAST")</f>
        <v/>
      </c>
      <c r="F857" s="5">
        <f>D857*E857</f>
        <v/>
      </c>
      <c r="G857">
        <f>AND(B857&gt;=50,B857&lt;=10000)</f>
        <v/>
      </c>
      <c r="H857">
        <f>OR(C857="NAS",C857="NYS",C857="ASE")</f>
        <v/>
      </c>
      <c r="I857">
        <f>F857&gt;=500000</f>
        <v/>
      </c>
      <c r="J857">
        <f>E857&gt;=2</f>
        <v/>
      </c>
      <c r="K857">
        <f>AND(G857,H857,I857,J857)</f>
        <v/>
      </c>
    </row>
    <row r="858">
      <c r="B858" s="5">
        <f>BDP(A858&amp;" US Equity","CUR_MKT_CAP")</f>
        <v/>
      </c>
      <c r="C858">
        <f>BDP(A858&amp;" US Equity","EXCH_CODE")</f>
        <v/>
      </c>
      <c r="D858" s="5">
        <f>BDP(A858&amp;" US Equity","VOLUME_AVG_20D")</f>
        <v/>
      </c>
      <c r="E858" s="6">
        <f>BDP(A858&amp;" US Equity","PX_LAST")</f>
        <v/>
      </c>
      <c r="F858" s="5">
        <f>D858*E858</f>
        <v/>
      </c>
      <c r="G858">
        <f>AND(B858&gt;=50,B858&lt;=10000)</f>
        <v/>
      </c>
      <c r="H858">
        <f>OR(C858="NAS",C858="NYS",C858="ASE")</f>
        <v/>
      </c>
      <c r="I858">
        <f>F858&gt;=500000</f>
        <v/>
      </c>
      <c r="J858">
        <f>E858&gt;=2</f>
        <v/>
      </c>
      <c r="K858">
        <f>AND(G858,H858,I858,J858)</f>
        <v/>
      </c>
    </row>
    <row r="859">
      <c r="B859" s="5">
        <f>BDP(A859&amp;" US Equity","CUR_MKT_CAP")</f>
        <v/>
      </c>
      <c r="C859">
        <f>BDP(A859&amp;" US Equity","EXCH_CODE")</f>
        <v/>
      </c>
      <c r="D859" s="5">
        <f>BDP(A859&amp;" US Equity","VOLUME_AVG_20D")</f>
        <v/>
      </c>
      <c r="E859" s="6">
        <f>BDP(A859&amp;" US Equity","PX_LAST")</f>
        <v/>
      </c>
      <c r="F859" s="5">
        <f>D859*E859</f>
        <v/>
      </c>
      <c r="G859">
        <f>AND(B859&gt;=50,B859&lt;=10000)</f>
        <v/>
      </c>
      <c r="H859">
        <f>OR(C859="NAS",C859="NYS",C859="ASE")</f>
        <v/>
      </c>
      <c r="I859">
        <f>F859&gt;=500000</f>
        <v/>
      </c>
      <c r="J859">
        <f>E859&gt;=2</f>
        <v/>
      </c>
      <c r="K859">
        <f>AND(G859,H859,I859,J859)</f>
        <v/>
      </c>
    </row>
    <row r="860">
      <c r="B860" s="5">
        <f>BDP(A860&amp;" US Equity","CUR_MKT_CAP")</f>
        <v/>
      </c>
      <c r="C860">
        <f>BDP(A860&amp;" US Equity","EXCH_CODE")</f>
        <v/>
      </c>
      <c r="D860" s="5">
        <f>BDP(A860&amp;" US Equity","VOLUME_AVG_20D")</f>
        <v/>
      </c>
      <c r="E860" s="6">
        <f>BDP(A860&amp;" US Equity","PX_LAST")</f>
        <v/>
      </c>
      <c r="F860" s="5">
        <f>D860*E860</f>
        <v/>
      </c>
      <c r="G860">
        <f>AND(B860&gt;=50,B860&lt;=10000)</f>
        <v/>
      </c>
      <c r="H860">
        <f>OR(C860="NAS",C860="NYS",C860="ASE")</f>
        <v/>
      </c>
      <c r="I860">
        <f>F860&gt;=500000</f>
        <v/>
      </c>
      <c r="J860">
        <f>E860&gt;=2</f>
        <v/>
      </c>
      <c r="K860">
        <f>AND(G860,H860,I860,J860)</f>
        <v/>
      </c>
    </row>
    <row r="861">
      <c r="B861" s="5">
        <f>BDP(A861&amp;" US Equity","CUR_MKT_CAP")</f>
        <v/>
      </c>
      <c r="C861">
        <f>BDP(A861&amp;" US Equity","EXCH_CODE")</f>
        <v/>
      </c>
      <c r="D861" s="5">
        <f>BDP(A861&amp;" US Equity","VOLUME_AVG_20D")</f>
        <v/>
      </c>
      <c r="E861" s="6">
        <f>BDP(A861&amp;" US Equity","PX_LAST")</f>
        <v/>
      </c>
      <c r="F861" s="5">
        <f>D861*E861</f>
        <v/>
      </c>
      <c r="G861">
        <f>AND(B861&gt;=50,B861&lt;=10000)</f>
        <v/>
      </c>
      <c r="H861">
        <f>OR(C861="NAS",C861="NYS",C861="ASE")</f>
        <v/>
      </c>
      <c r="I861">
        <f>F861&gt;=500000</f>
        <v/>
      </c>
      <c r="J861">
        <f>E861&gt;=2</f>
        <v/>
      </c>
      <c r="K861">
        <f>AND(G861,H861,I861,J861)</f>
        <v/>
      </c>
    </row>
    <row r="862">
      <c r="B862" s="5">
        <f>BDP(A862&amp;" US Equity","CUR_MKT_CAP")</f>
        <v/>
      </c>
      <c r="C862">
        <f>BDP(A862&amp;" US Equity","EXCH_CODE")</f>
        <v/>
      </c>
      <c r="D862" s="5">
        <f>BDP(A862&amp;" US Equity","VOLUME_AVG_20D")</f>
        <v/>
      </c>
      <c r="E862" s="6">
        <f>BDP(A862&amp;" US Equity","PX_LAST")</f>
        <v/>
      </c>
      <c r="F862" s="5">
        <f>D862*E862</f>
        <v/>
      </c>
      <c r="G862">
        <f>AND(B862&gt;=50,B862&lt;=10000)</f>
        <v/>
      </c>
      <c r="H862">
        <f>OR(C862="NAS",C862="NYS",C862="ASE")</f>
        <v/>
      </c>
      <c r="I862">
        <f>F862&gt;=500000</f>
        <v/>
      </c>
      <c r="J862">
        <f>E862&gt;=2</f>
        <v/>
      </c>
      <c r="K862">
        <f>AND(G862,H862,I862,J862)</f>
        <v/>
      </c>
    </row>
    <row r="863">
      <c r="B863" s="5">
        <f>BDP(A863&amp;" US Equity","CUR_MKT_CAP")</f>
        <v/>
      </c>
      <c r="C863">
        <f>BDP(A863&amp;" US Equity","EXCH_CODE")</f>
        <v/>
      </c>
      <c r="D863" s="5">
        <f>BDP(A863&amp;" US Equity","VOLUME_AVG_20D")</f>
        <v/>
      </c>
      <c r="E863" s="6">
        <f>BDP(A863&amp;" US Equity","PX_LAST")</f>
        <v/>
      </c>
      <c r="F863" s="5">
        <f>D863*E863</f>
        <v/>
      </c>
      <c r="G863">
        <f>AND(B863&gt;=50,B863&lt;=10000)</f>
        <v/>
      </c>
      <c r="H863">
        <f>OR(C863="NAS",C863="NYS",C863="ASE")</f>
        <v/>
      </c>
      <c r="I863">
        <f>F863&gt;=500000</f>
        <v/>
      </c>
      <c r="J863">
        <f>E863&gt;=2</f>
        <v/>
      </c>
      <c r="K863">
        <f>AND(G863,H863,I863,J863)</f>
        <v/>
      </c>
    </row>
    <row r="864">
      <c r="B864" s="5">
        <f>BDP(A864&amp;" US Equity","CUR_MKT_CAP")</f>
        <v/>
      </c>
      <c r="C864">
        <f>BDP(A864&amp;" US Equity","EXCH_CODE")</f>
        <v/>
      </c>
      <c r="D864" s="5">
        <f>BDP(A864&amp;" US Equity","VOLUME_AVG_20D")</f>
        <v/>
      </c>
      <c r="E864" s="6">
        <f>BDP(A864&amp;" US Equity","PX_LAST")</f>
        <v/>
      </c>
      <c r="F864" s="5">
        <f>D864*E864</f>
        <v/>
      </c>
      <c r="G864">
        <f>AND(B864&gt;=50,B864&lt;=10000)</f>
        <v/>
      </c>
      <c r="H864">
        <f>OR(C864="NAS",C864="NYS",C864="ASE")</f>
        <v/>
      </c>
      <c r="I864">
        <f>F864&gt;=500000</f>
        <v/>
      </c>
      <c r="J864">
        <f>E864&gt;=2</f>
        <v/>
      </c>
      <c r="K864">
        <f>AND(G864,H864,I864,J864)</f>
        <v/>
      </c>
    </row>
    <row r="865">
      <c r="B865" s="5">
        <f>BDP(A865&amp;" US Equity","CUR_MKT_CAP")</f>
        <v/>
      </c>
      <c r="C865">
        <f>BDP(A865&amp;" US Equity","EXCH_CODE")</f>
        <v/>
      </c>
      <c r="D865" s="5">
        <f>BDP(A865&amp;" US Equity","VOLUME_AVG_20D")</f>
        <v/>
      </c>
      <c r="E865" s="6">
        <f>BDP(A865&amp;" US Equity","PX_LAST")</f>
        <v/>
      </c>
      <c r="F865" s="5">
        <f>D865*E865</f>
        <v/>
      </c>
      <c r="G865">
        <f>AND(B865&gt;=50,B865&lt;=10000)</f>
        <v/>
      </c>
      <c r="H865">
        <f>OR(C865="NAS",C865="NYS",C865="ASE")</f>
        <v/>
      </c>
      <c r="I865">
        <f>F865&gt;=500000</f>
        <v/>
      </c>
      <c r="J865">
        <f>E865&gt;=2</f>
        <v/>
      </c>
      <c r="K865">
        <f>AND(G865,H865,I865,J865)</f>
        <v/>
      </c>
    </row>
    <row r="866">
      <c r="B866" s="5">
        <f>BDP(A866&amp;" US Equity","CUR_MKT_CAP")</f>
        <v/>
      </c>
      <c r="C866">
        <f>BDP(A866&amp;" US Equity","EXCH_CODE")</f>
        <v/>
      </c>
      <c r="D866" s="5">
        <f>BDP(A866&amp;" US Equity","VOLUME_AVG_20D")</f>
        <v/>
      </c>
      <c r="E866" s="6">
        <f>BDP(A866&amp;" US Equity","PX_LAST")</f>
        <v/>
      </c>
      <c r="F866" s="5">
        <f>D866*E866</f>
        <v/>
      </c>
      <c r="G866">
        <f>AND(B866&gt;=50,B866&lt;=10000)</f>
        <v/>
      </c>
      <c r="H866">
        <f>OR(C866="NAS",C866="NYS",C866="ASE")</f>
        <v/>
      </c>
      <c r="I866">
        <f>F866&gt;=500000</f>
        <v/>
      </c>
      <c r="J866">
        <f>E866&gt;=2</f>
        <v/>
      </c>
      <c r="K866">
        <f>AND(G866,H866,I866,J866)</f>
        <v/>
      </c>
    </row>
    <row r="867">
      <c r="B867" s="5">
        <f>BDP(A867&amp;" US Equity","CUR_MKT_CAP")</f>
        <v/>
      </c>
      <c r="C867">
        <f>BDP(A867&amp;" US Equity","EXCH_CODE")</f>
        <v/>
      </c>
      <c r="D867" s="5">
        <f>BDP(A867&amp;" US Equity","VOLUME_AVG_20D")</f>
        <v/>
      </c>
      <c r="E867" s="6">
        <f>BDP(A867&amp;" US Equity","PX_LAST")</f>
        <v/>
      </c>
      <c r="F867" s="5">
        <f>D867*E867</f>
        <v/>
      </c>
      <c r="G867">
        <f>AND(B867&gt;=50,B867&lt;=10000)</f>
        <v/>
      </c>
      <c r="H867">
        <f>OR(C867="NAS",C867="NYS",C867="ASE")</f>
        <v/>
      </c>
      <c r="I867">
        <f>F867&gt;=500000</f>
        <v/>
      </c>
      <c r="J867">
        <f>E867&gt;=2</f>
        <v/>
      </c>
      <c r="K867">
        <f>AND(G867,H867,I867,J867)</f>
        <v/>
      </c>
    </row>
    <row r="868">
      <c r="B868" s="5">
        <f>BDP(A868&amp;" US Equity","CUR_MKT_CAP")</f>
        <v/>
      </c>
      <c r="C868">
        <f>BDP(A868&amp;" US Equity","EXCH_CODE")</f>
        <v/>
      </c>
      <c r="D868" s="5">
        <f>BDP(A868&amp;" US Equity","VOLUME_AVG_20D")</f>
        <v/>
      </c>
      <c r="E868" s="6">
        <f>BDP(A868&amp;" US Equity","PX_LAST")</f>
        <v/>
      </c>
      <c r="F868" s="5">
        <f>D868*E868</f>
        <v/>
      </c>
      <c r="G868">
        <f>AND(B868&gt;=50,B868&lt;=10000)</f>
        <v/>
      </c>
      <c r="H868">
        <f>OR(C868="NAS",C868="NYS",C868="ASE")</f>
        <v/>
      </c>
      <c r="I868">
        <f>F868&gt;=500000</f>
        <v/>
      </c>
      <c r="J868">
        <f>E868&gt;=2</f>
        <v/>
      </c>
      <c r="K868">
        <f>AND(G868,H868,I868,J868)</f>
        <v/>
      </c>
    </row>
    <row r="869">
      <c r="B869" s="5">
        <f>BDP(A869&amp;" US Equity","CUR_MKT_CAP")</f>
        <v/>
      </c>
      <c r="C869">
        <f>BDP(A869&amp;" US Equity","EXCH_CODE")</f>
        <v/>
      </c>
      <c r="D869" s="5">
        <f>BDP(A869&amp;" US Equity","VOLUME_AVG_20D")</f>
        <v/>
      </c>
      <c r="E869" s="6">
        <f>BDP(A869&amp;" US Equity","PX_LAST")</f>
        <v/>
      </c>
      <c r="F869" s="5">
        <f>D869*E869</f>
        <v/>
      </c>
      <c r="G869">
        <f>AND(B869&gt;=50,B869&lt;=10000)</f>
        <v/>
      </c>
      <c r="H869">
        <f>OR(C869="NAS",C869="NYS",C869="ASE")</f>
        <v/>
      </c>
      <c r="I869">
        <f>F869&gt;=500000</f>
        <v/>
      </c>
      <c r="J869">
        <f>E869&gt;=2</f>
        <v/>
      </c>
      <c r="K869">
        <f>AND(G869,H869,I869,J869)</f>
        <v/>
      </c>
    </row>
    <row r="870">
      <c r="B870" s="5">
        <f>BDP(A870&amp;" US Equity","CUR_MKT_CAP")</f>
        <v/>
      </c>
      <c r="C870">
        <f>BDP(A870&amp;" US Equity","EXCH_CODE")</f>
        <v/>
      </c>
      <c r="D870" s="5">
        <f>BDP(A870&amp;" US Equity","VOLUME_AVG_20D")</f>
        <v/>
      </c>
      <c r="E870" s="6">
        <f>BDP(A870&amp;" US Equity","PX_LAST")</f>
        <v/>
      </c>
      <c r="F870" s="5">
        <f>D870*E870</f>
        <v/>
      </c>
      <c r="G870">
        <f>AND(B870&gt;=50,B870&lt;=10000)</f>
        <v/>
      </c>
      <c r="H870">
        <f>OR(C870="NAS",C870="NYS",C870="ASE")</f>
        <v/>
      </c>
      <c r="I870">
        <f>F870&gt;=500000</f>
        <v/>
      </c>
      <c r="J870">
        <f>E870&gt;=2</f>
        <v/>
      </c>
      <c r="K870">
        <f>AND(G870,H870,I870,J870)</f>
        <v/>
      </c>
    </row>
    <row r="871">
      <c r="B871" s="5">
        <f>BDP(A871&amp;" US Equity","CUR_MKT_CAP")</f>
        <v/>
      </c>
      <c r="C871">
        <f>BDP(A871&amp;" US Equity","EXCH_CODE")</f>
        <v/>
      </c>
      <c r="D871" s="5">
        <f>BDP(A871&amp;" US Equity","VOLUME_AVG_20D")</f>
        <v/>
      </c>
      <c r="E871" s="6">
        <f>BDP(A871&amp;" US Equity","PX_LAST")</f>
        <v/>
      </c>
      <c r="F871" s="5">
        <f>D871*E871</f>
        <v/>
      </c>
      <c r="G871">
        <f>AND(B871&gt;=50,B871&lt;=10000)</f>
        <v/>
      </c>
      <c r="H871">
        <f>OR(C871="NAS",C871="NYS",C871="ASE")</f>
        <v/>
      </c>
      <c r="I871">
        <f>F871&gt;=500000</f>
        <v/>
      </c>
      <c r="J871">
        <f>E871&gt;=2</f>
        <v/>
      </c>
      <c r="K871">
        <f>AND(G871,H871,I871,J871)</f>
        <v/>
      </c>
    </row>
    <row r="872">
      <c r="B872" s="5">
        <f>BDP(A872&amp;" US Equity","CUR_MKT_CAP")</f>
        <v/>
      </c>
      <c r="C872">
        <f>BDP(A872&amp;" US Equity","EXCH_CODE")</f>
        <v/>
      </c>
      <c r="D872" s="5">
        <f>BDP(A872&amp;" US Equity","VOLUME_AVG_20D")</f>
        <v/>
      </c>
      <c r="E872" s="6">
        <f>BDP(A872&amp;" US Equity","PX_LAST")</f>
        <v/>
      </c>
      <c r="F872" s="5">
        <f>D872*E872</f>
        <v/>
      </c>
      <c r="G872">
        <f>AND(B872&gt;=50,B872&lt;=10000)</f>
        <v/>
      </c>
      <c r="H872">
        <f>OR(C872="NAS",C872="NYS",C872="ASE")</f>
        <v/>
      </c>
      <c r="I872">
        <f>F872&gt;=500000</f>
        <v/>
      </c>
      <c r="J872">
        <f>E872&gt;=2</f>
        <v/>
      </c>
      <c r="K872">
        <f>AND(G872,H872,I872,J872)</f>
        <v/>
      </c>
    </row>
    <row r="873">
      <c r="B873" s="5">
        <f>BDP(A873&amp;" US Equity","CUR_MKT_CAP")</f>
        <v/>
      </c>
      <c r="C873">
        <f>BDP(A873&amp;" US Equity","EXCH_CODE")</f>
        <v/>
      </c>
      <c r="D873" s="5">
        <f>BDP(A873&amp;" US Equity","VOLUME_AVG_20D")</f>
        <v/>
      </c>
      <c r="E873" s="6">
        <f>BDP(A873&amp;" US Equity","PX_LAST")</f>
        <v/>
      </c>
      <c r="F873" s="5">
        <f>D873*E873</f>
        <v/>
      </c>
      <c r="G873">
        <f>AND(B873&gt;=50,B873&lt;=10000)</f>
        <v/>
      </c>
      <c r="H873">
        <f>OR(C873="NAS",C873="NYS",C873="ASE")</f>
        <v/>
      </c>
      <c r="I873">
        <f>F873&gt;=500000</f>
        <v/>
      </c>
      <c r="J873">
        <f>E873&gt;=2</f>
        <v/>
      </c>
      <c r="K873">
        <f>AND(G873,H873,I873,J873)</f>
        <v/>
      </c>
    </row>
    <row r="874">
      <c r="B874" s="5">
        <f>BDP(A874&amp;" US Equity","CUR_MKT_CAP")</f>
        <v/>
      </c>
      <c r="C874">
        <f>BDP(A874&amp;" US Equity","EXCH_CODE")</f>
        <v/>
      </c>
      <c r="D874" s="5">
        <f>BDP(A874&amp;" US Equity","VOLUME_AVG_20D")</f>
        <v/>
      </c>
      <c r="E874" s="6">
        <f>BDP(A874&amp;" US Equity","PX_LAST")</f>
        <v/>
      </c>
      <c r="F874" s="5">
        <f>D874*E874</f>
        <v/>
      </c>
      <c r="G874">
        <f>AND(B874&gt;=50,B874&lt;=10000)</f>
        <v/>
      </c>
      <c r="H874">
        <f>OR(C874="NAS",C874="NYS",C874="ASE")</f>
        <v/>
      </c>
      <c r="I874">
        <f>F874&gt;=500000</f>
        <v/>
      </c>
      <c r="J874">
        <f>E874&gt;=2</f>
        <v/>
      </c>
      <c r="K874">
        <f>AND(G874,H874,I874,J874)</f>
        <v/>
      </c>
    </row>
    <row r="875">
      <c r="B875" s="5">
        <f>BDP(A875&amp;" US Equity","CUR_MKT_CAP")</f>
        <v/>
      </c>
      <c r="C875">
        <f>BDP(A875&amp;" US Equity","EXCH_CODE")</f>
        <v/>
      </c>
      <c r="D875" s="5">
        <f>BDP(A875&amp;" US Equity","VOLUME_AVG_20D")</f>
        <v/>
      </c>
      <c r="E875" s="6">
        <f>BDP(A875&amp;" US Equity","PX_LAST")</f>
        <v/>
      </c>
      <c r="F875" s="5">
        <f>D875*E875</f>
        <v/>
      </c>
      <c r="G875">
        <f>AND(B875&gt;=50,B875&lt;=10000)</f>
        <v/>
      </c>
      <c r="H875">
        <f>OR(C875="NAS",C875="NYS",C875="ASE")</f>
        <v/>
      </c>
      <c r="I875">
        <f>F875&gt;=500000</f>
        <v/>
      </c>
      <c r="J875">
        <f>E875&gt;=2</f>
        <v/>
      </c>
      <c r="K875">
        <f>AND(G875,H875,I875,J875)</f>
        <v/>
      </c>
    </row>
    <row r="876">
      <c r="B876" s="5">
        <f>BDP(A876&amp;" US Equity","CUR_MKT_CAP")</f>
        <v/>
      </c>
      <c r="C876">
        <f>BDP(A876&amp;" US Equity","EXCH_CODE")</f>
        <v/>
      </c>
      <c r="D876" s="5">
        <f>BDP(A876&amp;" US Equity","VOLUME_AVG_20D")</f>
        <v/>
      </c>
      <c r="E876" s="6">
        <f>BDP(A876&amp;" US Equity","PX_LAST")</f>
        <v/>
      </c>
      <c r="F876" s="5">
        <f>D876*E876</f>
        <v/>
      </c>
      <c r="G876">
        <f>AND(B876&gt;=50,B876&lt;=10000)</f>
        <v/>
      </c>
      <c r="H876">
        <f>OR(C876="NAS",C876="NYS",C876="ASE")</f>
        <v/>
      </c>
      <c r="I876">
        <f>F876&gt;=500000</f>
        <v/>
      </c>
      <c r="J876">
        <f>E876&gt;=2</f>
        <v/>
      </c>
      <c r="K876">
        <f>AND(G876,H876,I876,J876)</f>
        <v/>
      </c>
    </row>
    <row r="877">
      <c r="B877" s="5">
        <f>BDP(A877&amp;" US Equity","CUR_MKT_CAP")</f>
        <v/>
      </c>
      <c r="C877">
        <f>BDP(A877&amp;" US Equity","EXCH_CODE")</f>
        <v/>
      </c>
      <c r="D877" s="5">
        <f>BDP(A877&amp;" US Equity","VOLUME_AVG_20D")</f>
        <v/>
      </c>
      <c r="E877" s="6">
        <f>BDP(A877&amp;" US Equity","PX_LAST")</f>
        <v/>
      </c>
      <c r="F877" s="5">
        <f>D877*E877</f>
        <v/>
      </c>
      <c r="G877">
        <f>AND(B877&gt;=50,B877&lt;=10000)</f>
        <v/>
      </c>
      <c r="H877">
        <f>OR(C877="NAS",C877="NYS",C877="ASE")</f>
        <v/>
      </c>
      <c r="I877">
        <f>F877&gt;=500000</f>
        <v/>
      </c>
      <c r="J877">
        <f>E877&gt;=2</f>
        <v/>
      </c>
      <c r="K877">
        <f>AND(G877,H877,I877,J877)</f>
        <v/>
      </c>
    </row>
    <row r="878">
      <c r="B878" s="5">
        <f>BDP(A878&amp;" US Equity","CUR_MKT_CAP")</f>
        <v/>
      </c>
      <c r="C878">
        <f>BDP(A878&amp;" US Equity","EXCH_CODE")</f>
        <v/>
      </c>
      <c r="D878" s="5">
        <f>BDP(A878&amp;" US Equity","VOLUME_AVG_20D")</f>
        <v/>
      </c>
      <c r="E878" s="6">
        <f>BDP(A878&amp;" US Equity","PX_LAST")</f>
        <v/>
      </c>
      <c r="F878" s="5">
        <f>D878*E878</f>
        <v/>
      </c>
      <c r="G878">
        <f>AND(B878&gt;=50,B878&lt;=10000)</f>
        <v/>
      </c>
      <c r="H878">
        <f>OR(C878="NAS",C878="NYS",C878="ASE")</f>
        <v/>
      </c>
      <c r="I878">
        <f>F878&gt;=500000</f>
        <v/>
      </c>
      <c r="J878">
        <f>E878&gt;=2</f>
        <v/>
      </c>
      <c r="K878">
        <f>AND(G878,H878,I878,J878)</f>
        <v/>
      </c>
    </row>
    <row r="879">
      <c r="B879" s="5">
        <f>BDP(A879&amp;" US Equity","CUR_MKT_CAP")</f>
        <v/>
      </c>
      <c r="C879">
        <f>BDP(A879&amp;" US Equity","EXCH_CODE")</f>
        <v/>
      </c>
      <c r="D879" s="5">
        <f>BDP(A879&amp;" US Equity","VOLUME_AVG_20D")</f>
        <v/>
      </c>
      <c r="E879" s="6">
        <f>BDP(A879&amp;" US Equity","PX_LAST")</f>
        <v/>
      </c>
      <c r="F879" s="5">
        <f>D879*E879</f>
        <v/>
      </c>
      <c r="G879">
        <f>AND(B879&gt;=50,B879&lt;=10000)</f>
        <v/>
      </c>
      <c r="H879">
        <f>OR(C879="NAS",C879="NYS",C879="ASE")</f>
        <v/>
      </c>
      <c r="I879">
        <f>F879&gt;=500000</f>
        <v/>
      </c>
      <c r="J879">
        <f>E879&gt;=2</f>
        <v/>
      </c>
      <c r="K879">
        <f>AND(G879,H879,I879,J879)</f>
        <v/>
      </c>
    </row>
    <row r="880">
      <c r="B880" s="5">
        <f>BDP(A880&amp;" US Equity","CUR_MKT_CAP")</f>
        <v/>
      </c>
      <c r="C880">
        <f>BDP(A880&amp;" US Equity","EXCH_CODE")</f>
        <v/>
      </c>
      <c r="D880" s="5">
        <f>BDP(A880&amp;" US Equity","VOLUME_AVG_20D")</f>
        <v/>
      </c>
      <c r="E880" s="6">
        <f>BDP(A880&amp;" US Equity","PX_LAST")</f>
        <v/>
      </c>
      <c r="F880" s="5">
        <f>D880*E880</f>
        <v/>
      </c>
      <c r="G880">
        <f>AND(B880&gt;=50,B880&lt;=10000)</f>
        <v/>
      </c>
      <c r="H880">
        <f>OR(C880="NAS",C880="NYS",C880="ASE")</f>
        <v/>
      </c>
      <c r="I880">
        <f>F880&gt;=500000</f>
        <v/>
      </c>
      <c r="J880">
        <f>E880&gt;=2</f>
        <v/>
      </c>
      <c r="K880">
        <f>AND(G880,H880,I880,J880)</f>
        <v/>
      </c>
    </row>
    <row r="881">
      <c r="B881" s="5">
        <f>BDP(A881&amp;" US Equity","CUR_MKT_CAP")</f>
        <v/>
      </c>
      <c r="C881">
        <f>BDP(A881&amp;" US Equity","EXCH_CODE")</f>
        <v/>
      </c>
      <c r="D881" s="5">
        <f>BDP(A881&amp;" US Equity","VOLUME_AVG_20D")</f>
        <v/>
      </c>
      <c r="E881" s="6">
        <f>BDP(A881&amp;" US Equity","PX_LAST")</f>
        <v/>
      </c>
      <c r="F881" s="5">
        <f>D881*E881</f>
        <v/>
      </c>
      <c r="G881">
        <f>AND(B881&gt;=50,B881&lt;=10000)</f>
        <v/>
      </c>
      <c r="H881">
        <f>OR(C881="NAS",C881="NYS",C881="ASE")</f>
        <v/>
      </c>
      <c r="I881">
        <f>F881&gt;=500000</f>
        <v/>
      </c>
      <c r="J881">
        <f>E881&gt;=2</f>
        <v/>
      </c>
      <c r="K881">
        <f>AND(G881,H881,I881,J881)</f>
        <v/>
      </c>
    </row>
    <row r="882">
      <c r="B882" s="5">
        <f>BDP(A882&amp;" US Equity","CUR_MKT_CAP")</f>
        <v/>
      </c>
      <c r="C882">
        <f>BDP(A882&amp;" US Equity","EXCH_CODE")</f>
        <v/>
      </c>
      <c r="D882" s="5">
        <f>BDP(A882&amp;" US Equity","VOLUME_AVG_20D")</f>
        <v/>
      </c>
      <c r="E882" s="6">
        <f>BDP(A882&amp;" US Equity","PX_LAST")</f>
        <v/>
      </c>
      <c r="F882" s="5">
        <f>D882*E882</f>
        <v/>
      </c>
      <c r="G882">
        <f>AND(B882&gt;=50,B882&lt;=10000)</f>
        <v/>
      </c>
      <c r="H882">
        <f>OR(C882="NAS",C882="NYS",C882="ASE")</f>
        <v/>
      </c>
      <c r="I882">
        <f>F882&gt;=500000</f>
        <v/>
      </c>
      <c r="J882">
        <f>E882&gt;=2</f>
        <v/>
      </c>
      <c r="K882">
        <f>AND(G882,H882,I882,J882)</f>
        <v/>
      </c>
    </row>
    <row r="883">
      <c r="B883" s="5">
        <f>BDP(A883&amp;" US Equity","CUR_MKT_CAP")</f>
        <v/>
      </c>
      <c r="C883">
        <f>BDP(A883&amp;" US Equity","EXCH_CODE")</f>
        <v/>
      </c>
      <c r="D883" s="5">
        <f>BDP(A883&amp;" US Equity","VOLUME_AVG_20D")</f>
        <v/>
      </c>
      <c r="E883" s="6">
        <f>BDP(A883&amp;" US Equity","PX_LAST")</f>
        <v/>
      </c>
      <c r="F883" s="5">
        <f>D883*E883</f>
        <v/>
      </c>
      <c r="G883">
        <f>AND(B883&gt;=50,B883&lt;=10000)</f>
        <v/>
      </c>
      <c r="H883">
        <f>OR(C883="NAS",C883="NYS",C883="ASE")</f>
        <v/>
      </c>
      <c r="I883">
        <f>F883&gt;=500000</f>
        <v/>
      </c>
      <c r="J883">
        <f>E883&gt;=2</f>
        <v/>
      </c>
      <c r="K883">
        <f>AND(G883,H883,I883,J883)</f>
        <v/>
      </c>
    </row>
    <row r="884">
      <c r="B884" s="5">
        <f>BDP(A884&amp;" US Equity","CUR_MKT_CAP")</f>
        <v/>
      </c>
      <c r="C884">
        <f>BDP(A884&amp;" US Equity","EXCH_CODE")</f>
        <v/>
      </c>
      <c r="D884" s="5">
        <f>BDP(A884&amp;" US Equity","VOLUME_AVG_20D")</f>
        <v/>
      </c>
      <c r="E884" s="6">
        <f>BDP(A884&amp;" US Equity","PX_LAST")</f>
        <v/>
      </c>
      <c r="F884" s="5">
        <f>D884*E884</f>
        <v/>
      </c>
      <c r="G884">
        <f>AND(B884&gt;=50,B884&lt;=10000)</f>
        <v/>
      </c>
      <c r="H884">
        <f>OR(C884="NAS",C884="NYS",C884="ASE")</f>
        <v/>
      </c>
      <c r="I884">
        <f>F884&gt;=500000</f>
        <v/>
      </c>
      <c r="J884">
        <f>E884&gt;=2</f>
        <v/>
      </c>
      <c r="K884">
        <f>AND(G884,H884,I884,J884)</f>
        <v/>
      </c>
    </row>
    <row r="885">
      <c r="B885" s="5">
        <f>BDP(A885&amp;" US Equity","CUR_MKT_CAP")</f>
        <v/>
      </c>
      <c r="C885">
        <f>BDP(A885&amp;" US Equity","EXCH_CODE")</f>
        <v/>
      </c>
      <c r="D885" s="5">
        <f>BDP(A885&amp;" US Equity","VOLUME_AVG_20D")</f>
        <v/>
      </c>
      <c r="E885" s="6">
        <f>BDP(A885&amp;" US Equity","PX_LAST")</f>
        <v/>
      </c>
      <c r="F885" s="5">
        <f>D885*E885</f>
        <v/>
      </c>
      <c r="G885">
        <f>AND(B885&gt;=50,B885&lt;=10000)</f>
        <v/>
      </c>
      <c r="H885">
        <f>OR(C885="NAS",C885="NYS",C885="ASE")</f>
        <v/>
      </c>
      <c r="I885">
        <f>F885&gt;=500000</f>
        <v/>
      </c>
      <c r="J885">
        <f>E885&gt;=2</f>
        <v/>
      </c>
      <c r="K885">
        <f>AND(G885,H885,I885,J885)</f>
        <v/>
      </c>
    </row>
    <row r="886">
      <c r="B886" s="5">
        <f>BDP(A886&amp;" US Equity","CUR_MKT_CAP")</f>
        <v/>
      </c>
      <c r="C886">
        <f>BDP(A886&amp;" US Equity","EXCH_CODE")</f>
        <v/>
      </c>
      <c r="D886" s="5">
        <f>BDP(A886&amp;" US Equity","VOLUME_AVG_20D")</f>
        <v/>
      </c>
      <c r="E886" s="6">
        <f>BDP(A886&amp;" US Equity","PX_LAST")</f>
        <v/>
      </c>
      <c r="F886" s="5">
        <f>D886*E886</f>
        <v/>
      </c>
      <c r="G886">
        <f>AND(B886&gt;=50,B886&lt;=10000)</f>
        <v/>
      </c>
      <c r="H886">
        <f>OR(C886="NAS",C886="NYS",C886="ASE")</f>
        <v/>
      </c>
      <c r="I886">
        <f>F886&gt;=500000</f>
        <v/>
      </c>
      <c r="J886">
        <f>E886&gt;=2</f>
        <v/>
      </c>
      <c r="K886">
        <f>AND(G886,H886,I886,J886)</f>
        <v/>
      </c>
    </row>
    <row r="887">
      <c r="B887" s="5">
        <f>BDP(A887&amp;" US Equity","CUR_MKT_CAP")</f>
        <v/>
      </c>
      <c r="C887">
        <f>BDP(A887&amp;" US Equity","EXCH_CODE")</f>
        <v/>
      </c>
      <c r="D887" s="5">
        <f>BDP(A887&amp;" US Equity","VOLUME_AVG_20D")</f>
        <v/>
      </c>
      <c r="E887" s="6">
        <f>BDP(A887&amp;" US Equity","PX_LAST")</f>
        <v/>
      </c>
      <c r="F887" s="5">
        <f>D887*E887</f>
        <v/>
      </c>
      <c r="G887">
        <f>AND(B887&gt;=50,B887&lt;=10000)</f>
        <v/>
      </c>
      <c r="H887">
        <f>OR(C887="NAS",C887="NYS",C887="ASE")</f>
        <v/>
      </c>
      <c r="I887">
        <f>F887&gt;=500000</f>
        <v/>
      </c>
      <c r="J887">
        <f>E887&gt;=2</f>
        <v/>
      </c>
      <c r="K887">
        <f>AND(G887,H887,I887,J887)</f>
        <v/>
      </c>
    </row>
    <row r="888">
      <c r="B888" s="5">
        <f>BDP(A888&amp;" US Equity","CUR_MKT_CAP")</f>
        <v/>
      </c>
      <c r="C888">
        <f>BDP(A888&amp;" US Equity","EXCH_CODE")</f>
        <v/>
      </c>
      <c r="D888" s="5">
        <f>BDP(A888&amp;" US Equity","VOLUME_AVG_20D")</f>
        <v/>
      </c>
      <c r="E888" s="6">
        <f>BDP(A888&amp;" US Equity","PX_LAST")</f>
        <v/>
      </c>
      <c r="F888" s="5">
        <f>D888*E888</f>
        <v/>
      </c>
      <c r="G888">
        <f>AND(B888&gt;=50,B888&lt;=10000)</f>
        <v/>
      </c>
      <c r="H888">
        <f>OR(C888="NAS",C888="NYS",C888="ASE")</f>
        <v/>
      </c>
      <c r="I888">
        <f>F888&gt;=500000</f>
        <v/>
      </c>
      <c r="J888">
        <f>E888&gt;=2</f>
        <v/>
      </c>
      <c r="K888">
        <f>AND(G888,H888,I888,J888)</f>
        <v/>
      </c>
    </row>
    <row r="889">
      <c r="B889" s="5">
        <f>BDP(A889&amp;" US Equity","CUR_MKT_CAP")</f>
        <v/>
      </c>
      <c r="C889">
        <f>BDP(A889&amp;" US Equity","EXCH_CODE")</f>
        <v/>
      </c>
      <c r="D889" s="5">
        <f>BDP(A889&amp;" US Equity","VOLUME_AVG_20D")</f>
        <v/>
      </c>
      <c r="E889" s="6">
        <f>BDP(A889&amp;" US Equity","PX_LAST")</f>
        <v/>
      </c>
      <c r="F889" s="5">
        <f>D889*E889</f>
        <v/>
      </c>
      <c r="G889">
        <f>AND(B889&gt;=50,B889&lt;=10000)</f>
        <v/>
      </c>
      <c r="H889">
        <f>OR(C889="NAS",C889="NYS",C889="ASE")</f>
        <v/>
      </c>
      <c r="I889">
        <f>F889&gt;=500000</f>
        <v/>
      </c>
      <c r="J889">
        <f>E889&gt;=2</f>
        <v/>
      </c>
      <c r="K889">
        <f>AND(G889,H889,I889,J889)</f>
        <v/>
      </c>
    </row>
    <row r="890">
      <c r="B890" s="5">
        <f>BDP(A890&amp;" US Equity","CUR_MKT_CAP")</f>
        <v/>
      </c>
      <c r="C890">
        <f>BDP(A890&amp;" US Equity","EXCH_CODE")</f>
        <v/>
      </c>
      <c r="D890" s="5">
        <f>BDP(A890&amp;" US Equity","VOLUME_AVG_20D")</f>
        <v/>
      </c>
      <c r="E890" s="6">
        <f>BDP(A890&amp;" US Equity","PX_LAST")</f>
        <v/>
      </c>
      <c r="F890" s="5">
        <f>D890*E890</f>
        <v/>
      </c>
      <c r="G890">
        <f>AND(B890&gt;=50,B890&lt;=10000)</f>
        <v/>
      </c>
      <c r="H890">
        <f>OR(C890="NAS",C890="NYS",C890="ASE")</f>
        <v/>
      </c>
      <c r="I890">
        <f>F890&gt;=500000</f>
        <v/>
      </c>
      <c r="J890">
        <f>E890&gt;=2</f>
        <v/>
      </c>
      <c r="K890">
        <f>AND(G890,H890,I890,J890)</f>
        <v/>
      </c>
    </row>
    <row r="891">
      <c r="B891" s="5">
        <f>BDP(A891&amp;" US Equity","CUR_MKT_CAP")</f>
        <v/>
      </c>
      <c r="C891">
        <f>BDP(A891&amp;" US Equity","EXCH_CODE")</f>
        <v/>
      </c>
      <c r="D891" s="5">
        <f>BDP(A891&amp;" US Equity","VOLUME_AVG_20D")</f>
        <v/>
      </c>
      <c r="E891" s="6">
        <f>BDP(A891&amp;" US Equity","PX_LAST")</f>
        <v/>
      </c>
      <c r="F891" s="5">
        <f>D891*E891</f>
        <v/>
      </c>
      <c r="G891">
        <f>AND(B891&gt;=50,B891&lt;=10000)</f>
        <v/>
      </c>
      <c r="H891">
        <f>OR(C891="NAS",C891="NYS",C891="ASE")</f>
        <v/>
      </c>
      <c r="I891">
        <f>F891&gt;=500000</f>
        <v/>
      </c>
      <c r="J891">
        <f>E891&gt;=2</f>
        <v/>
      </c>
      <c r="K891">
        <f>AND(G891,H891,I891,J891)</f>
        <v/>
      </c>
    </row>
    <row r="892">
      <c r="B892" s="5">
        <f>BDP(A892&amp;" US Equity","CUR_MKT_CAP")</f>
        <v/>
      </c>
      <c r="C892">
        <f>BDP(A892&amp;" US Equity","EXCH_CODE")</f>
        <v/>
      </c>
      <c r="D892" s="5">
        <f>BDP(A892&amp;" US Equity","VOLUME_AVG_20D")</f>
        <v/>
      </c>
      <c r="E892" s="6">
        <f>BDP(A892&amp;" US Equity","PX_LAST")</f>
        <v/>
      </c>
      <c r="F892" s="5">
        <f>D892*E892</f>
        <v/>
      </c>
      <c r="G892">
        <f>AND(B892&gt;=50,B892&lt;=10000)</f>
        <v/>
      </c>
      <c r="H892">
        <f>OR(C892="NAS",C892="NYS",C892="ASE")</f>
        <v/>
      </c>
      <c r="I892">
        <f>F892&gt;=500000</f>
        <v/>
      </c>
      <c r="J892">
        <f>E892&gt;=2</f>
        <v/>
      </c>
      <c r="K892">
        <f>AND(G892,H892,I892,J892)</f>
        <v/>
      </c>
    </row>
    <row r="893">
      <c r="B893" s="5">
        <f>BDP(A893&amp;" US Equity","CUR_MKT_CAP")</f>
        <v/>
      </c>
      <c r="C893">
        <f>BDP(A893&amp;" US Equity","EXCH_CODE")</f>
        <v/>
      </c>
      <c r="D893" s="5">
        <f>BDP(A893&amp;" US Equity","VOLUME_AVG_20D")</f>
        <v/>
      </c>
      <c r="E893" s="6">
        <f>BDP(A893&amp;" US Equity","PX_LAST")</f>
        <v/>
      </c>
      <c r="F893" s="5">
        <f>D893*E893</f>
        <v/>
      </c>
      <c r="G893">
        <f>AND(B893&gt;=50,B893&lt;=10000)</f>
        <v/>
      </c>
      <c r="H893">
        <f>OR(C893="NAS",C893="NYS",C893="ASE")</f>
        <v/>
      </c>
      <c r="I893">
        <f>F893&gt;=500000</f>
        <v/>
      </c>
      <c r="J893">
        <f>E893&gt;=2</f>
        <v/>
      </c>
      <c r="K893">
        <f>AND(G893,H893,I893,J893)</f>
        <v/>
      </c>
    </row>
    <row r="894">
      <c r="B894" s="5">
        <f>BDP(A894&amp;" US Equity","CUR_MKT_CAP")</f>
        <v/>
      </c>
      <c r="C894">
        <f>BDP(A894&amp;" US Equity","EXCH_CODE")</f>
        <v/>
      </c>
      <c r="D894" s="5">
        <f>BDP(A894&amp;" US Equity","VOLUME_AVG_20D")</f>
        <v/>
      </c>
      <c r="E894" s="6">
        <f>BDP(A894&amp;" US Equity","PX_LAST")</f>
        <v/>
      </c>
      <c r="F894" s="5">
        <f>D894*E894</f>
        <v/>
      </c>
      <c r="G894">
        <f>AND(B894&gt;=50,B894&lt;=10000)</f>
        <v/>
      </c>
      <c r="H894">
        <f>OR(C894="NAS",C894="NYS",C894="ASE")</f>
        <v/>
      </c>
      <c r="I894">
        <f>F894&gt;=500000</f>
        <v/>
      </c>
      <c r="J894">
        <f>E894&gt;=2</f>
        <v/>
      </c>
      <c r="K894">
        <f>AND(G894,H894,I894,J894)</f>
        <v/>
      </c>
    </row>
    <row r="895">
      <c r="B895" s="5">
        <f>BDP(A895&amp;" US Equity","CUR_MKT_CAP")</f>
        <v/>
      </c>
      <c r="C895">
        <f>BDP(A895&amp;" US Equity","EXCH_CODE")</f>
        <v/>
      </c>
      <c r="D895" s="5">
        <f>BDP(A895&amp;" US Equity","VOLUME_AVG_20D")</f>
        <v/>
      </c>
      <c r="E895" s="6">
        <f>BDP(A895&amp;" US Equity","PX_LAST")</f>
        <v/>
      </c>
      <c r="F895" s="5">
        <f>D895*E895</f>
        <v/>
      </c>
      <c r="G895">
        <f>AND(B895&gt;=50,B895&lt;=10000)</f>
        <v/>
      </c>
      <c r="H895">
        <f>OR(C895="NAS",C895="NYS",C895="ASE")</f>
        <v/>
      </c>
      <c r="I895">
        <f>F895&gt;=500000</f>
        <v/>
      </c>
      <c r="J895">
        <f>E895&gt;=2</f>
        <v/>
      </c>
      <c r="K895">
        <f>AND(G895,H895,I895,J895)</f>
        <v/>
      </c>
    </row>
    <row r="896">
      <c r="B896" s="5">
        <f>BDP(A896&amp;" US Equity","CUR_MKT_CAP")</f>
        <v/>
      </c>
      <c r="C896">
        <f>BDP(A896&amp;" US Equity","EXCH_CODE")</f>
        <v/>
      </c>
      <c r="D896" s="5">
        <f>BDP(A896&amp;" US Equity","VOLUME_AVG_20D")</f>
        <v/>
      </c>
      <c r="E896" s="6">
        <f>BDP(A896&amp;" US Equity","PX_LAST")</f>
        <v/>
      </c>
      <c r="F896" s="5">
        <f>D896*E896</f>
        <v/>
      </c>
      <c r="G896">
        <f>AND(B896&gt;=50,B896&lt;=10000)</f>
        <v/>
      </c>
      <c r="H896">
        <f>OR(C896="NAS",C896="NYS",C896="ASE")</f>
        <v/>
      </c>
      <c r="I896">
        <f>F896&gt;=500000</f>
        <v/>
      </c>
      <c r="J896">
        <f>E896&gt;=2</f>
        <v/>
      </c>
      <c r="K896">
        <f>AND(G896,H896,I896,J896)</f>
        <v/>
      </c>
    </row>
    <row r="897">
      <c r="B897" s="5">
        <f>BDP(A897&amp;" US Equity","CUR_MKT_CAP")</f>
        <v/>
      </c>
      <c r="C897">
        <f>BDP(A897&amp;" US Equity","EXCH_CODE")</f>
        <v/>
      </c>
      <c r="D897" s="5">
        <f>BDP(A897&amp;" US Equity","VOLUME_AVG_20D")</f>
        <v/>
      </c>
      <c r="E897" s="6">
        <f>BDP(A897&amp;" US Equity","PX_LAST")</f>
        <v/>
      </c>
      <c r="F897" s="5">
        <f>D897*E897</f>
        <v/>
      </c>
      <c r="G897">
        <f>AND(B897&gt;=50,B897&lt;=10000)</f>
        <v/>
      </c>
      <c r="H897">
        <f>OR(C897="NAS",C897="NYS",C897="ASE")</f>
        <v/>
      </c>
      <c r="I897">
        <f>F897&gt;=500000</f>
        <v/>
      </c>
      <c r="J897">
        <f>E897&gt;=2</f>
        <v/>
      </c>
      <c r="K897">
        <f>AND(G897,H897,I897,J897)</f>
        <v/>
      </c>
    </row>
    <row r="898">
      <c r="B898" s="5">
        <f>BDP(A898&amp;" US Equity","CUR_MKT_CAP")</f>
        <v/>
      </c>
      <c r="C898">
        <f>BDP(A898&amp;" US Equity","EXCH_CODE")</f>
        <v/>
      </c>
      <c r="D898" s="5">
        <f>BDP(A898&amp;" US Equity","VOLUME_AVG_20D")</f>
        <v/>
      </c>
      <c r="E898" s="6">
        <f>BDP(A898&amp;" US Equity","PX_LAST")</f>
        <v/>
      </c>
      <c r="F898" s="5">
        <f>D898*E898</f>
        <v/>
      </c>
      <c r="G898">
        <f>AND(B898&gt;=50,B898&lt;=10000)</f>
        <v/>
      </c>
      <c r="H898">
        <f>OR(C898="NAS",C898="NYS",C898="ASE")</f>
        <v/>
      </c>
      <c r="I898">
        <f>F898&gt;=500000</f>
        <v/>
      </c>
      <c r="J898">
        <f>E898&gt;=2</f>
        <v/>
      </c>
      <c r="K898">
        <f>AND(G898,H898,I898,J898)</f>
        <v/>
      </c>
    </row>
    <row r="899">
      <c r="B899" s="5">
        <f>BDP(A899&amp;" US Equity","CUR_MKT_CAP")</f>
        <v/>
      </c>
      <c r="C899">
        <f>BDP(A899&amp;" US Equity","EXCH_CODE")</f>
        <v/>
      </c>
      <c r="D899" s="5">
        <f>BDP(A899&amp;" US Equity","VOLUME_AVG_20D")</f>
        <v/>
      </c>
      <c r="E899" s="6">
        <f>BDP(A899&amp;" US Equity","PX_LAST")</f>
        <v/>
      </c>
      <c r="F899" s="5">
        <f>D899*E899</f>
        <v/>
      </c>
      <c r="G899">
        <f>AND(B899&gt;=50,B899&lt;=10000)</f>
        <v/>
      </c>
      <c r="H899">
        <f>OR(C899="NAS",C899="NYS",C899="ASE")</f>
        <v/>
      </c>
      <c r="I899">
        <f>F899&gt;=500000</f>
        <v/>
      </c>
      <c r="J899">
        <f>E899&gt;=2</f>
        <v/>
      </c>
      <c r="K899">
        <f>AND(G899,H899,I899,J899)</f>
        <v/>
      </c>
    </row>
    <row r="900">
      <c r="B900" s="5">
        <f>BDP(A900&amp;" US Equity","CUR_MKT_CAP")</f>
        <v/>
      </c>
      <c r="C900">
        <f>BDP(A900&amp;" US Equity","EXCH_CODE")</f>
        <v/>
      </c>
      <c r="D900" s="5">
        <f>BDP(A900&amp;" US Equity","VOLUME_AVG_20D")</f>
        <v/>
      </c>
      <c r="E900" s="6">
        <f>BDP(A900&amp;" US Equity","PX_LAST")</f>
        <v/>
      </c>
      <c r="F900" s="5">
        <f>D900*E900</f>
        <v/>
      </c>
      <c r="G900">
        <f>AND(B900&gt;=50,B900&lt;=10000)</f>
        <v/>
      </c>
      <c r="H900">
        <f>OR(C900="NAS",C900="NYS",C900="ASE")</f>
        <v/>
      </c>
      <c r="I900">
        <f>F900&gt;=500000</f>
        <v/>
      </c>
      <c r="J900">
        <f>E900&gt;=2</f>
        <v/>
      </c>
      <c r="K900">
        <f>AND(G900,H900,I900,J900)</f>
        <v/>
      </c>
    </row>
    <row r="901">
      <c r="B901" s="5">
        <f>BDP(A901&amp;" US Equity","CUR_MKT_CAP")</f>
        <v/>
      </c>
      <c r="C901">
        <f>BDP(A901&amp;" US Equity","EXCH_CODE")</f>
        <v/>
      </c>
      <c r="D901" s="5">
        <f>BDP(A901&amp;" US Equity","VOLUME_AVG_20D")</f>
        <v/>
      </c>
      <c r="E901" s="6">
        <f>BDP(A901&amp;" US Equity","PX_LAST")</f>
        <v/>
      </c>
      <c r="F901" s="5">
        <f>D901*E901</f>
        <v/>
      </c>
      <c r="G901">
        <f>AND(B901&gt;=50,B901&lt;=10000)</f>
        <v/>
      </c>
      <c r="H901">
        <f>OR(C901="NAS",C901="NYS",C901="ASE")</f>
        <v/>
      </c>
      <c r="I901">
        <f>F901&gt;=500000</f>
        <v/>
      </c>
      <c r="J901">
        <f>E901&gt;=2</f>
        <v/>
      </c>
      <c r="K901">
        <f>AND(G901,H901,I901,J901)</f>
        <v/>
      </c>
    </row>
    <row r="902">
      <c r="B902" s="5">
        <f>BDP(A902&amp;" US Equity","CUR_MKT_CAP")</f>
        <v/>
      </c>
      <c r="C902">
        <f>BDP(A902&amp;" US Equity","EXCH_CODE")</f>
        <v/>
      </c>
      <c r="D902" s="5">
        <f>BDP(A902&amp;" US Equity","VOLUME_AVG_20D")</f>
        <v/>
      </c>
      <c r="E902" s="6">
        <f>BDP(A902&amp;" US Equity","PX_LAST")</f>
        <v/>
      </c>
      <c r="F902" s="5">
        <f>D902*E902</f>
        <v/>
      </c>
      <c r="G902">
        <f>AND(B902&gt;=50,B902&lt;=10000)</f>
        <v/>
      </c>
      <c r="H902">
        <f>OR(C902="NAS",C902="NYS",C902="ASE")</f>
        <v/>
      </c>
      <c r="I902">
        <f>F902&gt;=500000</f>
        <v/>
      </c>
      <c r="J902">
        <f>E902&gt;=2</f>
        <v/>
      </c>
      <c r="K902">
        <f>AND(G902,H902,I902,J902)</f>
        <v/>
      </c>
    </row>
    <row r="903">
      <c r="B903" s="5">
        <f>BDP(A903&amp;" US Equity","CUR_MKT_CAP")</f>
        <v/>
      </c>
      <c r="C903">
        <f>BDP(A903&amp;" US Equity","EXCH_CODE")</f>
        <v/>
      </c>
      <c r="D903" s="5">
        <f>BDP(A903&amp;" US Equity","VOLUME_AVG_20D")</f>
        <v/>
      </c>
      <c r="E903" s="6">
        <f>BDP(A903&amp;" US Equity","PX_LAST")</f>
        <v/>
      </c>
      <c r="F903" s="5">
        <f>D903*E903</f>
        <v/>
      </c>
      <c r="G903">
        <f>AND(B903&gt;=50,B903&lt;=10000)</f>
        <v/>
      </c>
      <c r="H903">
        <f>OR(C903="NAS",C903="NYS",C903="ASE")</f>
        <v/>
      </c>
      <c r="I903">
        <f>F903&gt;=500000</f>
        <v/>
      </c>
      <c r="J903">
        <f>E903&gt;=2</f>
        <v/>
      </c>
      <c r="K903">
        <f>AND(G903,H903,I903,J903)</f>
        <v/>
      </c>
    </row>
    <row r="904">
      <c r="B904" s="5">
        <f>BDP(A904&amp;" US Equity","CUR_MKT_CAP")</f>
        <v/>
      </c>
      <c r="C904">
        <f>BDP(A904&amp;" US Equity","EXCH_CODE")</f>
        <v/>
      </c>
      <c r="D904" s="5">
        <f>BDP(A904&amp;" US Equity","VOLUME_AVG_20D")</f>
        <v/>
      </c>
      <c r="E904" s="6">
        <f>BDP(A904&amp;" US Equity","PX_LAST")</f>
        <v/>
      </c>
      <c r="F904" s="5">
        <f>D904*E904</f>
        <v/>
      </c>
      <c r="G904">
        <f>AND(B904&gt;=50,B904&lt;=10000)</f>
        <v/>
      </c>
      <c r="H904">
        <f>OR(C904="NAS",C904="NYS",C904="ASE")</f>
        <v/>
      </c>
      <c r="I904">
        <f>F904&gt;=500000</f>
        <v/>
      </c>
      <c r="J904">
        <f>E904&gt;=2</f>
        <v/>
      </c>
      <c r="K904">
        <f>AND(G904,H904,I904,J904)</f>
        <v/>
      </c>
    </row>
    <row r="905">
      <c r="B905" s="5">
        <f>BDP(A905&amp;" US Equity","CUR_MKT_CAP")</f>
        <v/>
      </c>
      <c r="C905">
        <f>BDP(A905&amp;" US Equity","EXCH_CODE")</f>
        <v/>
      </c>
      <c r="D905" s="5">
        <f>BDP(A905&amp;" US Equity","VOLUME_AVG_20D")</f>
        <v/>
      </c>
      <c r="E905" s="6">
        <f>BDP(A905&amp;" US Equity","PX_LAST")</f>
        <v/>
      </c>
      <c r="F905" s="5">
        <f>D905*E905</f>
        <v/>
      </c>
      <c r="G905">
        <f>AND(B905&gt;=50,B905&lt;=10000)</f>
        <v/>
      </c>
      <c r="H905">
        <f>OR(C905="NAS",C905="NYS",C905="ASE")</f>
        <v/>
      </c>
      <c r="I905">
        <f>F905&gt;=500000</f>
        <v/>
      </c>
      <c r="J905">
        <f>E905&gt;=2</f>
        <v/>
      </c>
      <c r="K905">
        <f>AND(G905,H905,I905,J905)</f>
        <v/>
      </c>
    </row>
    <row r="906">
      <c r="B906" s="5">
        <f>BDP(A906&amp;" US Equity","CUR_MKT_CAP")</f>
        <v/>
      </c>
      <c r="C906">
        <f>BDP(A906&amp;" US Equity","EXCH_CODE")</f>
        <v/>
      </c>
      <c r="D906" s="5">
        <f>BDP(A906&amp;" US Equity","VOLUME_AVG_20D")</f>
        <v/>
      </c>
      <c r="E906" s="6">
        <f>BDP(A906&amp;" US Equity","PX_LAST")</f>
        <v/>
      </c>
      <c r="F906" s="5">
        <f>D906*E906</f>
        <v/>
      </c>
      <c r="G906">
        <f>AND(B906&gt;=50,B906&lt;=10000)</f>
        <v/>
      </c>
      <c r="H906">
        <f>OR(C906="NAS",C906="NYS",C906="ASE")</f>
        <v/>
      </c>
      <c r="I906">
        <f>F906&gt;=500000</f>
        <v/>
      </c>
      <c r="J906">
        <f>E906&gt;=2</f>
        <v/>
      </c>
      <c r="K906">
        <f>AND(G906,H906,I906,J906)</f>
        <v/>
      </c>
    </row>
    <row r="907">
      <c r="B907" s="5">
        <f>BDP(A907&amp;" US Equity","CUR_MKT_CAP")</f>
        <v/>
      </c>
      <c r="C907">
        <f>BDP(A907&amp;" US Equity","EXCH_CODE")</f>
        <v/>
      </c>
      <c r="D907" s="5">
        <f>BDP(A907&amp;" US Equity","VOLUME_AVG_20D")</f>
        <v/>
      </c>
      <c r="E907" s="6">
        <f>BDP(A907&amp;" US Equity","PX_LAST")</f>
        <v/>
      </c>
      <c r="F907" s="5">
        <f>D907*E907</f>
        <v/>
      </c>
      <c r="G907">
        <f>AND(B907&gt;=50,B907&lt;=10000)</f>
        <v/>
      </c>
      <c r="H907">
        <f>OR(C907="NAS",C907="NYS",C907="ASE")</f>
        <v/>
      </c>
      <c r="I907">
        <f>F907&gt;=500000</f>
        <v/>
      </c>
      <c r="J907">
        <f>E907&gt;=2</f>
        <v/>
      </c>
      <c r="K907">
        <f>AND(G907,H907,I907,J907)</f>
        <v/>
      </c>
    </row>
    <row r="908">
      <c r="B908" s="5">
        <f>BDP(A908&amp;" US Equity","CUR_MKT_CAP")</f>
        <v/>
      </c>
      <c r="C908">
        <f>BDP(A908&amp;" US Equity","EXCH_CODE")</f>
        <v/>
      </c>
      <c r="D908" s="5">
        <f>BDP(A908&amp;" US Equity","VOLUME_AVG_20D")</f>
        <v/>
      </c>
      <c r="E908" s="6">
        <f>BDP(A908&amp;" US Equity","PX_LAST")</f>
        <v/>
      </c>
      <c r="F908" s="5">
        <f>D908*E908</f>
        <v/>
      </c>
      <c r="G908">
        <f>AND(B908&gt;=50,B908&lt;=10000)</f>
        <v/>
      </c>
      <c r="H908">
        <f>OR(C908="NAS",C908="NYS",C908="ASE")</f>
        <v/>
      </c>
      <c r="I908">
        <f>F908&gt;=500000</f>
        <v/>
      </c>
      <c r="J908">
        <f>E908&gt;=2</f>
        <v/>
      </c>
      <c r="K908">
        <f>AND(G908,H908,I908,J908)</f>
        <v/>
      </c>
    </row>
    <row r="909">
      <c r="B909" s="5">
        <f>BDP(A909&amp;" US Equity","CUR_MKT_CAP")</f>
        <v/>
      </c>
      <c r="C909">
        <f>BDP(A909&amp;" US Equity","EXCH_CODE")</f>
        <v/>
      </c>
      <c r="D909" s="5">
        <f>BDP(A909&amp;" US Equity","VOLUME_AVG_20D")</f>
        <v/>
      </c>
      <c r="E909" s="6">
        <f>BDP(A909&amp;" US Equity","PX_LAST")</f>
        <v/>
      </c>
      <c r="F909" s="5">
        <f>D909*E909</f>
        <v/>
      </c>
      <c r="G909">
        <f>AND(B909&gt;=50,B909&lt;=10000)</f>
        <v/>
      </c>
      <c r="H909">
        <f>OR(C909="NAS",C909="NYS",C909="ASE")</f>
        <v/>
      </c>
      <c r="I909">
        <f>F909&gt;=500000</f>
        <v/>
      </c>
      <c r="J909">
        <f>E909&gt;=2</f>
        <v/>
      </c>
      <c r="K909">
        <f>AND(G909,H909,I909,J909)</f>
        <v/>
      </c>
    </row>
    <row r="910">
      <c r="B910" s="5">
        <f>BDP(A910&amp;" US Equity","CUR_MKT_CAP")</f>
        <v/>
      </c>
      <c r="C910">
        <f>BDP(A910&amp;" US Equity","EXCH_CODE")</f>
        <v/>
      </c>
      <c r="D910" s="5">
        <f>BDP(A910&amp;" US Equity","VOLUME_AVG_20D")</f>
        <v/>
      </c>
      <c r="E910" s="6">
        <f>BDP(A910&amp;" US Equity","PX_LAST")</f>
        <v/>
      </c>
      <c r="F910" s="5">
        <f>D910*E910</f>
        <v/>
      </c>
      <c r="G910">
        <f>AND(B910&gt;=50,B910&lt;=10000)</f>
        <v/>
      </c>
      <c r="H910">
        <f>OR(C910="NAS",C910="NYS",C910="ASE")</f>
        <v/>
      </c>
      <c r="I910">
        <f>F910&gt;=500000</f>
        <v/>
      </c>
      <c r="J910">
        <f>E910&gt;=2</f>
        <v/>
      </c>
      <c r="K910">
        <f>AND(G910,H910,I910,J910)</f>
        <v/>
      </c>
    </row>
    <row r="911">
      <c r="B911" s="5">
        <f>BDP(A911&amp;" US Equity","CUR_MKT_CAP")</f>
        <v/>
      </c>
      <c r="C911">
        <f>BDP(A911&amp;" US Equity","EXCH_CODE")</f>
        <v/>
      </c>
      <c r="D911" s="5">
        <f>BDP(A911&amp;" US Equity","VOLUME_AVG_20D")</f>
        <v/>
      </c>
      <c r="E911" s="6">
        <f>BDP(A911&amp;" US Equity","PX_LAST")</f>
        <v/>
      </c>
      <c r="F911" s="5">
        <f>D911*E911</f>
        <v/>
      </c>
      <c r="G911">
        <f>AND(B911&gt;=50,B911&lt;=10000)</f>
        <v/>
      </c>
      <c r="H911">
        <f>OR(C911="NAS",C911="NYS",C911="ASE")</f>
        <v/>
      </c>
      <c r="I911">
        <f>F911&gt;=500000</f>
        <v/>
      </c>
      <c r="J911">
        <f>E911&gt;=2</f>
        <v/>
      </c>
      <c r="K911">
        <f>AND(G911,H911,I911,J911)</f>
        <v/>
      </c>
    </row>
    <row r="912">
      <c r="B912" s="5">
        <f>BDP(A912&amp;" US Equity","CUR_MKT_CAP")</f>
        <v/>
      </c>
      <c r="C912">
        <f>BDP(A912&amp;" US Equity","EXCH_CODE")</f>
        <v/>
      </c>
      <c r="D912" s="5">
        <f>BDP(A912&amp;" US Equity","VOLUME_AVG_20D")</f>
        <v/>
      </c>
      <c r="E912" s="6">
        <f>BDP(A912&amp;" US Equity","PX_LAST")</f>
        <v/>
      </c>
      <c r="F912" s="5">
        <f>D912*E912</f>
        <v/>
      </c>
      <c r="G912">
        <f>AND(B912&gt;=50,B912&lt;=10000)</f>
        <v/>
      </c>
      <c r="H912">
        <f>OR(C912="NAS",C912="NYS",C912="ASE")</f>
        <v/>
      </c>
      <c r="I912">
        <f>F912&gt;=500000</f>
        <v/>
      </c>
      <c r="J912">
        <f>E912&gt;=2</f>
        <v/>
      </c>
      <c r="K912">
        <f>AND(G912,H912,I912,J912)</f>
        <v/>
      </c>
    </row>
    <row r="913">
      <c r="B913" s="5">
        <f>BDP(A913&amp;" US Equity","CUR_MKT_CAP")</f>
        <v/>
      </c>
      <c r="C913">
        <f>BDP(A913&amp;" US Equity","EXCH_CODE")</f>
        <v/>
      </c>
      <c r="D913" s="5">
        <f>BDP(A913&amp;" US Equity","VOLUME_AVG_20D")</f>
        <v/>
      </c>
      <c r="E913" s="6">
        <f>BDP(A913&amp;" US Equity","PX_LAST")</f>
        <v/>
      </c>
      <c r="F913" s="5">
        <f>D913*E913</f>
        <v/>
      </c>
      <c r="G913">
        <f>AND(B913&gt;=50,B913&lt;=10000)</f>
        <v/>
      </c>
      <c r="H913">
        <f>OR(C913="NAS",C913="NYS",C913="ASE")</f>
        <v/>
      </c>
      <c r="I913">
        <f>F913&gt;=500000</f>
        <v/>
      </c>
      <c r="J913">
        <f>E913&gt;=2</f>
        <v/>
      </c>
      <c r="K913">
        <f>AND(G913,H913,I913,J913)</f>
        <v/>
      </c>
    </row>
    <row r="914">
      <c r="B914" s="5">
        <f>BDP(A914&amp;" US Equity","CUR_MKT_CAP")</f>
        <v/>
      </c>
      <c r="C914">
        <f>BDP(A914&amp;" US Equity","EXCH_CODE")</f>
        <v/>
      </c>
      <c r="D914" s="5">
        <f>BDP(A914&amp;" US Equity","VOLUME_AVG_20D")</f>
        <v/>
      </c>
      <c r="E914" s="6">
        <f>BDP(A914&amp;" US Equity","PX_LAST")</f>
        <v/>
      </c>
      <c r="F914" s="5">
        <f>D914*E914</f>
        <v/>
      </c>
      <c r="G914">
        <f>AND(B914&gt;=50,B914&lt;=10000)</f>
        <v/>
      </c>
      <c r="H914">
        <f>OR(C914="NAS",C914="NYS",C914="ASE")</f>
        <v/>
      </c>
      <c r="I914">
        <f>F914&gt;=500000</f>
        <v/>
      </c>
      <c r="J914">
        <f>E914&gt;=2</f>
        <v/>
      </c>
      <c r="K914">
        <f>AND(G914,H914,I914,J914)</f>
        <v/>
      </c>
    </row>
    <row r="915">
      <c r="B915" s="5">
        <f>BDP(A915&amp;" US Equity","CUR_MKT_CAP")</f>
        <v/>
      </c>
      <c r="C915">
        <f>BDP(A915&amp;" US Equity","EXCH_CODE")</f>
        <v/>
      </c>
      <c r="D915" s="5">
        <f>BDP(A915&amp;" US Equity","VOLUME_AVG_20D")</f>
        <v/>
      </c>
      <c r="E915" s="6">
        <f>BDP(A915&amp;" US Equity","PX_LAST")</f>
        <v/>
      </c>
      <c r="F915" s="5">
        <f>D915*E915</f>
        <v/>
      </c>
      <c r="G915">
        <f>AND(B915&gt;=50,B915&lt;=10000)</f>
        <v/>
      </c>
      <c r="H915">
        <f>OR(C915="NAS",C915="NYS",C915="ASE")</f>
        <v/>
      </c>
      <c r="I915">
        <f>F915&gt;=500000</f>
        <v/>
      </c>
      <c r="J915">
        <f>E915&gt;=2</f>
        <v/>
      </c>
      <c r="K915">
        <f>AND(G915,H915,I915,J915)</f>
        <v/>
      </c>
    </row>
    <row r="916">
      <c r="B916" s="5">
        <f>BDP(A916&amp;" US Equity","CUR_MKT_CAP")</f>
        <v/>
      </c>
      <c r="C916">
        <f>BDP(A916&amp;" US Equity","EXCH_CODE")</f>
        <v/>
      </c>
      <c r="D916" s="5">
        <f>BDP(A916&amp;" US Equity","VOLUME_AVG_20D")</f>
        <v/>
      </c>
      <c r="E916" s="6">
        <f>BDP(A916&amp;" US Equity","PX_LAST")</f>
        <v/>
      </c>
      <c r="F916" s="5">
        <f>D916*E916</f>
        <v/>
      </c>
      <c r="G916">
        <f>AND(B916&gt;=50,B916&lt;=10000)</f>
        <v/>
      </c>
      <c r="H916">
        <f>OR(C916="NAS",C916="NYS",C916="ASE")</f>
        <v/>
      </c>
      <c r="I916">
        <f>F916&gt;=500000</f>
        <v/>
      </c>
      <c r="J916">
        <f>E916&gt;=2</f>
        <v/>
      </c>
      <c r="K916">
        <f>AND(G916,H916,I916,J916)</f>
        <v/>
      </c>
    </row>
    <row r="917">
      <c r="B917" s="5">
        <f>BDP(A917&amp;" US Equity","CUR_MKT_CAP")</f>
        <v/>
      </c>
      <c r="C917">
        <f>BDP(A917&amp;" US Equity","EXCH_CODE")</f>
        <v/>
      </c>
      <c r="D917" s="5">
        <f>BDP(A917&amp;" US Equity","VOLUME_AVG_20D")</f>
        <v/>
      </c>
      <c r="E917" s="6">
        <f>BDP(A917&amp;" US Equity","PX_LAST")</f>
        <v/>
      </c>
      <c r="F917" s="5">
        <f>D917*E917</f>
        <v/>
      </c>
      <c r="G917">
        <f>AND(B917&gt;=50,B917&lt;=10000)</f>
        <v/>
      </c>
      <c r="H917">
        <f>OR(C917="NAS",C917="NYS",C917="ASE")</f>
        <v/>
      </c>
      <c r="I917">
        <f>F917&gt;=500000</f>
        <v/>
      </c>
      <c r="J917">
        <f>E917&gt;=2</f>
        <v/>
      </c>
      <c r="K917">
        <f>AND(G917,H917,I917,J917)</f>
        <v/>
      </c>
    </row>
    <row r="918">
      <c r="B918" s="5">
        <f>BDP(A918&amp;" US Equity","CUR_MKT_CAP")</f>
        <v/>
      </c>
      <c r="C918">
        <f>BDP(A918&amp;" US Equity","EXCH_CODE")</f>
        <v/>
      </c>
      <c r="D918" s="5">
        <f>BDP(A918&amp;" US Equity","VOLUME_AVG_20D")</f>
        <v/>
      </c>
      <c r="E918" s="6">
        <f>BDP(A918&amp;" US Equity","PX_LAST")</f>
        <v/>
      </c>
      <c r="F918" s="5">
        <f>D918*E918</f>
        <v/>
      </c>
      <c r="G918">
        <f>AND(B918&gt;=50,B918&lt;=10000)</f>
        <v/>
      </c>
      <c r="H918">
        <f>OR(C918="NAS",C918="NYS",C918="ASE")</f>
        <v/>
      </c>
      <c r="I918">
        <f>F918&gt;=500000</f>
        <v/>
      </c>
      <c r="J918">
        <f>E918&gt;=2</f>
        <v/>
      </c>
      <c r="K918">
        <f>AND(G918,H918,I918,J918)</f>
        <v/>
      </c>
    </row>
    <row r="919">
      <c r="B919" s="5">
        <f>BDP(A919&amp;" US Equity","CUR_MKT_CAP")</f>
        <v/>
      </c>
      <c r="C919">
        <f>BDP(A919&amp;" US Equity","EXCH_CODE")</f>
        <v/>
      </c>
      <c r="D919" s="5">
        <f>BDP(A919&amp;" US Equity","VOLUME_AVG_20D")</f>
        <v/>
      </c>
      <c r="E919" s="6">
        <f>BDP(A919&amp;" US Equity","PX_LAST")</f>
        <v/>
      </c>
      <c r="F919" s="5">
        <f>D919*E919</f>
        <v/>
      </c>
      <c r="G919">
        <f>AND(B919&gt;=50,B919&lt;=10000)</f>
        <v/>
      </c>
      <c r="H919">
        <f>OR(C919="NAS",C919="NYS",C919="ASE")</f>
        <v/>
      </c>
      <c r="I919">
        <f>F919&gt;=500000</f>
        <v/>
      </c>
      <c r="J919">
        <f>E919&gt;=2</f>
        <v/>
      </c>
      <c r="K919">
        <f>AND(G919,H919,I919,J919)</f>
        <v/>
      </c>
    </row>
    <row r="920">
      <c r="B920" s="5">
        <f>BDP(A920&amp;" US Equity","CUR_MKT_CAP")</f>
        <v/>
      </c>
      <c r="C920">
        <f>BDP(A920&amp;" US Equity","EXCH_CODE")</f>
        <v/>
      </c>
      <c r="D920" s="5">
        <f>BDP(A920&amp;" US Equity","VOLUME_AVG_20D")</f>
        <v/>
      </c>
      <c r="E920" s="6">
        <f>BDP(A920&amp;" US Equity","PX_LAST")</f>
        <v/>
      </c>
      <c r="F920" s="5">
        <f>D920*E920</f>
        <v/>
      </c>
      <c r="G920">
        <f>AND(B920&gt;=50,B920&lt;=10000)</f>
        <v/>
      </c>
      <c r="H920">
        <f>OR(C920="NAS",C920="NYS",C920="ASE")</f>
        <v/>
      </c>
      <c r="I920">
        <f>F920&gt;=500000</f>
        <v/>
      </c>
      <c r="J920">
        <f>E920&gt;=2</f>
        <v/>
      </c>
      <c r="K920">
        <f>AND(G920,H920,I920,J920)</f>
        <v/>
      </c>
    </row>
    <row r="921">
      <c r="B921" s="5">
        <f>BDP(A921&amp;" US Equity","CUR_MKT_CAP")</f>
        <v/>
      </c>
      <c r="C921">
        <f>BDP(A921&amp;" US Equity","EXCH_CODE")</f>
        <v/>
      </c>
      <c r="D921" s="5">
        <f>BDP(A921&amp;" US Equity","VOLUME_AVG_20D")</f>
        <v/>
      </c>
      <c r="E921" s="6">
        <f>BDP(A921&amp;" US Equity","PX_LAST")</f>
        <v/>
      </c>
      <c r="F921" s="5">
        <f>D921*E921</f>
        <v/>
      </c>
      <c r="G921">
        <f>AND(B921&gt;=50,B921&lt;=10000)</f>
        <v/>
      </c>
      <c r="H921">
        <f>OR(C921="NAS",C921="NYS",C921="ASE")</f>
        <v/>
      </c>
      <c r="I921">
        <f>F921&gt;=500000</f>
        <v/>
      </c>
      <c r="J921">
        <f>E921&gt;=2</f>
        <v/>
      </c>
      <c r="K921">
        <f>AND(G921,H921,I921,J921)</f>
        <v/>
      </c>
    </row>
    <row r="922">
      <c r="B922" s="5">
        <f>BDP(A922&amp;" US Equity","CUR_MKT_CAP")</f>
        <v/>
      </c>
      <c r="C922">
        <f>BDP(A922&amp;" US Equity","EXCH_CODE")</f>
        <v/>
      </c>
      <c r="D922" s="5">
        <f>BDP(A922&amp;" US Equity","VOLUME_AVG_20D")</f>
        <v/>
      </c>
      <c r="E922" s="6">
        <f>BDP(A922&amp;" US Equity","PX_LAST")</f>
        <v/>
      </c>
      <c r="F922" s="5">
        <f>D922*E922</f>
        <v/>
      </c>
      <c r="G922">
        <f>AND(B922&gt;=50,B922&lt;=10000)</f>
        <v/>
      </c>
      <c r="H922">
        <f>OR(C922="NAS",C922="NYS",C922="ASE")</f>
        <v/>
      </c>
      <c r="I922">
        <f>F922&gt;=500000</f>
        <v/>
      </c>
      <c r="J922">
        <f>E922&gt;=2</f>
        <v/>
      </c>
      <c r="K922">
        <f>AND(G922,H922,I922,J922)</f>
        <v/>
      </c>
    </row>
    <row r="923">
      <c r="B923" s="5">
        <f>BDP(A923&amp;" US Equity","CUR_MKT_CAP")</f>
        <v/>
      </c>
      <c r="C923">
        <f>BDP(A923&amp;" US Equity","EXCH_CODE")</f>
        <v/>
      </c>
      <c r="D923" s="5">
        <f>BDP(A923&amp;" US Equity","VOLUME_AVG_20D")</f>
        <v/>
      </c>
      <c r="E923" s="6">
        <f>BDP(A923&amp;" US Equity","PX_LAST")</f>
        <v/>
      </c>
      <c r="F923" s="5">
        <f>D923*E923</f>
        <v/>
      </c>
      <c r="G923">
        <f>AND(B923&gt;=50,B923&lt;=10000)</f>
        <v/>
      </c>
      <c r="H923">
        <f>OR(C923="NAS",C923="NYS",C923="ASE")</f>
        <v/>
      </c>
      <c r="I923">
        <f>F923&gt;=500000</f>
        <v/>
      </c>
      <c r="J923">
        <f>E923&gt;=2</f>
        <v/>
      </c>
      <c r="K923">
        <f>AND(G923,H923,I923,J923)</f>
        <v/>
      </c>
    </row>
    <row r="924">
      <c r="B924" s="5">
        <f>BDP(A924&amp;" US Equity","CUR_MKT_CAP")</f>
        <v/>
      </c>
      <c r="C924">
        <f>BDP(A924&amp;" US Equity","EXCH_CODE")</f>
        <v/>
      </c>
      <c r="D924" s="5">
        <f>BDP(A924&amp;" US Equity","VOLUME_AVG_20D")</f>
        <v/>
      </c>
      <c r="E924" s="6">
        <f>BDP(A924&amp;" US Equity","PX_LAST")</f>
        <v/>
      </c>
      <c r="F924" s="5">
        <f>D924*E924</f>
        <v/>
      </c>
      <c r="G924">
        <f>AND(B924&gt;=50,B924&lt;=10000)</f>
        <v/>
      </c>
      <c r="H924">
        <f>OR(C924="NAS",C924="NYS",C924="ASE")</f>
        <v/>
      </c>
      <c r="I924">
        <f>F924&gt;=500000</f>
        <v/>
      </c>
      <c r="J924">
        <f>E924&gt;=2</f>
        <v/>
      </c>
      <c r="K924">
        <f>AND(G924,H924,I924,J924)</f>
        <v/>
      </c>
    </row>
    <row r="925">
      <c r="B925" s="5">
        <f>BDP(A925&amp;" US Equity","CUR_MKT_CAP")</f>
        <v/>
      </c>
      <c r="C925">
        <f>BDP(A925&amp;" US Equity","EXCH_CODE")</f>
        <v/>
      </c>
      <c r="D925" s="5">
        <f>BDP(A925&amp;" US Equity","VOLUME_AVG_20D")</f>
        <v/>
      </c>
      <c r="E925" s="6">
        <f>BDP(A925&amp;" US Equity","PX_LAST")</f>
        <v/>
      </c>
      <c r="F925" s="5">
        <f>D925*E925</f>
        <v/>
      </c>
      <c r="G925">
        <f>AND(B925&gt;=50,B925&lt;=10000)</f>
        <v/>
      </c>
      <c r="H925">
        <f>OR(C925="NAS",C925="NYS",C925="ASE")</f>
        <v/>
      </c>
      <c r="I925">
        <f>F925&gt;=500000</f>
        <v/>
      </c>
      <c r="J925">
        <f>E925&gt;=2</f>
        <v/>
      </c>
      <c r="K925">
        <f>AND(G925,H925,I925,J925)</f>
        <v/>
      </c>
    </row>
    <row r="926">
      <c r="B926" s="5">
        <f>BDP(A926&amp;" US Equity","CUR_MKT_CAP")</f>
        <v/>
      </c>
      <c r="C926">
        <f>BDP(A926&amp;" US Equity","EXCH_CODE")</f>
        <v/>
      </c>
      <c r="D926" s="5">
        <f>BDP(A926&amp;" US Equity","VOLUME_AVG_20D")</f>
        <v/>
      </c>
      <c r="E926" s="6">
        <f>BDP(A926&amp;" US Equity","PX_LAST")</f>
        <v/>
      </c>
      <c r="F926" s="5">
        <f>D926*E926</f>
        <v/>
      </c>
      <c r="G926">
        <f>AND(B926&gt;=50,B926&lt;=10000)</f>
        <v/>
      </c>
      <c r="H926">
        <f>OR(C926="NAS",C926="NYS",C926="ASE")</f>
        <v/>
      </c>
      <c r="I926">
        <f>F926&gt;=500000</f>
        <v/>
      </c>
      <c r="J926">
        <f>E926&gt;=2</f>
        <v/>
      </c>
      <c r="K926">
        <f>AND(G926,H926,I926,J926)</f>
        <v/>
      </c>
    </row>
    <row r="927">
      <c r="B927" s="5">
        <f>BDP(A927&amp;" US Equity","CUR_MKT_CAP")</f>
        <v/>
      </c>
      <c r="C927">
        <f>BDP(A927&amp;" US Equity","EXCH_CODE")</f>
        <v/>
      </c>
      <c r="D927" s="5">
        <f>BDP(A927&amp;" US Equity","VOLUME_AVG_20D")</f>
        <v/>
      </c>
      <c r="E927" s="6">
        <f>BDP(A927&amp;" US Equity","PX_LAST")</f>
        <v/>
      </c>
      <c r="F927" s="5">
        <f>D927*E927</f>
        <v/>
      </c>
      <c r="G927">
        <f>AND(B927&gt;=50,B927&lt;=10000)</f>
        <v/>
      </c>
      <c r="H927">
        <f>OR(C927="NAS",C927="NYS",C927="ASE")</f>
        <v/>
      </c>
      <c r="I927">
        <f>F927&gt;=500000</f>
        <v/>
      </c>
      <c r="J927">
        <f>E927&gt;=2</f>
        <v/>
      </c>
      <c r="K927">
        <f>AND(G927,H927,I927,J927)</f>
        <v/>
      </c>
    </row>
    <row r="928">
      <c r="B928" s="5">
        <f>BDP(A928&amp;" US Equity","CUR_MKT_CAP")</f>
        <v/>
      </c>
      <c r="C928">
        <f>BDP(A928&amp;" US Equity","EXCH_CODE")</f>
        <v/>
      </c>
      <c r="D928" s="5">
        <f>BDP(A928&amp;" US Equity","VOLUME_AVG_20D")</f>
        <v/>
      </c>
      <c r="E928" s="6">
        <f>BDP(A928&amp;" US Equity","PX_LAST")</f>
        <v/>
      </c>
      <c r="F928" s="5">
        <f>D928*E928</f>
        <v/>
      </c>
      <c r="G928">
        <f>AND(B928&gt;=50,B928&lt;=10000)</f>
        <v/>
      </c>
      <c r="H928">
        <f>OR(C928="NAS",C928="NYS",C928="ASE")</f>
        <v/>
      </c>
      <c r="I928">
        <f>F928&gt;=500000</f>
        <v/>
      </c>
      <c r="J928">
        <f>E928&gt;=2</f>
        <v/>
      </c>
      <c r="K928">
        <f>AND(G928,H928,I928,J928)</f>
        <v/>
      </c>
    </row>
    <row r="929">
      <c r="B929" s="5">
        <f>BDP(A929&amp;" US Equity","CUR_MKT_CAP")</f>
        <v/>
      </c>
      <c r="C929">
        <f>BDP(A929&amp;" US Equity","EXCH_CODE")</f>
        <v/>
      </c>
      <c r="D929" s="5">
        <f>BDP(A929&amp;" US Equity","VOLUME_AVG_20D")</f>
        <v/>
      </c>
      <c r="E929" s="6">
        <f>BDP(A929&amp;" US Equity","PX_LAST")</f>
        <v/>
      </c>
      <c r="F929" s="5">
        <f>D929*E929</f>
        <v/>
      </c>
      <c r="G929">
        <f>AND(B929&gt;=50,B929&lt;=10000)</f>
        <v/>
      </c>
      <c r="H929">
        <f>OR(C929="NAS",C929="NYS",C929="ASE")</f>
        <v/>
      </c>
      <c r="I929">
        <f>F929&gt;=500000</f>
        <v/>
      </c>
      <c r="J929">
        <f>E929&gt;=2</f>
        <v/>
      </c>
      <c r="K929">
        <f>AND(G929,H929,I929,J929)</f>
        <v/>
      </c>
    </row>
    <row r="930">
      <c r="B930" s="5">
        <f>BDP(A930&amp;" US Equity","CUR_MKT_CAP")</f>
        <v/>
      </c>
      <c r="C930">
        <f>BDP(A930&amp;" US Equity","EXCH_CODE")</f>
        <v/>
      </c>
      <c r="D930" s="5">
        <f>BDP(A930&amp;" US Equity","VOLUME_AVG_20D")</f>
        <v/>
      </c>
      <c r="E930" s="6">
        <f>BDP(A930&amp;" US Equity","PX_LAST")</f>
        <v/>
      </c>
      <c r="F930" s="5">
        <f>D930*E930</f>
        <v/>
      </c>
      <c r="G930">
        <f>AND(B930&gt;=50,B930&lt;=10000)</f>
        <v/>
      </c>
      <c r="H930">
        <f>OR(C930="NAS",C930="NYS",C930="ASE")</f>
        <v/>
      </c>
      <c r="I930">
        <f>F930&gt;=500000</f>
        <v/>
      </c>
      <c r="J930">
        <f>E930&gt;=2</f>
        <v/>
      </c>
      <c r="K930">
        <f>AND(G930,H930,I930,J930)</f>
        <v/>
      </c>
    </row>
    <row r="931">
      <c r="B931" s="5">
        <f>BDP(A931&amp;" US Equity","CUR_MKT_CAP")</f>
        <v/>
      </c>
      <c r="C931">
        <f>BDP(A931&amp;" US Equity","EXCH_CODE")</f>
        <v/>
      </c>
      <c r="D931" s="5">
        <f>BDP(A931&amp;" US Equity","VOLUME_AVG_20D")</f>
        <v/>
      </c>
      <c r="E931" s="6">
        <f>BDP(A931&amp;" US Equity","PX_LAST")</f>
        <v/>
      </c>
      <c r="F931" s="5">
        <f>D931*E931</f>
        <v/>
      </c>
      <c r="G931">
        <f>AND(B931&gt;=50,B931&lt;=10000)</f>
        <v/>
      </c>
      <c r="H931">
        <f>OR(C931="NAS",C931="NYS",C931="ASE")</f>
        <v/>
      </c>
      <c r="I931">
        <f>F931&gt;=500000</f>
        <v/>
      </c>
      <c r="J931">
        <f>E931&gt;=2</f>
        <v/>
      </c>
      <c r="K931">
        <f>AND(G931,H931,I931,J931)</f>
        <v/>
      </c>
    </row>
    <row r="932">
      <c r="B932" s="5">
        <f>BDP(A932&amp;" US Equity","CUR_MKT_CAP")</f>
        <v/>
      </c>
      <c r="C932">
        <f>BDP(A932&amp;" US Equity","EXCH_CODE")</f>
        <v/>
      </c>
      <c r="D932" s="5">
        <f>BDP(A932&amp;" US Equity","VOLUME_AVG_20D")</f>
        <v/>
      </c>
      <c r="E932" s="6">
        <f>BDP(A932&amp;" US Equity","PX_LAST")</f>
        <v/>
      </c>
      <c r="F932" s="5">
        <f>D932*E932</f>
        <v/>
      </c>
      <c r="G932">
        <f>AND(B932&gt;=50,B932&lt;=10000)</f>
        <v/>
      </c>
      <c r="H932">
        <f>OR(C932="NAS",C932="NYS",C932="ASE")</f>
        <v/>
      </c>
      <c r="I932">
        <f>F932&gt;=500000</f>
        <v/>
      </c>
      <c r="J932">
        <f>E932&gt;=2</f>
        <v/>
      </c>
      <c r="K932">
        <f>AND(G932,H932,I932,J932)</f>
        <v/>
      </c>
    </row>
    <row r="933">
      <c r="B933" s="5">
        <f>BDP(A933&amp;" US Equity","CUR_MKT_CAP")</f>
        <v/>
      </c>
      <c r="C933">
        <f>BDP(A933&amp;" US Equity","EXCH_CODE")</f>
        <v/>
      </c>
      <c r="D933" s="5">
        <f>BDP(A933&amp;" US Equity","VOLUME_AVG_20D")</f>
        <v/>
      </c>
      <c r="E933" s="6">
        <f>BDP(A933&amp;" US Equity","PX_LAST")</f>
        <v/>
      </c>
      <c r="F933" s="5">
        <f>D933*E933</f>
        <v/>
      </c>
      <c r="G933">
        <f>AND(B933&gt;=50,B933&lt;=10000)</f>
        <v/>
      </c>
      <c r="H933">
        <f>OR(C933="NAS",C933="NYS",C933="ASE")</f>
        <v/>
      </c>
      <c r="I933">
        <f>F933&gt;=500000</f>
        <v/>
      </c>
      <c r="J933">
        <f>E933&gt;=2</f>
        <v/>
      </c>
      <c r="K933">
        <f>AND(G933,H933,I933,J933)</f>
        <v/>
      </c>
    </row>
    <row r="934">
      <c r="B934" s="5">
        <f>BDP(A934&amp;" US Equity","CUR_MKT_CAP")</f>
        <v/>
      </c>
      <c r="C934">
        <f>BDP(A934&amp;" US Equity","EXCH_CODE")</f>
        <v/>
      </c>
      <c r="D934" s="5">
        <f>BDP(A934&amp;" US Equity","VOLUME_AVG_20D")</f>
        <v/>
      </c>
      <c r="E934" s="6">
        <f>BDP(A934&amp;" US Equity","PX_LAST")</f>
        <v/>
      </c>
      <c r="F934" s="5">
        <f>D934*E934</f>
        <v/>
      </c>
      <c r="G934">
        <f>AND(B934&gt;=50,B934&lt;=10000)</f>
        <v/>
      </c>
      <c r="H934">
        <f>OR(C934="NAS",C934="NYS",C934="ASE")</f>
        <v/>
      </c>
      <c r="I934">
        <f>F934&gt;=500000</f>
        <v/>
      </c>
      <c r="J934">
        <f>E934&gt;=2</f>
        <v/>
      </c>
      <c r="K934">
        <f>AND(G934,H934,I934,J934)</f>
        <v/>
      </c>
    </row>
    <row r="935">
      <c r="B935" s="5">
        <f>BDP(A935&amp;" US Equity","CUR_MKT_CAP")</f>
        <v/>
      </c>
      <c r="C935">
        <f>BDP(A935&amp;" US Equity","EXCH_CODE")</f>
        <v/>
      </c>
      <c r="D935" s="5">
        <f>BDP(A935&amp;" US Equity","VOLUME_AVG_20D")</f>
        <v/>
      </c>
      <c r="E935" s="6">
        <f>BDP(A935&amp;" US Equity","PX_LAST")</f>
        <v/>
      </c>
      <c r="F935" s="5">
        <f>D935*E935</f>
        <v/>
      </c>
      <c r="G935">
        <f>AND(B935&gt;=50,B935&lt;=10000)</f>
        <v/>
      </c>
      <c r="H935">
        <f>OR(C935="NAS",C935="NYS",C935="ASE")</f>
        <v/>
      </c>
      <c r="I935">
        <f>F935&gt;=500000</f>
        <v/>
      </c>
      <c r="J935">
        <f>E935&gt;=2</f>
        <v/>
      </c>
      <c r="K935">
        <f>AND(G935,H935,I935,J935)</f>
        <v/>
      </c>
    </row>
    <row r="936">
      <c r="B936" s="5">
        <f>BDP(A936&amp;" US Equity","CUR_MKT_CAP")</f>
        <v/>
      </c>
      <c r="C936">
        <f>BDP(A936&amp;" US Equity","EXCH_CODE")</f>
        <v/>
      </c>
      <c r="D936" s="5">
        <f>BDP(A936&amp;" US Equity","VOLUME_AVG_20D")</f>
        <v/>
      </c>
      <c r="E936" s="6">
        <f>BDP(A936&amp;" US Equity","PX_LAST")</f>
        <v/>
      </c>
      <c r="F936" s="5">
        <f>D936*E936</f>
        <v/>
      </c>
      <c r="G936">
        <f>AND(B936&gt;=50,B936&lt;=10000)</f>
        <v/>
      </c>
      <c r="H936">
        <f>OR(C936="NAS",C936="NYS",C936="ASE")</f>
        <v/>
      </c>
      <c r="I936">
        <f>F936&gt;=500000</f>
        <v/>
      </c>
      <c r="J936">
        <f>E936&gt;=2</f>
        <v/>
      </c>
      <c r="K936">
        <f>AND(G936,H936,I936,J936)</f>
        <v/>
      </c>
    </row>
    <row r="937">
      <c r="B937" s="5">
        <f>BDP(A937&amp;" US Equity","CUR_MKT_CAP")</f>
        <v/>
      </c>
      <c r="C937">
        <f>BDP(A937&amp;" US Equity","EXCH_CODE")</f>
        <v/>
      </c>
      <c r="D937" s="5">
        <f>BDP(A937&amp;" US Equity","VOLUME_AVG_20D")</f>
        <v/>
      </c>
      <c r="E937" s="6">
        <f>BDP(A937&amp;" US Equity","PX_LAST")</f>
        <v/>
      </c>
      <c r="F937" s="5">
        <f>D937*E937</f>
        <v/>
      </c>
      <c r="G937">
        <f>AND(B937&gt;=50,B937&lt;=10000)</f>
        <v/>
      </c>
      <c r="H937">
        <f>OR(C937="NAS",C937="NYS",C937="ASE")</f>
        <v/>
      </c>
      <c r="I937">
        <f>F937&gt;=500000</f>
        <v/>
      </c>
      <c r="J937">
        <f>E937&gt;=2</f>
        <v/>
      </c>
      <c r="K937">
        <f>AND(G937,H937,I937,J937)</f>
        <v/>
      </c>
    </row>
    <row r="938">
      <c r="B938" s="5">
        <f>BDP(A938&amp;" US Equity","CUR_MKT_CAP")</f>
        <v/>
      </c>
      <c r="C938">
        <f>BDP(A938&amp;" US Equity","EXCH_CODE")</f>
        <v/>
      </c>
      <c r="D938" s="5">
        <f>BDP(A938&amp;" US Equity","VOLUME_AVG_20D")</f>
        <v/>
      </c>
      <c r="E938" s="6">
        <f>BDP(A938&amp;" US Equity","PX_LAST")</f>
        <v/>
      </c>
      <c r="F938" s="5">
        <f>D938*E938</f>
        <v/>
      </c>
      <c r="G938">
        <f>AND(B938&gt;=50,B938&lt;=10000)</f>
        <v/>
      </c>
      <c r="H938">
        <f>OR(C938="NAS",C938="NYS",C938="ASE")</f>
        <v/>
      </c>
      <c r="I938">
        <f>F938&gt;=500000</f>
        <v/>
      </c>
      <c r="J938">
        <f>E938&gt;=2</f>
        <v/>
      </c>
      <c r="K938">
        <f>AND(G938,H938,I938,J938)</f>
        <v/>
      </c>
    </row>
    <row r="939">
      <c r="B939" s="5">
        <f>BDP(A939&amp;" US Equity","CUR_MKT_CAP")</f>
        <v/>
      </c>
      <c r="C939">
        <f>BDP(A939&amp;" US Equity","EXCH_CODE")</f>
        <v/>
      </c>
      <c r="D939" s="5">
        <f>BDP(A939&amp;" US Equity","VOLUME_AVG_20D")</f>
        <v/>
      </c>
      <c r="E939" s="6">
        <f>BDP(A939&amp;" US Equity","PX_LAST")</f>
        <v/>
      </c>
      <c r="F939" s="5">
        <f>D939*E939</f>
        <v/>
      </c>
      <c r="G939">
        <f>AND(B939&gt;=50,B939&lt;=10000)</f>
        <v/>
      </c>
      <c r="H939">
        <f>OR(C939="NAS",C939="NYS",C939="ASE")</f>
        <v/>
      </c>
      <c r="I939">
        <f>F939&gt;=500000</f>
        <v/>
      </c>
      <c r="J939">
        <f>E939&gt;=2</f>
        <v/>
      </c>
      <c r="K939">
        <f>AND(G939,H939,I939,J939)</f>
        <v/>
      </c>
    </row>
    <row r="940">
      <c r="B940" s="5">
        <f>BDP(A940&amp;" US Equity","CUR_MKT_CAP")</f>
        <v/>
      </c>
      <c r="C940">
        <f>BDP(A940&amp;" US Equity","EXCH_CODE")</f>
        <v/>
      </c>
      <c r="D940" s="5">
        <f>BDP(A940&amp;" US Equity","VOLUME_AVG_20D")</f>
        <v/>
      </c>
      <c r="E940" s="6">
        <f>BDP(A940&amp;" US Equity","PX_LAST")</f>
        <v/>
      </c>
      <c r="F940" s="5">
        <f>D940*E940</f>
        <v/>
      </c>
      <c r="G940">
        <f>AND(B940&gt;=50,B940&lt;=10000)</f>
        <v/>
      </c>
      <c r="H940">
        <f>OR(C940="NAS",C940="NYS",C940="ASE")</f>
        <v/>
      </c>
      <c r="I940">
        <f>F940&gt;=500000</f>
        <v/>
      </c>
      <c r="J940">
        <f>E940&gt;=2</f>
        <v/>
      </c>
      <c r="K940">
        <f>AND(G940,H940,I940,J940)</f>
        <v/>
      </c>
    </row>
    <row r="941">
      <c r="B941" s="5">
        <f>BDP(A941&amp;" US Equity","CUR_MKT_CAP")</f>
        <v/>
      </c>
      <c r="C941">
        <f>BDP(A941&amp;" US Equity","EXCH_CODE")</f>
        <v/>
      </c>
      <c r="D941" s="5">
        <f>BDP(A941&amp;" US Equity","VOLUME_AVG_20D")</f>
        <v/>
      </c>
      <c r="E941" s="6">
        <f>BDP(A941&amp;" US Equity","PX_LAST")</f>
        <v/>
      </c>
      <c r="F941" s="5">
        <f>D941*E941</f>
        <v/>
      </c>
      <c r="G941">
        <f>AND(B941&gt;=50,B941&lt;=10000)</f>
        <v/>
      </c>
      <c r="H941">
        <f>OR(C941="NAS",C941="NYS",C941="ASE")</f>
        <v/>
      </c>
      <c r="I941">
        <f>F941&gt;=500000</f>
        <v/>
      </c>
      <c r="J941">
        <f>E941&gt;=2</f>
        <v/>
      </c>
      <c r="K941">
        <f>AND(G941,H941,I941,J941)</f>
        <v/>
      </c>
    </row>
    <row r="942">
      <c r="B942" s="5">
        <f>BDP(A942&amp;" US Equity","CUR_MKT_CAP")</f>
        <v/>
      </c>
      <c r="C942">
        <f>BDP(A942&amp;" US Equity","EXCH_CODE")</f>
        <v/>
      </c>
      <c r="D942" s="5">
        <f>BDP(A942&amp;" US Equity","VOLUME_AVG_20D")</f>
        <v/>
      </c>
      <c r="E942" s="6">
        <f>BDP(A942&amp;" US Equity","PX_LAST")</f>
        <v/>
      </c>
      <c r="F942" s="5">
        <f>D942*E942</f>
        <v/>
      </c>
      <c r="G942">
        <f>AND(B942&gt;=50,B942&lt;=10000)</f>
        <v/>
      </c>
      <c r="H942">
        <f>OR(C942="NAS",C942="NYS",C942="ASE")</f>
        <v/>
      </c>
      <c r="I942">
        <f>F942&gt;=500000</f>
        <v/>
      </c>
      <c r="J942">
        <f>E942&gt;=2</f>
        <v/>
      </c>
      <c r="K942">
        <f>AND(G942,H942,I942,J942)</f>
        <v/>
      </c>
    </row>
    <row r="943">
      <c r="B943" s="5">
        <f>BDP(A943&amp;" US Equity","CUR_MKT_CAP")</f>
        <v/>
      </c>
      <c r="C943">
        <f>BDP(A943&amp;" US Equity","EXCH_CODE")</f>
        <v/>
      </c>
      <c r="D943" s="5">
        <f>BDP(A943&amp;" US Equity","VOLUME_AVG_20D")</f>
        <v/>
      </c>
      <c r="E943" s="6">
        <f>BDP(A943&amp;" US Equity","PX_LAST")</f>
        <v/>
      </c>
      <c r="F943" s="5">
        <f>D943*E943</f>
        <v/>
      </c>
      <c r="G943">
        <f>AND(B943&gt;=50,B943&lt;=10000)</f>
        <v/>
      </c>
      <c r="H943">
        <f>OR(C943="NAS",C943="NYS",C943="ASE")</f>
        <v/>
      </c>
      <c r="I943">
        <f>F943&gt;=500000</f>
        <v/>
      </c>
      <c r="J943">
        <f>E943&gt;=2</f>
        <v/>
      </c>
      <c r="K943">
        <f>AND(G943,H943,I943,J943)</f>
        <v/>
      </c>
    </row>
    <row r="944">
      <c r="B944" s="5">
        <f>BDP(A944&amp;" US Equity","CUR_MKT_CAP")</f>
        <v/>
      </c>
      <c r="C944">
        <f>BDP(A944&amp;" US Equity","EXCH_CODE")</f>
        <v/>
      </c>
      <c r="D944" s="5">
        <f>BDP(A944&amp;" US Equity","VOLUME_AVG_20D")</f>
        <v/>
      </c>
      <c r="E944" s="6">
        <f>BDP(A944&amp;" US Equity","PX_LAST")</f>
        <v/>
      </c>
      <c r="F944" s="5">
        <f>D944*E944</f>
        <v/>
      </c>
      <c r="G944">
        <f>AND(B944&gt;=50,B944&lt;=10000)</f>
        <v/>
      </c>
      <c r="H944">
        <f>OR(C944="NAS",C944="NYS",C944="ASE")</f>
        <v/>
      </c>
      <c r="I944">
        <f>F944&gt;=500000</f>
        <v/>
      </c>
      <c r="J944">
        <f>E944&gt;=2</f>
        <v/>
      </c>
      <c r="K944">
        <f>AND(G944,H944,I944,J944)</f>
        <v/>
      </c>
    </row>
    <row r="945">
      <c r="B945" s="5">
        <f>BDP(A945&amp;" US Equity","CUR_MKT_CAP")</f>
        <v/>
      </c>
      <c r="C945">
        <f>BDP(A945&amp;" US Equity","EXCH_CODE")</f>
        <v/>
      </c>
      <c r="D945" s="5">
        <f>BDP(A945&amp;" US Equity","VOLUME_AVG_20D")</f>
        <v/>
      </c>
      <c r="E945" s="6">
        <f>BDP(A945&amp;" US Equity","PX_LAST")</f>
        <v/>
      </c>
      <c r="F945" s="5">
        <f>D945*E945</f>
        <v/>
      </c>
      <c r="G945">
        <f>AND(B945&gt;=50,B945&lt;=10000)</f>
        <v/>
      </c>
      <c r="H945">
        <f>OR(C945="NAS",C945="NYS",C945="ASE")</f>
        <v/>
      </c>
      <c r="I945">
        <f>F945&gt;=500000</f>
        <v/>
      </c>
      <c r="J945">
        <f>E945&gt;=2</f>
        <v/>
      </c>
      <c r="K945">
        <f>AND(G945,H945,I945,J945)</f>
        <v/>
      </c>
    </row>
    <row r="946">
      <c r="B946" s="5">
        <f>BDP(A946&amp;" US Equity","CUR_MKT_CAP")</f>
        <v/>
      </c>
      <c r="C946">
        <f>BDP(A946&amp;" US Equity","EXCH_CODE")</f>
        <v/>
      </c>
      <c r="D946" s="5">
        <f>BDP(A946&amp;" US Equity","VOLUME_AVG_20D")</f>
        <v/>
      </c>
      <c r="E946" s="6">
        <f>BDP(A946&amp;" US Equity","PX_LAST")</f>
        <v/>
      </c>
      <c r="F946" s="5">
        <f>D946*E946</f>
        <v/>
      </c>
      <c r="G946">
        <f>AND(B946&gt;=50,B946&lt;=10000)</f>
        <v/>
      </c>
      <c r="H946">
        <f>OR(C946="NAS",C946="NYS",C946="ASE")</f>
        <v/>
      </c>
      <c r="I946">
        <f>F946&gt;=500000</f>
        <v/>
      </c>
      <c r="J946">
        <f>E946&gt;=2</f>
        <v/>
      </c>
      <c r="K946">
        <f>AND(G946,H946,I946,J946)</f>
        <v/>
      </c>
    </row>
    <row r="947">
      <c r="B947" s="5">
        <f>BDP(A947&amp;" US Equity","CUR_MKT_CAP")</f>
        <v/>
      </c>
      <c r="C947">
        <f>BDP(A947&amp;" US Equity","EXCH_CODE")</f>
        <v/>
      </c>
      <c r="D947" s="5">
        <f>BDP(A947&amp;" US Equity","VOLUME_AVG_20D")</f>
        <v/>
      </c>
      <c r="E947" s="6">
        <f>BDP(A947&amp;" US Equity","PX_LAST")</f>
        <v/>
      </c>
      <c r="F947" s="5">
        <f>D947*E947</f>
        <v/>
      </c>
      <c r="G947">
        <f>AND(B947&gt;=50,B947&lt;=10000)</f>
        <v/>
      </c>
      <c r="H947">
        <f>OR(C947="NAS",C947="NYS",C947="ASE")</f>
        <v/>
      </c>
      <c r="I947">
        <f>F947&gt;=500000</f>
        <v/>
      </c>
      <c r="J947">
        <f>E947&gt;=2</f>
        <v/>
      </c>
      <c r="K947">
        <f>AND(G947,H947,I947,J947)</f>
        <v/>
      </c>
    </row>
    <row r="948">
      <c r="B948" s="5">
        <f>BDP(A948&amp;" US Equity","CUR_MKT_CAP")</f>
        <v/>
      </c>
      <c r="C948">
        <f>BDP(A948&amp;" US Equity","EXCH_CODE")</f>
        <v/>
      </c>
      <c r="D948" s="5">
        <f>BDP(A948&amp;" US Equity","VOLUME_AVG_20D")</f>
        <v/>
      </c>
      <c r="E948" s="6">
        <f>BDP(A948&amp;" US Equity","PX_LAST")</f>
        <v/>
      </c>
      <c r="F948" s="5">
        <f>D948*E948</f>
        <v/>
      </c>
      <c r="G948">
        <f>AND(B948&gt;=50,B948&lt;=10000)</f>
        <v/>
      </c>
      <c r="H948">
        <f>OR(C948="NAS",C948="NYS",C948="ASE")</f>
        <v/>
      </c>
      <c r="I948">
        <f>F948&gt;=500000</f>
        <v/>
      </c>
      <c r="J948">
        <f>E948&gt;=2</f>
        <v/>
      </c>
      <c r="K948">
        <f>AND(G948,H948,I948,J948)</f>
        <v/>
      </c>
    </row>
    <row r="949">
      <c r="B949" s="5">
        <f>BDP(A949&amp;" US Equity","CUR_MKT_CAP")</f>
        <v/>
      </c>
      <c r="C949">
        <f>BDP(A949&amp;" US Equity","EXCH_CODE")</f>
        <v/>
      </c>
      <c r="D949" s="5">
        <f>BDP(A949&amp;" US Equity","VOLUME_AVG_20D")</f>
        <v/>
      </c>
      <c r="E949" s="6">
        <f>BDP(A949&amp;" US Equity","PX_LAST")</f>
        <v/>
      </c>
      <c r="F949" s="5">
        <f>D949*E949</f>
        <v/>
      </c>
      <c r="G949">
        <f>AND(B949&gt;=50,B949&lt;=10000)</f>
        <v/>
      </c>
      <c r="H949">
        <f>OR(C949="NAS",C949="NYS",C949="ASE")</f>
        <v/>
      </c>
      <c r="I949">
        <f>F949&gt;=500000</f>
        <v/>
      </c>
      <c r="J949">
        <f>E949&gt;=2</f>
        <v/>
      </c>
      <c r="K949">
        <f>AND(G949,H949,I949,J949)</f>
        <v/>
      </c>
    </row>
    <row r="950">
      <c r="B950" s="5">
        <f>BDP(A950&amp;" US Equity","CUR_MKT_CAP")</f>
        <v/>
      </c>
      <c r="C950">
        <f>BDP(A950&amp;" US Equity","EXCH_CODE")</f>
        <v/>
      </c>
      <c r="D950" s="5">
        <f>BDP(A950&amp;" US Equity","VOLUME_AVG_20D")</f>
        <v/>
      </c>
      <c r="E950" s="6">
        <f>BDP(A950&amp;" US Equity","PX_LAST")</f>
        <v/>
      </c>
      <c r="F950" s="5">
        <f>D950*E950</f>
        <v/>
      </c>
      <c r="G950">
        <f>AND(B950&gt;=50,B950&lt;=10000)</f>
        <v/>
      </c>
      <c r="H950">
        <f>OR(C950="NAS",C950="NYS",C950="ASE")</f>
        <v/>
      </c>
      <c r="I950">
        <f>F950&gt;=500000</f>
        <v/>
      </c>
      <c r="J950">
        <f>E950&gt;=2</f>
        <v/>
      </c>
      <c r="K950">
        <f>AND(G950,H950,I950,J950)</f>
        <v/>
      </c>
    </row>
    <row r="951">
      <c r="B951" s="5">
        <f>BDP(A951&amp;" US Equity","CUR_MKT_CAP")</f>
        <v/>
      </c>
      <c r="C951">
        <f>BDP(A951&amp;" US Equity","EXCH_CODE")</f>
        <v/>
      </c>
      <c r="D951" s="5">
        <f>BDP(A951&amp;" US Equity","VOLUME_AVG_20D")</f>
        <v/>
      </c>
      <c r="E951" s="6">
        <f>BDP(A951&amp;" US Equity","PX_LAST")</f>
        <v/>
      </c>
      <c r="F951" s="5">
        <f>D951*E951</f>
        <v/>
      </c>
      <c r="G951">
        <f>AND(B951&gt;=50,B951&lt;=10000)</f>
        <v/>
      </c>
      <c r="H951">
        <f>OR(C951="NAS",C951="NYS",C951="ASE")</f>
        <v/>
      </c>
      <c r="I951">
        <f>F951&gt;=500000</f>
        <v/>
      </c>
      <c r="J951">
        <f>E951&gt;=2</f>
        <v/>
      </c>
      <c r="K951">
        <f>AND(G951,H951,I951,J951)</f>
        <v/>
      </c>
    </row>
    <row r="952">
      <c r="B952" s="5">
        <f>BDP(A952&amp;" US Equity","CUR_MKT_CAP")</f>
        <v/>
      </c>
      <c r="C952">
        <f>BDP(A952&amp;" US Equity","EXCH_CODE")</f>
        <v/>
      </c>
      <c r="D952" s="5">
        <f>BDP(A952&amp;" US Equity","VOLUME_AVG_20D")</f>
        <v/>
      </c>
      <c r="E952" s="6">
        <f>BDP(A952&amp;" US Equity","PX_LAST")</f>
        <v/>
      </c>
      <c r="F952" s="5">
        <f>D952*E952</f>
        <v/>
      </c>
      <c r="G952">
        <f>AND(B952&gt;=50,B952&lt;=10000)</f>
        <v/>
      </c>
      <c r="H952">
        <f>OR(C952="NAS",C952="NYS",C952="ASE")</f>
        <v/>
      </c>
      <c r="I952">
        <f>F952&gt;=500000</f>
        <v/>
      </c>
      <c r="J952">
        <f>E952&gt;=2</f>
        <v/>
      </c>
      <c r="K952">
        <f>AND(G952,H952,I952,J952)</f>
        <v/>
      </c>
    </row>
    <row r="953">
      <c r="B953" s="5">
        <f>BDP(A953&amp;" US Equity","CUR_MKT_CAP")</f>
        <v/>
      </c>
      <c r="C953">
        <f>BDP(A953&amp;" US Equity","EXCH_CODE")</f>
        <v/>
      </c>
      <c r="D953" s="5">
        <f>BDP(A953&amp;" US Equity","VOLUME_AVG_20D")</f>
        <v/>
      </c>
      <c r="E953" s="6">
        <f>BDP(A953&amp;" US Equity","PX_LAST")</f>
        <v/>
      </c>
      <c r="F953" s="5">
        <f>D953*E953</f>
        <v/>
      </c>
      <c r="G953">
        <f>AND(B953&gt;=50,B953&lt;=10000)</f>
        <v/>
      </c>
      <c r="H953">
        <f>OR(C953="NAS",C953="NYS",C953="ASE")</f>
        <v/>
      </c>
      <c r="I953">
        <f>F953&gt;=500000</f>
        <v/>
      </c>
      <c r="J953">
        <f>E953&gt;=2</f>
        <v/>
      </c>
      <c r="K953">
        <f>AND(G953,H953,I953,J953)</f>
        <v/>
      </c>
    </row>
    <row r="954">
      <c r="B954" s="5">
        <f>BDP(A954&amp;" US Equity","CUR_MKT_CAP")</f>
        <v/>
      </c>
      <c r="C954">
        <f>BDP(A954&amp;" US Equity","EXCH_CODE")</f>
        <v/>
      </c>
      <c r="D954" s="5">
        <f>BDP(A954&amp;" US Equity","VOLUME_AVG_20D")</f>
        <v/>
      </c>
      <c r="E954" s="6">
        <f>BDP(A954&amp;" US Equity","PX_LAST")</f>
        <v/>
      </c>
      <c r="F954" s="5">
        <f>D954*E954</f>
        <v/>
      </c>
      <c r="G954">
        <f>AND(B954&gt;=50,B954&lt;=10000)</f>
        <v/>
      </c>
      <c r="H954">
        <f>OR(C954="NAS",C954="NYS",C954="ASE")</f>
        <v/>
      </c>
      <c r="I954">
        <f>F954&gt;=500000</f>
        <v/>
      </c>
      <c r="J954">
        <f>E954&gt;=2</f>
        <v/>
      </c>
      <c r="K954">
        <f>AND(G954,H954,I954,J954)</f>
        <v/>
      </c>
    </row>
    <row r="955">
      <c r="B955" s="5">
        <f>BDP(A955&amp;" US Equity","CUR_MKT_CAP")</f>
        <v/>
      </c>
      <c r="C955">
        <f>BDP(A955&amp;" US Equity","EXCH_CODE")</f>
        <v/>
      </c>
      <c r="D955" s="5">
        <f>BDP(A955&amp;" US Equity","VOLUME_AVG_20D")</f>
        <v/>
      </c>
      <c r="E955" s="6">
        <f>BDP(A955&amp;" US Equity","PX_LAST")</f>
        <v/>
      </c>
      <c r="F955" s="5">
        <f>D955*E955</f>
        <v/>
      </c>
      <c r="G955">
        <f>AND(B955&gt;=50,B955&lt;=10000)</f>
        <v/>
      </c>
      <c r="H955">
        <f>OR(C955="NAS",C955="NYS",C955="ASE")</f>
        <v/>
      </c>
      <c r="I955">
        <f>F955&gt;=500000</f>
        <v/>
      </c>
      <c r="J955">
        <f>E955&gt;=2</f>
        <v/>
      </c>
      <c r="K955">
        <f>AND(G955,H955,I955,J955)</f>
        <v/>
      </c>
    </row>
    <row r="956">
      <c r="B956" s="5">
        <f>BDP(A956&amp;" US Equity","CUR_MKT_CAP")</f>
        <v/>
      </c>
      <c r="C956">
        <f>BDP(A956&amp;" US Equity","EXCH_CODE")</f>
        <v/>
      </c>
      <c r="D956" s="5">
        <f>BDP(A956&amp;" US Equity","VOLUME_AVG_20D")</f>
        <v/>
      </c>
      <c r="E956" s="6">
        <f>BDP(A956&amp;" US Equity","PX_LAST")</f>
        <v/>
      </c>
      <c r="F956" s="5">
        <f>D956*E956</f>
        <v/>
      </c>
      <c r="G956">
        <f>AND(B956&gt;=50,B956&lt;=10000)</f>
        <v/>
      </c>
      <c r="H956">
        <f>OR(C956="NAS",C956="NYS",C956="ASE")</f>
        <v/>
      </c>
      <c r="I956">
        <f>F956&gt;=500000</f>
        <v/>
      </c>
      <c r="J956">
        <f>E956&gt;=2</f>
        <v/>
      </c>
      <c r="K956">
        <f>AND(G956,H956,I956,J956)</f>
        <v/>
      </c>
    </row>
    <row r="957">
      <c r="B957" s="5">
        <f>BDP(A957&amp;" US Equity","CUR_MKT_CAP")</f>
        <v/>
      </c>
      <c r="C957">
        <f>BDP(A957&amp;" US Equity","EXCH_CODE")</f>
        <v/>
      </c>
      <c r="D957" s="5">
        <f>BDP(A957&amp;" US Equity","VOLUME_AVG_20D")</f>
        <v/>
      </c>
      <c r="E957" s="6">
        <f>BDP(A957&amp;" US Equity","PX_LAST")</f>
        <v/>
      </c>
      <c r="F957" s="5">
        <f>D957*E957</f>
        <v/>
      </c>
      <c r="G957">
        <f>AND(B957&gt;=50,B957&lt;=10000)</f>
        <v/>
      </c>
      <c r="H957">
        <f>OR(C957="NAS",C957="NYS",C957="ASE")</f>
        <v/>
      </c>
      <c r="I957">
        <f>F957&gt;=500000</f>
        <v/>
      </c>
      <c r="J957">
        <f>E957&gt;=2</f>
        <v/>
      </c>
      <c r="K957">
        <f>AND(G957,H957,I957,J957)</f>
        <v/>
      </c>
    </row>
    <row r="958">
      <c r="B958" s="5">
        <f>BDP(A958&amp;" US Equity","CUR_MKT_CAP")</f>
        <v/>
      </c>
      <c r="C958">
        <f>BDP(A958&amp;" US Equity","EXCH_CODE")</f>
        <v/>
      </c>
      <c r="D958" s="5">
        <f>BDP(A958&amp;" US Equity","VOLUME_AVG_20D")</f>
        <v/>
      </c>
      <c r="E958" s="6">
        <f>BDP(A958&amp;" US Equity","PX_LAST")</f>
        <v/>
      </c>
      <c r="F958" s="5">
        <f>D958*E958</f>
        <v/>
      </c>
      <c r="G958">
        <f>AND(B958&gt;=50,B958&lt;=10000)</f>
        <v/>
      </c>
      <c r="H958">
        <f>OR(C958="NAS",C958="NYS",C958="ASE")</f>
        <v/>
      </c>
      <c r="I958">
        <f>F958&gt;=500000</f>
        <v/>
      </c>
      <c r="J958">
        <f>E958&gt;=2</f>
        <v/>
      </c>
      <c r="K958">
        <f>AND(G958,H958,I958,J958)</f>
        <v/>
      </c>
    </row>
    <row r="959">
      <c r="B959" s="5">
        <f>BDP(A959&amp;" US Equity","CUR_MKT_CAP")</f>
        <v/>
      </c>
      <c r="C959">
        <f>BDP(A959&amp;" US Equity","EXCH_CODE")</f>
        <v/>
      </c>
      <c r="D959" s="5">
        <f>BDP(A959&amp;" US Equity","VOLUME_AVG_20D")</f>
        <v/>
      </c>
      <c r="E959" s="6">
        <f>BDP(A959&amp;" US Equity","PX_LAST")</f>
        <v/>
      </c>
      <c r="F959" s="5">
        <f>D959*E959</f>
        <v/>
      </c>
      <c r="G959">
        <f>AND(B959&gt;=50,B959&lt;=10000)</f>
        <v/>
      </c>
      <c r="H959">
        <f>OR(C959="NAS",C959="NYS",C959="ASE")</f>
        <v/>
      </c>
      <c r="I959">
        <f>F959&gt;=500000</f>
        <v/>
      </c>
      <c r="J959">
        <f>E959&gt;=2</f>
        <v/>
      </c>
      <c r="K959">
        <f>AND(G959,H959,I959,J959)</f>
        <v/>
      </c>
    </row>
    <row r="960">
      <c r="B960" s="5">
        <f>BDP(A960&amp;" US Equity","CUR_MKT_CAP")</f>
        <v/>
      </c>
      <c r="C960">
        <f>BDP(A960&amp;" US Equity","EXCH_CODE")</f>
        <v/>
      </c>
      <c r="D960" s="5">
        <f>BDP(A960&amp;" US Equity","VOLUME_AVG_20D")</f>
        <v/>
      </c>
      <c r="E960" s="6">
        <f>BDP(A960&amp;" US Equity","PX_LAST")</f>
        <v/>
      </c>
      <c r="F960" s="5">
        <f>D960*E960</f>
        <v/>
      </c>
      <c r="G960">
        <f>AND(B960&gt;=50,B960&lt;=10000)</f>
        <v/>
      </c>
      <c r="H960">
        <f>OR(C960="NAS",C960="NYS",C960="ASE")</f>
        <v/>
      </c>
      <c r="I960">
        <f>F960&gt;=500000</f>
        <v/>
      </c>
      <c r="J960">
        <f>E960&gt;=2</f>
        <v/>
      </c>
      <c r="K960">
        <f>AND(G960,H960,I960,J960)</f>
        <v/>
      </c>
    </row>
    <row r="961">
      <c r="B961" s="5">
        <f>BDP(A961&amp;" US Equity","CUR_MKT_CAP")</f>
        <v/>
      </c>
      <c r="C961">
        <f>BDP(A961&amp;" US Equity","EXCH_CODE")</f>
        <v/>
      </c>
      <c r="D961" s="5">
        <f>BDP(A961&amp;" US Equity","VOLUME_AVG_20D")</f>
        <v/>
      </c>
      <c r="E961" s="6">
        <f>BDP(A961&amp;" US Equity","PX_LAST")</f>
        <v/>
      </c>
      <c r="F961" s="5">
        <f>D961*E961</f>
        <v/>
      </c>
      <c r="G961">
        <f>AND(B961&gt;=50,B961&lt;=10000)</f>
        <v/>
      </c>
      <c r="H961">
        <f>OR(C961="NAS",C961="NYS",C961="ASE")</f>
        <v/>
      </c>
      <c r="I961">
        <f>F961&gt;=500000</f>
        <v/>
      </c>
      <c r="J961">
        <f>E961&gt;=2</f>
        <v/>
      </c>
      <c r="K961">
        <f>AND(G961,H961,I961,J961)</f>
        <v/>
      </c>
    </row>
    <row r="962">
      <c r="B962" s="5">
        <f>BDP(A962&amp;" US Equity","CUR_MKT_CAP")</f>
        <v/>
      </c>
      <c r="C962">
        <f>BDP(A962&amp;" US Equity","EXCH_CODE")</f>
        <v/>
      </c>
      <c r="D962" s="5">
        <f>BDP(A962&amp;" US Equity","VOLUME_AVG_20D")</f>
        <v/>
      </c>
      <c r="E962" s="6">
        <f>BDP(A962&amp;" US Equity","PX_LAST")</f>
        <v/>
      </c>
      <c r="F962" s="5">
        <f>D962*E962</f>
        <v/>
      </c>
      <c r="G962">
        <f>AND(B962&gt;=50,B962&lt;=10000)</f>
        <v/>
      </c>
      <c r="H962">
        <f>OR(C962="NAS",C962="NYS",C962="ASE")</f>
        <v/>
      </c>
      <c r="I962">
        <f>F962&gt;=500000</f>
        <v/>
      </c>
      <c r="J962">
        <f>E962&gt;=2</f>
        <v/>
      </c>
      <c r="K962">
        <f>AND(G962,H962,I962,J962)</f>
        <v/>
      </c>
    </row>
    <row r="963">
      <c r="B963" s="5">
        <f>BDP(A963&amp;" US Equity","CUR_MKT_CAP")</f>
        <v/>
      </c>
      <c r="C963">
        <f>BDP(A963&amp;" US Equity","EXCH_CODE")</f>
        <v/>
      </c>
      <c r="D963" s="5">
        <f>BDP(A963&amp;" US Equity","VOLUME_AVG_20D")</f>
        <v/>
      </c>
      <c r="E963" s="6">
        <f>BDP(A963&amp;" US Equity","PX_LAST")</f>
        <v/>
      </c>
      <c r="F963" s="5">
        <f>D963*E963</f>
        <v/>
      </c>
      <c r="G963">
        <f>AND(B963&gt;=50,B963&lt;=10000)</f>
        <v/>
      </c>
      <c r="H963">
        <f>OR(C963="NAS",C963="NYS",C963="ASE")</f>
        <v/>
      </c>
      <c r="I963">
        <f>F963&gt;=500000</f>
        <v/>
      </c>
      <c r="J963">
        <f>E963&gt;=2</f>
        <v/>
      </c>
      <c r="K963">
        <f>AND(G963,H963,I963,J963)</f>
        <v/>
      </c>
    </row>
    <row r="964">
      <c r="B964" s="5">
        <f>BDP(A964&amp;" US Equity","CUR_MKT_CAP")</f>
        <v/>
      </c>
      <c r="C964">
        <f>BDP(A964&amp;" US Equity","EXCH_CODE")</f>
        <v/>
      </c>
      <c r="D964" s="5">
        <f>BDP(A964&amp;" US Equity","VOLUME_AVG_20D")</f>
        <v/>
      </c>
      <c r="E964" s="6">
        <f>BDP(A964&amp;" US Equity","PX_LAST")</f>
        <v/>
      </c>
      <c r="F964" s="5">
        <f>D964*E964</f>
        <v/>
      </c>
      <c r="G964">
        <f>AND(B964&gt;=50,B964&lt;=10000)</f>
        <v/>
      </c>
      <c r="H964">
        <f>OR(C964="NAS",C964="NYS",C964="ASE")</f>
        <v/>
      </c>
      <c r="I964">
        <f>F964&gt;=500000</f>
        <v/>
      </c>
      <c r="J964">
        <f>E964&gt;=2</f>
        <v/>
      </c>
      <c r="K964">
        <f>AND(G964,H964,I964,J964)</f>
        <v/>
      </c>
    </row>
    <row r="965">
      <c r="B965" s="5">
        <f>BDP(A965&amp;" US Equity","CUR_MKT_CAP")</f>
        <v/>
      </c>
      <c r="C965">
        <f>BDP(A965&amp;" US Equity","EXCH_CODE")</f>
        <v/>
      </c>
      <c r="D965" s="5">
        <f>BDP(A965&amp;" US Equity","VOLUME_AVG_20D")</f>
        <v/>
      </c>
      <c r="E965" s="6">
        <f>BDP(A965&amp;" US Equity","PX_LAST")</f>
        <v/>
      </c>
      <c r="F965" s="5">
        <f>D965*E965</f>
        <v/>
      </c>
      <c r="G965">
        <f>AND(B965&gt;=50,B965&lt;=10000)</f>
        <v/>
      </c>
      <c r="H965">
        <f>OR(C965="NAS",C965="NYS",C965="ASE")</f>
        <v/>
      </c>
      <c r="I965">
        <f>F965&gt;=500000</f>
        <v/>
      </c>
      <c r="J965">
        <f>E965&gt;=2</f>
        <v/>
      </c>
      <c r="K965">
        <f>AND(G965,H965,I965,J965)</f>
        <v/>
      </c>
    </row>
    <row r="966">
      <c r="B966" s="5">
        <f>BDP(A966&amp;" US Equity","CUR_MKT_CAP")</f>
        <v/>
      </c>
      <c r="C966">
        <f>BDP(A966&amp;" US Equity","EXCH_CODE")</f>
        <v/>
      </c>
      <c r="D966" s="5">
        <f>BDP(A966&amp;" US Equity","VOLUME_AVG_20D")</f>
        <v/>
      </c>
      <c r="E966" s="6">
        <f>BDP(A966&amp;" US Equity","PX_LAST")</f>
        <v/>
      </c>
      <c r="F966" s="5">
        <f>D966*E966</f>
        <v/>
      </c>
      <c r="G966">
        <f>AND(B966&gt;=50,B966&lt;=10000)</f>
        <v/>
      </c>
      <c r="H966">
        <f>OR(C966="NAS",C966="NYS",C966="ASE")</f>
        <v/>
      </c>
      <c r="I966">
        <f>F966&gt;=500000</f>
        <v/>
      </c>
      <c r="J966">
        <f>E966&gt;=2</f>
        <v/>
      </c>
      <c r="K966">
        <f>AND(G966,H966,I966,J966)</f>
        <v/>
      </c>
    </row>
    <row r="967">
      <c r="B967" s="5">
        <f>BDP(A967&amp;" US Equity","CUR_MKT_CAP")</f>
        <v/>
      </c>
      <c r="C967">
        <f>BDP(A967&amp;" US Equity","EXCH_CODE")</f>
        <v/>
      </c>
      <c r="D967" s="5">
        <f>BDP(A967&amp;" US Equity","VOLUME_AVG_20D")</f>
        <v/>
      </c>
      <c r="E967" s="6">
        <f>BDP(A967&amp;" US Equity","PX_LAST")</f>
        <v/>
      </c>
      <c r="F967" s="5">
        <f>D967*E967</f>
        <v/>
      </c>
      <c r="G967">
        <f>AND(B967&gt;=50,B967&lt;=10000)</f>
        <v/>
      </c>
      <c r="H967">
        <f>OR(C967="NAS",C967="NYS",C967="ASE")</f>
        <v/>
      </c>
      <c r="I967">
        <f>F967&gt;=500000</f>
        <v/>
      </c>
      <c r="J967">
        <f>E967&gt;=2</f>
        <v/>
      </c>
      <c r="K967">
        <f>AND(G967,H967,I967,J967)</f>
        <v/>
      </c>
    </row>
    <row r="968">
      <c r="B968" s="5">
        <f>BDP(A968&amp;" US Equity","CUR_MKT_CAP")</f>
        <v/>
      </c>
      <c r="C968">
        <f>BDP(A968&amp;" US Equity","EXCH_CODE")</f>
        <v/>
      </c>
      <c r="D968" s="5">
        <f>BDP(A968&amp;" US Equity","VOLUME_AVG_20D")</f>
        <v/>
      </c>
      <c r="E968" s="6">
        <f>BDP(A968&amp;" US Equity","PX_LAST")</f>
        <v/>
      </c>
      <c r="F968" s="5">
        <f>D968*E968</f>
        <v/>
      </c>
      <c r="G968">
        <f>AND(B968&gt;=50,B968&lt;=10000)</f>
        <v/>
      </c>
      <c r="H968">
        <f>OR(C968="NAS",C968="NYS",C968="ASE")</f>
        <v/>
      </c>
      <c r="I968">
        <f>F968&gt;=500000</f>
        <v/>
      </c>
      <c r="J968">
        <f>E968&gt;=2</f>
        <v/>
      </c>
      <c r="K968">
        <f>AND(G968,H968,I968,J968)</f>
        <v/>
      </c>
    </row>
    <row r="969">
      <c r="B969" s="5">
        <f>BDP(A969&amp;" US Equity","CUR_MKT_CAP")</f>
        <v/>
      </c>
      <c r="C969">
        <f>BDP(A969&amp;" US Equity","EXCH_CODE")</f>
        <v/>
      </c>
      <c r="D969" s="5">
        <f>BDP(A969&amp;" US Equity","VOLUME_AVG_20D")</f>
        <v/>
      </c>
      <c r="E969" s="6">
        <f>BDP(A969&amp;" US Equity","PX_LAST")</f>
        <v/>
      </c>
      <c r="F969" s="5">
        <f>D969*E969</f>
        <v/>
      </c>
      <c r="G969">
        <f>AND(B969&gt;=50,B969&lt;=10000)</f>
        <v/>
      </c>
      <c r="H969">
        <f>OR(C969="NAS",C969="NYS",C969="ASE")</f>
        <v/>
      </c>
      <c r="I969">
        <f>F969&gt;=500000</f>
        <v/>
      </c>
      <c r="J969">
        <f>E969&gt;=2</f>
        <v/>
      </c>
      <c r="K969">
        <f>AND(G969,H969,I969,J969)</f>
        <v/>
      </c>
    </row>
    <row r="970">
      <c r="B970" s="5">
        <f>BDP(A970&amp;" US Equity","CUR_MKT_CAP")</f>
        <v/>
      </c>
      <c r="C970">
        <f>BDP(A970&amp;" US Equity","EXCH_CODE")</f>
        <v/>
      </c>
      <c r="D970" s="5">
        <f>BDP(A970&amp;" US Equity","VOLUME_AVG_20D")</f>
        <v/>
      </c>
      <c r="E970" s="6">
        <f>BDP(A970&amp;" US Equity","PX_LAST")</f>
        <v/>
      </c>
      <c r="F970" s="5">
        <f>D970*E970</f>
        <v/>
      </c>
      <c r="G970">
        <f>AND(B970&gt;=50,B970&lt;=10000)</f>
        <v/>
      </c>
      <c r="H970">
        <f>OR(C970="NAS",C970="NYS",C970="ASE")</f>
        <v/>
      </c>
      <c r="I970">
        <f>F970&gt;=500000</f>
        <v/>
      </c>
      <c r="J970">
        <f>E970&gt;=2</f>
        <v/>
      </c>
      <c r="K970">
        <f>AND(G970,H970,I970,J970)</f>
        <v/>
      </c>
    </row>
    <row r="971">
      <c r="B971" s="5">
        <f>BDP(A971&amp;" US Equity","CUR_MKT_CAP")</f>
        <v/>
      </c>
      <c r="C971">
        <f>BDP(A971&amp;" US Equity","EXCH_CODE")</f>
        <v/>
      </c>
      <c r="D971" s="5">
        <f>BDP(A971&amp;" US Equity","VOLUME_AVG_20D")</f>
        <v/>
      </c>
      <c r="E971" s="6">
        <f>BDP(A971&amp;" US Equity","PX_LAST")</f>
        <v/>
      </c>
      <c r="F971" s="5">
        <f>D971*E971</f>
        <v/>
      </c>
      <c r="G971">
        <f>AND(B971&gt;=50,B971&lt;=10000)</f>
        <v/>
      </c>
      <c r="H971">
        <f>OR(C971="NAS",C971="NYS",C971="ASE")</f>
        <v/>
      </c>
      <c r="I971">
        <f>F971&gt;=500000</f>
        <v/>
      </c>
      <c r="J971">
        <f>E971&gt;=2</f>
        <v/>
      </c>
      <c r="K971">
        <f>AND(G971,H971,I971,J971)</f>
        <v/>
      </c>
    </row>
    <row r="972">
      <c r="B972" s="5">
        <f>BDP(A972&amp;" US Equity","CUR_MKT_CAP")</f>
        <v/>
      </c>
      <c r="C972">
        <f>BDP(A972&amp;" US Equity","EXCH_CODE")</f>
        <v/>
      </c>
      <c r="D972" s="5">
        <f>BDP(A972&amp;" US Equity","VOLUME_AVG_20D")</f>
        <v/>
      </c>
      <c r="E972" s="6">
        <f>BDP(A972&amp;" US Equity","PX_LAST")</f>
        <v/>
      </c>
      <c r="F972" s="5">
        <f>D972*E972</f>
        <v/>
      </c>
      <c r="G972">
        <f>AND(B972&gt;=50,B972&lt;=10000)</f>
        <v/>
      </c>
      <c r="H972">
        <f>OR(C972="NAS",C972="NYS",C972="ASE")</f>
        <v/>
      </c>
      <c r="I972">
        <f>F972&gt;=500000</f>
        <v/>
      </c>
      <c r="J972">
        <f>E972&gt;=2</f>
        <v/>
      </c>
      <c r="K972">
        <f>AND(G972,H972,I972,J972)</f>
        <v/>
      </c>
    </row>
    <row r="973">
      <c r="B973" s="5">
        <f>BDP(A973&amp;" US Equity","CUR_MKT_CAP")</f>
        <v/>
      </c>
      <c r="C973">
        <f>BDP(A973&amp;" US Equity","EXCH_CODE")</f>
        <v/>
      </c>
      <c r="D973" s="5">
        <f>BDP(A973&amp;" US Equity","VOLUME_AVG_20D")</f>
        <v/>
      </c>
      <c r="E973" s="6">
        <f>BDP(A973&amp;" US Equity","PX_LAST")</f>
        <v/>
      </c>
      <c r="F973" s="5">
        <f>D973*E973</f>
        <v/>
      </c>
      <c r="G973">
        <f>AND(B973&gt;=50,B973&lt;=10000)</f>
        <v/>
      </c>
      <c r="H973">
        <f>OR(C973="NAS",C973="NYS",C973="ASE")</f>
        <v/>
      </c>
      <c r="I973">
        <f>F973&gt;=500000</f>
        <v/>
      </c>
      <c r="J973">
        <f>E973&gt;=2</f>
        <v/>
      </c>
      <c r="K973">
        <f>AND(G973,H973,I973,J973)</f>
        <v/>
      </c>
    </row>
    <row r="974">
      <c r="B974" s="5">
        <f>BDP(A974&amp;" US Equity","CUR_MKT_CAP")</f>
        <v/>
      </c>
      <c r="C974">
        <f>BDP(A974&amp;" US Equity","EXCH_CODE")</f>
        <v/>
      </c>
      <c r="D974" s="5">
        <f>BDP(A974&amp;" US Equity","VOLUME_AVG_20D")</f>
        <v/>
      </c>
      <c r="E974" s="6">
        <f>BDP(A974&amp;" US Equity","PX_LAST")</f>
        <v/>
      </c>
      <c r="F974" s="5">
        <f>D974*E974</f>
        <v/>
      </c>
      <c r="G974">
        <f>AND(B974&gt;=50,B974&lt;=10000)</f>
        <v/>
      </c>
      <c r="H974">
        <f>OR(C974="NAS",C974="NYS",C974="ASE")</f>
        <v/>
      </c>
      <c r="I974">
        <f>F974&gt;=500000</f>
        <v/>
      </c>
      <c r="J974">
        <f>E974&gt;=2</f>
        <v/>
      </c>
      <c r="K974">
        <f>AND(G974,H974,I974,J974)</f>
        <v/>
      </c>
    </row>
    <row r="975">
      <c r="B975" s="5">
        <f>BDP(A975&amp;" US Equity","CUR_MKT_CAP")</f>
        <v/>
      </c>
      <c r="C975">
        <f>BDP(A975&amp;" US Equity","EXCH_CODE")</f>
        <v/>
      </c>
      <c r="D975" s="5">
        <f>BDP(A975&amp;" US Equity","VOLUME_AVG_20D")</f>
        <v/>
      </c>
      <c r="E975" s="6">
        <f>BDP(A975&amp;" US Equity","PX_LAST")</f>
        <v/>
      </c>
      <c r="F975" s="5">
        <f>D975*E975</f>
        <v/>
      </c>
      <c r="G975">
        <f>AND(B975&gt;=50,B975&lt;=10000)</f>
        <v/>
      </c>
      <c r="H975">
        <f>OR(C975="NAS",C975="NYS",C975="ASE")</f>
        <v/>
      </c>
      <c r="I975">
        <f>F975&gt;=500000</f>
        <v/>
      </c>
      <c r="J975">
        <f>E975&gt;=2</f>
        <v/>
      </c>
      <c r="K975">
        <f>AND(G975,H975,I975,J975)</f>
        <v/>
      </c>
    </row>
    <row r="976">
      <c r="B976" s="5">
        <f>BDP(A976&amp;" US Equity","CUR_MKT_CAP")</f>
        <v/>
      </c>
      <c r="C976">
        <f>BDP(A976&amp;" US Equity","EXCH_CODE")</f>
        <v/>
      </c>
      <c r="D976" s="5">
        <f>BDP(A976&amp;" US Equity","VOLUME_AVG_20D")</f>
        <v/>
      </c>
      <c r="E976" s="6">
        <f>BDP(A976&amp;" US Equity","PX_LAST")</f>
        <v/>
      </c>
      <c r="F976" s="5">
        <f>D976*E976</f>
        <v/>
      </c>
      <c r="G976">
        <f>AND(B976&gt;=50,B976&lt;=10000)</f>
        <v/>
      </c>
      <c r="H976">
        <f>OR(C976="NAS",C976="NYS",C976="ASE")</f>
        <v/>
      </c>
      <c r="I976">
        <f>F976&gt;=500000</f>
        <v/>
      </c>
      <c r="J976">
        <f>E976&gt;=2</f>
        <v/>
      </c>
      <c r="K976">
        <f>AND(G976,H976,I976,J976)</f>
        <v/>
      </c>
    </row>
    <row r="977">
      <c r="B977" s="5">
        <f>BDP(A977&amp;" US Equity","CUR_MKT_CAP")</f>
        <v/>
      </c>
      <c r="C977">
        <f>BDP(A977&amp;" US Equity","EXCH_CODE")</f>
        <v/>
      </c>
      <c r="D977" s="5">
        <f>BDP(A977&amp;" US Equity","VOLUME_AVG_20D")</f>
        <v/>
      </c>
      <c r="E977" s="6">
        <f>BDP(A977&amp;" US Equity","PX_LAST")</f>
        <v/>
      </c>
      <c r="F977" s="5">
        <f>D977*E977</f>
        <v/>
      </c>
      <c r="G977">
        <f>AND(B977&gt;=50,B977&lt;=10000)</f>
        <v/>
      </c>
      <c r="H977">
        <f>OR(C977="NAS",C977="NYS",C977="ASE")</f>
        <v/>
      </c>
      <c r="I977">
        <f>F977&gt;=500000</f>
        <v/>
      </c>
      <c r="J977">
        <f>E977&gt;=2</f>
        <v/>
      </c>
      <c r="K977">
        <f>AND(G977,H977,I977,J977)</f>
        <v/>
      </c>
    </row>
    <row r="978">
      <c r="B978" s="5">
        <f>BDP(A978&amp;" US Equity","CUR_MKT_CAP")</f>
        <v/>
      </c>
      <c r="C978">
        <f>BDP(A978&amp;" US Equity","EXCH_CODE")</f>
        <v/>
      </c>
      <c r="D978" s="5">
        <f>BDP(A978&amp;" US Equity","VOLUME_AVG_20D")</f>
        <v/>
      </c>
      <c r="E978" s="6">
        <f>BDP(A978&amp;" US Equity","PX_LAST")</f>
        <v/>
      </c>
      <c r="F978" s="5">
        <f>D978*E978</f>
        <v/>
      </c>
      <c r="G978">
        <f>AND(B978&gt;=50,B978&lt;=10000)</f>
        <v/>
      </c>
      <c r="H978">
        <f>OR(C978="NAS",C978="NYS",C978="ASE")</f>
        <v/>
      </c>
      <c r="I978">
        <f>F978&gt;=500000</f>
        <v/>
      </c>
      <c r="J978">
        <f>E978&gt;=2</f>
        <v/>
      </c>
      <c r="K978">
        <f>AND(G978,H978,I978,J978)</f>
        <v/>
      </c>
    </row>
    <row r="979">
      <c r="B979" s="5">
        <f>BDP(A979&amp;" US Equity","CUR_MKT_CAP")</f>
        <v/>
      </c>
      <c r="C979">
        <f>BDP(A979&amp;" US Equity","EXCH_CODE")</f>
        <v/>
      </c>
      <c r="D979" s="5">
        <f>BDP(A979&amp;" US Equity","VOLUME_AVG_20D")</f>
        <v/>
      </c>
      <c r="E979" s="6">
        <f>BDP(A979&amp;" US Equity","PX_LAST")</f>
        <v/>
      </c>
      <c r="F979" s="5">
        <f>D979*E979</f>
        <v/>
      </c>
      <c r="G979">
        <f>AND(B979&gt;=50,B979&lt;=10000)</f>
        <v/>
      </c>
      <c r="H979">
        <f>OR(C979="NAS",C979="NYS",C979="ASE")</f>
        <v/>
      </c>
      <c r="I979">
        <f>F979&gt;=500000</f>
        <v/>
      </c>
      <c r="J979">
        <f>E979&gt;=2</f>
        <v/>
      </c>
      <c r="K979">
        <f>AND(G979,H979,I979,J979)</f>
        <v/>
      </c>
    </row>
    <row r="980">
      <c r="B980" s="5">
        <f>BDP(A980&amp;" US Equity","CUR_MKT_CAP")</f>
        <v/>
      </c>
      <c r="C980">
        <f>BDP(A980&amp;" US Equity","EXCH_CODE")</f>
        <v/>
      </c>
      <c r="D980" s="5">
        <f>BDP(A980&amp;" US Equity","VOLUME_AVG_20D")</f>
        <v/>
      </c>
      <c r="E980" s="6">
        <f>BDP(A980&amp;" US Equity","PX_LAST")</f>
        <v/>
      </c>
      <c r="F980" s="5">
        <f>D980*E980</f>
        <v/>
      </c>
      <c r="G980">
        <f>AND(B980&gt;=50,B980&lt;=10000)</f>
        <v/>
      </c>
      <c r="H980">
        <f>OR(C980="NAS",C980="NYS",C980="ASE")</f>
        <v/>
      </c>
      <c r="I980">
        <f>F980&gt;=500000</f>
        <v/>
      </c>
      <c r="J980">
        <f>E980&gt;=2</f>
        <v/>
      </c>
      <c r="K980">
        <f>AND(G980,H980,I980,J980)</f>
        <v/>
      </c>
    </row>
    <row r="981">
      <c r="B981" s="5">
        <f>BDP(A981&amp;" US Equity","CUR_MKT_CAP")</f>
        <v/>
      </c>
      <c r="C981">
        <f>BDP(A981&amp;" US Equity","EXCH_CODE")</f>
        <v/>
      </c>
      <c r="D981" s="5">
        <f>BDP(A981&amp;" US Equity","VOLUME_AVG_20D")</f>
        <v/>
      </c>
      <c r="E981" s="6">
        <f>BDP(A981&amp;" US Equity","PX_LAST")</f>
        <v/>
      </c>
      <c r="F981" s="5">
        <f>D981*E981</f>
        <v/>
      </c>
      <c r="G981">
        <f>AND(B981&gt;=50,B981&lt;=10000)</f>
        <v/>
      </c>
      <c r="H981">
        <f>OR(C981="NAS",C981="NYS",C981="ASE")</f>
        <v/>
      </c>
      <c r="I981">
        <f>F981&gt;=500000</f>
        <v/>
      </c>
      <c r="J981">
        <f>E981&gt;=2</f>
        <v/>
      </c>
      <c r="K981">
        <f>AND(G981,H981,I981,J981)</f>
        <v/>
      </c>
    </row>
    <row r="982">
      <c r="B982" s="5">
        <f>BDP(A982&amp;" US Equity","CUR_MKT_CAP")</f>
        <v/>
      </c>
      <c r="C982">
        <f>BDP(A982&amp;" US Equity","EXCH_CODE")</f>
        <v/>
      </c>
      <c r="D982" s="5">
        <f>BDP(A982&amp;" US Equity","VOLUME_AVG_20D")</f>
        <v/>
      </c>
      <c r="E982" s="6">
        <f>BDP(A982&amp;" US Equity","PX_LAST")</f>
        <v/>
      </c>
      <c r="F982" s="5">
        <f>D982*E982</f>
        <v/>
      </c>
      <c r="G982">
        <f>AND(B982&gt;=50,B982&lt;=10000)</f>
        <v/>
      </c>
      <c r="H982">
        <f>OR(C982="NAS",C982="NYS",C982="ASE")</f>
        <v/>
      </c>
      <c r="I982">
        <f>F982&gt;=500000</f>
        <v/>
      </c>
      <c r="J982">
        <f>E982&gt;=2</f>
        <v/>
      </c>
      <c r="K982">
        <f>AND(G982,H982,I982,J982)</f>
        <v/>
      </c>
    </row>
    <row r="983">
      <c r="B983" s="5">
        <f>BDP(A983&amp;" US Equity","CUR_MKT_CAP")</f>
        <v/>
      </c>
      <c r="C983">
        <f>BDP(A983&amp;" US Equity","EXCH_CODE")</f>
        <v/>
      </c>
      <c r="D983" s="5">
        <f>BDP(A983&amp;" US Equity","VOLUME_AVG_20D")</f>
        <v/>
      </c>
      <c r="E983" s="6">
        <f>BDP(A983&amp;" US Equity","PX_LAST")</f>
        <v/>
      </c>
      <c r="F983" s="5">
        <f>D983*E983</f>
        <v/>
      </c>
      <c r="G983">
        <f>AND(B983&gt;=50,B983&lt;=10000)</f>
        <v/>
      </c>
      <c r="H983">
        <f>OR(C983="NAS",C983="NYS",C983="ASE")</f>
        <v/>
      </c>
      <c r="I983">
        <f>F983&gt;=500000</f>
        <v/>
      </c>
      <c r="J983">
        <f>E983&gt;=2</f>
        <v/>
      </c>
      <c r="K983">
        <f>AND(G983,H983,I983,J983)</f>
        <v/>
      </c>
    </row>
    <row r="984">
      <c r="B984" s="5">
        <f>BDP(A984&amp;" US Equity","CUR_MKT_CAP")</f>
        <v/>
      </c>
      <c r="C984">
        <f>BDP(A984&amp;" US Equity","EXCH_CODE")</f>
        <v/>
      </c>
      <c r="D984" s="5">
        <f>BDP(A984&amp;" US Equity","VOLUME_AVG_20D")</f>
        <v/>
      </c>
      <c r="E984" s="6">
        <f>BDP(A984&amp;" US Equity","PX_LAST")</f>
        <v/>
      </c>
      <c r="F984" s="5">
        <f>D984*E984</f>
        <v/>
      </c>
      <c r="G984">
        <f>AND(B984&gt;=50,B984&lt;=10000)</f>
        <v/>
      </c>
      <c r="H984">
        <f>OR(C984="NAS",C984="NYS",C984="ASE")</f>
        <v/>
      </c>
      <c r="I984">
        <f>F984&gt;=500000</f>
        <v/>
      </c>
      <c r="J984">
        <f>E984&gt;=2</f>
        <v/>
      </c>
      <c r="K984">
        <f>AND(G984,H984,I984,J984)</f>
        <v/>
      </c>
    </row>
    <row r="985">
      <c r="B985" s="5">
        <f>BDP(A985&amp;" US Equity","CUR_MKT_CAP")</f>
        <v/>
      </c>
      <c r="C985">
        <f>BDP(A985&amp;" US Equity","EXCH_CODE")</f>
        <v/>
      </c>
      <c r="D985" s="5">
        <f>BDP(A985&amp;" US Equity","VOLUME_AVG_20D")</f>
        <v/>
      </c>
      <c r="E985" s="6">
        <f>BDP(A985&amp;" US Equity","PX_LAST")</f>
        <v/>
      </c>
      <c r="F985" s="5">
        <f>D985*E985</f>
        <v/>
      </c>
      <c r="G985">
        <f>AND(B985&gt;=50,B985&lt;=10000)</f>
        <v/>
      </c>
      <c r="H985">
        <f>OR(C985="NAS",C985="NYS",C985="ASE")</f>
        <v/>
      </c>
      <c r="I985">
        <f>F985&gt;=500000</f>
        <v/>
      </c>
      <c r="J985">
        <f>E985&gt;=2</f>
        <v/>
      </c>
      <c r="K985">
        <f>AND(G985,H985,I985,J985)</f>
        <v/>
      </c>
    </row>
    <row r="986">
      <c r="B986" s="5">
        <f>BDP(A986&amp;" US Equity","CUR_MKT_CAP")</f>
        <v/>
      </c>
      <c r="C986">
        <f>BDP(A986&amp;" US Equity","EXCH_CODE")</f>
        <v/>
      </c>
      <c r="D986" s="5">
        <f>BDP(A986&amp;" US Equity","VOLUME_AVG_20D")</f>
        <v/>
      </c>
      <c r="E986" s="6">
        <f>BDP(A986&amp;" US Equity","PX_LAST")</f>
        <v/>
      </c>
      <c r="F986" s="5">
        <f>D986*E986</f>
        <v/>
      </c>
      <c r="G986">
        <f>AND(B986&gt;=50,B986&lt;=10000)</f>
        <v/>
      </c>
      <c r="H986">
        <f>OR(C986="NAS",C986="NYS",C986="ASE")</f>
        <v/>
      </c>
      <c r="I986">
        <f>F986&gt;=500000</f>
        <v/>
      </c>
      <c r="J986">
        <f>E986&gt;=2</f>
        <v/>
      </c>
      <c r="K986">
        <f>AND(G986,H986,I986,J986)</f>
        <v/>
      </c>
    </row>
    <row r="987">
      <c r="B987" s="5">
        <f>BDP(A987&amp;" US Equity","CUR_MKT_CAP")</f>
        <v/>
      </c>
      <c r="C987">
        <f>BDP(A987&amp;" US Equity","EXCH_CODE")</f>
        <v/>
      </c>
      <c r="D987" s="5">
        <f>BDP(A987&amp;" US Equity","VOLUME_AVG_20D")</f>
        <v/>
      </c>
      <c r="E987" s="6">
        <f>BDP(A987&amp;" US Equity","PX_LAST")</f>
        <v/>
      </c>
      <c r="F987" s="5">
        <f>D987*E987</f>
        <v/>
      </c>
      <c r="G987">
        <f>AND(B987&gt;=50,B987&lt;=10000)</f>
        <v/>
      </c>
      <c r="H987">
        <f>OR(C987="NAS",C987="NYS",C987="ASE")</f>
        <v/>
      </c>
      <c r="I987">
        <f>F987&gt;=500000</f>
        <v/>
      </c>
      <c r="J987">
        <f>E987&gt;=2</f>
        <v/>
      </c>
      <c r="K987">
        <f>AND(G987,H987,I987,J987)</f>
        <v/>
      </c>
    </row>
    <row r="988">
      <c r="B988" s="5">
        <f>BDP(A988&amp;" US Equity","CUR_MKT_CAP")</f>
        <v/>
      </c>
      <c r="C988">
        <f>BDP(A988&amp;" US Equity","EXCH_CODE")</f>
        <v/>
      </c>
      <c r="D988" s="5">
        <f>BDP(A988&amp;" US Equity","VOLUME_AVG_20D")</f>
        <v/>
      </c>
      <c r="E988" s="6">
        <f>BDP(A988&amp;" US Equity","PX_LAST")</f>
        <v/>
      </c>
      <c r="F988" s="5">
        <f>D988*E988</f>
        <v/>
      </c>
      <c r="G988">
        <f>AND(B988&gt;=50,B988&lt;=10000)</f>
        <v/>
      </c>
      <c r="H988">
        <f>OR(C988="NAS",C988="NYS",C988="ASE")</f>
        <v/>
      </c>
      <c r="I988">
        <f>F988&gt;=500000</f>
        <v/>
      </c>
      <c r="J988">
        <f>E988&gt;=2</f>
        <v/>
      </c>
      <c r="K988">
        <f>AND(G988,H988,I988,J988)</f>
        <v/>
      </c>
    </row>
    <row r="989">
      <c r="B989" s="5">
        <f>BDP(A989&amp;" US Equity","CUR_MKT_CAP")</f>
        <v/>
      </c>
      <c r="C989">
        <f>BDP(A989&amp;" US Equity","EXCH_CODE")</f>
        <v/>
      </c>
      <c r="D989" s="5">
        <f>BDP(A989&amp;" US Equity","VOLUME_AVG_20D")</f>
        <v/>
      </c>
      <c r="E989" s="6">
        <f>BDP(A989&amp;" US Equity","PX_LAST")</f>
        <v/>
      </c>
      <c r="F989" s="5">
        <f>D989*E989</f>
        <v/>
      </c>
      <c r="G989">
        <f>AND(B989&gt;=50,B989&lt;=10000)</f>
        <v/>
      </c>
      <c r="H989">
        <f>OR(C989="NAS",C989="NYS",C989="ASE")</f>
        <v/>
      </c>
      <c r="I989">
        <f>F989&gt;=500000</f>
        <v/>
      </c>
      <c r="J989">
        <f>E989&gt;=2</f>
        <v/>
      </c>
      <c r="K989">
        <f>AND(G989,H989,I989,J989)</f>
        <v/>
      </c>
    </row>
    <row r="990">
      <c r="B990" s="5">
        <f>BDP(A990&amp;" US Equity","CUR_MKT_CAP")</f>
        <v/>
      </c>
      <c r="C990">
        <f>BDP(A990&amp;" US Equity","EXCH_CODE")</f>
        <v/>
      </c>
      <c r="D990" s="5">
        <f>BDP(A990&amp;" US Equity","VOLUME_AVG_20D")</f>
        <v/>
      </c>
      <c r="E990" s="6">
        <f>BDP(A990&amp;" US Equity","PX_LAST")</f>
        <v/>
      </c>
      <c r="F990" s="5">
        <f>D990*E990</f>
        <v/>
      </c>
      <c r="G990">
        <f>AND(B990&gt;=50,B990&lt;=10000)</f>
        <v/>
      </c>
      <c r="H990">
        <f>OR(C990="NAS",C990="NYS",C990="ASE")</f>
        <v/>
      </c>
      <c r="I990">
        <f>F990&gt;=500000</f>
        <v/>
      </c>
      <c r="J990">
        <f>E990&gt;=2</f>
        <v/>
      </c>
      <c r="K990">
        <f>AND(G990,H990,I990,J990)</f>
        <v/>
      </c>
    </row>
    <row r="991">
      <c r="B991" s="5">
        <f>BDP(A991&amp;" US Equity","CUR_MKT_CAP")</f>
        <v/>
      </c>
      <c r="C991">
        <f>BDP(A991&amp;" US Equity","EXCH_CODE")</f>
        <v/>
      </c>
      <c r="D991" s="5">
        <f>BDP(A991&amp;" US Equity","VOLUME_AVG_20D")</f>
        <v/>
      </c>
      <c r="E991" s="6">
        <f>BDP(A991&amp;" US Equity","PX_LAST")</f>
        <v/>
      </c>
      <c r="F991" s="5">
        <f>D991*E991</f>
        <v/>
      </c>
      <c r="G991">
        <f>AND(B991&gt;=50,B991&lt;=10000)</f>
        <v/>
      </c>
      <c r="H991">
        <f>OR(C991="NAS",C991="NYS",C991="ASE")</f>
        <v/>
      </c>
      <c r="I991">
        <f>F991&gt;=500000</f>
        <v/>
      </c>
      <c r="J991">
        <f>E991&gt;=2</f>
        <v/>
      </c>
      <c r="K991">
        <f>AND(G991,H991,I991,J991)</f>
        <v/>
      </c>
    </row>
    <row r="992">
      <c r="B992" s="5">
        <f>BDP(A992&amp;" US Equity","CUR_MKT_CAP")</f>
        <v/>
      </c>
      <c r="C992">
        <f>BDP(A992&amp;" US Equity","EXCH_CODE")</f>
        <v/>
      </c>
      <c r="D992" s="5">
        <f>BDP(A992&amp;" US Equity","VOLUME_AVG_20D")</f>
        <v/>
      </c>
      <c r="E992" s="6">
        <f>BDP(A992&amp;" US Equity","PX_LAST")</f>
        <v/>
      </c>
      <c r="F992" s="5">
        <f>D992*E992</f>
        <v/>
      </c>
      <c r="G992">
        <f>AND(B992&gt;=50,B992&lt;=10000)</f>
        <v/>
      </c>
      <c r="H992">
        <f>OR(C992="NAS",C992="NYS",C992="ASE")</f>
        <v/>
      </c>
      <c r="I992">
        <f>F992&gt;=500000</f>
        <v/>
      </c>
      <c r="J992">
        <f>E992&gt;=2</f>
        <v/>
      </c>
      <c r="K992">
        <f>AND(G992,H992,I992,J992)</f>
        <v/>
      </c>
    </row>
    <row r="993">
      <c r="B993" s="5">
        <f>BDP(A993&amp;" US Equity","CUR_MKT_CAP")</f>
        <v/>
      </c>
      <c r="C993">
        <f>BDP(A993&amp;" US Equity","EXCH_CODE")</f>
        <v/>
      </c>
      <c r="D993" s="5">
        <f>BDP(A993&amp;" US Equity","VOLUME_AVG_20D")</f>
        <v/>
      </c>
      <c r="E993" s="6">
        <f>BDP(A993&amp;" US Equity","PX_LAST")</f>
        <v/>
      </c>
      <c r="F993" s="5">
        <f>D993*E993</f>
        <v/>
      </c>
      <c r="G993">
        <f>AND(B993&gt;=50,B993&lt;=10000)</f>
        <v/>
      </c>
      <c r="H993">
        <f>OR(C993="NAS",C993="NYS",C993="ASE")</f>
        <v/>
      </c>
      <c r="I993">
        <f>F993&gt;=500000</f>
        <v/>
      </c>
      <c r="J993">
        <f>E993&gt;=2</f>
        <v/>
      </c>
      <c r="K993">
        <f>AND(G993,H993,I993,J993)</f>
        <v/>
      </c>
    </row>
    <row r="994">
      <c r="B994" s="5">
        <f>BDP(A994&amp;" US Equity","CUR_MKT_CAP")</f>
        <v/>
      </c>
      <c r="C994">
        <f>BDP(A994&amp;" US Equity","EXCH_CODE")</f>
        <v/>
      </c>
      <c r="D994" s="5">
        <f>BDP(A994&amp;" US Equity","VOLUME_AVG_20D")</f>
        <v/>
      </c>
      <c r="E994" s="6">
        <f>BDP(A994&amp;" US Equity","PX_LAST")</f>
        <v/>
      </c>
      <c r="F994" s="5">
        <f>D994*E994</f>
        <v/>
      </c>
      <c r="G994">
        <f>AND(B994&gt;=50,B994&lt;=10000)</f>
        <v/>
      </c>
      <c r="H994">
        <f>OR(C994="NAS",C994="NYS",C994="ASE")</f>
        <v/>
      </c>
      <c r="I994">
        <f>F994&gt;=500000</f>
        <v/>
      </c>
      <c r="J994">
        <f>E994&gt;=2</f>
        <v/>
      </c>
      <c r="K994">
        <f>AND(G994,H994,I994,J994)</f>
        <v/>
      </c>
    </row>
    <row r="995">
      <c r="B995" s="5">
        <f>BDP(A995&amp;" US Equity","CUR_MKT_CAP")</f>
        <v/>
      </c>
      <c r="C995">
        <f>BDP(A995&amp;" US Equity","EXCH_CODE")</f>
        <v/>
      </c>
      <c r="D995" s="5">
        <f>BDP(A995&amp;" US Equity","VOLUME_AVG_20D")</f>
        <v/>
      </c>
      <c r="E995" s="6">
        <f>BDP(A995&amp;" US Equity","PX_LAST")</f>
        <v/>
      </c>
      <c r="F995" s="5">
        <f>D995*E995</f>
        <v/>
      </c>
      <c r="G995">
        <f>AND(B995&gt;=50,B995&lt;=10000)</f>
        <v/>
      </c>
      <c r="H995">
        <f>OR(C995="NAS",C995="NYS",C995="ASE")</f>
        <v/>
      </c>
      <c r="I995">
        <f>F995&gt;=500000</f>
        <v/>
      </c>
      <c r="J995">
        <f>E995&gt;=2</f>
        <v/>
      </c>
      <c r="K995">
        <f>AND(G995,H995,I995,J995)</f>
        <v/>
      </c>
    </row>
    <row r="996">
      <c r="B996" s="5">
        <f>BDP(A996&amp;" US Equity","CUR_MKT_CAP")</f>
        <v/>
      </c>
      <c r="C996">
        <f>BDP(A996&amp;" US Equity","EXCH_CODE")</f>
        <v/>
      </c>
      <c r="D996" s="5">
        <f>BDP(A996&amp;" US Equity","VOLUME_AVG_20D")</f>
        <v/>
      </c>
      <c r="E996" s="6">
        <f>BDP(A996&amp;" US Equity","PX_LAST")</f>
        <v/>
      </c>
      <c r="F996" s="5">
        <f>D996*E996</f>
        <v/>
      </c>
      <c r="G996">
        <f>AND(B996&gt;=50,B996&lt;=10000)</f>
        <v/>
      </c>
      <c r="H996">
        <f>OR(C996="NAS",C996="NYS",C996="ASE")</f>
        <v/>
      </c>
      <c r="I996">
        <f>F996&gt;=500000</f>
        <v/>
      </c>
      <c r="J996">
        <f>E996&gt;=2</f>
        <v/>
      </c>
      <c r="K996">
        <f>AND(G996,H996,I996,J996)</f>
        <v/>
      </c>
    </row>
    <row r="997">
      <c r="B997" s="5">
        <f>BDP(A997&amp;" US Equity","CUR_MKT_CAP")</f>
        <v/>
      </c>
      <c r="C997">
        <f>BDP(A997&amp;" US Equity","EXCH_CODE")</f>
        <v/>
      </c>
      <c r="D997" s="5">
        <f>BDP(A997&amp;" US Equity","VOLUME_AVG_20D")</f>
        <v/>
      </c>
      <c r="E997" s="6">
        <f>BDP(A997&amp;" US Equity","PX_LAST")</f>
        <v/>
      </c>
      <c r="F997" s="5">
        <f>D997*E997</f>
        <v/>
      </c>
      <c r="G997">
        <f>AND(B997&gt;=50,B997&lt;=10000)</f>
        <v/>
      </c>
      <c r="H997">
        <f>OR(C997="NAS",C997="NYS",C997="ASE")</f>
        <v/>
      </c>
      <c r="I997">
        <f>F997&gt;=500000</f>
        <v/>
      </c>
      <c r="J997">
        <f>E997&gt;=2</f>
        <v/>
      </c>
      <c r="K997">
        <f>AND(G997,H997,I997,J997)</f>
        <v/>
      </c>
    </row>
    <row r="998">
      <c r="B998" s="5">
        <f>BDP(A998&amp;" US Equity","CUR_MKT_CAP")</f>
        <v/>
      </c>
      <c r="C998">
        <f>BDP(A998&amp;" US Equity","EXCH_CODE")</f>
        <v/>
      </c>
      <c r="D998" s="5">
        <f>BDP(A998&amp;" US Equity","VOLUME_AVG_20D")</f>
        <v/>
      </c>
      <c r="E998" s="6">
        <f>BDP(A998&amp;" US Equity","PX_LAST")</f>
        <v/>
      </c>
      <c r="F998" s="5">
        <f>D998*E998</f>
        <v/>
      </c>
      <c r="G998">
        <f>AND(B998&gt;=50,B998&lt;=10000)</f>
        <v/>
      </c>
      <c r="H998">
        <f>OR(C998="NAS",C998="NYS",C998="ASE")</f>
        <v/>
      </c>
      <c r="I998">
        <f>F998&gt;=500000</f>
        <v/>
      </c>
      <c r="J998">
        <f>E998&gt;=2</f>
        <v/>
      </c>
      <c r="K998">
        <f>AND(G998,H998,I998,J998)</f>
        <v/>
      </c>
    </row>
    <row r="999">
      <c r="B999" s="5">
        <f>BDP(A999&amp;" US Equity","CUR_MKT_CAP")</f>
        <v/>
      </c>
      <c r="C999">
        <f>BDP(A999&amp;" US Equity","EXCH_CODE")</f>
        <v/>
      </c>
      <c r="D999" s="5">
        <f>BDP(A999&amp;" US Equity","VOLUME_AVG_20D")</f>
        <v/>
      </c>
      <c r="E999" s="6">
        <f>BDP(A999&amp;" US Equity","PX_LAST")</f>
        <v/>
      </c>
      <c r="F999" s="5">
        <f>D999*E999</f>
        <v/>
      </c>
      <c r="G999">
        <f>AND(B999&gt;=50,B999&lt;=10000)</f>
        <v/>
      </c>
      <c r="H999">
        <f>OR(C999="NAS",C999="NYS",C999="ASE")</f>
        <v/>
      </c>
      <c r="I999">
        <f>F999&gt;=500000</f>
        <v/>
      </c>
      <c r="J999">
        <f>E999&gt;=2</f>
        <v/>
      </c>
      <c r="K999">
        <f>AND(G999,H999,I999,J999)</f>
        <v/>
      </c>
    </row>
    <row r="1000">
      <c r="B1000" s="5">
        <f>BDP(A1000&amp;" US Equity","CUR_MKT_CAP")</f>
        <v/>
      </c>
      <c r="C1000">
        <f>BDP(A1000&amp;" US Equity","EXCH_CODE")</f>
        <v/>
      </c>
      <c r="D1000" s="5">
        <f>BDP(A1000&amp;" US Equity","VOLUME_AVG_20D")</f>
        <v/>
      </c>
      <c r="E1000" s="6">
        <f>BDP(A1000&amp;" US Equity","PX_LAST")</f>
        <v/>
      </c>
      <c r="F1000" s="5">
        <f>D1000*E1000</f>
        <v/>
      </c>
      <c r="G1000">
        <f>AND(B1000&gt;=50,B1000&lt;=10000)</f>
        <v/>
      </c>
      <c r="H1000">
        <f>OR(C1000="NAS",C1000="NYS",C1000="ASE")</f>
        <v/>
      </c>
      <c r="I1000">
        <f>F1000&gt;=500000</f>
        <v/>
      </c>
      <c r="J1000">
        <f>E1000&gt;=2</f>
        <v/>
      </c>
      <c r="K1000">
        <f>AND(G1000,H1000,I1000,J1000)</f>
        <v/>
      </c>
    </row>
    <row r="1001">
      <c r="B1001" s="5">
        <f>BDP(A1001&amp;" US Equity","CUR_MKT_CAP")</f>
        <v/>
      </c>
      <c r="C1001">
        <f>BDP(A1001&amp;" US Equity","EXCH_CODE")</f>
        <v/>
      </c>
      <c r="D1001" s="5">
        <f>BDP(A1001&amp;" US Equity","VOLUME_AVG_20D")</f>
        <v/>
      </c>
      <c r="E1001" s="6">
        <f>BDP(A1001&amp;" US Equity","PX_LAST")</f>
        <v/>
      </c>
      <c r="F1001" s="5">
        <f>D1001*E1001</f>
        <v/>
      </c>
      <c r="G1001">
        <f>AND(B1001&gt;=50,B1001&lt;=10000)</f>
        <v/>
      </c>
      <c r="H1001">
        <f>OR(C1001="NAS",C1001="NYS",C1001="ASE")</f>
        <v/>
      </c>
      <c r="I1001">
        <f>F1001&gt;=500000</f>
        <v/>
      </c>
      <c r="J1001">
        <f>E1001&gt;=2</f>
        <v/>
      </c>
      <c r="K1001">
        <f>AND(G1001,H1001,I1001,J1001)</f>
        <v/>
      </c>
    </row>
    <row r="1002">
      <c r="B1002" s="5">
        <f>BDP(A1002&amp;" US Equity","CUR_MKT_CAP")</f>
        <v/>
      </c>
      <c r="C1002">
        <f>BDP(A1002&amp;" US Equity","EXCH_CODE")</f>
        <v/>
      </c>
      <c r="D1002" s="5">
        <f>BDP(A1002&amp;" US Equity","VOLUME_AVG_20D")</f>
        <v/>
      </c>
      <c r="E1002" s="6">
        <f>BDP(A1002&amp;" US Equity","PX_LAST")</f>
        <v/>
      </c>
      <c r="F1002" s="5">
        <f>D1002*E1002</f>
        <v/>
      </c>
      <c r="G1002">
        <f>AND(B1002&gt;=50,B1002&lt;=10000)</f>
        <v/>
      </c>
      <c r="H1002">
        <f>OR(C1002="NAS",C1002="NYS",C1002="ASE")</f>
        <v/>
      </c>
      <c r="I1002">
        <f>F1002&gt;=500000</f>
        <v/>
      </c>
      <c r="J1002">
        <f>E1002&gt;=2</f>
        <v/>
      </c>
      <c r="K1002">
        <f>AND(G1002,H1002,I1002,J1002)</f>
        <v/>
      </c>
    </row>
    <row r="1003">
      <c r="B1003" s="5">
        <f>BDP(A1003&amp;" US Equity","CUR_MKT_CAP")</f>
        <v/>
      </c>
      <c r="C1003">
        <f>BDP(A1003&amp;" US Equity","EXCH_CODE")</f>
        <v/>
      </c>
      <c r="D1003" s="5">
        <f>BDP(A1003&amp;" US Equity","VOLUME_AVG_20D")</f>
        <v/>
      </c>
      <c r="E1003" s="6">
        <f>BDP(A1003&amp;" US Equity","PX_LAST")</f>
        <v/>
      </c>
      <c r="F1003" s="5">
        <f>D1003*E1003</f>
        <v/>
      </c>
      <c r="G1003">
        <f>AND(B1003&gt;=50,B1003&lt;=10000)</f>
        <v/>
      </c>
      <c r="H1003">
        <f>OR(C1003="NAS",C1003="NYS",C1003="ASE")</f>
        <v/>
      </c>
      <c r="I1003">
        <f>F1003&gt;=500000</f>
        <v/>
      </c>
      <c r="J1003">
        <f>E1003&gt;=2</f>
        <v/>
      </c>
      <c r="K1003">
        <f>AND(G1003,H1003,I1003,J1003)</f>
        <v/>
      </c>
    </row>
    <row r="1004">
      <c r="B1004" s="5">
        <f>BDP(A1004&amp;" US Equity","CUR_MKT_CAP")</f>
        <v/>
      </c>
      <c r="C1004">
        <f>BDP(A1004&amp;" US Equity","EXCH_CODE")</f>
        <v/>
      </c>
      <c r="D1004" s="5">
        <f>BDP(A1004&amp;" US Equity","VOLUME_AVG_20D")</f>
        <v/>
      </c>
      <c r="E1004" s="6">
        <f>BDP(A1004&amp;" US Equity","PX_LAST")</f>
        <v/>
      </c>
      <c r="F1004" s="5">
        <f>D1004*E1004</f>
        <v/>
      </c>
      <c r="G1004">
        <f>AND(B1004&gt;=50,B1004&lt;=10000)</f>
        <v/>
      </c>
      <c r="H1004">
        <f>OR(C1004="NAS",C1004="NYS",C1004="ASE")</f>
        <v/>
      </c>
      <c r="I1004">
        <f>F1004&gt;=500000</f>
        <v/>
      </c>
      <c r="J1004">
        <f>E1004&gt;=2</f>
        <v/>
      </c>
      <c r="K1004">
        <f>AND(G1004,H1004,I1004,J1004)</f>
        <v/>
      </c>
    </row>
    <row r="1005">
      <c r="B1005" s="5">
        <f>BDP(A1005&amp;" US Equity","CUR_MKT_CAP")</f>
        <v/>
      </c>
      <c r="C1005">
        <f>BDP(A1005&amp;" US Equity","EXCH_CODE")</f>
        <v/>
      </c>
      <c r="D1005" s="5">
        <f>BDP(A1005&amp;" US Equity","VOLUME_AVG_20D")</f>
        <v/>
      </c>
      <c r="E1005" s="6">
        <f>BDP(A1005&amp;" US Equity","PX_LAST")</f>
        <v/>
      </c>
      <c r="F1005" s="5">
        <f>D1005*E1005</f>
        <v/>
      </c>
      <c r="G1005">
        <f>AND(B1005&gt;=50,B1005&lt;=10000)</f>
        <v/>
      </c>
      <c r="H1005">
        <f>OR(C1005="NAS",C1005="NYS",C1005="ASE")</f>
        <v/>
      </c>
      <c r="I1005">
        <f>F1005&gt;=500000</f>
        <v/>
      </c>
      <c r="J1005">
        <f>E1005&gt;=2</f>
        <v/>
      </c>
      <c r="K1005">
        <f>AND(G1005,H1005,I1005,J1005)</f>
        <v/>
      </c>
    </row>
    <row r="1006">
      <c r="B1006" s="5">
        <f>BDP(A1006&amp;" US Equity","CUR_MKT_CAP")</f>
        <v/>
      </c>
      <c r="C1006">
        <f>BDP(A1006&amp;" US Equity","EXCH_CODE")</f>
        <v/>
      </c>
      <c r="D1006" s="5">
        <f>BDP(A1006&amp;" US Equity","VOLUME_AVG_20D")</f>
        <v/>
      </c>
      <c r="E1006" s="6">
        <f>BDP(A1006&amp;" US Equity","PX_LAST")</f>
        <v/>
      </c>
      <c r="F1006" s="5">
        <f>D1006*E1006</f>
        <v/>
      </c>
      <c r="G1006">
        <f>AND(B1006&gt;=50,B1006&lt;=10000)</f>
        <v/>
      </c>
      <c r="H1006">
        <f>OR(C1006="NAS",C1006="NYS",C1006="ASE")</f>
        <v/>
      </c>
      <c r="I1006">
        <f>F1006&gt;=500000</f>
        <v/>
      </c>
      <c r="J1006">
        <f>E1006&gt;=2</f>
        <v/>
      </c>
      <c r="K1006">
        <f>AND(G1006,H1006,I1006,J1006)</f>
        <v/>
      </c>
    </row>
    <row r="1007">
      <c r="B1007" s="5">
        <f>BDP(A1007&amp;" US Equity","CUR_MKT_CAP")</f>
        <v/>
      </c>
      <c r="C1007">
        <f>BDP(A1007&amp;" US Equity","EXCH_CODE")</f>
        <v/>
      </c>
      <c r="D1007" s="5">
        <f>BDP(A1007&amp;" US Equity","VOLUME_AVG_20D")</f>
        <v/>
      </c>
      <c r="E1007" s="6">
        <f>BDP(A1007&amp;" US Equity","PX_LAST")</f>
        <v/>
      </c>
      <c r="F1007" s="5">
        <f>D1007*E1007</f>
        <v/>
      </c>
      <c r="G1007">
        <f>AND(B1007&gt;=50,B1007&lt;=10000)</f>
        <v/>
      </c>
      <c r="H1007">
        <f>OR(C1007="NAS",C1007="NYS",C1007="ASE")</f>
        <v/>
      </c>
      <c r="I1007">
        <f>F1007&gt;=500000</f>
        <v/>
      </c>
      <c r="J1007">
        <f>E1007&gt;=2</f>
        <v/>
      </c>
      <c r="K1007">
        <f>AND(G1007,H1007,I1007,J1007)</f>
        <v/>
      </c>
    </row>
    <row r="1008">
      <c r="B1008" s="5">
        <f>BDP(A1008&amp;" US Equity","CUR_MKT_CAP")</f>
        <v/>
      </c>
      <c r="C1008">
        <f>BDP(A1008&amp;" US Equity","EXCH_CODE")</f>
        <v/>
      </c>
      <c r="D1008" s="5">
        <f>BDP(A1008&amp;" US Equity","VOLUME_AVG_20D")</f>
        <v/>
      </c>
      <c r="E1008" s="6">
        <f>BDP(A1008&amp;" US Equity","PX_LAST")</f>
        <v/>
      </c>
      <c r="F1008" s="5">
        <f>D1008*E1008</f>
        <v/>
      </c>
      <c r="G1008">
        <f>AND(B1008&gt;=50,B1008&lt;=10000)</f>
        <v/>
      </c>
      <c r="H1008">
        <f>OR(C1008="NAS",C1008="NYS",C1008="ASE")</f>
        <v/>
      </c>
      <c r="I1008">
        <f>F1008&gt;=500000</f>
        <v/>
      </c>
      <c r="J1008">
        <f>E1008&gt;=2</f>
        <v/>
      </c>
      <c r="K1008">
        <f>AND(G1008,H1008,I1008,J1008)</f>
        <v/>
      </c>
    </row>
    <row r="1009">
      <c r="B1009" s="5">
        <f>BDP(A1009&amp;" US Equity","CUR_MKT_CAP")</f>
        <v/>
      </c>
      <c r="C1009">
        <f>BDP(A1009&amp;" US Equity","EXCH_CODE")</f>
        <v/>
      </c>
      <c r="D1009" s="5">
        <f>BDP(A1009&amp;" US Equity","VOLUME_AVG_20D")</f>
        <v/>
      </c>
      <c r="E1009" s="6">
        <f>BDP(A1009&amp;" US Equity","PX_LAST")</f>
        <v/>
      </c>
      <c r="F1009" s="5">
        <f>D1009*E1009</f>
        <v/>
      </c>
      <c r="G1009">
        <f>AND(B1009&gt;=50,B1009&lt;=10000)</f>
        <v/>
      </c>
      <c r="H1009">
        <f>OR(C1009="NAS",C1009="NYS",C1009="ASE")</f>
        <v/>
      </c>
      <c r="I1009">
        <f>F1009&gt;=500000</f>
        <v/>
      </c>
      <c r="J1009">
        <f>E1009&gt;=2</f>
        <v/>
      </c>
      <c r="K1009">
        <f>AND(G1009,H1009,I1009,J1009)</f>
        <v/>
      </c>
    </row>
    <row r="1010">
      <c r="B1010" s="5">
        <f>BDP(A1010&amp;" US Equity","CUR_MKT_CAP")</f>
        <v/>
      </c>
      <c r="C1010">
        <f>BDP(A1010&amp;" US Equity","EXCH_CODE")</f>
        <v/>
      </c>
      <c r="D1010" s="5">
        <f>BDP(A1010&amp;" US Equity","VOLUME_AVG_20D")</f>
        <v/>
      </c>
      <c r="E1010" s="6">
        <f>BDP(A1010&amp;" US Equity","PX_LAST")</f>
        <v/>
      </c>
      <c r="F1010" s="5">
        <f>D1010*E1010</f>
        <v/>
      </c>
      <c r="G1010">
        <f>AND(B1010&gt;=50,B1010&lt;=10000)</f>
        <v/>
      </c>
      <c r="H1010">
        <f>OR(C1010="NAS",C1010="NYS",C1010="ASE")</f>
        <v/>
      </c>
      <c r="I1010">
        <f>F1010&gt;=500000</f>
        <v/>
      </c>
      <c r="J1010">
        <f>E1010&gt;=2</f>
        <v/>
      </c>
      <c r="K1010">
        <f>AND(G1010,H1010,I1010,J1010)</f>
        <v/>
      </c>
    </row>
    <row r="1011">
      <c r="B1011" s="5">
        <f>BDP(A1011&amp;" US Equity","CUR_MKT_CAP")</f>
        <v/>
      </c>
      <c r="C1011">
        <f>BDP(A1011&amp;" US Equity","EXCH_CODE")</f>
        <v/>
      </c>
      <c r="D1011" s="5">
        <f>BDP(A1011&amp;" US Equity","VOLUME_AVG_20D")</f>
        <v/>
      </c>
      <c r="E1011" s="6">
        <f>BDP(A1011&amp;" US Equity","PX_LAST")</f>
        <v/>
      </c>
      <c r="F1011" s="5">
        <f>D1011*E1011</f>
        <v/>
      </c>
      <c r="G1011">
        <f>AND(B1011&gt;=50,B1011&lt;=10000)</f>
        <v/>
      </c>
      <c r="H1011">
        <f>OR(C1011="NAS",C1011="NYS",C1011="ASE")</f>
        <v/>
      </c>
      <c r="I1011">
        <f>F1011&gt;=500000</f>
        <v/>
      </c>
      <c r="J1011">
        <f>E1011&gt;=2</f>
        <v/>
      </c>
      <c r="K1011">
        <f>AND(G1011,H1011,I1011,J1011)</f>
        <v/>
      </c>
    </row>
    <row r="1012">
      <c r="B1012" s="5">
        <f>BDP(A1012&amp;" US Equity","CUR_MKT_CAP")</f>
        <v/>
      </c>
      <c r="C1012">
        <f>BDP(A1012&amp;" US Equity","EXCH_CODE")</f>
        <v/>
      </c>
      <c r="D1012" s="5">
        <f>BDP(A1012&amp;" US Equity","VOLUME_AVG_20D")</f>
        <v/>
      </c>
      <c r="E1012" s="6">
        <f>BDP(A1012&amp;" US Equity","PX_LAST")</f>
        <v/>
      </c>
      <c r="F1012" s="5">
        <f>D1012*E1012</f>
        <v/>
      </c>
      <c r="G1012">
        <f>AND(B1012&gt;=50,B1012&lt;=10000)</f>
        <v/>
      </c>
      <c r="H1012">
        <f>OR(C1012="NAS",C1012="NYS",C1012="ASE")</f>
        <v/>
      </c>
      <c r="I1012">
        <f>F1012&gt;=500000</f>
        <v/>
      </c>
      <c r="J1012">
        <f>E1012&gt;=2</f>
        <v/>
      </c>
      <c r="K1012">
        <f>AND(G1012,H1012,I1012,J1012)</f>
        <v/>
      </c>
    </row>
    <row r="1013">
      <c r="B1013" s="5">
        <f>BDP(A1013&amp;" US Equity","CUR_MKT_CAP")</f>
        <v/>
      </c>
      <c r="C1013">
        <f>BDP(A1013&amp;" US Equity","EXCH_CODE")</f>
        <v/>
      </c>
      <c r="D1013" s="5">
        <f>BDP(A1013&amp;" US Equity","VOLUME_AVG_20D")</f>
        <v/>
      </c>
      <c r="E1013" s="6">
        <f>BDP(A1013&amp;" US Equity","PX_LAST")</f>
        <v/>
      </c>
      <c r="F1013" s="5">
        <f>D1013*E1013</f>
        <v/>
      </c>
      <c r="G1013">
        <f>AND(B1013&gt;=50,B1013&lt;=10000)</f>
        <v/>
      </c>
      <c r="H1013">
        <f>OR(C1013="NAS",C1013="NYS",C1013="ASE")</f>
        <v/>
      </c>
      <c r="I1013">
        <f>F1013&gt;=500000</f>
        <v/>
      </c>
      <c r="J1013">
        <f>E1013&gt;=2</f>
        <v/>
      </c>
      <c r="K1013">
        <f>AND(G1013,H1013,I1013,J1013)</f>
        <v/>
      </c>
    </row>
    <row r="1014">
      <c r="B1014" s="5">
        <f>BDP(A1014&amp;" US Equity","CUR_MKT_CAP")</f>
        <v/>
      </c>
      <c r="C1014">
        <f>BDP(A1014&amp;" US Equity","EXCH_CODE")</f>
        <v/>
      </c>
      <c r="D1014" s="5">
        <f>BDP(A1014&amp;" US Equity","VOLUME_AVG_20D")</f>
        <v/>
      </c>
      <c r="E1014" s="6">
        <f>BDP(A1014&amp;" US Equity","PX_LAST")</f>
        <v/>
      </c>
      <c r="F1014" s="5">
        <f>D1014*E1014</f>
        <v/>
      </c>
      <c r="G1014">
        <f>AND(B1014&gt;=50,B1014&lt;=10000)</f>
        <v/>
      </c>
      <c r="H1014">
        <f>OR(C1014="NAS",C1014="NYS",C1014="ASE")</f>
        <v/>
      </c>
      <c r="I1014">
        <f>F1014&gt;=500000</f>
        <v/>
      </c>
      <c r="J1014">
        <f>E1014&gt;=2</f>
        <v/>
      </c>
      <c r="K1014">
        <f>AND(G1014,H1014,I1014,J1014)</f>
        <v/>
      </c>
    </row>
    <row r="1015">
      <c r="B1015" s="5">
        <f>BDP(A1015&amp;" US Equity","CUR_MKT_CAP")</f>
        <v/>
      </c>
      <c r="C1015">
        <f>BDP(A1015&amp;" US Equity","EXCH_CODE")</f>
        <v/>
      </c>
      <c r="D1015" s="5">
        <f>BDP(A1015&amp;" US Equity","VOLUME_AVG_20D")</f>
        <v/>
      </c>
      <c r="E1015" s="6">
        <f>BDP(A1015&amp;" US Equity","PX_LAST")</f>
        <v/>
      </c>
      <c r="F1015" s="5">
        <f>D1015*E1015</f>
        <v/>
      </c>
      <c r="G1015">
        <f>AND(B1015&gt;=50,B1015&lt;=10000)</f>
        <v/>
      </c>
      <c r="H1015">
        <f>OR(C1015="NAS",C1015="NYS",C1015="ASE")</f>
        <v/>
      </c>
      <c r="I1015">
        <f>F1015&gt;=500000</f>
        <v/>
      </c>
      <c r="J1015">
        <f>E1015&gt;=2</f>
        <v/>
      </c>
      <c r="K1015">
        <f>AND(G1015,H1015,I1015,J1015)</f>
        <v/>
      </c>
    </row>
    <row r="1016">
      <c r="B1016" s="5">
        <f>BDP(A1016&amp;" US Equity","CUR_MKT_CAP")</f>
        <v/>
      </c>
      <c r="C1016">
        <f>BDP(A1016&amp;" US Equity","EXCH_CODE")</f>
        <v/>
      </c>
      <c r="D1016" s="5">
        <f>BDP(A1016&amp;" US Equity","VOLUME_AVG_20D")</f>
        <v/>
      </c>
      <c r="E1016" s="6">
        <f>BDP(A1016&amp;" US Equity","PX_LAST")</f>
        <v/>
      </c>
      <c r="F1016" s="5">
        <f>D1016*E1016</f>
        <v/>
      </c>
      <c r="G1016">
        <f>AND(B1016&gt;=50,B1016&lt;=10000)</f>
        <v/>
      </c>
      <c r="H1016">
        <f>OR(C1016="NAS",C1016="NYS",C1016="ASE")</f>
        <v/>
      </c>
      <c r="I1016">
        <f>F1016&gt;=500000</f>
        <v/>
      </c>
      <c r="J1016">
        <f>E1016&gt;=2</f>
        <v/>
      </c>
      <c r="K1016">
        <f>AND(G1016,H1016,I1016,J1016)</f>
        <v/>
      </c>
    </row>
    <row r="1017">
      <c r="B1017" s="5">
        <f>BDP(A1017&amp;" US Equity","CUR_MKT_CAP")</f>
        <v/>
      </c>
      <c r="C1017">
        <f>BDP(A1017&amp;" US Equity","EXCH_CODE")</f>
        <v/>
      </c>
      <c r="D1017" s="5">
        <f>BDP(A1017&amp;" US Equity","VOLUME_AVG_20D")</f>
        <v/>
      </c>
      <c r="E1017" s="6">
        <f>BDP(A1017&amp;" US Equity","PX_LAST")</f>
        <v/>
      </c>
      <c r="F1017" s="5">
        <f>D1017*E1017</f>
        <v/>
      </c>
      <c r="G1017">
        <f>AND(B1017&gt;=50,B1017&lt;=10000)</f>
        <v/>
      </c>
      <c r="H1017">
        <f>OR(C1017="NAS",C1017="NYS",C1017="ASE")</f>
        <v/>
      </c>
      <c r="I1017">
        <f>F1017&gt;=500000</f>
        <v/>
      </c>
      <c r="J1017">
        <f>E1017&gt;=2</f>
        <v/>
      </c>
      <c r="K1017">
        <f>AND(G1017,H1017,I1017,J1017)</f>
        <v/>
      </c>
    </row>
    <row r="1018">
      <c r="B1018" s="5">
        <f>BDP(A1018&amp;" US Equity","CUR_MKT_CAP")</f>
        <v/>
      </c>
      <c r="C1018">
        <f>BDP(A1018&amp;" US Equity","EXCH_CODE")</f>
        <v/>
      </c>
      <c r="D1018" s="5">
        <f>BDP(A1018&amp;" US Equity","VOLUME_AVG_20D")</f>
        <v/>
      </c>
      <c r="E1018" s="6">
        <f>BDP(A1018&amp;" US Equity","PX_LAST")</f>
        <v/>
      </c>
      <c r="F1018" s="5">
        <f>D1018*E1018</f>
        <v/>
      </c>
      <c r="G1018">
        <f>AND(B1018&gt;=50,B1018&lt;=10000)</f>
        <v/>
      </c>
      <c r="H1018">
        <f>OR(C1018="NAS",C1018="NYS",C1018="ASE")</f>
        <v/>
      </c>
      <c r="I1018">
        <f>F1018&gt;=500000</f>
        <v/>
      </c>
      <c r="J1018">
        <f>E1018&gt;=2</f>
        <v/>
      </c>
      <c r="K1018">
        <f>AND(G1018,H1018,I1018,J1018)</f>
        <v/>
      </c>
    </row>
    <row r="1019">
      <c r="B1019" s="5">
        <f>BDP(A1019&amp;" US Equity","CUR_MKT_CAP")</f>
        <v/>
      </c>
      <c r="C1019">
        <f>BDP(A1019&amp;" US Equity","EXCH_CODE")</f>
        <v/>
      </c>
      <c r="D1019" s="5">
        <f>BDP(A1019&amp;" US Equity","VOLUME_AVG_20D")</f>
        <v/>
      </c>
      <c r="E1019" s="6">
        <f>BDP(A1019&amp;" US Equity","PX_LAST")</f>
        <v/>
      </c>
      <c r="F1019" s="5">
        <f>D1019*E1019</f>
        <v/>
      </c>
      <c r="G1019">
        <f>AND(B1019&gt;=50,B1019&lt;=10000)</f>
        <v/>
      </c>
      <c r="H1019">
        <f>OR(C1019="NAS",C1019="NYS",C1019="ASE")</f>
        <v/>
      </c>
      <c r="I1019">
        <f>F1019&gt;=500000</f>
        <v/>
      </c>
      <c r="J1019">
        <f>E1019&gt;=2</f>
        <v/>
      </c>
      <c r="K1019">
        <f>AND(G1019,H1019,I1019,J1019)</f>
        <v/>
      </c>
    </row>
    <row r="1020">
      <c r="B1020" s="5">
        <f>BDP(A1020&amp;" US Equity","CUR_MKT_CAP")</f>
        <v/>
      </c>
      <c r="C1020">
        <f>BDP(A1020&amp;" US Equity","EXCH_CODE")</f>
        <v/>
      </c>
      <c r="D1020" s="5">
        <f>BDP(A1020&amp;" US Equity","VOLUME_AVG_20D")</f>
        <v/>
      </c>
      <c r="E1020" s="6">
        <f>BDP(A1020&amp;" US Equity","PX_LAST")</f>
        <v/>
      </c>
      <c r="F1020" s="5">
        <f>D1020*E1020</f>
        <v/>
      </c>
      <c r="G1020">
        <f>AND(B1020&gt;=50,B1020&lt;=10000)</f>
        <v/>
      </c>
      <c r="H1020">
        <f>OR(C1020="NAS",C1020="NYS",C1020="ASE")</f>
        <v/>
      </c>
      <c r="I1020">
        <f>F1020&gt;=500000</f>
        <v/>
      </c>
      <c r="J1020">
        <f>E1020&gt;=2</f>
        <v/>
      </c>
      <c r="K1020">
        <f>AND(G1020,H1020,I1020,J1020)</f>
        <v/>
      </c>
    </row>
    <row r="1021">
      <c r="B1021" s="5">
        <f>BDP(A1021&amp;" US Equity","CUR_MKT_CAP")</f>
        <v/>
      </c>
      <c r="C1021">
        <f>BDP(A1021&amp;" US Equity","EXCH_CODE")</f>
        <v/>
      </c>
      <c r="D1021" s="5">
        <f>BDP(A1021&amp;" US Equity","VOLUME_AVG_20D")</f>
        <v/>
      </c>
      <c r="E1021" s="6">
        <f>BDP(A1021&amp;" US Equity","PX_LAST")</f>
        <v/>
      </c>
      <c r="F1021" s="5">
        <f>D1021*E1021</f>
        <v/>
      </c>
      <c r="G1021">
        <f>AND(B1021&gt;=50,B1021&lt;=10000)</f>
        <v/>
      </c>
      <c r="H1021">
        <f>OR(C1021="NAS",C1021="NYS",C1021="ASE")</f>
        <v/>
      </c>
      <c r="I1021">
        <f>F1021&gt;=500000</f>
        <v/>
      </c>
      <c r="J1021">
        <f>E1021&gt;=2</f>
        <v/>
      </c>
      <c r="K1021">
        <f>AND(G1021,H1021,I1021,J1021)</f>
        <v/>
      </c>
    </row>
    <row r="1022">
      <c r="B1022" s="5">
        <f>BDP(A1022&amp;" US Equity","CUR_MKT_CAP")</f>
        <v/>
      </c>
      <c r="C1022">
        <f>BDP(A1022&amp;" US Equity","EXCH_CODE")</f>
        <v/>
      </c>
      <c r="D1022" s="5">
        <f>BDP(A1022&amp;" US Equity","VOLUME_AVG_20D")</f>
        <v/>
      </c>
      <c r="E1022" s="6">
        <f>BDP(A1022&amp;" US Equity","PX_LAST")</f>
        <v/>
      </c>
      <c r="F1022" s="5">
        <f>D1022*E1022</f>
        <v/>
      </c>
      <c r="G1022">
        <f>AND(B1022&gt;=50,B1022&lt;=10000)</f>
        <v/>
      </c>
      <c r="H1022">
        <f>OR(C1022="NAS",C1022="NYS",C1022="ASE")</f>
        <v/>
      </c>
      <c r="I1022">
        <f>F1022&gt;=500000</f>
        <v/>
      </c>
      <c r="J1022">
        <f>E1022&gt;=2</f>
        <v/>
      </c>
      <c r="K1022">
        <f>AND(G1022,H1022,I1022,J1022)</f>
        <v/>
      </c>
    </row>
    <row r="1023">
      <c r="B1023" s="5">
        <f>BDP(A1023&amp;" US Equity","CUR_MKT_CAP")</f>
        <v/>
      </c>
      <c r="C1023">
        <f>BDP(A1023&amp;" US Equity","EXCH_CODE")</f>
        <v/>
      </c>
      <c r="D1023" s="5">
        <f>BDP(A1023&amp;" US Equity","VOLUME_AVG_20D")</f>
        <v/>
      </c>
      <c r="E1023" s="6">
        <f>BDP(A1023&amp;" US Equity","PX_LAST")</f>
        <v/>
      </c>
      <c r="F1023" s="5">
        <f>D1023*E1023</f>
        <v/>
      </c>
      <c r="G1023">
        <f>AND(B1023&gt;=50,B1023&lt;=10000)</f>
        <v/>
      </c>
      <c r="H1023">
        <f>OR(C1023="NAS",C1023="NYS",C1023="ASE")</f>
        <v/>
      </c>
      <c r="I1023">
        <f>F1023&gt;=500000</f>
        <v/>
      </c>
      <c r="J1023">
        <f>E1023&gt;=2</f>
        <v/>
      </c>
      <c r="K1023">
        <f>AND(G1023,H1023,I1023,J1023)</f>
        <v/>
      </c>
    </row>
    <row r="1024">
      <c r="B1024" s="5">
        <f>BDP(A1024&amp;" US Equity","CUR_MKT_CAP")</f>
        <v/>
      </c>
      <c r="C1024">
        <f>BDP(A1024&amp;" US Equity","EXCH_CODE")</f>
        <v/>
      </c>
      <c r="D1024" s="5">
        <f>BDP(A1024&amp;" US Equity","VOLUME_AVG_20D")</f>
        <v/>
      </c>
      <c r="E1024" s="6">
        <f>BDP(A1024&amp;" US Equity","PX_LAST")</f>
        <v/>
      </c>
      <c r="F1024" s="5">
        <f>D1024*E1024</f>
        <v/>
      </c>
      <c r="G1024">
        <f>AND(B1024&gt;=50,B1024&lt;=10000)</f>
        <v/>
      </c>
      <c r="H1024">
        <f>OR(C1024="NAS",C1024="NYS",C1024="ASE")</f>
        <v/>
      </c>
      <c r="I1024">
        <f>F1024&gt;=500000</f>
        <v/>
      </c>
      <c r="J1024">
        <f>E1024&gt;=2</f>
        <v/>
      </c>
      <c r="K1024">
        <f>AND(G1024,H1024,I1024,J1024)</f>
        <v/>
      </c>
    </row>
    <row r="1025">
      <c r="B1025" s="5">
        <f>BDP(A1025&amp;" US Equity","CUR_MKT_CAP")</f>
        <v/>
      </c>
      <c r="C1025">
        <f>BDP(A1025&amp;" US Equity","EXCH_CODE")</f>
        <v/>
      </c>
      <c r="D1025" s="5">
        <f>BDP(A1025&amp;" US Equity","VOLUME_AVG_20D")</f>
        <v/>
      </c>
      <c r="E1025" s="6">
        <f>BDP(A1025&amp;" US Equity","PX_LAST")</f>
        <v/>
      </c>
      <c r="F1025" s="5">
        <f>D1025*E1025</f>
        <v/>
      </c>
      <c r="G1025">
        <f>AND(B1025&gt;=50,B1025&lt;=10000)</f>
        <v/>
      </c>
      <c r="H1025">
        <f>OR(C1025="NAS",C1025="NYS",C1025="ASE")</f>
        <v/>
      </c>
      <c r="I1025">
        <f>F1025&gt;=500000</f>
        <v/>
      </c>
      <c r="J1025">
        <f>E1025&gt;=2</f>
        <v/>
      </c>
      <c r="K1025">
        <f>AND(G1025,H1025,I1025,J1025)</f>
        <v/>
      </c>
    </row>
    <row r="1026">
      <c r="B1026" s="5">
        <f>BDP(A1026&amp;" US Equity","CUR_MKT_CAP")</f>
        <v/>
      </c>
      <c r="C1026">
        <f>BDP(A1026&amp;" US Equity","EXCH_CODE")</f>
        <v/>
      </c>
      <c r="D1026" s="5">
        <f>BDP(A1026&amp;" US Equity","VOLUME_AVG_20D")</f>
        <v/>
      </c>
      <c r="E1026" s="6">
        <f>BDP(A1026&amp;" US Equity","PX_LAST")</f>
        <v/>
      </c>
      <c r="F1026" s="5">
        <f>D1026*E1026</f>
        <v/>
      </c>
      <c r="G1026">
        <f>AND(B1026&gt;=50,B1026&lt;=10000)</f>
        <v/>
      </c>
      <c r="H1026">
        <f>OR(C1026="NAS",C1026="NYS",C1026="ASE")</f>
        <v/>
      </c>
      <c r="I1026">
        <f>F1026&gt;=500000</f>
        <v/>
      </c>
      <c r="J1026">
        <f>E1026&gt;=2</f>
        <v/>
      </c>
      <c r="K1026">
        <f>AND(G1026,H1026,I1026,J1026)</f>
        <v/>
      </c>
    </row>
    <row r="1027">
      <c r="B1027" s="5">
        <f>BDP(A1027&amp;" US Equity","CUR_MKT_CAP")</f>
        <v/>
      </c>
      <c r="C1027">
        <f>BDP(A1027&amp;" US Equity","EXCH_CODE")</f>
        <v/>
      </c>
      <c r="D1027" s="5">
        <f>BDP(A1027&amp;" US Equity","VOLUME_AVG_20D")</f>
        <v/>
      </c>
      <c r="E1027" s="6">
        <f>BDP(A1027&amp;" US Equity","PX_LAST")</f>
        <v/>
      </c>
      <c r="F1027" s="5">
        <f>D1027*E1027</f>
        <v/>
      </c>
      <c r="G1027">
        <f>AND(B1027&gt;=50,B1027&lt;=10000)</f>
        <v/>
      </c>
      <c r="H1027">
        <f>OR(C1027="NAS",C1027="NYS",C1027="ASE")</f>
        <v/>
      </c>
      <c r="I1027">
        <f>F1027&gt;=500000</f>
        <v/>
      </c>
      <c r="J1027">
        <f>E1027&gt;=2</f>
        <v/>
      </c>
      <c r="K1027">
        <f>AND(G1027,H1027,I1027,J1027)</f>
        <v/>
      </c>
    </row>
    <row r="1028">
      <c r="B1028" s="5">
        <f>BDP(A1028&amp;" US Equity","CUR_MKT_CAP")</f>
        <v/>
      </c>
      <c r="C1028">
        <f>BDP(A1028&amp;" US Equity","EXCH_CODE")</f>
        <v/>
      </c>
      <c r="D1028" s="5">
        <f>BDP(A1028&amp;" US Equity","VOLUME_AVG_20D")</f>
        <v/>
      </c>
      <c r="E1028" s="6">
        <f>BDP(A1028&amp;" US Equity","PX_LAST")</f>
        <v/>
      </c>
      <c r="F1028" s="5">
        <f>D1028*E1028</f>
        <v/>
      </c>
      <c r="G1028">
        <f>AND(B1028&gt;=50,B1028&lt;=10000)</f>
        <v/>
      </c>
      <c r="H1028">
        <f>OR(C1028="NAS",C1028="NYS",C1028="ASE")</f>
        <v/>
      </c>
      <c r="I1028">
        <f>F1028&gt;=500000</f>
        <v/>
      </c>
      <c r="J1028">
        <f>E1028&gt;=2</f>
        <v/>
      </c>
      <c r="K1028">
        <f>AND(G1028,H1028,I1028,J1028)</f>
        <v/>
      </c>
    </row>
    <row r="1029">
      <c r="B1029" s="5">
        <f>BDP(A1029&amp;" US Equity","CUR_MKT_CAP")</f>
        <v/>
      </c>
      <c r="C1029">
        <f>BDP(A1029&amp;" US Equity","EXCH_CODE")</f>
        <v/>
      </c>
      <c r="D1029" s="5">
        <f>BDP(A1029&amp;" US Equity","VOLUME_AVG_20D")</f>
        <v/>
      </c>
      <c r="E1029" s="6">
        <f>BDP(A1029&amp;" US Equity","PX_LAST")</f>
        <v/>
      </c>
      <c r="F1029" s="5">
        <f>D1029*E1029</f>
        <v/>
      </c>
      <c r="G1029">
        <f>AND(B1029&gt;=50,B1029&lt;=10000)</f>
        <v/>
      </c>
      <c r="H1029">
        <f>OR(C1029="NAS",C1029="NYS",C1029="ASE")</f>
        <v/>
      </c>
      <c r="I1029">
        <f>F1029&gt;=500000</f>
        <v/>
      </c>
      <c r="J1029">
        <f>E1029&gt;=2</f>
        <v/>
      </c>
      <c r="K1029">
        <f>AND(G1029,H1029,I1029,J1029)</f>
        <v/>
      </c>
    </row>
    <row r="1030">
      <c r="B1030" s="5">
        <f>BDP(A1030&amp;" US Equity","CUR_MKT_CAP")</f>
        <v/>
      </c>
      <c r="C1030">
        <f>BDP(A1030&amp;" US Equity","EXCH_CODE")</f>
        <v/>
      </c>
      <c r="D1030" s="5">
        <f>BDP(A1030&amp;" US Equity","VOLUME_AVG_20D")</f>
        <v/>
      </c>
      <c r="E1030" s="6">
        <f>BDP(A1030&amp;" US Equity","PX_LAST")</f>
        <v/>
      </c>
      <c r="F1030" s="5">
        <f>D1030*E1030</f>
        <v/>
      </c>
      <c r="G1030">
        <f>AND(B1030&gt;=50,B1030&lt;=10000)</f>
        <v/>
      </c>
      <c r="H1030">
        <f>OR(C1030="NAS",C1030="NYS",C1030="ASE")</f>
        <v/>
      </c>
      <c r="I1030">
        <f>F1030&gt;=500000</f>
        <v/>
      </c>
      <c r="J1030">
        <f>E1030&gt;=2</f>
        <v/>
      </c>
      <c r="K1030">
        <f>AND(G1030,H1030,I1030,J1030)</f>
        <v/>
      </c>
    </row>
    <row r="1031">
      <c r="B1031" s="5">
        <f>BDP(A1031&amp;" US Equity","CUR_MKT_CAP")</f>
        <v/>
      </c>
      <c r="C1031">
        <f>BDP(A1031&amp;" US Equity","EXCH_CODE")</f>
        <v/>
      </c>
      <c r="D1031" s="5">
        <f>BDP(A1031&amp;" US Equity","VOLUME_AVG_20D")</f>
        <v/>
      </c>
      <c r="E1031" s="6">
        <f>BDP(A1031&amp;" US Equity","PX_LAST")</f>
        <v/>
      </c>
      <c r="F1031" s="5">
        <f>D1031*E1031</f>
        <v/>
      </c>
      <c r="G1031">
        <f>AND(B1031&gt;=50,B1031&lt;=10000)</f>
        <v/>
      </c>
      <c r="H1031">
        <f>OR(C1031="NAS",C1031="NYS",C1031="ASE")</f>
        <v/>
      </c>
      <c r="I1031">
        <f>F1031&gt;=500000</f>
        <v/>
      </c>
      <c r="J1031">
        <f>E1031&gt;=2</f>
        <v/>
      </c>
      <c r="K1031">
        <f>AND(G1031,H1031,I1031,J1031)</f>
        <v/>
      </c>
    </row>
    <row r="1032">
      <c r="B1032" s="5">
        <f>BDP(A1032&amp;" US Equity","CUR_MKT_CAP")</f>
        <v/>
      </c>
      <c r="C1032">
        <f>BDP(A1032&amp;" US Equity","EXCH_CODE")</f>
        <v/>
      </c>
      <c r="D1032" s="5">
        <f>BDP(A1032&amp;" US Equity","VOLUME_AVG_20D")</f>
        <v/>
      </c>
      <c r="E1032" s="6">
        <f>BDP(A1032&amp;" US Equity","PX_LAST")</f>
        <v/>
      </c>
      <c r="F1032" s="5">
        <f>D1032*E1032</f>
        <v/>
      </c>
      <c r="G1032">
        <f>AND(B1032&gt;=50,B1032&lt;=10000)</f>
        <v/>
      </c>
      <c r="H1032">
        <f>OR(C1032="NAS",C1032="NYS",C1032="ASE")</f>
        <v/>
      </c>
      <c r="I1032">
        <f>F1032&gt;=500000</f>
        <v/>
      </c>
      <c r="J1032">
        <f>E1032&gt;=2</f>
        <v/>
      </c>
      <c r="K1032">
        <f>AND(G1032,H1032,I1032,J1032)</f>
        <v/>
      </c>
    </row>
    <row r="1033">
      <c r="B1033" s="5">
        <f>BDP(A1033&amp;" US Equity","CUR_MKT_CAP")</f>
        <v/>
      </c>
      <c r="C1033">
        <f>BDP(A1033&amp;" US Equity","EXCH_CODE")</f>
        <v/>
      </c>
      <c r="D1033" s="5">
        <f>BDP(A1033&amp;" US Equity","VOLUME_AVG_20D")</f>
        <v/>
      </c>
      <c r="E1033" s="6">
        <f>BDP(A1033&amp;" US Equity","PX_LAST")</f>
        <v/>
      </c>
      <c r="F1033" s="5">
        <f>D1033*E1033</f>
        <v/>
      </c>
      <c r="G1033">
        <f>AND(B1033&gt;=50,B1033&lt;=10000)</f>
        <v/>
      </c>
      <c r="H1033">
        <f>OR(C1033="NAS",C1033="NYS",C1033="ASE")</f>
        <v/>
      </c>
      <c r="I1033">
        <f>F1033&gt;=500000</f>
        <v/>
      </c>
      <c r="J1033">
        <f>E1033&gt;=2</f>
        <v/>
      </c>
      <c r="K1033">
        <f>AND(G1033,H1033,I1033,J1033)</f>
        <v/>
      </c>
    </row>
    <row r="1034">
      <c r="B1034" s="5">
        <f>BDP(A1034&amp;" US Equity","CUR_MKT_CAP")</f>
        <v/>
      </c>
      <c r="C1034">
        <f>BDP(A1034&amp;" US Equity","EXCH_CODE")</f>
        <v/>
      </c>
      <c r="D1034" s="5">
        <f>BDP(A1034&amp;" US Equity","VOLUME_AVG_20D")</f>
        <v/>
      </c>
      <c r="E1034" s="6">
        <f>BDP(A1034&amp;" US Equity","PX_LAST")</f>
        <v/>
      </c>
      <c r="F1034" s="5">
        <f>D1034*E1034</f>
        <v/>
      </c>
      <c r="G1034">
        <f>AND(B1034&gt;=50,B1034&lt;=10000)</f>
        <v/>
      </c>
      <c r="H1034">
        <f>OR(C1034="NAS",C1034="NYS",C1034="ASE")</f>
        <v/>
      </c>
      <c r="I1034">
        <f>F1034&gt;=500000</f>
        <v/>
      </c>
      <c r="J1034">
        <f>E1034&gt;=2</f>
        <v/>
      </c>
      <c r="K1034">
        <f>AND(G1034,H1034,I1034,J1034)</f>
        <v/>
      </c>
    </row>
    <row r="1035">
      <c r="B1035" s="5">
        <f>BDP(A1035&amp;" US Equity","CUR_MKT_CAP")</f>
        <v/>
      </c>
      <c r="C1035">
        <f>BDP(A1035&amp;" US Equity","EXCH_CODE")</f>
        <v/>
      </c>
      <c r="D1035" s="5">
        <f>BDP(A1035&amp;" US Equity","VOLUME_AVG_20D")</f>
        <v/>
      </c>
      <c r="E1035" s="6">
        <f>BDP(A1035&amp;" US Equity","PX_LAST")</f>
        <v/>
      </c>
      <c r="F1035" s="5">
        <f>D1035*E1035</f>
        <v/>
      </c>
      <c r="G1035">
        <f>AND(B1035&gt;=50,B1035&lt;=10000)</f>
        <v/>
      </c>
      <c r="H1035">
        <f>OR(C1035="NAS",C1035="NYS",C1035="ASE")</f>
        <v/>
      </c>
      <c r="I1035">
        <f>F1035&gt;=500000</f>
        <v/>
      </c>
      <c r="J1035">
        <f>E1035&gt;=2</f>
        <v/>
      </c>
      <c r="K1035">
        <f>AND(G1035,H1035,I1035,J1035)</f>
        <v/>
      </c>
    </row>
    <row r="1036">
      <c r="B1036" s="5">
        <f>BDP(A1036&amp;" US Equity","CUR_MKT_CAP")</f>
        <v/>
      </c>
      <c r="C1036">
        <f>BDP(A1036&amp;" US Equity","EXCH_CODE")</f>
        <v/>
      </c>
      <c r="D1036" s="5">
        <f>BDP(A1036&amp;" US Equity","VOLUME_AVG_20D")</f>
        <v/>
      </c>
      <c r="E1036" s="6">
        <f>BDP(A1036&amp;" US Equity","PX_LAST")</f>
        <v/>
      </c>
      <c r="F1036" s="5">
        <f>D1036*E1036</f>
        <v/>
      </c>
      <c r="G1036">
        <f>AND(B1036&gt;=50,B1036&lt;=10000)</f>
        <v/>
      </c>
      <c r="H1036">
        <f>OR(C1036="NAS",C1036="NYS",C1036="ASE")</f>
        <v/>
      </c>
      <c r="I1036">
        <f>F1036&gt;=500000</f>
        <v/>
      </c>
      <c r="J1036">
        <f>E1036&gt;=2</f>
        <v/>
      </c>
      <c r="K1036">
        <f>AND(G1036,H1036,I1036,J1036)</f>
        <v/>
      </c>
    </row>
    <row r="1037">
      <c r="B1037" s="5">
        <f>BDP(A1037&amp;" US Equity","CUR_MKT_CAP")</f>
        <v/>
      </c>
      <c r="C1037">
        <f>BDP(A1037&amp;" US Equity","EXCH_CODE")</f>
        <v/>
      </c>
      <c r="D1037" s="5">
        <f>BDP(A1037&amp;" US Equity","VOLUME_AVG_20D")</f>
        <v/>
      </c>
      <c r="E1037" s="6">
        <f>BDP(A1037&amp;" US Equity","PX_LAST")</f>
        <v/>
      </c>
      <c r="F1037" s="5">
        <f>D1037*E1037</f>
        <v/>
      </c>
      <c r="G1037">
        <f>AND(B1037&gt;=50,B1037&lt;=10000)</f>
        <v/>
      </c>
      <c r="H1037">
        <f>OR(C1037="NAS",C1037="NYS",C1037="ASE")</f>
        <v/>
      </c>
      <c r="I1037">
        <f>F1037&gt;=500000</f>
        <v/>
      </c>
      <c r="J1037">
        <f>E1037&gt;=2</f>
        <v/>
      </c>
      <c r="K1037">
        <f>AND(G1037,H1037,I1037,J1037)</f>
        <v/>
      </c>
    </row>
    <row r="1038">
      <c r="B1038" s="5">
        <f>BDP(A1038&amp;" US Equity","CUR_MKT_CAP")</f>
        <v/>
      </c>
      <c r="C1038">
        <f>BDP(A1038&amp;" US Equity","EXCH_CODE")</f>
        <v/>
      </c>
      <c r="D1038" s="5">
        <f>BDP(A1038&amp;" US Equity","VOLUME_AVG_20D")</f>
        <v/>
      </c>
      <c r="E1038" s="6">
        <f>BDP(A1038&amp;" US Equity","PX_LAST")</f>
        <v/>
      </c>
      <c r="F1038" s="5">
        <f>D1038*E1038</f>
        <v/>
      </c>
      <c r="G1038">
        <f>AND(B1038&gt;=50,B1038&lt;=10000)</f>
        <v/>
      </c>
      <c r="H1038">
        <f>OR(C1038="NAS",C1038="NYS",C1038="ASE")</f>
        <v/>
      </c>
      <c r="I1038">
        <f>F1038&gt;=500000</f>
        <v/>
      </c>
      <c r="J1038">
        <f>E1038&gt;=2</f>
        <v/>
      </c>
      <c r="K1038">
        <f>AND(G1038,H1038,I1038,J1038)</f>
        <v/>
      </c>
    </row>
    <row r="1039">
      <c r="B1039" s="5">
        <f>BDP(A1039&amp;" US Equity","CUR_MKT_CAP")</f>
        <v/>
      </c>
      <c r="C1039">
        <f>BDP(A1039&amp;" US Equity","EXCH_CODE")</f>
        <v/>
      </c>
      <c r="D1039" s="5">
        <f>BDP(A1039&amp;" US Equity","VOLUME_AVG_20D")</f>
        <v/>
      </c>
      <c r="E1039" s="6">
        <f>BDP(A1039&amp;" US Equity","PX_LAST")</f>
        <v/>
      </c>
      <c r="F1039" s="5">
        <f>D1039*E1039</f>
        <v/>
      </c>
      <c r="G1039">
        <f>AND(B1039&gt;=50,B1039&lt;=10000)</f>
        <v/>
      </c>
      <c r="H1039">
        <f>OR(C1039="NAS",C1039="NYS",C1039="ASE")</f>
        <v/>
      </c>
      <c r="I1039">
        <f>F1039&gt;=500000</f>
        <v/>
      </c>
      <c r="J1039">
        <f>E1039&gt;=2</f>
        <v/>
      </c>
      <c r="K1039">
        <f>AND(G1039,H1039,I1039,J1039)</f>
        <v/>
      </c>
    </row>
    <row r="1040">
      <c r="B1040" s="5">
        <f>BDP(A1040&amp;" US Equity","CUR_MKT_CAP")</f>
        <v/>
      </c>
      <c r="C1040">
        <f>BDP(A1040&amp;" US Equity","EXCH_CODE")</f>
        <v/>
      </c>
      <c r="D1040" s="5">
        <f>BDP(A1040&amp;" US Equity","VOLUME_AVG_20D")</f>
        <v/>
      </c>
      <c r="E1040" s="6">
        <f>BDP(A1040&amp;" US Equity","PX_LAST")</f>
        <v/>
      </c>
      <c r="F1040" s="5">
        <f>D1040*E1040</f>
        <v/>
      </c>
      <c r="G1040">
        <f>AND(B1040&gt;=50,B1040&lt;=10000)</f>
        <v/>
      </c>
      <c r="H1040">
        <f>OR(C1040="NAS",C1040="NYS",C1040="ASE")</f>
        <v/>
      </c>
      <c r="I1040">
        <f>F1040&gt;=500000</f>
        <v/>
      </c>
      <c r="J1040">
        <f>E1040&gt;=2</f>
        <v/>
      </c>
      <c r="K1040">
        <f>AND(G1040,H1040,I1040,J1040)</f>
        <v/>
      </c>
    </row>
    <row r="1041">
      <c r="B1041" s="5">
        <f>BDP(A1041&amp;" US Equity","CUR_MKT_CAP")</f>
        <v/>
      </c>
      <c r="C1041">
        <f>BDP(A1041&amp;" US Equity","EXCH_CODE")</f>
        <v/>
      </c>
      <c r="D1041" s="5">
        <f>BDP(A1041&amp;" US Equity","VOLUME_AVG_20D")</f>
        <v/>
      </c>
      <c r="E1041" s="6">
        <f>BDP(A1041&amp;" US Equity","PX_LAST")</f>
        <v/>
      </c>
      <c r="F1041" s="5">
        <f>D1041*E1041</f>
        <v/>
      </c>
      <c r="G1041">
        <f>AND(B1041&gt;=50,B1041&lt;=10000)</f>
        <v/>
      </c>
      <c r="H1041">
        <f>OR(C1041="NAS",C1041="NYS",C1041="ASE")</f>
        <v/>
      </c>
      <c r="I1041">
        <f>F1041&gt;=500000</f>
        <v/>
      </c>
      <c r="J1041">
        <f>E1041&gt;=2</f>
        <v/>
      </c>
      <c r="K1041">
        <f>AND(G1041,H1041,I1041,J1041)</f>
        <v/>
      </c>
    </row>
    <row r="1042">
      <c r="B1042" s="5">
        <f>BDP(A1042&amp;" US Equity","CUR_MKT_CAP")</f>
        <v/>
      </c>
      <c r="C1042">
        <f>BDP(A1042&amp;" US Equity","EXCH_CODE")</f>
        <v/>
      </c>
      <c r="D1042" s="5">
        <f>BDP(A1042&amp;" US Equity","VOLUME_AVG_20D")</f>
        <v/>
      </c>
      <c r="E1042" s="6">
        <f>BDP(A1042&amp;" US Equity","PX_LAST")</f>
        <v/>
      </c>
      <c r="F1042" s="5">
        <f>D1042*E1042</f>
        <v/>
      </c>
      <c r="G1042">
        <f>AND(B1042&gt;=50,B1042&lt;=10000)</f>
        <v/>
      </c>
      <c r="H1042">
        <f>OR(C1042="NAS",C1042="NYS",C1042="ASE")</f>
        <v/>
      </c>
      <c r="I1042">
        <f>F1042&gt;=500000</f>
        <v/>
      </c>
      <c r="J1042">
        <f>E1042&gt;=2</f>
        <v/>
      </c>
      <c r="K1042">
        <f>AND(G1042,H1042,I1042,J1042)</f>
        <v/>
      </c>
    </row>
    <row r="1043">
      <c r="B1043" s="5">
        <f>BDP(A1043&amp;" US Equity","CUR_MKT_CAP")</f>
        <v/>
      </c>
      <c r="C1043">
        <f>BDP(A1043&amp;" US Equity","EXCH_CODE")</f>
        <v/>
      </c>
      <c r="D1043" s="5">
        <f>BDP(A1043&amp;" US Equity","VOLUME_AVG_20D")</f>
        <v/>
      </c>
      <c r="E1043" s="6">
        <f>BDP(A1043&amp;" US Equity","PX_LAST")</f>
        <v/>
      </c>
      <c r="F1043" s="5">
        <f>D1043*E1043</f>
        <v/>
      </c>
      <c r="G1043">
        <f>AND(B1043&gt;=50,B1043&lt;=10000)</f>
        <v/>
      </c>
      <c r="H1043">
        <f>OR(C1043="NAS",C1043="NYS",C1043="ASE")</f>
        <v/>
      </c>
      <c r="I1043">
        <f>F1043&gt;=500000</f>
        <v/>
      </c>
      <c r="J1043">
        <f>E1043&gt;=2</f>
        <v/>
      </c>
      <c r="K1043">
        <f>AND(G1043,H1043,I1043,J1043)</f>
        <v/>
      </c>
    </row>
    <row r="1044">
      <c r="B1044" s="5">
        <f>BDP(A1044&amp;" US Equity","CUR_MKT_CAP")</f>
        <v/>
      </c>
      <c r="C1044">
        <f>BDP(A1044&amp;" US Equity","EXCH_CODE")</f>
        <v/>
      </c>
      <c r="D1044" s="5">
        <f>BDP(A1044&amp;" US Equity","VOLUME_AVG_20D")</f>
        <v/>
      </c>
      <c r="E1044" s="6">
        <f>BDP(A1044&amp;" US Equity","PX_LAST")</f>
        <v/>
      </c>
      <c r="F1044" s="5">
        <f>D1044*E1044</f>
        <v/>
      </c>
      <c r="G1044">
        <f>AND(B1044&gt;=50,B1044&lt;=10000)</f>
        <v/>
      </c>
      <c r="H1044">
        <f>OR(C1044="NAS",C1044="NYS",C1044="ASE")</f>
        <v/>
      </c>
      <c r="I1044">
        <f>F1044&gt;=500000</f>
        <v/>
      </c>
      <c r="J1044">
        <f>E1044&gt;=2</f>
        <v/>
      </c>
      <c r="K1044">
        <f>AND(G1044,H1044,I1044,J1044)</f>
        <v/>
      </c>
    </row>
    <row r="1045">
      <c r="B1045" s="5">
        <f>BDP(A1045&amp;" US Equity","CUR_MKT_CAP")</f>
        <v/>
      </c>
      <c r="C1045">
        <f>BDP(A1045&amp;" US Equity","EXCH_CODE")</f>
        <v/>
      </c>
      <c r="D1045" s="5">
        <f>BDP(A1045&amp;" US Equity","VOLUME_AVG_20D")</f>
        <v/>
      </c>
      <c r="E1045" s="6">
        <f>BDP(A1045&amp;" US Equity","PX_LAST")</f>
        <v/>
      </c>
      <c r="F1045" s="5">
        <f>D1045*E1045</f>
        <v/>
      </c>
      <c r="G1045">
        <f>AND(B1045&gt;=50,B1045&lt;=10000)</f>
        <v/>
      </c>
      <c r="H1045">
        <f>OR(C1045="NAS",C1045="NYS",C1045="ASE")</f>
        <v/>
      </c>
      <c r="I1045">
        <f>F1045&gt;=500000</f>
        <v/>
      </c>
      <c r="J1045">
        <f>E1045&gt;=2</f>
        <v/>
      </c>
      <c r="K1045">
        <f>AND(G1045,H1045,I1045,J1045)</f>
        <v/>
      </c>
    </row>
    <row r="1046">
      <c r="B1046" s="5">
        <f>BDP(A1046&amp;" US Equity","CUR_MKT_CAP")</f>
        <v/>
      </c>
      <c r="C1046">
        <f>BDP(A1046&amp;" US Equity","EXCH_CODE")</f>
        <v/>
      </c>
      <c r="D1046" s="5">
        <f>BDP(A1046&amp;" US Equity","VOLUME_AVG_20D")</f>
        <v/>
      </c>
      <c r="E1046" s="6">
        <f>BDP(A1046&amp;" US Equity","PX_LAST")</f>
        <v/>
      </c>
      <c r="F1046" s="5">
        <f>D1046*E1046</f>
        <v/>
      </c>
      <c r="G1046">
        <f>AND(B1046&gt;=50,B1046&lt;=10000)</f>
        <v/>
      </c>
      <c r="H1046">
        <f>OR(C1046="NAS",C1046="NYS",C1046="ASE")</f>
        <v/>
      </c>
      <c r="I1046">
        <f>F1046&gt;=500000</f>
        <v/>
      </c>
      <c r="J1046">
        <f>E1046&gt;=2</f>
        <v/>
      </c>
      <c r="K1046">
        <f>AND(G1046,H1046,I1046,J1046)</f>
        <v/>
      </c>
    </row>
    <row r="1047">
      <c r="B1047" s="5">
        <f>BDP(A1047&amp;" US Equity","CUR_MKT_CAP")</f>
        <v/>
      </c>
      <c r="C1047">
        <f>BDP(A1047&amp;" US Equity","EXCH_CODE")</f>
        <v/>
      </c>
      <c r="D1047" s="5">
        <f>BDP(A1047&amp;" US Equity","VOLUME_AVG_20D")</f>
        <v/>
      </c>
      <c r="E1047" s="6">
        <f>BDP(A1047&amp;" US Equity","PX_LAST")</f>
        <v/>
      </c>
      <c r="F1047" s="5">
        <f>D1047*E1047</f>
        <v/>
      </c>
      <c r="G1047">
        <f>AND(B1047&gt;=50,B1047&lt;=10000)</f>
        <v/>
      </c>
      <c r="H1047">
        <f>OR(C1047="NAS",C1047="NYS",C1047="ASE")</f>
        <v/>
      </c>
      <c r="I1047">
        <f>F1047&gt;=500000</f>
        <v/>
      </c>
      <c r="J1047">
        <f>E1047&gt;=2</f>
        <v/>
      </c>
      <c r="K1047">
        <f>AND(G1047,H1047,I1047,J1047)</f>
        <v/>
      </c>
    </row>
    <row r="1048">
      <c r="B1048" s="5">
        <f>BDP(A1048&amp;" US Equity","CUR_MKT_CAP")</f>
        <v/>
      </c>
      <c r="C1048">
        <f>BDP(A1048&amp;" US Equity","EXCH_CODE")</f>
        <v/>
      </c>
      <c r="D1048" s="5">
        <f>BDP(A1048&amp;" US Equity","VOLUME_AVG_20D")</f>
        <v/>
      </c>
      <c r="E1048" s="6">
        <f>BDP(A1048&amp;" US Equity","PX_LAST")</f>
        <v/>
      </c>
      <c r="F1048" s="5">
        <f>D1048*E1048</f>
        <v/>
      </c>
      <c r="G1048">
        <f>AND(B1048&gt;=50,B1048&lt;=10000)</f>
        <v/>
      </c>
      <c r="H1048">
        <f>OR(C1048="NAS",C1048="NYS",C1048="ASE")</f>
        <v/>
      </c>
      <c r="I1048">
        <f>F1048&gt;=500000</f>
        <v/>
      </c>
      <c r="J1048">
        <f>E1048&gt;=2</f>
        <v/>
      </c>
      <c r="K1048">
        <f>AND(G1048,H1048,I1048,J1048)</f>
        <v/>
      </c>
    </row>
    <row r="1049">
      <c r="B1049" s="5">
        <f>BDP(A1049&amp;" US Equity","CUR_MKT_CAP")</f>
        <v/>
      </c>
      <c r="C1049">
        <f>BDP(A1049&amp;" US Equity","EXCH_CODE")</f>
        <v/>
      </c>
      <c r="D1049" s="5">
        <f>BDP(A1049&amp;" US Equity","VOLUME_AVG_20D")</f>
        <v/>
      </c>
      <c r="E1049" s="6">
        <f>BDP(A1049&amp;" US Equity","PX_LAST")</f>
        <v/>
      </c>
      <c r="F1049" s="5">
        <f>D1049*E1049</f>
        <v/>
      </c>
      <c r="G1049">
        <f>AND(B1049&gt;=50,B1049&lt;=10000)</f>
        <v/>
      </c>
      <c r="H1049">
        <f>OR(C1049="NAS",C1049="NYS",C1049="ASE")</f>
        <v/>
      </c>
      <c r="I1049">
        <f>F1049&gt;=500000</f>
        <v/>
      </c>
      <c r="J1049">
        <f>E1049&gt;=2</f>
        <v/>
      </c>
      <c r="K1049">
        <f>AND(G1049,H1049,I1049,J1049)</f>
        <v/>
      </c>
    </row>
    <row r="1050">
      <c r="B1050" s="5">
        <f>BDP(A1050&amp;" US Equity","CUR_MKT_CAP")</f>
        <v/>
      </c>
      <c r="C1050">
        <f>BDP(A1050&amp;" US Equity","EXCH_CODE")</f>
        <v/>
      </c>
      <c r="D1050" s="5">
        <f>BDP(A1050&amp;" US Equity","VOLUME_AVG_20D")</f>
        <v/>
      </c>
      <c r="E1050" s="6">
        <f>BDP(A1050&amp;" US Equity","PX_LAST")</f>
        <v/>
      </c>
      <c r="F1050" s="5">
        <f>D1050*E1050</f>
        <v/>
      </c>
      <c r="G1050">
        <f>AND(B1050&gt;=50,B1050&lt;=10000)</f>
        <v/>
      </c>
      <c r="H1050">
        <f>OR(C1050="NAS",C1050="NYS",C1050="ASE")</f>
        <v/>
      </c>
      <c r="I1050">
        <f>F1050&gt;=500000</f>
        <v/>
      </c>
      <c r="J1050">
        <f>E1050&gt;=2</f>
        <v/>
      </c>
      <c r="K1050">
        <f>AND(G1050,H1050,I1050,J1050)</f>
        <v/>
      </c>
    </row>
    <row r="1051">
      <c r="B1051" s="5">
        <f>BDP(A1051&amp;" US Equity","CUR_MKT_CAP")</f>
        <v/>
      </c>
      <c r="C1051">
        <f>BDP(A1051&amp;" US Equity","EXCH_CODE")</f>
        <v/>
      </c>
      <c r="D1051" s="5">
        <f>BDP(A1051&amp;" US Equity","VOLUME_AVG_20D")</f>
        <v/>
      </c>
      <c r="E1051" s="6">
        <f>BDP(A1051&amp;" US Equity","PX_LAST")</f>
        <v/>
      </c>
      <c r="F1051" s="5">
        <f>D1051*E1051</f>
        <v/>
      </c>
      <c r="G1051">
        <f>AND(B1051&gt;=50,B1051&lt;=10000)</f>
        <v/>
      </c>
      <c r="H1051">
        <f>OR(C1051="NAS",C1051="NYS",C1051="ASE")</f>
        <v/>
      </c>
      <c r="I1051">
        <f>F1051&gt;=500000</f>
        <v/>
      </c>
      <c r="J1051">
        <f>E1051&gt;=2</f>
        <v/>
      </c>
      <c r="K1051">
        <f>AND(G1051,H1051,I1051,J1051)</f>
        <v/>
      </c>
    </row>
    <row r="1052">
      <c r="B1052" s="5">
        <f>BDP(A1052&amp;" US Equity","CUR_MKT_CAP")</f>
        <v/>
      </c>
      <c r="C1052">
        <f>BDP(A1052&amp;" US Equity","EXCH_CODE")</f>
        <v/>
      </c>
      <c r="D1052" s="5">
        <f>BDP(A1052&amp;" US Equity","VOLUME_AVG_20D")</f>
        <v/>
      </c>
      <c r="E1052" s="6">
        <f>BDP(A1052&amp;" US Equity","PX_LAST")</f>
        <v/>
      </c>
      <c r="F1052" s="5">
        <f>D1052*E1052</f>
        <v/>
      </c>
      <c r="G1052">
        <f>AND(B1052&gt;=50,B1052&lt;=10000)</f>
        <v/>
      </c>
      <c r="H1052">
        <f>OR(C1052="NAS",C1052="NYS",C1052="ASE")</f>
        <v/>
      </c>
      <c r="I1052">
        <f>F1052&gt;=500000</f>
        <v/>
      </c>
      <c r="J1052">
        <f>E1052&gt;=2</f>
        <v/>
      </c>
      <c r="K1052">
        <f>AND(G1052,H1052,I1052,J1052)</f>
        <v/>
      </c>
    </row>
    <row r="1053">
      <c r="B1053" s="5">
        <f>BDP(A1053&amp;" US Equity","CUR_MKT_CAP")</f>
        <v/>
      </c>
      <c r="C1053">
        <f>BDP(A1053&amp;" US Equity","EXCH_CODE")</f>
        <v/>
      </c>
      <c r="D1053" s="5">
        <f>BDP(A1053&amp;" US Equity","VOLUME_AVG_20D")</f>
        <v/>
      </c>
      <c r="E1053" s="6">
        <f>BDP(A1053&amp;" US Equity","PX_LAST")</f>
        <v/>
      </c>
      <c r="F1053" s="5">
        <f>D1053*E1053</f>
        <v/>
      </c>
      <c r="G1053">
        <f>AND(B1053&gt;=50,B1053&lt;=10000)</f>
        <v/>
      </c>
      <c r="H1053">
        <f>OR(C1053="NAS",C1053="NYS",C1053="ASE")</f>
        <v/>
      </c>
      <c r="I1053">
        <f>F1053&gt;=500000</f>
        <v/>
      </c>
      <c r="J1053">
        <f>E1053&gt;=2</f>
        <v/>
      </c>
      <c r="K1053">
        <f>AND(G1053,H1053,I1053,J1053)</f>
        <v/>
      </c>
    </row>
    <row r="1054">
      <c r="B1054" s="5">
        <f>BDP(A1054&amp;" US Equity","CUR_MKT_CAP")</f>
        <v/>
      </c>
      <c r="C1054">
        <f>BDP(A1054&amp;" US Equity","EXCH_CODE")</f>
        <v/>
      </c>
      <c r="D1054" s="5">
        <f>BDP(A1054&amp;" US Equity","VOLUME_AVG_20D")</f>
        <v/>
      </c>
      <c r="E1054" s="6">
        <f>BDP(A1054&amp;" US Equity","PX_LAST")</f>
        <v/>
      </c>
      <c r="F1054" s="5">
        <f>D1054*E1054</f>
        <v/>
      </c>
      <c r="G1054">
        <f>AND(B1054&gt;=50,B1054&lt;=10000)</f>
        <v/>
      </c>
      <c r="H1054">
        <f>OR(C1054="NAS",C1054="NYS",C1054="ASE")</f>
        <v/>
      </c>
      <c r="I1054">
        <f>F1054&gt;=500000</f>
        <v/>
      </c>
      <c r="J1054">
        <f>E1054&gt;=2</f>
        <v/>
      </c>
      <c r="K1054">
        <f>AND(G1054,H1054,I1054,J1054)</f>
        <v/>
      </c>
    </row>
    <row r="1055">
      <c r="B1055" s="5">
        <f>BDP(A1055&amp;" US Equity","CUR_MKT_CAP")</f>
        <v/>
      </c>
      <c r="C1055">
        <f>BDP(A1055&amp;" US Equity","EXCH_CODE")</f>
        <v/>
      </c>
      <c r="D1055" s="5">
        <f>BDP(A1055&amp;" US Equity","VOLUME_AVG_20D")</f>
        <v/>
      </c>
      <c r="E1055" s="6">
        <f>BDP(A1055&amp;" US Equity","PX_LAST")</f>
        <v/>
      </c>
      <c r="F1055" s="5">
        <f>D1055*E1055</f>
        <v/>
      </c>
      <c r="G1055">
        <f>AND(B1055&gt;=50,B1055&lt;=10000)</f>
        <v/>
      </c>
      <c r="H1055">
        <f>OR(C1055="NAS",C1055="NYS",C1055="ASE")</f>
        <v/>
      </c>
      <c r="I1055">
        <f>F1055&gt;=500000</f>
        <v/>
      </c>
      <c r="J1055">
        <f>E1055&gt;=2</f>
        <v/>
      </c>
      <c r="K1055">
        <f>AND(G1055,H1055,I1055,J1055)</f>
        <v/>
      </c>
    </row>
    <row r="1056">
      <c r="B1056" s="5">
        <f>BDP(A1056&amp;" US Equity","CUR_MKT_CAP")</f>
        <v/>
      </c>
      <c r="C1056">
        <f>BDP(A1056&amp;" US Equity","EXCH_CODE")</f>
        <v/>
      </c>
      <c r="D1056" s="5">
        <f>BDP(A1056&amp;" US Equity","VOLUME_AVG_20D")</f>
        <v/>
      </c>
      <c r="E1056" s="6">
        <f>BDP(A1056&amp;" US Equity","PX_LAST")</f>
        <v/>
      </c>
      <c r="F1056" s="5">
        <f>D1056*E1056</f>
        <v/>
      </c>
      <c r="G1056">
        <f>AND(B1056&gt;=50,B1056&lt;=10000)</f>
        <v/>
      </c>
      <c r="H1056">
        <f>OR(C1056="NAS",C1056="NYS",C1056="ASE")</f>
        <v/>
      </c>
      <c r="I1056">
        <f>F1056&gt;=500000</f>
        <v/>
      </c>
      <c r="J1056">
        <f>E1056&gt;=2</f>
        <v/>
      </c>
      <c r="K1056">
        <f>AND(G1056,H1056,I1056,J1056)</f>
        <v/>
      </c>
    </row>
    <row r="1057">
      <c r="B1057" s="5">
        <f>BDP(A1057&amp;" US Equity","CUR_MKT_CAP")</f>
        <v/>
      </c>
      <c r="C1057">
        <f>BDP(A1057&amp;" US Equity","EXCH_CODE")</f>
        <v/>
      </c>
      <c r="D1057" s="5">
        <f>BDP(A1057&amp;" US Equity","VOLUME_AVG_20D")</f>
        <v/>
      </c>
      <c r="E1057" s="6">
        <f>BDP(A1057&amp;" US Equity","PX_LAST")</f>
        <v/>
      </c>
      <c r="F1057" s="5">
        <f>D1057*E1057</f>
        <v/>
      </c>
      <c r="G1057">
        <f>AND(B1057&gt;=50,B1057&lt;=10000)</f>
        <v/>
      </c>
      <c r="H1057">
        <f>OR(C1057="NAS",C1057="NYS",C1057="ASE")</f>
        <v/>
      </c>
      <c r="I1057">
        <f>F1057&gt;=500000</f>
        <v/>
      </c>
      <c r="J1057">
        <f>E1057&gt;=2</f>
        <v/>
      </c>
      <c r="K1057">
        <f>AND(G1057,H1057,I1057,J1057)</f>
        <v/>
      </c>
    </row>
    <row r="1058">
      <c r="B1058" s="5">
        <f>BDP(A1058&amp;" US Equity","CUR_MKT_CAP")</f>
        <v/>
      </c>
      <c r="C1058">
        <f>BDP(A1058&amp;" US Equity","EXCH_CODE")</f>
        <v/>
      </c>
      <c r="D1058" s="5">
        <f>BDP(A1058&amp;" US Equity","VOLUME_AVG_20D")</f>
        <v/>
      </c>
      <c r="E1058" s="6">
        <f>BDP(A1058&amp;" US Equity","PX_LAST")</f>
        <v/>
      </c>
      <c r="F1058" s="5">
        <f>D1058*E1058</f>
        <v/>
      </c>
      <c r="G1058">
        <f>AND(B1058&gt;=50,B1058&lt;=10000)</f>
        <v/>
      </c>
      <c r="H1058">
        <f>OR(C1058="NAS",C1058="NYS",C1058="ASE")</f>
        <v/>
      </c>
      <c r="I1058">
        <f>F1058&gt;=500000</f>
        <v/>
      </c>
      <c r="J1058">
        <f>E1058&gt;=2</f>
        <v/>
      </c>
      <c r="K1058">
        <f>AND(G1058,H1058,I1058,J1058)</f>
        <v/>
      </c>
    </row>
    <row r="1059">
      <c r="B1059" s="5">
        <f>BDP(A1059&amp;" US Equity","CUR_MKT_CAP")</f>
        <v/>
      </c>
      <c r="C1059">
        <f>BDP(A1059&amp;" US Equity","EXCH_CODE")</f>
        <v/>
      </c>
      <c r="D1059" s="5">
        <f>BDP(A1059&amp;" US Equity","VOLUME_AVG_20D")</f>
        <v/>
      </c>
      <c r="E1059" s="6">
        <f>BDP(A1059&amp;" US Equity","PX_LAST")</f>
        <v/>
      </c>
      <c r="F1059" s="5">
        <f>D1059*E1059</f>
        <v/>
      </c>
      <c r="G1059">
        <f>AND(B1059&gt;=50,B1059&lt;=10000)</f>
        <v/>
      </c>
      <c r="H1059">
        <f>OR(C1059="NAS",C1059="NYS",C1059="ASE")</f>
        <v/>
      </c>
      <c r="I1059">
        <f>F1059&gt;=500000</f>
        <v/>
      </c>
      <c r="J1059">
        <f>E1059&gt;=2</f>
        <v/>
      </c>
      <c r="K1059">
        <f>AND(G1059,H1059,I1059,J1059)</f>
        <v/>
      </c>
    </row>
    <row r="1060">
      <c r="B1060" s="5">
        <f>BDP(A1060&amp;" US Equity","CUR_MKT_CAP")</f>
        <v/>
      </c>
      <c r="C1060">
        <f>BDP(A1060&amp;" US Equity","EXCH_CODE")</f>
        <v/>
      </c>
      <c r="D1060" s="5">
        <f>BDP(A1060&amp;" US Equity","VOLUME_AVG_20D")</f>
        <v/>
      </c>
      <c r="E1060" s="6">
        <f>BDP(A1060&amp;" US Equity","PX_LAST")</f>
        <v/>
      </c>
      <c r="F1060" s="5">
        <f>D1060*E1060</f>
        <v/>
      </c>
      <c r="G1060">
        <f>AND(B1060&gt;=50,B1060&lt;=10000)</f>
        <v/>
      </c>
      <c r="H1060">
        <f>OR(C1060="NAS",C1060="NYS",C1060="ASE")</f>
        <v/>
      </c>
      <c r="I1060">
        <f>F1060&gt;=500000</f>
        <v/>
      </c>
      <c r="J1060">
        <f>E1060&gt;=2</f>
        <v/>
      </c>
      <c r="K1060">
        <f>AND(G1060,H1060,I1060,J1060)</f>
        <v/>
      </c>
    </row>
    <row r="1061">
      <c r="B1061" s="5">
        <f>BDP(A1061&amp;" US Equity","CUR_MKT_CAP")</f>
        <v/>
      </c>
      <c r="C1061">
        <f>BDP(A1061&amp;" US Equity","EXCH_CODE")</f>
        <v/>
      </c>
      <c r="D1061" s="5">
        <f>BDP(A1061&amp;" US Equity","VOLUME_AVG_20D")</f>
        <v/>
      </c>
      <c r="E1061" s="6">
        <f>BDP(A1061&amp;" US Equity","PX_LAST")</f>
        <v/>
      </c>
      <c r="F1061" s="5">
        <f>D1061*E1061</f>
        <v/>
      </c>
      <c r="G1061">
        <f>AND(B1061&gt;=50,B1061&lt;=10000)</f>
        <v/>
      </c>
      <c r="H1061">
        <f>OR(C1061="NAS",C1061="NYS",C1061="ASE")</f>
        <v/>
      </c>
      <c r="I1061">
        <f>F1061&gt;=500000</f>
        <v/>
      </c>
      <c r="J1061">
        <f>E1061&gt;=2</f>
        <v/>
      </c>
      <c r="K1061">
        <f>AND(G1061,H1061,I1061,J1061)</f>
        <v/>
      </c>
    </row>
    <row r="1062">
      <c r="B1062" s="5">
        <f>BDP(A1062&amp;" US Equity","CUR_MKT_CAP")</f>
        <v/>
      </c>
      <c r="C1062">
        <f>BDP(A1062&amp;" US Equity","EXCH_CODE")</f>
        <v/>
      </c>
      <c r="D1062" s="5">
        <f>BDP(A1062&amp;" US Equity","VOLUME_AVG_20D")</f>
        <v/>
      </c>
      <c r="E1062" s="6">
        <f>BDP(A1062&amp;" US Equity","PX_LAST")</f>
        <v/>
      </c>
      <c r="F1062" s="5">
        <f>D1062*E1062</f>
        <v/>
      </c>
      <c r="G1062">
        <f>AND(B1062&gt;=50,B1062&lt;=10000)</f>
        <v/>
      </c>
      <c r="H1062">
        <f>OR(C1062="NAS",C1062="NYS",C1062="ASE")</f>
        <v/>
      </c>
      <c r="I1062">
        <f>F1062&gt;=500000</f>
        <v/>
      </c>
      <c r="J1062">
        <f>E1062&gt;=2</f>
        <v/>
      </c>
      <c r="K1062">
        <f>AND(G1062,H1062,I1062,J1062)</f>
        <v/>
      </c>
    </row>
    <row r="1063">
      <c r="B1063" s="5">
        <f>BDP(A1063&amp;" US Equity","CUR_MKT_CAP")</f>
        <v/>
      </c>
      <c r="C1063">
        <f>BDP(A1063&amp;" US Equity","EXCH_CODE")</f>
        <v/>
      </c>
      <c r="D1063" s="5">
        <f>BDP(A1063&amp;" US Equity","VOLUME_AVG_20D")</f>
        <v/>
      </c>
      <c r="E1063" s="6">
        <f>BDP(A1063&amp;" US Equity","PX_LAST")</f>
        <v/>
      </c>
      <c r="F1063" s="5">
        <f>D1063*E1063</f>
        <v/>
      </c>
      <c r="G1063">
        <f>AND(B1063&gt;=50,B1063&lt;=10000)</f>
        <v/>
      </c>
      <c r="H1063">
        <f>OR(C1063="NAS",C1063="NYS",C1063="ASE")</f>
        <v/>
      </c>
      <c r="I1063">
        <f>F1063&gt;=500000</f>
        <v/>
      </c>
      <c r="J1063">
        <f>E1063&gt;=2</f>
        <v/>
      </c>
      <c r="K1063">
        <f>AND(G1063,H1063,I1063,J1063)</f>
        <v/>
      </c>
    </row>
    <row r="1064">
      <c r="B1064" s="5">
        <f>BDP(A1064&amp;" US Equity","CUR_MKT_CAP")</f>
        <v/>
      </c>
      <c r="C1064">
        <f>BDP(A1064&amp;" US Equity","EXCH_CODE")</f>
        <v/>
      </c>
      <c r="D1064" s="5">
        <f>BDP(A1064&amp;" US Equity","VOLUME_AVG_20D")</f>
        <v/>
      </c>
      <c r="E1064" s="6">
        <f>BDP(A1064&amp;" US Equity","PX_LAST")</f>
        <v/>
      </c>
      <c r="F1064" s="5">
        <f>D1064*E1064</f>
        <v/>
      </c>
      <c r="G1064">
        <f>AND(B1064&gt;=50,B1064&lt;=10000)</f>
        <v/>
      </c>
      <c r="H1064">
        <f>OR(C1064="NAS",C1064="NYS",C1064="ASE")</f>
        <v/>
      </c>
      <c r="I1064">
        <f>F1064&gt;=500000</f>
        <v/>
      </c>
      <c r="J1064">
        <f>E1064&gt;=2</f>
        <v/>
      </c>
      <c r="K1064">
        <f>AND(G1064,H1064,I1064,J1064)</f>
        <v/>
      </c>
    </row>
    <row r="1065">
      <c r="B1065" s="5">
        <f>BDP(A1065&amp;" US Equity","CUR_MKT_CAP")</f>
        <v/>
      </c>
      <c r="C1065">
        <f>BDP(A1065&amp;" US Equity","EXCH_CODE")</f>
        <v/>
      </c>
      <c r="D1065" s="5">
        <f>BDP(A1065&amp;" US Equity","VOLUME_AVG_20D")</f>
        <v/>
      </c>
      <c r="E1065" s="6">
        <f>BDP(A1065&amp;" US Equity","PX_LAST")</f>
        <v/>
      </c>
      <c r="F1065" s="5">
        <f>D1065*E1065</f>
        <v/>
      </c>
      <c r="G1065">
        <f>AND(B1065&gt;=50,B1065&lt;=10000)</f>
        <v/>
      </c>
      <c r="H1065">
        <f>OR(C1065="NAS",C1065="NYS",C1065="ASE")</f>
        <v/>
      </c>
      <c r="I1065">
        <f>F1065&gt;=500000</f>
        <v/>
      </c>
      <c r="J1065">
        <f>E1065&gt;=2</f>
        <v/>
      </c>
      <c r="K1065">
        <f>AND(G1065,H1065,I1065,J1065)</f>
        <v/>
      </c>
    </row>
    <row r="1066">
      <c r="B1066" s="5">
        <f>BDP(A1066&amp;" US Equity","CUR_MKT_CAP")</f>
        <v/>
      </c>
      <c r="C1066">
        <f>BDP(A1066&amp;" US Equity","EXCH_CODE")</f>
        <v/>
      </c>
      <c r="D1066" s="5">
        <f>BDP(A1066&amp;" US Equity","VOLUME_AVG_20D")</f>
        <v/>
      </c>
      <c r="E1066" s="6">
        <f>BDP(A1066&amp;" US Equity","PX_LAST")</f>
        <v/>
      </c>
      <c r="F1066" s="5">
        <f>D1066*E1066</f>
        <v/>
      </c>
      <c r="G1066">
        <f>AND(B1066&gt;=50,B1066&lt;=10000)</f>
        <v/>
      </c>
      <c r="H1066">
        <f>OR(C1066="NAS",C1066="NYS",C1066="ASE")</f>
        <v/>
      </c>
      <c r="I1066">
        <f>F1066&gt;=500000</f>
        <v/>
      </c>
      <c r="J1066">
        <f>E1066&gt;=2</f>
        <v/>
      </c>
      <c r="K1066">
        <f>AND(G1066,H1066,I1066,J1066)</f>
        <v/>
      </c>
    </row>
    <row r="1067">
      <c r="B1067" s="5">
        <f>BDP(A1067&amp;" US Equity","CUR_MKT_CAP")</f>
        <v/>
      </c>
      <c r="C1067">
        <f>BDP(A1067&amp;" US Equity","EXCH_CODE")</f>
        <v/>
      </c>
      <c r="D1067" s="5">
        <f>BDP(A1067&amp;" US Equity","VOLUME_AVG_20D")</f>
        <v/>
      </c>
      <c r="E1067" s="6">
        <f>BDP(A1067&amp;" US Equity","PX_LAST")</f>
        <v/>
      </c>
      <c r="F1067" s="5">
        <f>D1067*E1067</f>
        <v/>
      </c>
      <c r="G1067">
        <f>AND(B1067&gt;=50,B1067&lt;=10000)</f>
        <v/>
      </c>
      <c r="H1067">
        <f>OR(C1067="NAS",C1067="NYS",C1067="ASE")</f>
        <v/>
      </c>
      <c r="I1067">
        <f>F1067&gt;=500000</f>
        <v/>
      </c>
      <c r="J1067">
        <f>E1067&gt;=2</f>
        <v/>
      </c>
      <c r="K1067">
        <f>AND(G1067,H1067,I1067,J1067)</f>
        <v/>
      </c>
    </row>
    <row r="1068">
      <c r="B1068" s="5">
        <f>BDP(A1068&amp;" US Equity","CUR_MKT_CAP")</f>
        <v/>
      </c>
      <c r="C1068">
        <f>BDP(A1068&amp;" US Equity","EXCH_CODE")</f>
        <v/>
      </c>
      <c r="D1068" s="5">
        <f>BDP(A1068&amp;" US Equity","VOLUME_AVG_20D")</f>
        <v/>
      </c>
      <c r="E1068" s="6">
        <f>BDP(A1068&amp;" US Equity","PX_LAST")</f>
        <v/>
      </c>
      <c r="F1068" s="5">
        <f>D1068*E1068</f>
        <v/>
      </c>
      <c r="G1068">
        <f>AND(B1068&gt;=50,B1068&lt;=10000)</f>
        <v/>
      </c>
      <c r="H1068">
        <f>OR(C1068="NAS",C1068="NYS",C1068="ASE")</f>
        <v/>
      </c>
      <c r="I1068">
        <f>F1068&gt;=500000</f>
        <v/>
      </c>
      <c r="J1068">
        <f>E1068&gt;=2</f>
        <v/>
      </c>
      <c r="K1068">
        <f>AND(G1068,H1068,I1068,J1068)</f>
        <v/>
      </c>
    </row>
    <row r="1069">
      <c r="B1069" s="5">
        <f>BDP(A1069&amp;" US Equity","CUR_MKT_CAP")</f>
        <v/>
      </c>
      <c r="C1069">
        <f>BDP(A1069&amp;" US Equity","EXCH_CODE")</f>
        <v/>
      </c>
      <c r="D1069" s="5">
        <f>BDP(A1069&amp;" US Equity","VOLUME_AVG_20D")</f>
        <v/>
      </c>
      <c r="E1069" s="6">
        <f>BDP(A1069&amp;" US Equity","PX_LAST")</f>
        <v/>
      </c>
      <c r="F1069" s="5">
        <f>D1069*E1069</f>
        <v/>
      </c>
      <c r="G1069">
        <f>AND(B1069&gt;=50,B1069&lt;=10000)</f>
        <v/>
      </c>
      <c r="H1069">
        <f>OR(C1069="NAS",C1069="NYS",C1069="ASE")</f>
        <v/>
      </c>
      <c r="I1069">
        <f>F1069&gt;=500000</f>
        <v/>
      </c>
      <c r="J1069">
        <f>E1069&gt;=2</f>
        <v/>
      </c>
      <c r="K1069">
        <f>AND(G1069,H1069,I1069,J1069)</f>
        <v/>
      </c>
    </row>
    <row r="1070">
      <c r="B1070" s="5">
        <f>BDP(A1070&amp;" US Equity","CUR_MKT_CAP")</f>
        <v/>
      </c>
      <c r="C1070">
        <f>BDP(A1070&amp;" US Equity","EXCH_CODE")</f>
        <v/>
      </c>
      <c r="D1070" s="5">
        <f>BDP(A1070&amp;" US Equity","VOLUME_AVG_20D")</f>
        <v/>
      </c>
      <c r="E1070" s="6">
        <f>BDP(A1070&amp;" US Equity","PX_LAST")</f>
        <v/>
      </c>
      <c r="F1070" s="5">
        <f>D1070*E1070</f>
        <v/>
      </c>
      <c r="G1070">
        <f>AND(B1070&gt;=50,B1070&lt;=10000)</f>
        <v/>
      </c>
      <c r="H1070">
        <f>OR(C1070="NAS",C1070="NYS",C1070="ASE")</f>
        <v/>
      </c>
      <c r="I1070">
        <f>F1070&gt;=500000</f>
        <v/>
      </c>
      <c r="J1070">
        <f>E1070&gt;=2</f>
        <v/>
      </c>
      <c r="K1070">
        <f>AND(G1070,H1070,I1070,J1070)</f>
        <v/>
      </c>
    </row>
    <row r="1071">
      <c r="B1071" s="5">
        <f>BDP(A1071&amp;" US Equity","CUR_MKT_CAP")</f>
        <v/>
      </c>
      <c r="C1071">
        <f>BDP(A1071&amp;" US Equity","EXCH_CODE")</f>
        <v/>
      </c>
      <c r="D1071" s="5">
        <f>BDP(A1071&amp;" US Equity","VOLUME_AVG_20D")</f>
        <v/>
      </c>
      <c r="E1071" s="6">
        <f>BDP(A1071&amp;" US Equity","PX_LAST")</f>
        <v/>
      </c>
      <c r="F1071" s="5">
        <f>D1071*E1071</f>
        <v/>
      </c>
      <c r="G1071">
        <f>AND(B1071&gt;=50,B1071&lt;=10000)</f>
        <v/>
      </c>
      <c r="H1071">
        <f>OR(C1071="NAS",C1071="NYS",C1071="ASE")</f>
        <v/>
      </c>
      <c r="I1071">
        <f>F1071&gt;=500000</f>
        <v/>
      </c>
      <c r="J1071">
        <f>E1071&gt;=2</f>
        <v/>
      </c>
      <c r="K1071">
        <f>AND(G1071,H1071,I1071,J1071)</f>
        <v/>
      </c>
    </row>
    <row r="1072">
      <c r="B1072" s="5">
        <f>BDP(A1072&amp;" US Equity","CUR_MKT_CAP")</f>
        <v/>
      </c>
      <c r="C1072">
        <f>BDP(A1072&amp;" US Equity","EXCH_CODE")</f>
        <v/>
      </c>
      <c r="D1072" s="5">
        <f>BDP(A1072&amp;" US Equity","VOLUME_AVG_20D")</f>
        <v/>
      </c>
      <c r="E1072" s="6">
        <f>BDP(A1072&amp;" US Equity","PX_LAST")</f>
        <v/>
      </c>
      <c r="F1072" s="5">
        <f>D1072*E1072</f>
        <v/>
      </c>
      <c r="G1072">
        <f>AND(B1072&gt;=50,B1072&lt;=10000)</f>
        <v/>
      </c>
      <c r="H1072">
        <f>OR(C1072="NAS",C1072="NYS",C1072="ASE")</f>
        <v/>
      </c>
      <c r="I1072">
        <f>F1072&gt;=500000</f>
        <v/>
      </c>
      <c r="J1072">
        <f>E1072&gt;=2</f>
        <v/>
      </c>
      <c r="K1072">
        <f>AND(G1072,H1072,I1072,J1072)</f>
        <v/>
      </c>
    </row>
    <row r="1073">
      <c r="B1073" s="5">
        <f>BDP(A1073&amp;" US Equity","CUR_MKT_CAP")</f>
        <v/>
      </c>
      <c r="C1073">
        <f>BDP(A1073&amp;" US Equity","EXCH_CODE")</f>
        <v/>
      </c>
      <c r="D1073" s="5">
        <f>BDP(A1073&amp;" US Equity","VOLUME_AVG_20D")</f>
        <v/>
      </c>
      <c r="E1073" s="6">
        <f>BDP(A1073&amp;" US Equity","PX_LAST")</f>
        <v/>
      </c>
      <c r="F1073" s="5">
        <f>D1073*E1073</f>
        <v/>
      </c>
      <c r="G1073">
        <f>AND(B1073&gt;=50,B1073&lt;=10000)</f>
        <v/>
      </c>
      <c r="H1073">
        <f>OR(C1073="NAS",C1073="NYS",C1073="ASE")</f>
        <v/>
      </c>
      <c r="I1073">
        <f>F1073&gt;=500000</f>
        <v/>
      </c>
      <c r="J1073">
        <f>E1073&gt;=2</f>
        <v/>
      </c>
      <c r="K1073">
        <f>AND(G1073,H1073,I1073,J1073)</f>
        <v/>
      </c>
    </row>
    <row r="1074">
      <c r="B1074" s="5">
        <f>BDP(A1074&amp;" US Equity","CUR_MKT_CAP")</f>
        <v/>
      </c>
      <c r="C1074">
        <f>BDP(A1074&amp;" US Equity","EXCH_CODE")</f>
        <v/>
      </c>
      <c r="D1074" s="5">
        <f>BDP(A1074&amp;" US Equity","VOLUME_AVG_20D")</f>
        <v/>
      </c>
      <c r="E1074" s="6">
        <f>BDP(A1074&amp;" US Equity","PX_LAST")</f>
        <v/>
      </c>
      <c r="F1074" s="5">
        <f>D1074*E1074</f>
        <v/>
      </c>
      <c r="G1074">
        <f>AND(B1074&gt;=50,B1074&lt;=10000)</f>
        <v/>
      </c>
      <c r="H1074">
        <f>OR(C1074="NAS",C1074="NYS",C1074="ASE")</f>
        <v/>
      </c>
      <c r="I1074">
        <f>F1074&gt;=500000</f>
        <v/>
      </c>
      <c r="J1074">
        <f>E1074&gt;=2</f>
        <v/>
      </c>
      <c r="K1074">
        <f>AND(G1074,H1074,I1074,J1074)</f>
        <v/>
      </c>
    </row>
    <row r="1075">
      <c r="B1075" s="5">
        <f>BDP(A1075&amp;" US Equity","CUR_MKT_CAP")</f>
        <v/>
      </c>
      <c r="C1075">
        <f>BDP(A1075&amp;" US Equity","EXCH_CODE")</f>
        <v/>
      </c>
      <c r="D1075" s="5">
        <f>BDP(A1075&amp;" US Equity","VOLUME_AVG_20D")</f>
        <v/>
      </c>
      <c r="E1075" s="6">
        <f>BDP(A1075&amp;" US Equity","PX_LAST")</f>
        <v/>
      </c>
      <c r="F1075" s="5">
        <f>D1075*E1075</f>
        <v/>
      </c>
      <c r="G1075">
        <f>AND(B1075&gt;=50,B1075&lt;=10000)</f>
        <v/>
      </c>
      <c r="H1075">
        <f>OR(C1075="NAS",C1075="NYS",C1075="ASE")</f>
        <v/>
      </c>
      <c r="I1075">
        <f>F1075&gt;=500000</f>
        <v/>
      </c>
      <c r="J1075">
        <f>E1075&gt;=2</f>
        <v/>
      </c>
      <c r="K1075">
        <f>AND(G1075,H1075,I1075,J1075)</f>
        <v/>
      </c>
    </row>
    <row r="1076">
      <c r="B1076" s="5">
        <f>BDP(A1076&amp;" US Equity","CUR_MKT_CAP")</f>
        <v/>
      </c>
      <c r="C1076">
        <f>BDP(A1076&amp;" US Equity","EXCH_CODE")</f>
        <v/>
      </c>
      <c r="D1076" s="5">
        <f>BDP(A1076&amp;" US Equity","VOLUME_AVG_20D")</f>
        <v/>
      </c>
      <c r="E1076" s="6">
        <f>BDP(A1076&amp;" US Equity","PX_LAST")</f>
        <v/>
      </c>
      <c r="F1076" s="5">
        <f>D1076*E1076</f>
        <v/>
      </c>
      <c r="G1076">
        <f>AND(B1076&gt;=50,B1076&lt;=10000)</f>
        <v/>
      </c>
      <c r="H1076">
        <f>OR(C1076="NAS",C1076="NYS",C1076="ASE")</f>
        <v/>
      </c>
      <c r="I1076">
        <f>F1076&gt;=500000</f>
        <v/>
      </c>
      <c r="J1076">
        <f>E1076&gt;=2</f>
        <v/>
      </c>
      <c r="K1076">
        <f>AND(G1076,H1076,I1076,J1076)</f>
        <v/>
      </c>
    </row>
    <row r="1077">
      <c r="B1077" s="5">
        <f>BDP(A1077&amp;" US Equity","CUR_MKT_CAP")</f>
        <v/>
      </c>
      <c r="C1077">
        <f>BDP(A1077&amp;" US Equity","EXCH_CODE")</f>
        <v/>
      </c>
      <c r="D1077" s="5">
        <f>BDP(A1077&amp;" US Equity","VOLUME_AVG_20D")</f>
        <v/>
      </c>
      <c r="E1077" s="6">
        <f>BDP(A1077&amp;" US Equity","PX_LAST")</f>
        <v/>
      </c>
      <c r="F1077" s="5">
        <f>D1077*E1077</f>
        <v/>
      </c>
      <c r="G1077">
        <f>AND(B1077&gt;=50,B1077&lt;=10000)</f>
        <v/>
      </c>
      <c r="H1077">
        <f>OR(C1077="NAS",C1077="NYS",C1077="ASE")</f>
        <v/>
      </c>
      <c r="I1077">
        <f>F1077&gt;=500000</f>
        <v/>
      </c>
      <c r="J1077">
        <f>E1077&gt;=2</f>
        <v/>
      </c>
      <c r="K1077">
        <f>AND(G1077,H1077,I1077,J1077)</f>
        <v/>
      </c>
    </row>
    <row r="1078">
      <c r="B1078" s="5">
        <f>BDP(A1078&amp;" US Equity","CUR_MKT_CAP")</f>
        <v/>
      </c>
      <c r="C1078">
        <f>BDP(A1078&amp;" US Equity","EXCH_CODE")</f>
        <v/>
      </c>
      <c r="D1078" s="5">
        <f>BDP(A1078&amp;" US Equity","VOLUME_AVG_20D")</f>
        <v/>
      </c>
      <c r="E1078" s="6">
        <f>BDP(A1078&amp;" US Equity","PX_LAST")</f>
        <v/>
      </c>
      <c r="F1078" s="5">
        <f>D1078*E1078</f>
        <v/>
      </c>
      <c r="G1078">
        <f>AND(B1078&gt;=50,B1078&lt;=10000)</f>
        <v/>
      </c>
      <c r="H1078">
        <f>OR(C1078="NAS",C1078="NYS",C1078="ASE")</f>
        <v/>
      </c>
      <c r="I1078">
        <f>F1078&gt;=500000</f>
        <v/>
      </c>
      <c r="J1078">
        <f>E1078&gt;=2</f>
        <v/>
      </c>
      <c r="K1078">
        <f>AND(G1078,H1078,I1078,J1078)</f>
        <v/>
      </c>
    </row>
    <row r="1079">
      <c r="B1079" s="5">
        <f>BDP(A1079&amp;" US Equity","CUR_MKT_CAP")</f>
        <v/>
      </c>
      <c r="C1079">
        <f>BDP(A1079&amp;" US Equity","EXCH_CODE")</f>
        <v/>
      </c>
      <c r="D1079" s="5">
        <f>BDP(A1079&amp;" US Equity","VOLUME_AVG_20D")</f>
        <v/>
      </c>
      <c r="E1079" s="6">
        <f>BDP(A1079&amp;" US Equity","PX_LAST")</f>
        <v/>
      </c>
      <c r="F1079" s="5">
        <f>D1079*E1079</f>
        <v/>
      </c>
      <c r="G1079">
        <f>AND(B1079&gt;=50,B1079&lt;=10000)</f>
        <v/>
      </c>
      <c r="H1079">
        <f>OR(C1079="NAS",C1079="NYS",C1079="ASE")</f>
        <v/>
      </c>
      <c r="I1079">
        <f>F1079&gt;=500000</f>
        <v/>
      </c>
      <c r="J1079">
        <f>E1079&gt;=2</f>
        <v/>
      </c>
      <c r="K1079">
        <f>AND(G1079,H1079,I1079,J1079)</f>
        <v/>
      </c>
    </row>
    <row r="1080">
      <c r="B1080" s="5">
        <f>BDP(A1080&amp;" US Equity","CUR_MKT_CAP")</f>
        <v/>
      </c>
      <c r="C1080">
        <f>BDP(A1080&amp;" US Equity","EXCH_CODE")</f>
        <v/>
      </c>
      <c r="D1080" s="5">
        <f>BDP(A1080&amp;" US Equity","VOLUME_AVG_20D")</f>
        <v/>
      </c>
      <c r="E1080" s="6">
        <f>BDP(A1080&amp;" US Equity","PX_LAST")</f>
        <v/>
      </c>
      <c r="F1080" s="5">
        <f>D1080*E1080</f>
        <v/>
      </c>
      <c r="G1080">
        <f>AND(B1080&gt;=50,B1080&lt;=10000)</f>
        <v/>
      </c>
      <c r="H1080">
        <f>OR(C1080="NAS",C1080="NYS",C1080="ASE")</f>
        <v/>
      </c>
      <c r="I1080">
        <f>F1080&gt;=500000</f>
        <v/>
      </c>
      <c r="J1080">
        <f>E1080&gt;=2</f>
        <v/>
      </c>
      <c r="K1080">
        <f>AND(G1080,H1080,I1080,J1080)</f>
        <v/>
      </c>
    </row>
    <row r="1081">
      <c r="B1081" s="5">
        <f>BDP(A1081&amp;" US Equity","CUR_MKT_CAP")</f>
        <v/>
      </c>
      <c r="C1081">
        <f>BDP(A1081&amp;" US Equity","EXCH_CODE")</f>
        <v/>
      </c>
      <c r="D1081" s="5">
        <f>BDP(A1081&amp;" US Equity","VOLUME_AVG_20D")</f>
        <v/>
      </c>
      <c r="E1081" s="6">
        <f>BDP(A1081&amp;" US Equity","PX_LAST")</f>
        <v/>
      </c>
      <c r="F1081" s="5">
        <f>D1081*E1081</f>
        <v/>
      </c>
      <c r="G1081">
        <f>AND(B1081&gt;=50,B1081&lt;=10000)</f>
        <v/>
      </c>
      <c r="H1081">
        <f>OR(C1081="NAS",C1081="NYS",C1081="ASE")</f>
        <v/>
      </c>
      <c r="I1081">
        <f>F1081&gt;=500000</f>
        <v/>
      </c>
      <c r="J1081">
        <f>E1081&gt;=2</f>
        <v/>
      </c>
      <c r="K1081">
        <f>AND(G1081,H1081,I1081,J1081)</f>
        <v/>
      </c>
    </row>
    <row r="1082">
      <c r="B1082" s="5">
        <f>BDP(A1082&amp;" US Equity","CUR_MKT_CAP")</f>
        <v/>
      </c>
      <c r="C1082">
        <f>BDP(A1082&amp;" US Equity","EXCH_CODE")</f>
        <v/>
      </c>
      <c r="D1082" s="5">
        <f>BDP(A1082&amp;" US Equity","VOLUME_AVG_20D")</f>
        <v/>
      </c>
      <c r="E1082" s="6">
        <f>BDP(A1082&amp;" US Equity","PX_LAST")</f>
        <v/>
      </c>
      <c r="F1082" s="5">
        <f>D1082*E1082</f>
        <v/>
      </c>
      <c r="G1082">
        <f>AND(B1082&gt;=50,B1082&lt;=10000)</f>
        <v/>
      </c>
      <c r="H1082">
        <f>OR(C1082="NAS",C1082="NYS",C1082="ASE")</f>
        <v/>
      </c>
      <c r="I1082">
        <f>F1082&gt;=500000</f>
        <v/>
      </c>
      <c r="J1082">
        <f>E1082&gt;=2</f>
        <v/>
      </c>
      <c r="K1082">
        <f>AND(G1082,H1082,I1082,J1082)</f>
        <v/>
      </c>
    </row>
    <row r="1083">
      <c r="B1083" s="5">
        <f>BDP(A1083&amp;" US Equity","CUR_MKT_CAP")</f>
        <v/>
      </c>
      <c r="C1083">
        <f>BDP(A1083&amp;" US Equity","EXCH_CODE")</f>
        <v/>
      </c>
      <c r="D1083" s="5">
        <f>BDP(A1083&amp;" US Equity","VOLUME_AVG_20D")</f>
        <v/>
      </c>
      <c r="E1083" s="6">
        <f>BDP(A1083&amp;" US Equity","PX_LAST")</f>
        <v/>
      </c>
      <c r="F1083" s="5">
        <f>D1083*E1083</f>
        <v/>
      </c>
      <c r="G1083">
        <f>AND(B1083&gt;=50,B1083&lt;=10000)</f>
        <v/>
      </c>
      <c r="H1083">
        <f>OR(C1083="NAS",C1083="NYS",C1083="ASE")</f>
        <v/>
      </c>
      <c r="I1083">
        <f>F1083&gt;=500000</f>
        <v/>
      </c>
      <c r="J1083">
        <f>E1083&gt;=2</f>
        <v/>
      </c>
      <c r="K1083">
        <f>AND(G1083,H1083,I1083,J1083)</f>
        <v/>
      </c>
    </row>
    <row r="1084">
      <c r="B1084" s="5">
        <f>BDP(A1084&amp;" US Equity","CUR_MKT_CAP")</f>
        <v/>
      </c>
      <c r="C1084">
        <f>BDP(A1084&amp;" US Equity","EXCH_CODE")</f>
        <v/>
      </c>
      <c r="D1084" s="5">
        <f>BDP(A1084&amp;" US Equity","VOLUME_AVG_20D")</f>
        <v/>
      </c>
      <c r="E1084" s="6">
        <f>BDP(A1084&amp;" US Equity","PX_LAST")</f>
        <v/>
      </c>
      <c r="F1084" s="5">
        <f>D1084*E1084</f>
        <v/>
      </c>
      <c r="G1084">
        <f>AND(B1084&gt;=50,B1084&lt;=10000)</f>
        <v/>
      </c>
      <c r="H1084">
        <f>OR(C1084="NAS",C1084="NYS",C1084="ASE")</f>
        <v/>
      </c>
      <c r="I1084">
        <f>F1084&gt;=500000</f>
        <v/>
      </c>
      <c r="J1084">
        <f>E1084&gt;=2</f>
        <v/>
      </c>
      <c r="K1084">
        <f>AND(G1084,H1084,I1084,J1084)</f>
        <v/>
      </c>
    </row>
    <row r="1085">
      <c r="B1085" s="5">
        <f>BDP(A1085&amp;" US Equity","CUR_MKT_CAP")</f>
        <v/>
      </c>
      <c r="C1085">
        <f>BDP(A1085&amp;" US Equity","EXCH_CODE")</f>
        <v/>
      </c>
      <c r="D1085" s="5">
        <f>BDP(A1085&amp;" US Equity","VOLUME_AVG_20D")</f>
        <v/>
      </c>
      <c r="E1085" s="6">
        <f>BDP(A1085&amp;" US Equity","PX_LAST")</f>
        <v/>
      </c>
      <c r="F1085" s="5">
        <f>D1085*E1085</f>
        <v/>
      </c>
      <c r="G1085">
        <f>AND(B1085&gt;=50,B1085&lt;=10000)</f>
        <v/>
      </c>
      <c r="H1085">
        <f>OR(C1085="NAS",C1085="NYS",C1085="ASE")</f>
        <v/>
      </c>
      <c r="I1085">
        <f>F1085&gt;=500000</f>
        <v/>
      </c>
      <c r="J1085">
        <f>E1085&gt;=2</f>
        <v/>
      </c>
      <c r="K1085">
        <f>AND(G1085,H1085,I1085,J1085)</f>
        <v/>
      </c>
    </row>
    <row r="1086">
      <c r="B1086" s="5">
        <f>BDP(A1086&amp;" US Equity","CUR_MKT_CAP")</f>
        <v/>
      </c>
      <c r="C1086">
        <f>BDP(A1086&amp;" US Equity","EXCH_CODE")</f>
        <v/>
      </c>
      <c r="D1086" s="5">
        <f>BDP(A1086&amp;" US Equity","VOLUME_AVG_20D")</f>
        <v/>
      </c>
      <c r="E1086" s="6">
        <f>BDP(A1086&amp;" US Equity","PX_LAST")</f>
        <v/>
      </c>
      <c r="F1086" s="5">
        <f>D1086*E1086</f>
        <v/>
      </c>
      <c r="G1086">
        <f>AND(B1086&gt;=50,B1086&lt;=10000)</f>
        <v/>
      </c>
      <c r="H1086">
        <f>OR(C1086="NAS",C1086="NYS",C1086="ASE")</f>
        <v/>
      </c>
      <c r="I1086">
        <f>F1086&gt;=500000</f>
        <v/>
      </c>
      <c r="J1086">
        <f>E1086&gt;=2</f>
        <v/>
      </c>
      <c r="K1086">
        <f>AND(G1086,H1086,I1086,J1086)</f>
        <v/>
      </c>
    </row>
    <row r="1087">
      <c r="B1087" s="5">
        <f>BDP(A1087&amp;" US Equity","CUR_MKT_CAP")</f>
        <v/>
      </c>
      <c r="C1087">
        <f>BDP(A1087&amp;" US Equity","EXCH_CODE")</f>
        <v/>
      </c>
      <c r="D1087" s="5">
        <f>BDP(A1087&amp;" US Equity","VOLUME_AVG_20D")</f>
        <v/>
      </c>
      <c r="E1087" s="6">
        <f>BDP(A1087&amp;" US Equity","PX_LAST")</f>
        <v/>
      </c>
      <c r="F1087" s="5">
        <f>D1087*E1087</f>
        <v/>
      </c>
      <c r="G1087">
        <f>AND(B1087&gt;=50,B1087&lt;=10000)</f>
        <v/>
      </c>
      <c r="H1087">
        <f>OR(C1087="NAS",C1087="NYS",C1087="ASE")</f>
        <v/>
      </c>
      <c r="I1087">
        <f>F1087&gt;=500000</f>
        <v/>
      </c>
      <c r="J1087">
        <f>E1087&gt;=2</f>
        <v/>
      </c>
      <c r="K1087">
        <f>AND(G1087,H1087,I1087,J1087)</f>
        <v/>
      </c>
    </row>
    <row r="1088">
      <c r="B1088" s="5">
        <f>BDP(A1088&amp;" US Equity","CUR_MKT_CAP")</f>
        <v/>
      </c>
      <c r="C1088">
        <f>BDP(A1088&amp;" US Equity","EXCH_CODE")</f>
        <v/>
      </c>
      <c r="D1088" s="5">
        <f>BDP(A1088&amp;" US Equity","VOLUME_AVG_20D")</f>
        <v/>
      </c>
      <c r="E1088" s="6">
        <f>BDP(A1088&amp;" US Equity","PX_LAST")</f>
        <v/>
      </c>
      <c r="F1088" s="5">
        <f>D1088*E1088</f>
        <v/>
      </c>
      <c r="G1088">
        <f>AND(B1088&gt;=50,B1088&lt;=10000)</f>
        <v/>
      </c>
      <c r="H1088">
        <f>OR(C1088="NAS",C1088="NYS",C1088="ASE")</f>
        <v/>
      </c>
      <c r="I1088">
        <f>F1088&gt;=500000</f>
        <v/>
      </c>
      <c r="J1088">
        <f>E1088&gt;=2</f>
        <v/>
      </c>
      <c r="K1088">
        <f>AND(G1088,H1088,I1088,J1088)</f>
        <v/>
      </c>
    </row>
    <row r="1089">
      <c r="B1089" s="5">
        <f>BDP(A1089&amp;" US Equity","CUR_MKT_CAP")</f>
        <v/>
      </c>
      <c r="C1089">
        <f>BDP(A1089&amp;" US Equity","EXCH_CODE")</f>
        <v/>
      </c>
      <c r="D1089" s="5">
        <f>BDP(A1089&amp;" US Equity","VOLUME_AVG_20D")</f>
        <v/>
      </c>
      <c r="E1089" s="6">
        <f>BDP(A1089&amp;" US Equity","PX_LAST")</f>
        <v/>
      </c>
      <c r="F1089" s="5">
        <f>D1089*E1089</f>
        <v/>
      </c>
      <c r="G1089">
        <f>AND(B1089&gt;=50,B1089&lt;=10000)</f>
        <v/>
      </c>
      <c r="H1089">
        <f>OR(C1089="NAS",C1089="NYS",C1089="ASE")</f>
        <v/>
      </c>
      <c r="I1089">
        <f>F1089&gt;=500000</f>
        <v/>
      </c>
      <c r="J1089">
        <f>E1089&gt;=2</f>
        <v/>
      </c>
      <c r="K1089">
        <f>AND(G1089,H1089,I1089,J1089)</f>
        <v/>
      </c>
    </row>
    <row r="1090">
      <c r="B1090" s="5">
        <f>BDP(A1090&amp;" US Equity","CUR_MKT_CAP")</f>
        <v/>
      </c>
      <c r="C1090">
        <f>BDP(A1090&amp;" US Equity","EXCH_CODE")</f>
        <v/>
      </c>
      <c r="D1090" s="5">
        <f>BDP(A1090&amp;" US Equity","VOLUME_AVG_20D")</f>
        <v/>
      </c>
      <c r="E1090" s="6">
        <f>BDP(A1090&amp;" US Equity","PX_LAST")</f>
        <v/>
      </c>
      <c r="F1090" s="5">
        <f>D1090*E1090</f>
        <v/>
      </c>
      <c r="G1090">
        <f>AND(B1090&gt;=50,B1090&lt;=10000)</f>
        <v/>
      </c>
      <c r="H1090">
        <f>OR(C1090="NAS",C1090="NYS",C1090="ASE")</f>
        <v/>
      </c>
      <c r="I1090">
        <f>F1090&gt;=500000</f>
        <v/>
      </c>
      <c r="J1090">
        <f>E1090&gt;=2</f>
        <v/>
      </c>
      <c r="K1090">
        <f>AND(G1090,H1090,I1090,J1090)</f>
        <v/>
      </c>
    </row>
    <row r="1091">
      <c r="B1091" s="5">
        <f>BDP(A1091&amp;" US Equity","CUR_MKT_CAP")</f>
        <v/>
      </c>
      <c r="C1091">
        <f>BDP(A1091&amp;" US Equity","EXCH_CODE")</f>
        <v/>
      </c>
      <c r="D1091" s="5">
        <f>BDP(A1091&amp;" US Equity","VOLUME_AVG_20D")</f>
        <v/>
      </c>
      <c r="E1091" s="6">
        <f>BDP(A1091&amp;" US Equity","PX_LAST")</f>
        <v/>
      </c>
      <c r="F1091" s="5">
        <f>D1091*E1091</f>
        <v/>
      </c>
      <c r="G1091">
        <f>AND(B1091&gt;=50,B1091&lt;=10000)</f>
        <v/>
      </c>
      <c r="H1091">
        <f>OR(C1091="NAS",C1091="NYS",C1091="ASE")</f>
        <v/>
      </c>
      <c r="I1091">
        <f>F1091&gt;=500000</f>
        <v/>
      </c>
      <c r="J1091">
        <f>E1091&gt;=2</f>
        <v/>
      </c>
      <c r="K1091">
        <f>AND(G1091,H1091,I1091,J1091)</f>
        <v/>
      </c>
    </row>
    <row r="1092">
      <c r="B1092" s="5">
        <f>BDP(A1092&amp;" US Equity","CUR_MKT_CAP")</f>
        <v/>
      </c>
      <c r="C1092">
        <f>BDP(A1092&amp;" US Equity","EXCH_CODE")</f>
        <v/>
      </c>
      <c r="D1092" s="5">
        <f>BDP(A1092&amp;" US Equity","VOLUME_AVG_20D")</f>
        <v/>
      </c>
      <c r="E1092" s="6">
        <f>BDP(A1092&amp;" US Equity","PX_LAST")</f>
        <v/>
      </c>
      <c r="F1092" s="5">
        <f>D1092*E1092</f>
        <v/>
      </c>
      <c r="G1092">
        <f>AND(B1092&gt;=50,B1092&lt;=10000)</f>
        <v/>
      </c>
      <c r="H1092">
        <f>OR(C1092="NAS",C1092="NYS",C1092="ASE")</f>
        <v/>
      </c>
      <c r="I1092">
        <f>F1092&gt;=500000</f>
        <v/>
      </c>
      <c r="J1092">
        <f>E1092&gt;=2</f>
        <v/>
      </c>
      <c r="K1092">
        <f>AND(G1092,H1092,I1092,J1092)</f>
        <v/>
      </c>
    </row>
    <row r="1093">
      <c r="B1093" s="5">
        <f>BDP(A1093&amp;" US Equity","CUR_MKT_CAP")</f>
        <v/>
      </c>
      <c r="C1093">
        <f>BDP(A1093&amp;" US Equity","EXCH_CODE")</f>
        <v/>
      </c>
      <c r="D1093" s="5">
        <f>BDP(A1093&amp;" US Equity","VOLUME_AVG_20D")</f>
        <v/>
      </c>
      <c r="E1093" s="6">
        <f>BDP(A1093&amp;" US Equity","PX_LAST")</f>
        <v/>
      </c>
      <c r="F1093" s="5">
        <f>D1093*E1093</f>
        <v/>
      </c>
      <c r="G1093">
        <f>AND(B1093&gt;=50,B1093&lt;=10000)</f>
        <v/>
      </c>
      <c r="H1093">
        <f>OR(C1093="NAS",C1093="NYS",C1093="ASE")</f>
        <v/>
      </c>
      <c r="I1093">
        <f>F1093&gt;=500000</f>
        <v/>
      </c>
      <c r="J1093">
        <f>E1093&gt;=2</f>
        <v/>
      </c>
      <c r="K1093">
        <f>AND(G1093,H1093,I1093,J1093)</f>
        <v/>
      </c>
    </row>
    <row r="1094">
      <c r="B1094" s="5">
        <f>BDP(A1094&amp;" US Equity","CUR_MKT_CAP")</f>
        <v/>
      </c>
      <c r="C1094">
        <f>BDP(A1094&amp;" US Equity","EXCH_CODE")</f>
        <v/>
      </c>
      <c r="D1094" s="5">
        <f>BDP(A1094&amp;" US Equity","VOLUME_AVG_20D")</f>
        <v/>
      </c>
      <c r="E1094" s="6">
        <f>BDP(A1094&amp;" US Equity","PX_LAST")</f>
        <v/>
      </c>
      <c r="F1094" s="5">
        <f>D1094*E1094</f>
        <v/>
      </c>
      <c r="G1094">
        <f>AND(B1094&gt;=50,B1094&lt;=10000)</f>
        <v/>
      </c>
      <c r="H1094">
        <f>OR(C1094="NAS",C1094="NYS",C1094="ASE")</f>
        <v/>
      </c>
      <c r="I1094">
        <f>F1094&gt;=500000</f>
        <v/>
      </c>
      <c r="J1094">
        <f>E1094&gt;=2</f>
        <v/>
      </c>
      <c r="K1094">
        <f>AND(G1094,H1094,I1094,J1094)</f>
        <v/>
      </c>
    </row>
    <row r="1095">
      <c r="B1095" s="5">
        <f>BDP(A1095&amp;" US Equity","CUR_MKT_CAP")</f>
        <v/>
      </c>
      <c r="C1095">
        <f>BDP(A1095&amp;" US Equity","EXCH_CODE")</f>
        <v/>
      </c>
      <c r="D1095" s="5">
        <f>BDP(A1095&amp;" US Equity","VOLUME_AVG_20D")</f>
        <v/>
      </c>
      <c r="E1095" s="6">
        <f>BDP(A1095&amp;" US Equity","PX_LAST")</f>
        <v/>
      </c>
      <c r="F1095" s="5">
        <f>D1095*E1095</f>
        <v/>
      </c>
      <c r="G1095">
        <f>AND(B1095&gt;=50,B1095&lt;=10000)</f>
        <v/>
      </c>
      <c r="H1095">
        <f>OR(C1095="NAS",C1095="NYS",C1095="ASE")</f>
        <v/>
      </c>
      <c r="I1095">
        <f>F1095&gt;=500000</f>
        <v/>
      </c>
      <c r="J1095">
        <f>E1095&gt;=2</f>
        <v/>
      </c>
      <c r="K1095">
        <f>AND(G1095,H1095,I1095,J1095)</f>
        <v/>
      </c>
    </row>
    <row r="1096">
      <c r="B1096" s="5">
        <f>BDP(A1096&amp;" US Equity","CUR_MKT_CAP")</f>
        <v/>
      </c>
      <c r="C1096">
        <f>BDP(A1096&amp;" US Equity","EXCH_CODE")</f>
        <v/>
      </c>
      <c r="D1096" s="5">
        <f>BDP(A1096&amp;" US Equity","VOLUME_AVG_20D")</f>
        <v/>
      </c>
      <c r="E1096" s="6">
        <f>BDP(A1096&amp;" US Equity","PX_LAST")</f>
        <v/>
      </c>
      <c r="F1096" s="5">
        <f>D1096*E1096</f>
        <v/>
      </c>
      <c r="G1096">
        <f>AND(B1096&gt;=50,B1096&lt;=10000)</f>
        <v/>
      </c>
      <c r="H1096">
        <f>OR(C1096="NAS",C1096="NYS",C1096="ASE")</f>
        <v/>
      </c>
      <c r="I1096">
        <f>F1096&gt;=500000</f>
        <v/>
      </c>
      <c r="J1096">
        <f>E1096&gt;=2</f>
        <v/>
      </c>
      <c r="K1096">
        <f>AND(G1096,H1096,I1096,J1096)</f>
        <v/>
      </c>
    </row>
    <row r="1097">
      <c r="B1097" s="5">
        <f>BDP(A1097&amp;" US Equity","CUR_MKT_CAP")</f>
        <v/>
      </c>
      <c r="C1097">
        <f>BDP(A1097&amp;" US Equity","EXCH_CODE")</f>
        <v/>
      </c>
      <c r="D1097" s="5">
        <f>BDP(A1097&amp;" US Equity","VOLUME_AVG_20D")</f>
        <v/>
      </c>
      <c r="E1097" s="6">
        <f>BDP(A1097&amp;" US Equity","PX_LAST")</f>
        <v/>
      </c>
      <c r="F1097" s="5">
        <f>D1097*E1097</f>
        <v/>
      </c>
      <c r="G1097">
        <f>AND(B1097&gt;=50,B1097&lt;=10000)</f>
        <v/>
      </c>
      <c r="H1097">
        <f>OR(C1097="NAS",C1097="NYS",C1097="ASE")</f>
        <v/>
      </c>
      <c r="I1097">
        <f>F1097&gt;=500000</f>
        <v/>
      </c>
      <c r="J1097">
        <f>E1097&gt;=2</f>
        <v/>
      </c>
      <c r="K1097">
        <f>AND(G1097,H1097,I1097,J1097)</f>
        <v/>
      </c>
    </row>
    <row r="1098">
      <c r="B1098" s="5">
        <f>BDP(A1098&amp;" US Equity","CUR_MKT_CAP")</f>
        <v/>
      </c>
      <c r="C1098">
        <f>BDP(A1098&amp;" US Equity","EXCH_CODE")</f>
        <v/>
      </c>
      <c r="D1098" s="5">
        <f>BDP(A1098&amp;" US Equity","VOLUME_AVG_20D")</f>
        <v/>
      </c>
      <c r="E1098" s="6">
        <f>BDP(A1098&amp;" US Equity","PX_LAST")</f>
        <v/>
      </c>
      <c r="F1098" s="5">
        <f>D1098*E1098</f>
        <v/>
      </c>
      <c r="G1098">
        <f>AND(B1098&gt;=50,B1098&lt;=10000)</f>
        <v/>
      </c>
      <c r="H1098">
        <f>OR(C1098="NAS",C1098="NYS",C1098="ASE")</f>
        <v/>
      </c>
      <c r="I1098">
        <f>F1098&gt;=500000</f>
        <v/>
      </c>
      <c r="J1098">
        <f>E1098&gt;=2</f>
        <v/>
      </c>
      <c r="K1098">
        <f>AND(G1098,H1098,I1098,J1098)</f>
        <v/>
      </c>
    </row>
    <row r="1099">
      <c r="B1099" s="5">
        <f>BDP(A1099&amp;" US Equity","CUR_MKT_CAP")</f>
        <v/>
      </c>
      <c r="C1099">
        <f>BDP(A1099&amp;" US Equity","EXCH_CODE")</f>
        <v/>
      </c>
      <c r="D1099" s="5">
        <f>BDP(A1099&amp;" US Equity","VOLUME_AVG_20D")</f>
        <v/>
      </c>
      <c r="E1099" s="6">
        <f>BDP(A1099&amp;" US Equity","PX_LAST")</f>
        <v/>
      </c>
      <c r="F1099" s="5">
        <f>D1099*E1099</f>
        <v/>
      </c>
      <c r="G1099">
        <f>AND(B1099&gt;=50,B1099&lt;=10000)</f>
        <v/>
      </c>
      <c r="H1099">
        <f>OR(C1099="NAS",C1099="NYS",C1099="ASE")</f>
        <v/>
      </c>
      <c r="I1099">
        <f>F1099&gt;=500000</f>
        <v/>
      </c>
      <c r="J1099">
        <f>E1099&gt;=2</f>
        <v/>
      </c>
      <c r="K1099">
        <f>AND(G1099,H1099,I1099,J1099)</f>
        <v/>
      </c>
    </row>
    <row r="1100">
      <c r="B1100" s="5">
        <f>BDP(A1100&amp;" US Equity","CUR_MKT_CAP")</f>
        <v/>
      </c>
      <c r="C1100">
        <f>BDP(A1100&amp;" US Equity","EXCH_CODE")</f>
        <v/>
      </c>
      <c r="D1100" s="5">
        <f>BDP(A1100&amp;" US Equity","VOLUME_AVG_20D")</f>
        <v/>
      </c>
      <c r="E1100" s="6">
        <f>BDP(A1100&amp;" US Equity","PX_LAST")</f>
        <v/>
      </c>
      <c r="F1100" s="5">
        <f>D1100*E1100</f>
        <v/>
      </c>
      <c r="G1100">
        <f>AND(B1100&gt;=50,B1100&lt;=10000)</f>
        <v/>
      </c>
      <c r="H1100">
        <f>OR(C1100="NAS",C1100="NYS",C1100="ASE")</f>
        <v/>
      </c>
      <c r="I1100">
        <f>F1100&gt;=500000</f>
        <v/>
      </c>
      <c r="J1100">
        <f>E1100&gt;=2</f>
        <v/>
      </c>
      <c r="K1100">
        <f>AND(G1100,H1100,I1100,J1100)</f>
        <v/>
      </c>
    </row>
    <row r="1101">
      <c r="B1101" s="5">
        <f>BDP(A1101&amp;" US Equity","CUR_MKT_CAP")</f>
        <v/>
      </c>
      <c r="C1101">
        <f>BDP(A1101&amp;" US Equity","EXCH_CODE")</f>
        <v/>
      </c>
      <c r="D1101" s="5">
        <f>BDP(A1101&amp;" US Equity","VOLUME_AVG_20D")</f>
        <v/>
      </c>
      <c r="E1101" s="6">
        <f>BDP(A1101&amp;" US Equity","PX_LAST")</f>
        <v/>
      </c>
      <c r="F1101" s="5">
        <f>D1101*E1101</f>
        <v/>
      </c>
      <c r="G1101">
        <f>AND(B1101&gt;=50,B1101&lt;=10000)</f>
        <v/>
      </c>
      <c r="H1101">
        <f>OR(C1101="NAS",C1101="NYS",C1101="ASE")</f>
        <v/>
      </c>
      <c r="I1101">
        <f>F1101&gt;=500000</f>
        <v/>
      </c>
      <c r="J1101">
        <f>E1101&gt;=2</f>
        <v/>
      </c>
      <c r="K1101">
        <f>AND(G1101,H1101,I1101,J1101)</f>
        <v/>
      </c>
    </row>
    <row r="1102">
      <c r="B1102" s="5">
        <f>BDP(A1102&amp;" US Equity","CUR_MKT_CAP")</f>
        <v/>
      </c>
      <c r="C1102">
        <f>BDP(A1102&amp;" US Equity","EXCH_CODE")</f>
        <v/>
      </c>
      <c r="D1102" s="5">
        <f>BDP(A1102&amp;" US Equity","VOLUME_AVG_20D")</f>
        <v/>
      </c>
      <c r="E1102" s="6">
        <f>BDP(A1102&amp;" US Equity","PX_LAST")</f>
        <v/>
      </c>
      <c r="F1102" s="5">
        <f>D1102*E1102</f>
        <v/>
      </c>
      <c r="G1102">
        <f>AND(B1102&gt;=50,B1102&lt;=10000)</f>
        <v/>
      </c>
      <c r="H1102">
        <f>OR(C1102="NAS",C1102="NYS",C1102="ASE")</f>
        <v/>
      </c>
      <c r="I1102">
        <f>F1102&gt;=500000</f>
        <v/>
      </c>
      <c r="J1102">
        <f>E1102&gt;=2</f>
        <v/>
      </c>
      <c r="K1102">
        <f>AND(G1102,H1102,I1102,J1102)</f>
        <v/>
      </c>
    </row>
    <row r="1103">
      <c r="B1103" s="5">
        <f>BDP(A1103&amp;" US Equity","CUR_MKT_CAP")</f>
        <v/>
      </c>
      <c r="C1103">
        <f>BDP(A1103&amp;" US Equity","EXCH_CODE")</f>
        <v/>
      </c>
      <c r="D1103" s="5">
        <f>BDP(A1103&amp;" US Equity","VOLUME_AVG_20D")</f>
        <v/>
      </c>
      <c r="E1103" s="6">
        <f>BDP(A1103&amp;" US Equity","PX_LAST")</f>
        <v/>
      </c>
      <c r="F1103" s="5">
        <f>D1103*E1103</f>
        <v/>
      </c>
      <c r="G1103">
        <f>AND(B1103&gt;=50,B1103&lt;=10000)</f>
        <v/>
      </c>
      <c r="H1103">
        <f>OR(C1103="NAS",C1103="NYS",C1103="ASE")</f>
        <v/>
      </c>
      <c r="I1103">
        <f>F1103&gt;=500000</f>
        <v/>
      </c>
      <c r="J1103">
        <f>E1103&gt;=2</f>
        <v/>
      </c>
      <c r="K1103">
        <f>AND(G1103,H1103,I1103,J1103)</f>
        <v/>
      </c>
    </row>
    <row r="1104">
      <c r="B1104" s="5">
        <f>BDP(A1104&amp;" US Equity","CUR_MKT_CAP")</f>
        <v/>
      </c>
      <c r="C1104">
        <f>BDP(A1104&amp;" US Equity","EXCH_CODE")</f>
        <v/>
      </c>
      <c r="D1104" s="5">
        <f>BDP(A1104&amp;" US Equity","VOLUME_AVG_20D")</f>
        <v/>
      </c>
      <c r="E1104" s="6">
        <f>BDP(A1104&amp;" US Equity","PX_LAST")</f>
        <v/>
      </c>
      <c r="F1104" s="5">
        <f>D1104*E1104</f>
        <v/>
      </c>
      <c r="G1104">
        <f>AND(B1104&gt;=50,B1104&lt;=10000)</f>
        <v/>
      </c>
      <c r="H1104">
        <f>OR(C1104="NAS",C1104="NYS",C1104="ASE")</f>
        <v/>
      </c>
      <c r="I1104">
        <f>F1104&gt;=500000</f>
        <v/>
      </c>
      <c r="J1104">
        <f>E1104&gt;=2</f>
        <v/>
      </c>
      <c r="K1104">
        <f>AND(G1104,H1104,I1104,J1104)</f>
        <v/>
      </c>
    </row>
    <row r="1105">
      <c r="B1105" s="5">
        <f>BDP(A1105&amp;" US Equity","CUR_MKT_CAP")</f>
        <v/>
      </c>
      <c r="C1105">
        <f>BDP(A1105&amp;" US Equity","EXCH_CODE")</f>
        <v/>
      </c>
      <c r="D1105" s="5">
        <f>BDP(A1105&amp;" US Equity","VOLUME_AVG_20D")</f>
        <v/>
      </c>
      <c r="E1105" s="6">
        <f>BDP(A1105&amp;" US Equity","PX_LAST")</f>
        <v/>
      </c>
      <c r="F1105" s="5">
        <f>D1105*E1105</f>
        <v/>
      </c>
      <c r="G1105">
        <f>AND(B1105&gt;=50,B1105&lt;=10000)</f>
        <v/>
      </c>
      <c r="H1105">
        <f>OR(C1105="NAS",C1105="NYS",C1105="ASE")</f>
        <v/>
      </c>
      <c r="I1105">
        <f>F1105&gt;=500000</f>
        <v/>
      </c>
      <c r="J1105">
        <f>E1105&gt;=2</f>
        <v/>
      </c>
      <c r="K1105">
        <f>AND(G1105,H1105,I1105,J1105)</f>
        <v/>
      </c>
    </row>
    <row r="1106">
      <c r="B1106" s="5">
        <f>BDP(A1106&amp;" US Equity","CUR_MKT_CAP")</f>
        <v/>
      </c>
      <c r="C1106">
        <f>BDP(A1106&amp;" US Equity","EXCH_CODE")</f>
        <v/>
      </c>
      <c r="D1106" s="5">
        <f>BDP(A1106&amp;" US Equity","VOLUME_AVG_20D")</f>
        <v/>
      </c>
      <c r="E1106" s="6">
        <f>BDP(A1106&amp;" US Equity","PX_LAST")</f>
        <v/>
      </c>
      <c r="F1106" s="5">
        <f>D1106*E1106</f>
        <v/>
      </c>
      <c r="G1106">
        <f>AND(B1106&gt;=50,B1106&lt;=10000)</f>
        <v/>
      </c>
      <c r="H1106">
        <f>OR(C1106="NAS",C1106="NYS",C1106="ASE")</f>
        <v/>
      </c>
      <c r="I1106">
        <f>F1106&gt;=500000</f>
        <v/>
      </c>
      <c r="J1106">
        <f>E1106&gt;=2</f>
        <v/>
      </c>
      <c r="K1106">
        <f>AND(G1106,H1106,I1106,J1106)</f>
        <v/>
      </c>
    </row>
    <row r="1107">
      <c r="B1107" s="5">
        <f>BDP(A1107&amp;" US Equity","CUR_MKT_CAP")</f>
        <v/>
      </c>
      <c r="C1107">
        <f>BDP(A1107&amp;" US Equity","EXCH_CODE")</f>
        <v/>
      </c>
      <c r="D1107" s="5">
        <f>BDP(A1107&amp;" US Equity","VOLUME_AVG_20D")</f>
        <v/>
      </c>
      <c r="E1107" s="6">
        <f>BDP(A1107&amp;" US Equity","PX_LAST")</f>
        <v/>
      </c>
      <c r="F1107" s="5">
        <f>D1107*E1107</f>
        <v/>
      </c>
      <c r="G1107">
        <f>AND(B1107&gt;=50,B1107&lt;=10000)</f>
        <v/>
      </c>
      <c r="H1107">
        <f>OR(C1107="NAS",C1107="NYS",C1107="ASE")</f>
        <v/>
      </c>
      <c r="I1107">
        <f>F1107&gt;=500000</f>
        <v/>
      </c>
      <c r="J1107">
        <f>E1107&gt;=2</f>
        <v/>
      </c>
      <c r="K1107">
        <f>AND(G1107,H1107,I1107,J1107)</f>
        <v/>
      </c>
    </row>
    <row r="1108">
      <c r="B1108" s="5">
        <f>BDP(A1108&amp;" US Equity","CUR_MKT_CAP")</f>
        <v/>
      </c>
      <c r="C1108">
        <f>BDP(A1108&amp;" US Equity","EXCH_CODE")</f>
        <v/>
      </c>
      <c r="D1108" s="5">
        <f>BDP(A1108&amp;" US Equity","VOLUME_AVG_20D")</f>
        <v/>
      </c>
      <c r="E1108" s="6">
        <f>BDP(A1108&amp;" US Equity","PX_LAST")</f>
        <v/>
      </c>
      <c r="F1108" s="5">
        <f>D1108*E1108</f>
        <v/>
      </c>
      <c r="G1108">
        <f>AND(B1108&gt;=50,B1108&lt;=10000)</f>
        <v/>
      </c>
      <c r="H1108">
        <f>OR(C1108="NAS",C1108="NYS",C1108="ASE")</f>
        <v/>
      </c>
      <c r="I1108">
        <f>F1108&gt;=500000</f>
        <v/>
      </c>
      <c r="J1108">
        <f>E1108&gt;=2</f>
        <v/>
      </c>
      <c r="K1108">
        <f>AND(G1108,H1108,I1108,J1108)</f>
        <v/>
      </c>
    </row>
    <row r="1109">
      <c r="B1109" s="5">
        <f>BDP(A1109&amp;" US Equity","CUR_MKT_CAP")</f>
        <v/>
      </c>
      <c r="C1109">
        <f>BDP(A1109&amp;" US Equity","EXCH_CODE")</f>
        <v/>
      </c>
      <c r="D1109" s="5">
        <f>BDP(A1109&amp;" US Equity","VOLUME_AVG_20D")</f>
        <v/>
      </c>
      <c r="E1109" s="6">
        <f>BDP(A1109&amp;" US Equity","PX_LAST")</f>
        <v/>
      </c>
      <c r="F1109" s="5">
        <f>D1109*E1109</f>
        <v/>
      </c>
      <c r="G1109">
        <f>AND(B1109&gt;=50,B1109&lt;=10000)</f>
        <v/>
      </c>
      <c r="H1109">
        <f>OR(C1109="NAS",C1109="NYS",C1109="ASE")</f>
        <v/>
      </c>
      <c r="I1109">
        <f>F1109&gt;=500000</f>
        <v/>
      </c>
      <c r="J1109">
        <f>E1109&gt;=2</f>
        <v/>
      </c>
      <c r="K1109">
        <f>AND(G1109,H1109,I1109,J1109)</f>
        <v/>
      </c>
    </row>
    <row r="1110">
      <c r="B1110" s="5">
        <f>BDP(A1110&amp;" US Equity","CUR_MKT_CAP")</f>
        <v/>
      </c>
      <c r="C1110">
        <f>BDP(A1110&amp;" US Equity","EXCH_CODE")</f>
        <v/>
      </c>
      <c r="D1110" s="5">
        <f>BDP(A1110&amp;" US Equity","VOLUME_AVG_20D")</f>
        <v/>
      </c>
      <c r="E1110" s="6">
        <f>BDP(A1110&amp;" US Equity","PX_LAST")</f>
        <v/>
      </c>
      <c r="F1110" s="5">
        <f>D1110*E1110</f>
        <v/>
      </c>
      <c r="G1110">
        <f>AND(B1110&gt;=50,B1110&lt;=10000)</f>
        <v/>
      </c>
      <c r="H1110">
        <f>OR(C1110="NAS",C1110="NYS",C1110="ASE")</f>
        <v/>
      </c>
      <c r="I1110">
        <f>F1110&gt;=500000</f>
        <v/>
      </c>
      <c r="J1110">
        <f>E1110&gt;=2</f>
        <v/>
      </c>
      <c r="K1110">
        <f>AND(G1110,H1110,I1110,J1110)</f>
        <v/>
      </c>
    </row>
    <row r="1111">
      <c r="B1111" s="5">
        <f>BDP(A1111&amp;" US Equity","CUR_MKT_CAP")</f>
        <v/>
      </c>
      <c r="C1111">
        <f>BDP(A1111&amp;" US Equity","EXCH_CODE")</f>
        <v/>
      </c>
      <c r="D1111" s="5">
        <f>BDP(A1111&amp;" US Equity","VOLUME_AVG_20D")</f>
        <v/>
      </c>
      <c r="E1111" s="6">
        <f>BDP(A1111&amp;" US Equity","PX_LAST")</f>
        <v/>
      </c>
      <c r="F1111" s="5">
        <f>D1111*E1111</f>
        <v/>
      </c>
      <c r="G1111">
        <f>AND(B1111&gt;=50,B1111&lt;=10000)</f>
        <v/>
      </c>
      <c r="H1111">
        <f>OR(C1111="NAS",C1111="NYS",C1111="ASE")</f>
        <v/>
      </c>
      <c r="I1111">
        <f>F1111&gt;=500000</f>
        <v/>
      </c>
      <c r="J1111">
        <f>E1111&gt;=2</f>
        <v/>
      </c>
      <c r="K1111">
        <f>AND(G1111,H1111,I1111,J1111)</f>
        <v/>
      </c>
    </row>
    <row r="1112">
      <c r="B1112" s="5">
        <f>BDP(A1112&amp;" US Equity","CUR_MKT_CAP")</f>
        <v/>
      </c>
      <c r="C1112">
        <f>BDP(A1112&amp;" US Equity","EXCH_CODE")</f>
        <v/>
      </c>
      <c r="D1112" s="5">
        <f>BDP(A1112&amp;" US Equity","VOLUME_AVG_20D")</f>
        <v/>
      </c>
      <c r="E1112" s="6">
        <f>BDP(A1112&amp;" US Equity","PX_LAST")</f>
        <v/>
      </c>
      <c r="F1112" s="5">
        <f>D1112*E1112</f>
        <v/>
      </c>
      <c r="G1112">
        <f>AND(B1112&gt;=50,B1112&lt;=10000)</f>
        <v/>
      </c>
      <c r="H1112">
        <f>OR(C1112="NAS",C1112="NYS",C1112="ASE")</f>
        <v/>
      </c>
      <c r="I1112">
        <f>F1112&gt;=500000</f>
        <v/>
      </c>
      <c r="J1112">
        <f>E1112&gt;=2</f>
        <v/>
      </c>
      <c r="K1112">
        <f>AND(G1112,H1112,I1112,J1112)</f>
        <v/>
      </c>
    </row>
    <row r="1113">
      <c r="B1113" s="5">
        <f>BDP(A1113&amp;" US Equity","CUR_MKT_CAP")</f>
        <v/>
      </c>
      <c r="C1113">
        <f>BDP(A1113&amp;" US Equity","EXCH_CODE")</f>
        <v/>
      </c>
      <c r="D1113" s="5">
        <f>BDP(A1113&amp;" US Equity","VOLUME_AVG_20D")</f>
        <v/>
      </c>
      <c r="E1113" s="6">
        <f>BDP(A1113&amp;" US Equity","PX_LAST")</f>
        <v/>
      </c>
      <c r="F1113" s="5">
        <f>D1113*E1113</f>
        <v/>
      </c>
      <c r="G1113">
        <f>AND(B1113&gt;=50,B1113&lt;=10000)</f>
        <v/>
      </c>
      <c r="H1113">
        <f>OR(C1113="NAS",C1113="NYS",C1113="ASE")</f>
        <v/>
      </c>
      <c r="I1113">
        <f>F1113&gt;=500000</f>
        <v/>
      </c>
      <c r="J1113">
        <f>E1113&gt;=2</f>
        <v/>
      </c>
      <c r="K1113">
        <f>AND(G1113,H1113,I1113,J1113)</f>
        <v/>
      </c>
    </row>
    <row r="1114">
      <c r="B1114" s="5">
        <f>BDP(A1114&amp;" US Equity","CUR_MKT_CAP")</f>
        <v/>
      </c>
      <c r="C1114">
        <f>BDP(A1114&amp;" US Equity","EXCH_CODE")</f>
        <v/>
      </c>
      <c r="D1114" s="5">
        <f>BDP(A1114&amp;" US Equity","VOLUME_AVG_20D")</f>
        <v/>
      </c>
      <c r="E1114" s="6">
        <f>BDP(A1114&amp;" US Equity","PX_LAST")</f>
        <v/>
      </c>
      <c r="F1114" s="5">
        <f>D1114*E1114</f>
        <v/>
      </c>
      <c r="G1114">
        <f>AND(B1114&gt;=50,B1114&lt;=10000)</f>
        <v/>
      </c>
      <c r="H1114">
        <f>OR(C1114="NAS",C1114="NYS",C1114="ASE")</f>
        <v/>
      </c>
      <c r="I1114">
        <f>F1114&gt;=500000</f>
        <v/>
      </c>
      <c r="J1114">
        <f>E1114&gt;=2</f>
        <v/>
      </c>
      <c r="K1114">
        <f>AND(G1114,H1114,I1114,J1114)</f>
        <v/>
      </c>
    </row>
    <row r="1115">
      <c r="B1115" s="5">
        <f>BDP(A1115&amp;" US Equity","CUR_MKT_CAP")</f>
        <v/>
      </c>
      <c r="C1115">
        <f>BDP(A1115&amp;" US Equity","EXCH_CODE")</f>
        <v/>
      </c>
      <c r="D1115" s="5">
        <f>BDP(A1115&amp;" US Equity","VOLUME_AVG_20D")</f>
        <v/>
      </c>
      <c r="E1115" s="6">
        <f>BDP(A1115&amp;" US Equity","PX_LAST")</f>
        <v/>
      </c>
      <c r="F1115" s="5">
        <f>D1115*E1115</f>
        <v/>
      </c>
      <c r="G1115">
        <f>AND(B1115&gt;=50,B1115&lt;=10000)</f>
        <v/>
      </c>
      <c r="H1115">
        <f>OR(C1115="NAS",C1115="NYS",C1115="ASE")</f>
        <v/>
      </c>
      <c r="I1115">
        <f>F1115&gt;=500000</f>
        <v/>
      </c>
      <c r="J1115">
        <f>E1115&gt;=2</f>
        <v/>
      </c>
      <c r="K1115">
        <f>AND(G1115,H1115,I1115,J1115)</f>
        <v/>
      </c>
    </row>
    <row r="1116">
      <c r="B1116" s="5">
        <f>BDP(A1116&amp;" US Equity","CUR_MKT_CAP")</f>
        <v/>
      </c>
      <c r="C1116">
        <f>BDP(A1116&amp;" US Equity","EXCH_CODE")</f>
        <v/>
      </c>
      <c r="D1116" s="5">
        <f>BDP(A1116&amp;" US Equity","VOLUME_AVG_20D")</f>
        <v/>
      </c>
      <c r="E1116" s="6">
        <f>BDP(A1116&amp;" US Equity","PX_LAST")</f>
        <v/>
      </c>
      <c r="F1116" s="5">
        <f>D1116*E1116</f>
        <v/>
      </c>
      <c r="G1116">
        <f>AND(B1116&gt;=50,B1116&lt;=10000)</f>
        <v/>
      </c>
      <c r="H1116">
        <f>OR(C1116="NAS",C1116="NYS",C1116="ASE")</f>
        <v/>
      </c>
      <c r="I1116">
        <f>F1116&gt;=500000</f>
        <v/>
      </c>
      <c r="J1116">
        <f>E1116&gt;=2</f>
        <v/>
      </c>
      <c r="K1116">
        <f>AND(G1116,H1116,I1116,J1116)</f>
        <v/>
      </c>
    </row>
    <row r="1117">
      <c r="B1117" s="5">
        <f>BDP(A1117&amp;" US Equity","CUR_MKT_CAP")</f>
        <v/>
      </c>
      <c r="C1117">
        <f>BDP(A1117&amp;" US Equity","EXCH_CODE")</f>
        <v/>
      </c>
      <c r="D1117" s="5">
        <f>BDP(A1117&amp;" US Equity","VOLUME_AVG_20D")</f>
        <v/>
      </c>
      <c r="E1117" s="6">
        <f>BDP(A1117&amp;" US Equity","PX_LAST")</f>
        <v/>
      </c>
      <c r="F1117" s="5">
        <f>D1117*E1117</f>
        <v/>
      </c>
      <c r="G1117">
        <f>AND(B1117&gt;=50,B1117&lt;=10000)</f>
        <v/>
      </c>
      <c r="H1117">
        <f>OR(C1117="NAS",C1117="NYS",C1117="ASE")</f>
        <v/>
      </c>
      <c r="I1117">
        <f>F1117&gt;=500000</f>
        <v/>
      </c>
      <c r="J1117">
        <f>E1117&gt;=2</f>
        <v/>
      </c>
      <c r="K1117">
        <f>AND(G1117,H1117,I1117,J1117)</f>
        <v/>
      </c>
    </row>
    <row r="1118">
      <c r="B1118" s="5">
        <f>BDP(A1118&amp;" US Equity","CUR_MKT_CAP")</f>
        <v/>
      </c>
      <c r="C1118">
        <f>BDP(A1118&amp;" US Equity","EXCH_CODE")</f>
        <v/>
      </c>
      <c r="D1118" s="5">
        <f>BDP(A1118&amp;" US Equity","VOLUME_AVG_20D")</f>
        <v/>
      </c>
      <c r="E1118" s="6">
        <f>BDP(A1118&amp;" US Equity","PX_LAST")</f>
        <v/>
      </c>
      <c r="F1118" s="5">
        <f>D1118*E1118</f>
        <v/>
      </c>
      <c r="G1118">
        <f>AND(B1118&gt;=50,B1118&lt;=10000)</f>
        <v/>
      </c>
      <c r="H1118">
        <f>OR(C1118="NAS",C1118="NYS",C1118="ASE")</f>
        <v/>
      </c>
      <c r="I1118">
        <f>F1118&gt;=500000</f>
        <v/>
      </c>
      <c r="J1118">
        <f>E1118&gt;=2</f>
        <v/>
      </c>
      <c r="K1118">
        <f>AND(G1118,H1118,I1118,J1118)</f>
        <v/>
      </c>
    </row>
    <row r="1119">
      <c r="B1119" s="5">
        <f>BDP(A1119&amp;" US Equity","CUR_MKT_CAP")</f>
        <v/>
      </c>
      <c r="C1119">
        <f>BDP(A1119&amp;" US Equity","EXCH_CODE")</f>
        <v/>
      </c>
      <c r="D1119" s="5">
        <f>BDP(A1119&amp;" US Equity","VOLUME_AVG_20D")</f>
        <v/>
      </c>
      <c r="E1119" s="6">
        <f>BDP(A1119&amp;" US Equity","PX_LAST")</f>
        <v/>
      </c>
      <c r="F1119" s="5">
        <f>D1119*E1119</f>
        <v/>
      </c>
      <c r="G1119">
        <f>AND(B1119&gt;=50,B1119&lt;=10000)</f>
        <v/>
      </c>
      <c r="H1119">
        <f>OR(C1119="NAS",C1119="NYS",C1119="ASE")</f>
        <v/>
      </c>
      <c r="I1119">
        <f>F1119&gt;=500000</f>
        <v/>
      </c>
      <c r="J1119">
        <f>E1119&gt;=2</f>
        <v/>
      </c>
      <c r="K1119">
        <f>AND(G1119,H1119,I1119,J1119)</f>
        <v/>
      </c>
    </row>
    <row r="1120">
      <c r="B1120" s="5">
        <f>BDP(A1120&amp;" US Equity","CUR_MKT_CAP")</f>
        <v/>
      </c>
      <c r="C1120">
        <f>BDP(A1120&amp;" US Equity","EXCH_CODE")</f>
        <v/>
      </c>
      <c r="D1120" s="5">
        <f>BDP(A1120&amp;" US Equity","VOLUME_AVG_20D")</f>
        <v/>
      </c>
      <c r="E1120" s="6">
        <f>BDP(A1120&amp;" US Equity","PX_LAST")</f>
        <v/>
      </c>
      <c r="F1120" s="5">
        <f>D1120*E1120</f>
        <v/>
      </c>
      <c r="G1120">
        <f>AND(B1120&gt;=50,B1120&lt;=10000)</f>
        <v/>
      </c>
      <c r="H1120">
        <f>OR(C1120="NAS",C1120="NYS",C1120="ASE")</f>
        <v/>
      </c>
      <c r="I1120">
        <f>F1120&gt;=500000</f>
        <v/>
      </c>
      <c r="J1120">
        <f>E1120&gt;=2</f>
        <v/>
      </c>
      <c r="K1120">
        <f>AND(G1120,H1120,I1120,J1120)</f>
        <v/>
      </c>
    </row>
    <row r="1121">
      <c r="B1121" s="5">
        <f>BDP(A1121&amp;" US Equity","CUR_MKT_CAP")</f>
        <v/>
      </c>
      <c r="C1121">
        <f>BDP(A1121&amp;" US Equity","EXCH_CODE")</f>
        <v/>
      </c>
      <c r="D1121" s="5">
        <f>BDP(A1121&amp;" US Equity","VOLUME_AVG_20D")</f>
        <v/>
      </c>
      <c r="E1121" s="6">
        <f>BDP(A1121&amp;" US Equity","PX_LAST")</f>
        <v/>
      </c>
      <c r="F1121" s="5">
        <f>D1121*E1121</f>
        <v/>
      </c>
      <c r="G1121">
        <f>AND(B1121&gt;=50,B1121&lt;=10000)</f>
        <v/>
      </c>
      <c r="H1121">
        <f>OR(C1121="NAS",C1121="NYS",C1121="ASE")</f>
        <v/>
      </c>
      <c r="I1121">
        <f>F1121&gt;=500000</f>
        <v/>
      </c>
      <c r="J1121">
        <f>E1121&gt;=2</f>
        <v/>
      </c>
      <c r="K1121">
        <f>AND(G1121,H1121,I1121,J1121)</f>
        <v/>
      </c>
    </row>
    <row r="1122">
      <c r="B1122" s="5">
        <f>BDP(A1122&amp;" US Equity","CUR_MKT_CAP")</f>
        <v/>
      </c>
      <c r="C1122">
        <f>BDP(A1122&amp;" US Equity","EXCH_CODE")</f>
        <v/>
      </c>
      <c r="D1122" s="5">
        <f>BDP(A1122&amp;" US Equity","VOLUME_AVG_20D")</f>
        <v/>
      </c>
      <c r="E1122" s="6">
        <f>BDP(A1122&amp;" US Equity","PX_LAST")</f>
        <v/>
      </c>
      <c r="F1122" s="5">
        <f>D1122*E1122</f>
        <v/>
      </c>
      <c r="G1122">
        <f>AND(B1122&gt;=50,B1122&lt;=10000)</f>
        <v/>
      </c>
      <c r="H1122">
        <f>OR(C1122="NAS",C1122="NYS",C1122="ASE")</f>
        <v/>
      </c>
      <c r="I1122">
        <f>F1122&gt;=500000</f>
        <v/>
      </c>
      <c r="J1122">
        <f>E1122&gt;=2</f>
        <v/>
      </c>
      <c r="K1122">
        <f>AND(G1122,H1122,I1122,J1122)</f>
        <v/>
      </c>
    </row>
    <row r="1123">
      <c r="B1123" s="5">
        <f>BDP(A1123&amp;" US Equity","CUR_MKT_CAP")</f>
        <v/>
      </c>
      <c r="C1123">
        <f>BDP(A1123&amp;" US Equity","EXCH_CODE")</f>
        <v/>
      </c>
      <c r="D1123" s="5">
        <f>BDP(A1123&amp;" US Equity","VOLUME_AVG_20D")</f>
        <v/>
      </c>
      <c r="E1123" s="6">
        <f>BDP(A1123&amp;" US Equity","PX_LAST")</f>
        <v/>
      </c>
      <c r="F1123" s="5">
        <f>D1123*E1123</f>
        <v/>
      </c>
      <c r="G1123">
        <f>AND(B1123&gt;=50,B1123&lt;=10000)</f>
        <v/>
      </c>
      <c r="H1123">
        <f>OR(C1123="NAS",C1123="NYS",C1123="ASE")</f>
        <v/>
      </c>
      <c r="I1123">
        <f>F1123&gt;=500000</f>
        <v/>
      </c>
      <c r="J1123">
        <f>E1123&gt;=2</f>
        <v/>
      </c>
      <c r="K1123">
        <f>AND(G1123,H1123,I1123,J1123)</f>
        <v/>
      </c>
    </row>
    <row r="1124">
      <c r="B1124" s="5">
        <f>BDP(A1124&amp;" US Equity","CUR_MKT_CAP")</f>
        <v/>
      </c>
      <c r="C1124">
        <f>BDP(A1124&amp;" US Equity","EXCH_CODE")</f>
        <v/>
      </c>
      <c r="D1124" s="5">
        <f>BDP(A1124&amp;" US Equity","VOLUME_AVG_20D")</f>
        <v/>
      </c>
      <c r="E1124" s="6">
        <f>BDP(A1124&amp;" US Equity","PX_LAST")</f>
        <v/>
      </c>
      <c r="F1124" s="5">
        <f>D1124*E1124</f>
        <v/>
      </c>
      <c r="G1124">
        <f>AND(B1124&gt;=50,B1124&lt;=10000)</f>
        <v/>
      </c>
      <c r="H1124">
        <f>OR(C1124="NAS",C1124="NYS",C1124="ASE")</f>
        <v/>
      </c>
      <c r="I1124">
        <f>F1124&gt;=500000</f>
        <v/>
      </c>
      <c r="J1124">
        <f>E1124&gt;=2</f>
        <v/>
      </c>
      <c r="K1124">
        <f>AND(G1124,H1124,I1124,J1124)</f>
        <v/>
      </c>
    </row>
    <row r="1125">
      <c r="B1125" s="5">
        <f>BDP(A1125&amp;" US Equity","CUR_MKT_CAP")</f>
        <v/>
      </c>
      <c r="C1125">
        <f>BDP(A1125&amp;" US Equity","EXCH_CODE")</f>
        <v/>
      </c>
      <c r="D1125" s="5">
        <f>BDP(A1125&amp;" US Equity","VOLUME_AVG_20D")</f>
        <v/>
      </c>
      <c r="E1125" s="6">
        <f>BDP(A1125&amp;" US Equity","PX_LAST")</f>
        <v/>
      </c>
      <c r="F1125" s="5">
        <f>D1125*E1125</f>
        <v/>
      </c>
      <c r="G1125">
        <f>AND(B1125&gt;=50,B1125&lt;=10000)</f>
        <v/>
      </c>
      <c r="H1125">
        <f>OR(C1125="NAS",C1125="NYS",C1125="ASE")</f>
        <v/>
      </c>
      <c r="I1125">
        <f>F1125&gt;=500000</f>
        <v/>
      </c>
      <c r="J1125">
        <f>E1125&gt;=2</f>
        <v/>
      </c>
      <c r="K1125">
        <f>AND(G1125,H1125,I1125,J1125)</f>
        <v/>
      </c>
    </row>
    <row r="1126">
      <c r="B1126" s="5">
        <f>BDP(A1126&amp;" US Equity","CUR_MKT_CAP")</f>
        <v/>
      </c>
      <c r="C1126">
        <f>BDP(A1126&amp;" US Equity","EXCH_CODE")</f>
        <v/>
      </c>
      <c r="D1126" s="5">
        <f>BDP(A1126&amp;" US Equity","VOLUME_AVG_20D")</f>
        <v/>
      </c>
      <c r="E1126" s="6">
        <f>BDP(A1126&amp;" US Equity","PX_LAST")</f>
        <v/>
      </c>
      <c r="F1126" s="5">
        <f>D1126*E1126</f>
        <v/>
      </c>
      <c r="G1126">
        <f>AND(B1126&gt;=50,B1126&lt;=10000)</f>
        <v/>
      </c>
      <c r="H1126">
        <f>OR(C1126="NAS",C1126="NYS",C1126="ASE")</f>
        <v/>
      </c>
      <c r="I1126">
        <f>F1126&gt;=500000</f>
        <v/>
      </c>
      <c r="J1126">
        <f>E1126&gt;=2</f>
        <v/>
      </c>
      <c r="K1126">
        <f>AND(G1126,H1126,I1126,J1126)</f>
        <v/>
      </c>
    </row>
    <row r="1127">
      <c r="B1127" s="5">
        <f>BDP(A1127&amp;" US Equity","CUR_MKT_CAP")</f>
        <v/>
      </c>
      <c r="C1127">
        <f>BDP(A1127&amp;" US Equity","EXCH_CODE")</f>
        <v/>
      </c>
      <c r="D1127" s="5">
        <f>BDP(A1127&amp;" US Equity","VOLUME_AVG_20D")</f>
        <v/>
      </c>
      <c r="E1127" s="6">
        <f>BDP(A1127&amp;" US Equity","PX_LAST")</f>
        <v/>
      </c>
      <c r="F1127" s="5">
        <f>D1127*E1127</f>
        <v/>
      </c>
      <c r="G1127">
        <f>AND(B1127&gt;=50,B1127&lt;=10000)</f>
        <v/>
      </c>
      <c r="H1127">
        <f>OR(C1127="NAS",C1127="NYS",C1127="ASE")</f>
        <v/>
      </c>
      <c r="I1127">
        <f>F1127&gt;=500000</f>
        <v/>
      </c>
      <c r="J1127">
        <f>E1127&gt;=2</f>
        <v/>
      </c>
      <c r="K1127">
        <f>AND(G1127,H1127,I1127,J1127)</f>
        <v/>
      </c>
    </row>
    <row r="1128">
      <c r="B1128" s="5">
        <f>BDP(A1128&amp;" US Equity","CUR_MKT_CAP")</f>
        <v/>
      </c>
      <c r="C1128">
        <f>BDP(A1128&amp;" US Equity","EXCH_CODE")</f>
        <v/>
      </c>
      <c r="D1128" s="5">
        <f>BDP(A1128&amp;" US Equity","VOLUME_AVG_20D")</f>
        <v/>
      </c>
      <c r="E1128" s="6">
        <f>BDP(A1128&amp;" US Equity","PX_LAST")</f>
        <v/>
      </c>
      <c r="F1128" s="5">
        <f>D1128*E1128</f>
        <v/>
      </c>
      <c r="G1128">
        <f>AND(B1128&gt;=50,B1128&lt;=10000)</f>
        <v/>
      </c>
      <c r="H1128">
        <f>OR(C1128="NAS",C1128="NYS",C1128="ASE")</f>
        <v/>
      </c>
      <c r="I1128">
        <f>F1128&gt;=500000</f>
        <v/>
      </c>
      <c r="J1128">
        <f>E1128&gt;=2</f>
        <v/>
      </c>
      <c r="K1128">
        <f>AND(G1128,H1128,I1128,J1128)</f>
        <v/>
      </c>
    </row>
    <row r="1129">
      <c r="B1129" s="5">
        <f>BDP(A1129&amp;" US Equity","CUR_MKT_CAP")</f>
        <v/>
      </c>
      <c r="C1129">
        <f>BDP(A1129&amp;" US Equity","EXCH_CODE")</f>
        <v/>
      </c>
      <c r="D1129" s="5">
        <f>BDP(A1129&amp;" US Equity","VOLUME_AVG_20D")</f>
        <v/>
      </c>
      <c r="E1129" s="6">
        <f>BDP(A1129&amp;" US Equity","PX_LAST")</f>
        <v/>
      </c>
      <c r="F1129" s="5">
        <f>D1129*E1129</f>
        <v/>
      </c>
      <c r="G1129">
        <f>AND(B1129&gt;=50,B1129&lt;=10000)</f>
        <v/>
      </c>
      <c r="H1129">
        <f>OR(C1129="NAS",C1129="NYS",C1129="ASE")</f>
        <v/>
      </c>
      <c r="I1129">
        <f>F1129&gt;=500000</f>
        <v/>
      </c>
      <c r="J1129">
        <f>E1129&gt;=2</f>
        <v/>
      </c>
      <c r="K1129">
        <f>AND(G1129,H1129,I1129,J1129)</f>
        <v/>
      </c>
    </row>
    <row r="1130">
      <c r="B1130" s="5">
        <f>BDP(A1130&amp;" US Equity","CUR_MKT_CAP")</f>
        <v/>
      </c>
      <c r="C1130">
        <f>BDP(A1130&amp;" US Equity","EXCH_CODE")</f>
        <v/>
      </c>
      <c r="D1130" s="5">
        <f>BDP(A1130&amp;" US Equity","VOLUME_AVG_20D")</f>
        <v/>
      </c>
      <c r="E1130" s="6">
        <f>BDP(A1130&amp;" US Equity","PX_LAST")</f>
        <v/>
      </c>
      <c r="F1130" s="5">
        <f>D1130*E1130</f>
        <v/>
      </c>
      <c r="G1130">
        <f>AND(B1130&gt;=50,B1130&lt;=10000)</f>
        <v/>
      </c>
      <c r="H1130">
        <f>OR(C1130="NAS",C1130="NYS",C1130="ASE")</f>
        <v/>
      </c>
      <c r="I1130">
        <f>F1130&gt;=500000</f>
        <v/>
      </c>
      <c r="J1130">
        <f>E1130&gt;=2</f>
        <v/>
      </c>
      <c r="K1130">
        <f>AND(G1130,H1130,I1130,J1130)</f>
        <v/>
      </c>
    </row>
    <row r="1131">
      <c r="B1131" s="5">
        <f>BDP(A1131&amp;" US Equity","CUR_MKT_CAP")</f>
        <v/>
      </c>
      <c r="C1131">
        <f>BDP(A1131&amp;" US Equity","EXCH_CODE")</f>
        <v/>
      </c>
      <c r="D1131" s="5">
        <f>BDP(A1131&amp;" US Equity","VOLUME_AVG_20D")</f>
        <v/>
      </c>
      <c r="E1131" s="6">
        <f>BDP(A1131&amp;" US Equity","PX_LAST")</f>
        <v/>
      </c>
      <c r="F1131" s="5">
        <f>D1131*E1131</f>
        <v/>
      </c>
      <c r="G1131">
        <f>AND(B1131&gt;=50,B1131&lt;=10000)</f>
        <v/>
      </c>
      <c r="H1131">
        <f>OR(C1131="NAS",C1131="NYS",C1131="ASE")</f>
        <v/>
      </c>
      <c r="I1131">
        <f>F1131&gt;=500000</f>
        <v/>
      </c>
      <c r="J1131">
        <f>E1131&gt;=2</f>
        <v/>
      </c>
      <c r="K1131">
        <f>AND(G1131,H1131,I1131,J1131)</f>
        <v/>
      </c>
    </row>
    <row r="1132">
      <c r="B1132" s="5">
        <f>BDP(A1132&amp;" US Equity","CUR_MKT_CAP")</f>
        <v/>
      </c>
      <c r="C1132">
        <f>BDP(A1132&amp;" US Equity","EXCH_CODE")</f>
        <v/>
      </c>
      <c r="D1132" s="5">
        <f>BDP(A1132&amp;" US Equity","VOLUME_AVG_20D")</f>
        <v/>
      </c>
      <c r="E1132" s="6">
        <f>BDP(A1132&amp;" US Equity","PX_LAST")</f>
        <v/>
      </c>
      <c r="F1132" s="5">
        <f>D1132*E1132</f>
        <v/>
      </c>
      <c r="G1132">
        <f>AND(B1132&gt;=50,B1132&lt;=10000)</f>
        <v/>
      </c>
      <c r="H1132">
        <f>OR(C1132="NAS",C1132="NYS",C1132="ASE")</f>
        <v/>
      </c>
      <c r="I1132">
        <f>F1132&gt;=500000</f>
        <v/>
      </c>
      <c r="J1132">
        <f>E1132&gt;=2</f>
        <v/>
      </c>
      <c r="K1132">
        <f>AND(G1132,H1132,I1132,J1132)</f>
        <v/>
      </c>
    </row>
    <row r="1133">
      <c r="B1133" s="5">
        <f>BDP(A1133&amp;" US Equity","CUR_MKT_CAP")</f>
        <v/>
      </c>
      <c r="C1133">
        <f>BDP(A1133&amp;" US Equity","EXCH_CODE")</f>
        <v/>
      </c>
      <c r="D1133" s="5">
        <f>BDP(A1133&amp;" US Equity","VOLUME_AVG_20D")</f>
        <v/>
      </c>
      <c r="E1133" s="6">
        <f>BDP(A1133&amp;" US Equity","PX_LAST")</f>
        <v/>
      </c>
      <c r="F1133" s="5">
        <f>D1133*E1133</f>
        <v/>
      </c>
      <c r="G1133">
        <f>AND(B1133&gt;=50,B1133&lt;=10000)</f>
        <v/>
      </c>
      <c r="H1133">
        <f>OR(C1133="NAS",C1133="NYS",C1133="ASE")</f>
        <v/>
      </c>
      <c r="I1133">
        <f>F1133&gt;=500000</f>
        <v/>
      </c>
      <c r="J1133">
        <f>E1133&gt;=2</f>
        <v/>
      </c>
      <c r="K1133">
        <f>AND(G1133,H1133,I1133,J1133)</f>
        <v/>
      </c>
    </row>
    <row r="1134">
      <c r="B1134" s="5">
        <f>BDP(A1134&amp;" US Equity","CUR_MKT_CAP")</f>
        <v/>
      </c>
      <c r="C1134">
        <f>BDP(A1134&amp;" US Equity","EXCH_CODE")</f>
        <v/>
      </c>
      <c r="D1134" s="5">
        <f>BDP(A1134&amp;" US Equity","VOLUME_AVG_20D")</f>
        <v/>
      </c>
      <c r="E1134" s="6">
        <f>BDP(A1134&amp;" US Equity","PX_LAST")</f>
        <v/>
      </c>
      <c r="F1134" s="5">
        <f>D1134*E1134</f>
        <v/>
      </c>
      <c r="G1134">
        <f>AND(B1134&gt;=50,B1134&lt;=10000)</f>
        <v/>
      </c>
      <c r="H1134">
        <f>OR(C1134="NAS",C1134="NYS",C1134="ASE")</f>
        <v/>
      </c>
      <c r="I1134">
        <f>F1134&gt;=500000</f>
        <v/>
      </c>
      <c r="J1134">
        <f>E1134&gt;=2</f>
        <v/>
      </c>
      <c r="K1134">
        <f>AND(G1134,H1134,I1134,J1134)</f>
        <v/>
      </c>
    </row>
    <row r="1135">
      <c r="B1135" s="5">
        <f>BDP(A1135&amp;" US Equity","CUR_MKT_CAP")</f>
        <v/>
      </c>
      <c r="C1135">
        <f>BDP(A1135&amp;" US Equity","EXCH_CODE")</f>
        <v/>
      </c>
      <c r="D1135" s="5">
        <f>BDP(A1135&amp;" US Equity","VOLUME_AVG_20D")</f>
        <v/>
      </c>
      <c r="E1135" s="6">
        <f>BDP(A1135&amp;" US Equity","PX_LAST")</f>
        <v/>
      </c>
      <c r="F1135" s="5">
        <f>D1135*E1135</f>
        <v/>
      </c>
      <c r="G1135">
        <f>AND(B1135&gt;=50,B1135&lt;=10000)</f>
        <v/>
      </c>
      <c r="H1135">
        <f>OR(C1135="NAS",C1135="NYS",C1135="ASE")</f>
        <v/>
      </c>
      <c r="I1135">
        <f>F1135&gt;=500000</f>
        <v/>
      </c>
      <c r="J1135">
        <f>E1135&gt;=2</f>
        <v/>
      </c>
      <c r="K1135">
        <f>AND(G1135,H1135,I1135,J1135)</f>
        <v/>
      </c>
    </row>
    <row r="1136">
      <c r="B1136" s="5">
        <f>BDP(A1136&amp;" US Equity","CUR_MKT_CAP")</f>
        <v/>
      </c>
      <c r="C1136">
        <f>BDP(A1136&amp;" US Equity","EXCH_CODE")</f>
        <v/>
      </c>
      <c r="D1136" s="5">
        <f>BDP(A1136&amp;" US Equity","VOLUME_AVG_20D")</f>
        <v/>
      </c>
      <c r="E1136" s="6">
        <f>BDP(A1136&amp;" US Equity","PX_LAST")</f>
        <v/>
      </c>
      <c r="F1136" s="5">
        <f>D1136*E1136</f>
        <v/>
      </c>
      <c r="G1136">
        <f>AND(B1136&gt;=50,B1136&lt;=10000)</f>
        <v/>
      </c>
      <c r="H1136">
        <f>OR(C1136="NAS",C1136="NYS",C1136="ASE")</f>
        <v/>
      </c>
      <c r="I1136">
        <f>F1136&gt;=500000</f>
        <v/>
      </c>
      <c r="J1136">
        <f>E1136&gt;=2</f>
        <v/>
      </c>
      <c r="K1136">
        <f>AND(G1136,H1136,I1136,J1136)</f>
        <v/>
      </c>
    </row>
    <row r="1137">
      <c r="B1137" s="5">
        <f>BDP(A1137&amp;" US Equity","CUR_MKT_CAP")</f>
        <v/>
      </c>
      <c r="C1137">
        <f>BDP(A1137&amp;" US Equity","EXCH_CODE")</f>
        <v/>
      </c>
      <c r="D1137" s="5">
        <f>BDP(A1137&amp;" US Equity","VOLUME_AVG_20D")</f>
        <v/>
      </c>
      <c r="E1137" s="6">
        <f>BDP(A1137&amp;" US Equity","PX_LAST")</f>
        <v/>
      </c>
      <c r="F1137" s="5">
        <f>D1137*E1137</f>
        <v/>
      </c>
      <c r="G1137">
        <f>AND(B1137&gt;=50,B1137&lt;=10000)</f>
        <v/>
      </c>
      <c r="H1137">
        <f>OR(C1137="NAS",C1137="NYS",C1137="ASE")</f>
        <v/>
      </c>
      <c r="I1137">
        <f>F1137&gt;=500000</f>
        <v/>
      </c>
      <c r="J1137">
        <f>E1137&gt;=2</f>
        <v/>
      </c>
      <c r="K1137">
        <f>AND(G1137,H1137,I1137,J1137)</f>
        <v/>
      </c>
    </row>
    <row r="1138">
      <c r="B1138" s="5">
        <f>BDP(A1138&amp;" US Equity","CUR_MKT_CAP")</f>
        <v/>
      </c>
      <c r="C1138">
        <f>BDP(A1138&amp;" US Equity","EXCH_CODE")</f>
        <v/>
      </c>
      <c r="D1138" s="5">
        <f>BDP(A1138&amp;" US Equity","VOLUME_AVG_20D")</f>
        <v/>
      </c>
      <c r="E1138" s="6">
        <f>BDP(A1138&amp;" US Equity","PX_LAST")</f>
        <v/>
      </c>
      <c r="F1138" s="5">
        <f>D1138*E1138</f>
        <v/>
      </c>
      <c r="G1138">
        <f>AND(B1138&gt;=50,B1138&lt;=10000)</f>
        <v/>
      </c>
      <c r="H1138">
        <f>OR(C1138="NAS",C1138="NYS",C1138="ASE")</f>
        <v/>
      </c>
      <c r="I1138">
        <f>F1138&gt;=500000</f>
        <v/>
      </c>
      <c r="J1138">
        <f>E1138&gt;=2</f>
        <v/>
      </c>
      <c r="K1138">
        <f>AND(G1138,H1138,I1138,J1138)</f>
        <v/>
      </c>
    </row>
    <row r="1139">
      <c r="B1139" s="5">
        <f>BDP(A1139&amp;" US Equity","CUR_MKT_CAP")</f>
        <v/>
      </c>
      <c r="C1139">
        <f>BDP(A1139&amp;" US Equity","EXCH_CODE")</f>
        <v/>
      </c>
      <c r="D1139" s="5">
        <f>BDP(A1139&amp;" US Equity","VOLUME_AVG_20D")</f>
        <v/>
      </c>
      <c r="E1139" s="6">
        <f>BDP(A1139&amp;" US Equity","PX_LAST")</f>
        <v/>
      </c>
      <c r="F1139" s="5">
        <f>D1139*E1139</f>
        <v/>
      </c>
      <c r="G1139">
        <f>AND(B1139&gt;=50,B1139&lt;=10000)</f>
        <v/>
      </c>
      <c r="H1139">
        <f>OR(C1139="NAS",C1139="NYS",C1139="ASE")</f>
        <v/>
      </c>
      <c r="I1139">
        <f>F1139&gt;=500000</f>
        <v/>
      </c>
      <c r="J1139">
        <f>E1139&gt;=2</f>
        <v/>
      </c>
      <c r="K1139">
        <f>AND(G1139,H1139,I1139,J1139)</f>
        <v/>
      </c>
    </row>
    <row r="1140">
      <c r="B1140" s="5">
        <f>BDP(A1140&amp;" US Equity","CUR_MKT_CAP")</f>
        <v/>
      </c>
      <c r="C1140">
        <f>BDP(A1140&amp;" US Equity","EXCH_CODE")</f>
        <v/>
      </c>
      <c r="D1140" s="5">
        <f>BDP(A1140&amp;" US Equity","VOLUME_AVG_20D")</f>
        <v/>
      </c>
      <c r="E1140" s="6">
        <f>BDP(A1140&amp;" US Equity","PX_LAST")</f>
        <v/>
      </c>
      <c r="F1140" s="5">
        <f>D1140*E1140</f>
        <v/>
      </c>
      <c r="G1140">
        <f>AND(B1140&gt;=50,B1140&lt;=10000)</f>
        <v/>
      </c>
      <c r="H1140">
        <f>OR(C1140="NAS",C1140="NYS",C1140="ASE")</f>
        <v/>
      </c>
      <c r="I1140">
        <f>F1140&gt;=500000</f>
        <v/>
      </c>
      <c r="J1140">
        <f>E1140&gt;=2</f>
        <v/>
      </c>
      <c r="K1140">
        <f>AND(G1140,H1140,I1140,J1140)</f>
        <v/>
      </c>
    </row>
    <row r="1141">
      <c r="B1141" s="5">
        <f>BDP(A1141&amp;" US Equity","CUR_MKT_CAP")</f>
        <v/>
      </c>
      <c r="C1141">
        <f>BDP(A1141&amp;" US Equity","EXCH_CODE")</f>
        <v/>
      </c>
      <c r="D1141" s="5">
        <f>BDP(A1141&amp;" US Equity","VOLUME_AVG_20D")</f>
        <v/>
      </c>
      <c r="E1141" s="6">
        <f>BDP(A1141&amp;" US Equity","PX_LAST")</f>
        <v/>
      </c>
      <c r="F1141" s="5">
        <f>D1141*E1141</f>
        <v/>
      </c>
      <c r="G1141">
        <f>AND(B1141&gt;=50,B1141&lt;=10000)</f>
        <v/>
      </c>
      <c r="H1141">
        <f>OR(C1141="NAS",C1141="NYS",C1141="ASE")</f>
        <v/>
      </c>
      <c r="I1141">
        <f>F1141&gt;=500000</f>
        <v/>
      </c>
      <c r="J1141">
        <f>E1141&gt;=2</f>
        <v/>
      </c>
      <c r="K1141">
        <f>AND(G1141,H1141,I1141,J1141)</f>
        <v/>
      </c>
    </row>
    <row r="1142">
      <c r="B1142" s="5">
        <f>BDP(A1142&amp;" US Equity","CUR_MKT_CAP")</f>
        <v/>
      </c>
      <c r="C1142">
        <f>BDP(A1142&amp;" US Equity","EXCH_CODE")</f>
        <v/>
      </c>
      <c r="D1142" s="5">
        <f>BDP(A1142&amp;" US Equity","VOLUME_AVG_20D")</f>
        <v/>
      </c>
      <c r="E1142" s="6">
        <f>BDP(A1142&amp;" US Equity","PX_LAST")</f>
        <v/>
      </c>
      <c r="F1142" s="5">
        <f>D1142*E1142</f>
        <v/>
      </c>
      <c r="G1142">
        <f>AND(B1142&gt;=50,B1142&lt;=10000)</f>
        <v/>
      </c>
      <c r="H1142">
        <f>OR(C1142="NAS",C1142="NYS",C1142="ASE")</f>
        <v/>
      </c>
      <c r="I1142">
        <f>F1142&gt;=500000</f>
        <v/>
      </c>
      <c r="J1142">
        <f>E1142&gt;=2</f>
        <v/>
      </c>
      <c r="K1142">
        <f>AND(G1142,H1142,I1142,J1142)</f>
        <v/>
      </c>
    </row>
    <row r="1143">
      <c r="B1143" s="5">
        <f>BDP(A1143&amp;" US Equity","CUR_MKT_CAP")</f>
        <v/>
      </c>
      <c r="C1143">
        <f>BDP(A1143&amp;" US Equity","EXCH_CODE")</f>
        <v/>
      </c>
      <c r="D1143" s="5">
        <f>BDP(A1143&amp;" US Equity","VOLUME_AVG_20D")</f>
        <v/>
      </c>
      <c r="E1143" s="6">
        <f>BDP(A1143&amp;" US Equity","PX_LAST")</f>
        <v/>
      </c>
      <c r="F1143" s="5">
        <f>D1143*E1143</f>
        <v/>
      </c>
      <c r="G1143">
        <f>AND(B1143&gt;=50,B1143&lt;=10000)</f>
        <v/>
      </c>
      <c r="H1143">
        <f>OR(C1143="NAS",C1143="NYS",C1143="ASE")</f>
        <v/>
      </c>
      <c r="I1143">
        <f>F1143&gt;=500000</f>
        <v/>
      </c>
      <c r="J1143">
        <f>E1143&gt;=2</f>
        <v/>
      </c>
      <c r="K1143">
        <f>AND(G1143,H1143,I1143,J1143)</f>
        <v/>
      </c>
    </row>
    <row r="1144">
      <c r="B1144" s="5">
        <f>BDP(A1144&amp;" US Equity","CUR_MKT_CAP")</f>
        <v/>
      </c>
      <c r="C1144">
        <f>BDP(A1144&amp;" US Equity","EXCH_CODE")</f>
        <v/>
      </c>
      <c r="D1144" s="5">
        <f>BDP(A1144&amp;" US Equity","VOLUME_AVG_20D")</f>
        <v/>
      </c>
      <c r="E1144" s="6">
        <f>BDP(A1144&amp;" US Equity","PX_LAST")</f>
        <v/>
      </c>
      <c r="F1144" s="5">
        <f>D1144*E1144</f>
        <v/>
      </c>
      <c r="G1144">
        <f>AND(B1144&gt;=50,B1144&lt;=10000)</f>
        <v/>
      </c>
      <c r="H1144">
        <f>OR(C1144="NAS",C1144="NYS",C1144="ASE")</f>
        <v/>
      </c>
      <c r="I1144">
        <f>F1144&gt;=500000</f>
        <v/>
      </c>
      <c r="J1144">
        <f>E1144&gt;=2</f>
        <v/>
      </c>
      <c r="K1144">
        <f>AND(G1144,H1144,I1144,J1144)</f>
        <v/>
      </c>
    </row>
    <row r="1145">
      <c r="B1145" s="5">
        <f>BDP(A1145&amp;" US Equity","CUR_MKT_CAP")</f>
        <v/>
      </c>
      <c r="C1145">
        <f>BDP(A1145&amp;" US Equity","EXCH_CODE")</f>
        <v/>
      </c>
      <c r="D1145" s="5">
        <f>BDP(A1145&amp;" US Equity","VOLUME_AVG_20D")</f>
        <v/>
      </c>
      <c r="E1145" s="6">
        <f>BDP(A1145&amp;" US Equity","PX_LAST")</f>
        <v/>
      </c>
      <c r="F1145" s="5">
        <f>D1145*E1145</f>
        <v/>
      </c>
      <c r="G1145">
        <f>AND(B1145&gt;=50,B1145&lt;=10000)</f>
        <v/>
      </c>
      <c r="H1145">
        <f>OR(C1145="NAS",C1145="NYS",C1145="ASE")</f>
        <v/>
      </c>
      <c r="I1145">
        <f>F1145&gt;=500000</f>
        <v/>
      </c>
      <c r="J1145">
        <f>E1145&gt;=2</f>
        <v/>
      </c>
      <c r="K1145">
        <f>AND(G1145,H1145,I1145,J1145)</f>
        <v/>
      </c>
    </row>
    <row r="1146">
      <c r="B1146" s="5">
        <f>BDP(A1146&amp;" US Equity","CUR_MKT_CAP")</f>
        <v/>
      </c>
      <c r="C1146">
        <f>BDP(A1146&amp;" US Equity","EXCH_CODE")</f>
        <v/>
      </c>
      <c r="D1146" s="5">
        <f>BDP(A1146&amp;" US Equity","VOLUME_AVG_20D")</f>
        <v/>
      </c>
      <c r="E1146" s="6">
        <f>BDP(A1146&amp;" US Equity","PX_LAST")</f>
        <v/>
      </c>
      <c r="F1146" s="5">
        <f>D1146*E1146</f>
        <v/>
      </c>
      <c r="G1146">
        <f>AND(B1146&gt;=50,B1146&lt;=10000)</f>
        <v/>
      </c>
      <c r="H1146">
        <f>OR(C1146="NAS",C1146="NYS",C1146="ASE")</f>
        <v/>
      </c>
      <c r="I1146">
        <f>F1146&gt;=500000</f>
        <v/>
      </c>
      <c r="J1146">
        <f>E1146&gt;=2</f>
        <v/>
      </c>
      <c r="K1146">
        <f>AND(G1146,H1146,I1146,J1146)</f>
        <v/>
      </c>
    </row>
    <row r="1147">
      <c r="B1147" s="5">
        <f>BDP(A1147&amp;" US Equity","CUR_MKT_CAP")</f>
        <v/>
      </c>
      <c r="C1147">
        <f>BDP(A1147&amp;" US Equity","EXCH_CODE")</f>
        <v/>
      </c>
      <c r="D1147" s="5">
        <f>BDP(A1147&amp;" US Equity","VOLUME_AVG_20D")</f>
        <v/>
      </c>
      <c r="E1147" s="6">
        <f>BDP(A1147&amp;" US Equity","PX_LAST")</f>
        <v/>
      </c>
      <c r="F1147" s="5">
        <f>D1147*E1147</f>
        <v/>
      </c>
      <c r="G1147">
        <f>AND(B1147&gt;=50,B1147&lt;=10000)</f>
        <v/>
      </c>
      <c r="H1147">
        <f>OR(C1147="NAS",C1147="NYS",C1147="ASE")</f>
        <v/>
      </c>
      <c r="I1147">
        <f>F1147&gt;=500000</f>
        <v/>
      </c>
      <c r="J1147">
        <f>E1147&gt;=2</f>
        <v/>
      </c>
      <c r="K1147">
        <f>AND(G1147,H1147,I1147,J1147)</f>
        <v/>
      </c>
    </row>
    <row r="1148">
      <c r="B1148" s="5">
        <f>BDP(A1148&amp;" US Equity","CUR_MKT_CAP")</f>
        <v/>
      </c>
      <c r="C1148">
        <f>BDP(A1148&amp;" US Equity","EXCH_CODE")</f>
        <v/>
      </c>
      <c r="D1148" s="5">
        <f>BDP(A1148&amp;" US Equity","VOLUME_AVG_20D")</f>
        <v/>
      </c>
      <c r="E1148" s="6">
        <f>BDP(A1148&amp;" US Equity","PX_LAST")</f>
        <v/>
      </c>
      <c r="F1148" s="5">
        <f>D1148*E1148</f>
        <v/>
      </c>
      <c r="G1148">
        <f>AND(B1148&gt;=50,B1148&lt;=10000)</f>
        <v/>
      </c>
      <c r="H1148">
        <f>OR(C1148="NAS",C1148="NYS",C1148="ASE")</f>
        <v/>
      </c>
      <c r="I1148">
        <f>F1148&gt;=500000</f>
        <v/>
      </c>
      <c r="J1148">
        <f>E1148&gt;=2</f>
        <v/>
      </c>
      <c r="K1148">
        <f>AND(G1148,H1148,I1148,J1148)</f>
        <v/>
      </c>
    </row>
    <row r="1149">
      <c r="B1149" s="5">
        <f>BDP(A1149&amp;" US Equity","CUR_MKT_CAP")</f>
        <v/>
      </c>
      <c r="C1149">
        <f>BDP(A1149&amp;" US Equity","EXCH_CODE")</f>
        <v/>
      </c>
      <c r="D1149" s="5">
        <f>BDP(A1149&amp;" US Equity","VOLUME_AVG_20D")</f>
        <v/>
      </c>
      <c r="E1149" s="6">
        <f>BDP(A1149&amp;" US Equity","PX_LAST")</f>
        <v/>
      </c>
      <c r="F1149" s="5">
        <f>D1149*E1149</f>
        <v/>
      </c>
      <c r="G1149">
        <f>AND(B1149&gt;=50,B1149&lt;=10000)</f>
        <v/>
      </c>
      <c r="H1149">
        <f>OR(C1149="NAS",C1149="NYS",C1149="ASE")</f>
        <v/>
      </c>
      <c r="I1149">
        <f>F1149&gt;=500000</f>
        <v/>
      </c>
      <c r="J1149">
        <f>E1149&gt;=2</f>
        <v/>
      </c>
      <c r="K1149">
        <f>AND(G1149,H1149,I1149,J1149)</f>
        <v/>
      </c>
    </row>
    <row r="1150">
      <c r="B1150" s="5">
        <f>BDP(A1150&amp;" US Equity","CUR_MKT_CAP")</f>
        <v/>
      </c>
      <c r="C1150">
        <f>BDP(A1150&amp;" US Equity","EXCH_CODE")</f>
        <v/>
      </c>
      <c r="D1150" s="5">
        <f>BDP(A1150&amp;" US Equity","VOLUME_AVG_20D")</f>
        <v/>
      </c>
      <c r="E1150" s="6">
        <f>BDP(A1150&amp;" US Equity","PX_LAST")</f>
        <v/>
      </c>
      <c r="F1150" s="5">
        <f>D1150*E1150</f>
        <v/>
      </c>
      <c r="G1150">
        <f>AND(B1150&gt;=50,B1150&lt;=10000)</f>
        <v/>
      </c>
      <c r="H1150">
        <f>OR(C1150="NAS",C1150="NYS",C1150="ASE")</f>
        <v/>
      </c>
      <c r="I1150">
        <f>F1150&gt;=500000</f>
        <v/>
      </c>
      <c r="J1150">
        <f>E1150&gt;=2</f>
        <v/>
      </c>
      <c r="K1150">
        <f>AND(G1150,H1150,I1150,J1150)</f>
        <v/>
      </c>
    </row>
    <row r="1151">
      <c r="B1151" s="5">
        <f>BDP(A1151&amp;" US Equity","CUR_MKT_CAP")</f>
        <v/>
      </c>
      <c r="C1151">
        <f>BDP(A1151&amp;" US Equity","EXCH_CODE")</f>
        <v/>
      </c>
      <c r="D1151" s="5">
        <f>BDP(A1151&amp;" US Equity","VOLUME_AVG_20D")</f>
        <v/>
      </c>
      <c r="E1151" s="6">
        <f>BDP(A1151&amp;" US Equity","PX_LAST")</f>
        <v/>
      </c>
      <c r="F1151" s="5">
        <f>D1151*E1151</f>
        <v/>
      </c>
      <c r="G1151">
        <f>AND(B1151&gt;=50,B1151&lt;=10000)</f>
        <v/>
      </c>
      <c r="H1151">
        <f>OR(C1151="NAS",C1151="NYS",C1151="ASE")</f>
        <v/>
      </c>
      <c r="I1151">
        <f>F1151&gt;=500000</f>
        <v/>
      </c>
      <c r="J1151">
        <f>E1151&gt;=2</f>
        <v/>
      </c>
      <c r="K1151">
        <f>AND(G1151,H1151,I1151,J1151)</f>
        <v/>
      </c>
    </row>
    <row r="1152">
      <c r="B1152" s="5">
        <f>BDP(A1152&amp;" US Equity","CUR_MKT_CAP")</f>
        <v/>
      </c>
      <c r="C1152">
        <f>BDP(A1152&amp;" US Equity","EXCH_CODE")</f>
        <v/>
      </c>
      <c r="D1152" s="5">
        <f>BDP(A1152&amp;" US Equity","VOLUME_AVG_20D")</f>
        <v/>
      </c>
      <c r="E1152" s="6">
        <f>BDP(A1152&amp;" US Equity","PX_LAST")</f>
        <v/>
      </c>
      <c r="F1152" s="5">
        <f>D1152*E1152</f>
        <v/>
      </c>
      <c r="G1152">
        <f>AND(B1152&gt;=50,B1152&lt;=10000)</f>
        <v/>
      </c>
      <c r="H1152">
        <f>OR(C1152="NAS",C1152="NYS",C1152="ASE")</f>
        <v/>
      </c>
      <c r="I1152">
        <f>F1152&gt;=500000</f>
        <v/>
      </c>
      <c r="J1152">
        <f>E1152&gt;=2</f>
        <v/>
      </c>
      <c r="K1152">
        <f>AND(G1152,H1152,I1152,J1152)</f>
        <v/>
      </c>
    </row>
    <row r="1153">
      <c r="B1153" s="5">
        <f>BDP(A1153&amp;" US Equity","CUR_MKT_CAP")</f>
        <v/>
      </c>
      <c r="C1153">
        <f>BDP(A1153&amp;" US Equity","EXCH_CODE")</f>
        <v/>
      </c>
      <c r="D1153" s="5">
        <f>BDP(A1153&amp;" US Equity","VOLUME_AVG_20D")</f>
        <v/>
      </c>
      <c r="E1153" s="6">
        <f>BDP(A1153&amp;" US Equity","PX_LAST")</f>
        <v/>
      </c>
      <c r="F1153" s="5">
        <f>D1153*E1153</f>
        <v/>
      </c>
      <c r="G1153">
        <f>AND(B1153&gt;=50,B1153&lt;=10000)</f>
        <v/>
      </c>
      <c r="H1153">
        <f>OR(C1153="NAS",C1153="NYS",C1153="ASE")</f>
        <v/>
      </c>
      <c r="I1153">
        <f>F1153&gt;=500000</f>
        <v/>
      </c>
      <c r="J1153">
        <f>E1153&gt;=2</f>
        <v/>
      </c>
      <c r="K1153">
        <f>AND(G1153,H1153,I1153,J1153)</f>
        <v/>
      </c>
    </row>
    <row r="1154">
      <c r="B1154" s="5">
        <f>BDP(A1154&amp;" US Equity","CUR_MKT_CAP")</f>
        <v/>
      </c>
      <c r="C1154">
        <f>BDP(A1154&amp;" US Equity","EXCH_CODE")</f>
        <v/>
      </c>
      <c r="D1154" s="5">
        <f>BDP(A1154&amp;" US Equity","VOLUME_AVG_20D")</f>
        <v/>
      </c>
      <c r="E1154" s="6">
        <f>BDP(A1154&amp;" US Equity","PX_LAST")</f>
        <v/>
      </c>
      <c r="F1154" s="5">
        <f>D1154*E1154</f>
        <v/>
      </c>
      <c r="G1154">
        <f>AND(B1154&gt;=50,B1154&lt;=10000)</f>
        <v/>
      </c>
      <c r="H1154">
        <f>OR(C1154="NAS",C1154="NYS",C1154="ASE")</f>
        <v/>
      </c>
      <c r="I1154">
        <f>F1154&gt;=500000</f>
        <v/>
      </c>
      <c r="J1154">
        <f>E1154&gt;=2</f>
        <v/>
      </c>
      <c r="K1154">
        <f>AND(G1154,H1154,I1154,J1154)</f>
        <v/>
      </c>
    </row>
    <row r="1155">
      <c r="B1155" s="5">
        <f>BDP(A1155&amp;" US Equity","CUR_MKT_CAP")</f>
        <v/>
      </c>
      <c r="C1155">
        <f>BDP(A1155&amp;" US Equity","EXCH_CODE")</f>
        <v/>
      </c>
      <c r="D1155" s="5">
        <f>BDP(A1155&amp;" US Equity","VOLUME_AVG_20D")</f>
        <v/>
      </c>
      <c r="E1155" s="6">
        <f>BDP(A1155&amp;" US Equity","PX_LAST")</f>
        <v/>
      </c>
      <c r="F1155" s="5">
        <f>D1155*E1155</f>
        <v/>
      </c>
      <c r="G1155">
        <f>AND(B1155&gt;=50,B1155&lt;=10000)</f>
        <v/>
      </c>
      <c r="H1155">
        <f>OR(C1155="NAS",C1155="NYS",C1155="ASE")</f>
        <v/>
      </c>
      <c r="I1155">
        <f>F1155&gt;=500000</f>
        <v/>
      </c>
      <c r="J1155">
        <f>E1155&gt;=2</f>
        <v/>
      </c>
      <c r="K1155">
        <f>AND(G1155,H1155,I1155,J1155)</f>
        <v/>
      </c>
    </row>
    <row r="1156">
      <c r="B1156" s="5">
        <f>BDP(A1156&amp;" US Equity","CUR_MKT_CAP")</f>
        <v/>
      </c>
      <c r="C1156">
        <f>BDP(A1156&amp;" US Equity","EXCH_CODE")</f>
        <v/>
      </c>
      <c r="D1156" s="5">
        <f>BDP(A1156&amp;" US Equity","VOLUME_AVG_20D")</f>
        <v/>
      </c>
      <c r="E1156" s="6">
        <f>BDP(A1156&amp;" US Equity","PX_LAST")</f>
        <v/>
      </c>
      <c r="F1156" s="5">
        <f>D1156*E1156</f>
        <v/>
      </c>
      <c r="G1156">
        <f>AND(B1156&gt;=50,B1156&lt;=10000)</f>
        <v/>
      </c>
      <c r="H1156">
        <f>OR(C1156="NAS",C1156="NYS",C1156="ASE")</f>
        <v/>
      </c>
      <c r="I1156">
        <f>F1156&gt;=500000</f>
        <v/>
      </c>
      <c r="J1156">
        <f>E1156&gt;=2</f>
        <v/>
      </c>
      <c r="K1156">
        <f>AND(G1156,H1156,I1156,J1156)</f>
        <v/>
      </c>
    </row>
    <row r="1157">
      <c r="B1157" s="5">
        <f>BDP(A1157&amp;" US Equity","CUR_MKT_CAP")</f>
        <v/>
      </c>
      <c r="C1157">
        <f>BDP(A1157&amp;" US Equity","EXCH_CODE")</f>
        <v/>
      </c>
      <c r="D1157" s="5">
        <f>BDP(A1157&amp;" US Equity","VOLUME_AVG_20D")</f>
        <v/>
      </c>
      <c r="E1157" s="6">
        <f>BDP(A1157&amp;" US Equity","PX_LAST")</f>
        <v/>
      </c>
      <c r="F1157" s="5">
        <f>D1157*E1157</f>
        <v/>
      </c>
      <c r="G1157">
        <f>AND(B1157&gt;=50,B1157&lt;=10000)</f>
        <v/>
      </c>
      <c r="H1157">
        <f>OR(C1157="NAS",C1157="NYS",C1157="ASE")</f>
        <v/>
      </c>
      <c r="I1157">
        <f>F1157&gt;=500000</f>
        <v/>
      </c>
      <c r="J1157">
        <f>E1157&gt;=2</f>
        <v/>
      </c>
      <c r="K1157">
        <f>AND(G1157,H1157,I1157,J1157)</f>
        <v/>
      </c>
    </row>
    <row r="1158">
      <c r="B1158" s="5">
        <f>BDP(A1158&amp;" US Equity","CUR_MKT_CAP")</f>
        <v/>
      </c>
      <c r="C1158">
        <f>BDP(A1158&amp;" US Equity","EXCH_CODE")</f>
        <v/>
      </c>
      <c r="D1158" s="5">
        <f>BDP(A1158&amp;" US Equity","VOLUME_AVG_20D")</f>
        <v/>
      </c>
      <c r="E1158" s="6">
        <f>BDP(A1158&amp;" US Equity","PX_LAST")</f>
        <v/>
      </c>
      <c r="F1158" s="5">
        <f>D1158*E1158</f>
        <v/>
      </c>
      <c r="G1158">
        <f>AND(B1158&gt;=50,B1158&lt;=10000)</f>
        <v/>
      </c>
      <c r="H1158">
        <f>OR(C1158="NAS",C1158="NYS",C1158="ASE")</f>
        <v/>
      </c>
      <c r="I1158">
        <f>F1158&gt;=500000</f>
        <v/>
      </c>
      <c r="J1158">
        <f>E1158&gt;=2</f>
        <v/>
      </c>
      <c r="K1158">
        <f>AND(G1158,H1158,I1158,J1158)</f>
        <v/>
      </c>
    </row>
    <row r="1159">
      <c r="B1159" s="5">
        <f>BDP(A1159&amp;" US Equity","CUR_MKT_CAP")</f>
        <v/>
      </c>
      <c r="C1159">
        <f>BDP(A1159&amp;" US Equity","EXCH_CODE")</f>
        <v/>
      </c>
      <c r="D1159" s="5">
        <f>BDP(A1159&amp;" US Equity","VOLUME_AVG_20D")</f>
        <v/>
      </c>
      <c r="E1159" s="6">
        <f>BDP(A1159&amp;" US Equity","PX_LAST")</f>
        <v/>
      </c>
      <c r="F1159" s="5">
        <f>D1159*E1159</f>
        <v/>
      </c>
      <c r="G1159">
        <f>AND(B1159&gt;=50,B1159&lt;=10000)</f>
        <v/>
      </c>
      <c r="H1159">
        <f>OR(C1159="NAS",C1159="NYS",C1159="ASE")</f>
        <v/>
      </c>
      <c r="I1159">
        <f>F1159&gt;=500000</f>
        <v/>
      </c>
      <c r="J1159">
        <f>E1159&gt;=2</f>
        <v/>
      </c>
      <c r="K1159">
        <f>AND(G1159,H1159,I1159,J1159)</f>
        <v/>
      </c>
    </row>
    <row r="1160">
      <c r="B1160" s="5">
        <f>BDP(A1160&amp;" US Equity","CUR_MKT_CAP")</f>
        <v/>
      </c>
      <c r="C1160">
        <f>BDP(A1160&amp;" US Equity","EXCH_CODE")</f>
        <v/>
      </c>
      <c r="D1160" s="5">
        <f>BDP(A1160&amp;" US Equity","VOLUME_AVG_20D")</f>
        <v/>
      </c>
      <c r="E1160" s="6">
        <f>BDP(A1160&amp;" US Equity","PX_LAST")</f>
        <v/>
      </c>
      <c r="F1160" s="5">
        <f>D1160*E1160</f>
        <v/>
      </c>
      <c r="G1160">
        <f>AND(B1160&gt;=50,B1160&lt;=10000)</f>
        <v/>
      </c>
      <c r="H1160">
        <f>OR(C1160="NAS",C1160="NYS",C1160="ASE")</f>
        <v/>
      </c>
      <c r="I1160">
        <f>F1160&gt;=500000</f>
        <v/>
      </c>
      <c r="J1160">
        <f>E1160&gt;=2</f>
        <v/>
      </c>
      <c r="K1160">
        <f>AND(G1160,H1160,I1160,J1160)</f>
        <v/>
      </c>
    </row>
    <row r="1161">
      <c r="B1161" s="5">
        <f>BDP(A1161&amp;" US Equity","CUR_MKT_CAP")</f>
        <v/>
      </c>
      <c r="C1161">
        <f>BDP(A1161&amp;" US Equity","EXCH_CODE")</f>
        <v/>
      </c>
      <c r="D1161" s="5">
        <f>BDP(A1161&amp;" US Equity","VOLUME_AVG_20D")</f>
        <v/>
      </c>
      <c r="E1161" s="6">
        <f>BDP(A1161&amp;" US Equity","PX_LAST")</f>
        <v/>
      </c>
      <c r="F1161" s="5">
        <f>D1161*E1161</f>
        <v/>
      </c>
      <c r="G1161">
        <f>AND(B1161&gt;=50,B1161&lt;=10000)</f>
        <v/>
      </c>
      <c r="H1161">
        <f>OR(C1161="NAS",C1161="NYS",C1161="ASE")</f>
        <v/>
      </c>
      <c r="I1161">
        <f>F1161&gt;=500000</f>
        <v/>
      </c>
      <c r="J1161">
        <f>E1161&gt;=2</f>
        <v/>
      </c>
      <c r="K1161">
        <f>AND(G1161,H1161,I1161,J1161)</f>
        <v/>
      </c>
    </row>
    <row r="1162">
      <c r="B1162" s="5">
        <f>BDP(A1162&amp;" US Equity","CUR_MKT_CAP")</f>
        <v/>
      </c>
      <c r="C1162">
        <f>BDP(A1162&amp;" US Equity","EXCH_CODE")</f>
        <v/>
      </c>
      <c r="D1162" s="5">
        <f>BDP(A1162&amp;" US Equity","VOLUME_AVG_20D")</f>
        <v/>
      </c>
      <c r="E1162" s="6">
        <f>BDP(A1162&amp;" US Equity","PX_LAST")</f>
        <v/>
      </c>
      <c r="F1162" s="5">
        <f>D1162*E1162</f>
        <v/>
      </c>
      <c r="G1162">
        <f>AND(B1162&gt;=50,B1162&lt;=10000)</f>
        <v/>
      </c>
      <c r="H1162">
        <f>OR(C1162="NAS",C1162="NYS",C1162="ASE")</f>
        <v/>
      </c>
      <c r="I1162">
        <f>F1162&gt;=500000</f>
        <v/>
      </c>
      <c r="J1162">
        <f>E1162&gt;=2</f>
        <v/>
      </c>
      <c r="K1162">
        <f>AND(G1162,H1162,I1162,J1162)</f>
        <v/>
      </c>
    </row>
    <row r="1163">
      <c r="B1163" s="5">
        <f>BDP(A1163&amp;" US Equity","CUR_MKT_CAP")</f>
        <v/>
      </c>
      <c r="C1163">
        <f>BDP(A1163&amp;" US Equity","EXCH_CODE")</f>
        <v/>
      </c>
      <c r="D1163" s="5">
        <f>BDP(A1163&amp;" US Equity","VOLUME_AVG_20D")</f>
        <v/>
      </c>
      <c r="E1163" s="6">
        <f>BDP(A1163&amp;" US Equity","PX_LAST")</f>
        <v/>
      </c>
      <c r="F1163" s="5">
        <f>D1163*E1163</f>
        <v/>
      </c>
      <c r="G1163">
        <f>AND(B1163&gt;=50,B1163&lt;=10000)</f>
        <v/>
      </c>
      <c r="H1163">
        <f>OR(C1163="NAS",C1163="NYS",C1163="ASE")</f>
        <v/>
      </c>
      <c r="I1163">
        <f>F1163&gt;=500000</f>
        <v/>
      </c>
      <c r="J1163">
        <f>E1163&gt;=2</f>
        <v/>
      </c>
      <c r="K1163">
        <f>AND(G1163,H1163,I1163,J1163)</f>
        <v/>
      </c>
    </row>
    <row r="1164">
      <c r="B1164" s="5">
        <f>BDP(A1164&amp;" US Equity","CUR_MKT_CAP")</f>
        <v/>
      </c>
      <c r="C1164">
        <f>BDP(A1164&amp;" US Equity","EXCH_CODE")</f>
        <v/>
      </c>
      <c r="D1164" s="5">
        <f>BDP(A1164&amp;" US Equity","VOLUME_AVG_20D")</f>
        <v/>
      </c>
      <c r="E1164" s="6">
        <f>BDP(A1164&amp;" US Equity","PX_LAST")</f>
        <v/>
      </c>
      <c r="F1164" s="5">
        <f>D1164*E1164</f>
        <v/>
      </c>
      <c r="G1164">
        <f>AND(B1164&gt;=50,B1164&lt;=10000)</f>
        <v/>
      </c>
      <c r="H1164">
        <f>OR(C1164="NAS",C1164="NYS",C1164="ASE")</f>
        <v/>
      </c>
      <c r="I1164">
        <f>F1164&gt;=500000</f>
        <v/>
      </c>
      <c r="J1164">
        <f>E1164&gt;=2</f>
        <v/>
      </c>
      <c r="K1164">
        <f>AND(G1164,H1164,I1164,J1164)</f>
        <v/>
      </c>
    </row>
    <row r="1165">
      <c r="B1165" s="5">
        <f>BDP(A1165&amp;" US Equity","CUR_MKT_CAP")</f>
        <v/>
      </c>
      <c r="C1165">
        <f>BDP(A1165&amp;" US Equity","EXCH_CODE")</f>
        <v/>
      </c>
      <c r="D1165" s="5">
        <f>BDP(A1165&amp;" US Equity","VOLUME_AVG_20D")</f>
        <v/>
      </c>
      <c r="E1165" s="6">
        <f>BDP(A1165&amp;" US Equity","PX_LAST")</f>
        <v/>
      </c>
      <c r="F1165" s="5">
        <f>D1165*E1165</f>
        <v/>
      </c>
      <c r="G1165">
        <f>AND(B1165&gt;=50,B1165&lt;=10000)</f>
        <v/>
      </c>
      <c r="H1165">
        <f>OR(C1165="NAS",C1165="NYS",C1165="ASE")</f>
        <v/>
      </c>
      <c r="I1165">
        <f>F1165&gt;=500000</f>
        <v/>
      </c>
      <c r="J1165">
        <f>E1165&gt;=2</f>
        <v/>
      </c>
      <c r="K1165">
        <f>AND(G1165,H1165,I1165,J1165)</f>
        <v/>
      </c>
    </row>
    <row r="1166">
      <c r="B1166" s="5">
        <f>BDP(A1166&amp;" US Equity","CUR_MKT_CAP")</f>
        <v/>
      </c>
      <c r="C1166">
        <f>BDP(A1166&amp;" US Equity","EXCH_CODE")</f>
        <v/>
      </c>
      <c r="D1166" s="5">
        <f>BDP(A1166&amp;" US Equity","VOLUME_AVG_20D")</f>
        <v/>
      </c>
      <c r="E1166" s="6">
        <f>BDP(A1166&amp;" US Equity","PX_LAST")</f>
        <v/>
      </c>
      <c r="F1166" s="5">
        <f>D1166*E1166</f>
        <v/>
      </c>
      <c r="G1166">
        <f>AND(B1166&gt;=50,B1166&lt;=10000)</f>
        <v/>
      </c>
      <c r="H1166">
        <f>OR(C1166="NAS",C1166="NYS",C1166="ASE")</f>
        <v/>
      </c>
      <c r="I1166">
        <f>F1166&gt;=500000</f>
        <v/>
      </c>
      <c r="J1166">
        <f>E1166&gt;=2</f>
        <v/>
      </c>
      <c r="K1166">
        <f>AND(G1166,H1166,I1166,J1166)</f>
        <v/>
      </c>
    </row>
    <row r="1167">
      <c r="B1167" s="5">
        <f>BDP(A1167&amp;" US Equity","CUR_MKT_CAP")</f>
        <v/>
      </c>
      <c r="C1167">
        <f>BDP(A1167&amp;" US Equity","EXCH_CODE")</f>
        <v/>
      </c>
      <c r="D1167" s="5">
        <f>BDP(A1167&amp;" US Equity","VOLUME_AVG_20D")</f>
        <v/>
      </c>
      <c r="E1167" s="6">
        <f>BDP(A1167&amp;" US Equity","PX_LAST")</f>
        <v/>
      </c>
      <c r="F1167" s="5">
        <f>D1167*E1167</f>
        <v/>
      </c>
      <c r="G1167">
        <f>AND(B1167&gt;=50,B1167&lt;=10000)</f>
        <v/>
      </c>
      <c r="H1167">
        <f>OR(C1167="NAS",C1167="NYS",C1167="ASE")</f>
        <v/>
      </c>
      <c r="I1167">
        <f>F1167&gt;=500000</f>
        <v/>
      </c>
      <c r="J1167">
        <f>E1167&gt;=2</f>
        <v/>
      </c>
      <c r="K1167">
        <f>AND(G1167,H1167,I1167,J1167)</f>
        <v/>
      </c>
    </row>
    <row r="1168">
      <c r="B1168" s="5">
        <f>BDP(A1168&amp;" US Equity","CUR_MKT_CAP")</f>
        <v/>
      </c>
      <c r="C1168">
        <f>BDP(A1168&amp;" US Equity","EXCH_CODE")</f>
        <v/>
      </c>
      <c r="D1168" s="5">
        <f>BDP(A1168&amp;" US Equity","VOLUME_AVG_20D")</f>
        <v/>
      </c>
      <c r="E1168" s="6">
        <f>BDP(A1168&amp;" US Equity","PX_LAST")</f>
        <v/>
      </c>
      <c r="F1168" s="5">
        <f>D1168*E1168</f>
        <v/>
      </c>
      <c r="G1168">
        <f>AND(B1168&gt;=50,B1168&lt;=10000)</f>
        <v/>
      </c>
      <c r="H1168">
        <f>OR(C1168="NAS",C1168="NYS",C1168="ASE")</f>
        <v/>
      </c>
      <c r="I1168">
        <f>F1168&gt;=500000</f>
        <v/>
      </c>
      <c r="J1168">
        <f>E1168&gt;=2</f>
        <v/>
      </c>
      <c r="K1168">
        <f>AND(G1168,H1168,I1168,J1168)</f>
        <v/>
      </c>
    </row>
    <row r="1169">
      <c r="B1169" s="5">
        <f>BDP(A1169&amp;" US Equity","CUR_MKT_CAP")</f>
        <v/>
      </c>
      <c r="C1169">
        <f>BDP(A1169&amp;" US Equity","EXCH_CODE")</f>
        <v/>
      </c>
      <c r="D1169" s="5">
        <f>BDP(A1169&amp;" US Equity","VOLUME_AVG_20D")</f>
        <v/>
      </c>
      <c r="E1169" s="6">
        <f>BDP(A1169&amp;" US Equity","PX_LAST")</f>
        <v/>
      </c>
      <c r="F1169" s="5">
        <f>D1169*E1169</f>
        <v/>
      </c>
      <c r="G1169">
        <f>AND(B1169&gt;=50,B1169&lt;=10000)</f>
        <v/>
      </c>
      <c r="H1169">
        <f>OR(C1169="NAS",C1169="NYS",C1169="ASE")</f>
        <v/>
      </c>
      <c r="I1169">
        <f>F1169&gt;=500000</f>
        <v/>
      </c>
      <c r="J1169">
        <f>E1169&gt;=2</f>
        <v/>
      </c>
      <c r="K1169">
        <f>AND(G1169,H1169,I1169,J1169)</f>
        <v/>
      </c>
    </row>
    <row r="1170">
      <c r="B1170" s="5">
        <f>BDP(A1170&amp;" US Equity","CUR_MKT_CAP")</f>
        <v/>
      </c>
      <c r="C1170">
        <f>BDP(A1170&amp;" US Equity","EXCH_CODE")</f>
        <v/>
      </c>
      <c r="D1170" s="5">
        <f>BDP(A1170&amp;" US Equity","VOLUME_AVG_20D")</f>
        <v/>
      </c>
      <c r="E1170" s="6">
        <f>BDP(A1170&amp;" US Equity","PX_LAST")</f>
        <v/>
      </c>
      <c r="F1170" s="5">
        <f>D1170*E1170</f>
        <v/>
      </c>
      <c r="G1170">
        <f>AND(B1170&gt;=50,B1170&lt;=10000)</f>
        <v/>
      </c>
      <c r="H1170">
        <f>OR(C1170="NAS",C1170="NYS",C1170="ASE")</f>
        <v/>
      </c>
      <c r="I1170">
        <f>F1170&gt;=500000</f>
        <v/>
      </c>
      <c r="J1170">
        <f>E1170&gt;=2</f>
        <v/>
      </c>
      <c r="K1170">
        <f>AND(G1170,H1170,I1170,J1170)</f>
        <v/>
      </c>
    </row>
    <row r="1171">
      <c r="B1171" s="5">
        <f>BDP(A1171&amp;" US Equity","CUR_MKT_CAP")</f>
        <v/>
      </c>
      <c r="C1171">
        <f>BDP(A1171&amp;" US Equity","EXCH_CODE")</f>
        <v/>
      </c>
      <c r="D1171" s="5">
        <f>BDP(A1171&amp;" US Equity","VOLUME_AVG_20D")</f>
        <v/>
      </c>
      <c r="E1171" s="6">
        <f>BDP(A1171&amp;" US Equity","PX_LAST")</f>
        <v/>
      </c>
      <c r="F1171" s="5">
        <f>D1171*E1171</f>
        <v/>
      </c>
      <c r="G1171">
        <f>AND(B1171&gt;=50,B1171&lt;=10000)</f>
        <v/>
      </c>
      <c r="H1171">
        <f>OR(C1171="NAS",C1171="NYS",C1171="ASE")</f>
        <v/>
      </c>
      <c r="I1171">
        <f>F1171&gt;=500000</f>
        <v/>
      </c>
      <c r="J1171">
        <f>E1171&gt;=2</f>
        <v/>
      </c>
      <c r="K1171">
        <f>AND(G1171,H1171,I1171,J1171)</f>
        <v/>
      </c>
    </row>
    <row r="1172">
      <c r="B1172" s="5">
        <f>BDP(A1172&amp;" US Equity","CUR_MKT_CAP")</f>
        <v/>
      </c>
      <c r="C1172">
        <f>BDP(A1172&amp;" US Equity","EXCH_CODE")</f>
        <v/>
      </c>
      <c r="D1172" s="5">
        <f>BDP(A1172&amp;" US Equity","VOLUME_AVG_20D")</f>
        <v/>
      </c>
      <c r="E1172" s="6">
        <f>BDP(A1172&amp;" US Equity","PX_LAST")</f>
        <v/>
      </c>
      <c r="F1172" s="5">
        <f>D1172*E1172</f>
        <v/>
      </c>
      <c r="G1172">
        <f>AND(B1172&gt;=50,B1172&lt;=10000)</f>
        <v/>
      </c>
      <c r="H1172">
        <f>OR(C1172="NAS",C1172="NYS",C1172="ASE")</f>
        <v/>
      </c>
      <c r="I1172">
        <f>F1172&gt;=500000</f>
        <v/>
      </c>
      <c r="J1172">
        <f>E1172&gt;=2</f>
        <v/>
      </c>
      <c r="K1172">
        <f>AND(G1172,H1172,I1172,J1172)</f>
        <v/>
      </c>
    </row>
    <row r="1173">
      <c r="B1173" s="5">
        <f>BDP(A1173&amp;" US Equity","CUR_MKT_CAP")</f>
        <v/>
      </c>
      <c r="C1173">
        <f>BDP(A1173&amp;" US Equity","EXCH_CODE")</f>
        <v/>
      </c>
      <c r="D1173" s="5">
        <f>BDP(A1173&amp;" US Equity","VOLUME_AVG_20D")</f>
        <v/>
      </c>
      <c r="E1173" s="6">
        <f>BDP(A1173&amp;" US Equity","PX_LAST")</f>
        <v/>
      </c>
      <c r="F1173" s="5">
        <f>D1173*E1173</f>
        <v/>
      </c>
      <c r="G1173">
        <f>AND(B1173&gt;=50,B1173&lt;=10000)</f>
        <v/>
      </c>
      <c r="H1173">
        <f>OR(C1173="NAS",C1173="NYS",C1173="ASE")</f>
        <v/>
      </c>
      <c r="I1173">
        <f>F1173&gt;=500000</f>
        <v/>
      </c>
      <c r="J1173">
        <f>E1173&gt;=2</f>
        <v/>
      </c>
      <c r="K1173">
        <f>AND(G1173,H1173,I1173,J1173)</f>
        <v/>
      </c>
    </row>
    <row r="1174">
      <c r="B1174" s="5">
        <f>BDP(A1174&amp;" US Equity","CUR_MKT_CAP")</f>
        <v/>
      </c>
      <c r="C1174">
        <f>BDP(A1174&amp;" US Equity","EXCH_CODE")</f>
        <v/>
      </c>
      <c r="D1174" s="5">
        <f>BDP(A1174&amp;" US Equity","VOLUME_AVG_20D")</f>
        <v/>
      </c>
      <c r="E1174" s="6">
        <f>BDP(A1174&amp;" US Equity","PX_LAST")</f>
        <v/>
      </c>
      <c r="F1174" s="5">
        <f>D1174*E1174</f>
        <v/>
      </c>
      <c r="G1174">
        <f>AND(B1174&gt;=50,B1174&lt;=10000)</f>
        <v/>
      </c>
      <c r="H1174">
        <f>OR(C1174="NAS",C1174="NYS",C1174="ASE")</f>
        <v/>
      </c>
      <c r="I1174">
        <f>F1174&gt;=500000</f>
        <v/>
      </c>
      <c r="J1174">
        <f>E1174&gt;=2</f>
        <v/>
      </c>
      <c r="K1174">
        <f>AND(G1174,H1174,I1174,J1174)</f>
        <v/>
      </c>
    </row>
    <row r="1175">
      <c r="B1175" s="5">
        <f>BDP(A1175&amp;" US Equity","CUR_MKT_CAP")</f>
        <v/>
      </c>
      <c r="C1175">
        <f>BDP(A1175&amp;" US Equity","EXCH_CODE")</f>
        <v/>
      </c>
      <c r="D1175" s="5">
        <f>BDP(A1175&amp;" US Equity","VOLUME_AVG_20D")</f>
        <v/>
      </c>
      <c r="E1175" s="6">
        <f>BDP(A1175&amp;" US Equity","PX_LAST")</f>
        <v/>
      </c>
      <c r="F1175" s="5">
        <f>D1175*E1175</f>
        <v/>
      </c>
      <c r="G1175">
        <f>AND(B1175&gt;=50,B1175&lt;=10000)</f>
        <v/>
      </c>
      <c r="H1175">
        <f>OR(C1175="NAS",C1175="NYS",C1175="ASE")</f>
        <v/>
      </c>
      <c r="I1175">
        <f>F1175&gt;=500000</f>
        <v/>
      </c>
      <c r="J1175">
        <f>E1175&gt;=2</f>
        <v/>
      </c>
      <c r="K1175">
        <f>AND(G1175,H1175,I1175,J1175)</f>
        <v/>
      </c>
    </row>
    <row r="1176">
      <c r="B1176" s="5">
        <f>BDP(A1176&amp;" US Equity","CUR_MKT_CAP")</f>
        <v/>
      </c>
      <c r="C1176">
        <f>BDP(A1176&amp;" US Equity","EXCH_CODE")</f>
        <v/>
      </c>
      <c r="D1176" s="5">
        <f>BDP(A1176&amp;" US Equity","VOLUME_AVG_20D")</f>
        <v/>
      </c>
      <c r="E1176" s="6">
        <f>BDP(A1176&amp;" US Equity","PX_LAST")</f>
        <v/>
      </c>
      <c r="F1176" s="5">
        <f>D1176*E1176</f>
        <v/>
      </c>
      <c r="G1176">
        <f>AND(B1176&gt;=50,B1176&lt;=10000)</f>
        <v/>
      </c>
      <c r="H1176">
        <f>OR(C1176="NAS",C1176="NYS",C1176="ASE")</f>
        <v/>
      </c>
      <c r="I1176">
        <f>F1176&gt;=500000</f>
        <v/>
      </c>
      <c r="J1176">
        <f>E1176&gt;=2</f>
        <v/>
      </c>
      <c r="K1176">
        <f>AND(G1176,H1176,I1176,J1176)</f>
        <v/>
      </c>
    </row>
    <row r="1177">
      <c r="B1177" s="5">
        <f>BDP(A1177&amp;" US Equity","CUR_MKT_CAP")</f>
        <v/>
      </c>
      <c r="C1177">
        <f>BDP(A1177&amp;" US Equity","EXCH_CODE")</f>
        <v/>
      </c>
      <c r="D1177" s="5">
        <f>BDP(A1177&amp;" US Equity","VOLUME_AVG_20D")</f>
        <v/>
      </c>
      <c r="E1177" s="6">
        <f>BDP(A1177&amp;" US Equity","PX_LAST")</f>
        <v/>
      </c>
      <c r="F1177" s="5">
        <f>D1177*E1177</f>
        <v/>
      </c>
      <c r="G1177">
        <f>AND(B1177&gt;=50,B1177&lt;=10000)</f>
        <v/>
      </c>
      <c r="H1177">
        <f>OR(C1177="NAS",C1177="NYS",C1177="ASE")</f>
        <v/>
      </c>
      <c r="I1177">
        <f>F1177&gt;=500000</f>
        <v/>
      </c>
      <c r="J1177">
        <f>E1177&gt;=2</f>
        <v/>
      </c>
      <c r="K1177">
        <f>AND(G1177,H1177,I1177,J1177)</f>
        <v/>
      </c>
    </row>
    <row r="1178">
      <c r="B1178" s="5">
        <f>BDP(A1178&amp;" US Equity","CUR_MKT_CAP")</f>
        <v/>
      </c>
      <c r="C1178">
        <f>BDP(A1178&amp;" US Equity","EXCH_CODE")</f>
        <v/>
      </c>
      <c r="D1178" s="5">
        <f>BDP(A1178&amp;" US Equity","VOLUME_AVG_20D")</f>
        <v/>
      </c>
      <c r="E1178" s="6">
        <f>BDP(A1178&amp;" US Equity","PX_LAST")</f>
        <v/>
      </c>
      <c r="F1178" s="5">
        <f>D1178*E1178</f>
        <v/>
      </c>
      <c r="G1178">
        <f>AND(B1178&gt;=50,B1178&lt;=10000)</f>
        <v/>
      </c>
      <c r="H1178">
        <f>OR(C1178="NAS",C1178="NYS",C1178="ASE")</f>
        <v/>
      </c>
      <c r="I1178">
        <f>F1178&gt;=500000</f>
        <v/>
      </c>
      <c r="J1178">
        <f>E1178&gt;=2</f>
        <v/>
      </c>
      <c r="K1178">
        <f>AND(G1178,H1178,I1178,J1178)</f>
        <v/>
      </c>
    </row>
    <row r="1179">
      <c r="B1179" s="5">
        <f>BDP(A1179&amp;" US Equity","CUR_MKT_CAP")</f>
        <v/>
      </c>
      <c r="C1179">
        <f>BDP(A1179&amp;" US Equity","EXCH_CODE")</f>
        <v/>
      </c>
      <c r="D1179" s="5">
        <f>BDP(A1179&amp;" US Equity","VOLUME_AVG_20D")</f>
        <v/>
      </c>
      <c r="E1179" s="6">
        <f>BDP(A1179&amp;" US Equity","PX_LAST")</f>
        <v/>
      </c>
      <c r="F1179" s="5">
        <f>D1179*E1179</f>
        <v/>
      </c>
      <c r="G1179">
        <f>AND(B1179&gt;=50,B1179&lt;=10000)</f>
        <v/>
      </c>
      <c r="H1179">
        <f>OR(C1179="NAS",C1179="NYS",C1179="ASE")</f>
        <v/>
      </c>
      <c r="I1179">
        <f>F1179&gt;=500000</f>
        <v/>
      </c>
      <c r="J1179">
        <f>E1179&gt;=2</f>
        <v/>
      </c>
      <c r="K1179">
        <f>AND(G1179,H1179,I1179,J1179)</f>
        <v/>
      </c>
    </row>
    <row r="1180">
      <c r="B1180" s="5">
        <f>BDP(A1180&amp;" US Equity","CUR_MKT_CAP")</f>
        <v/>
      </c>
      <c r="C1180">
        <f>BDP(A1180&amp;" US Equity","EXCH_CODE")</f>
        <v/>
      </c>
      <c r="D1180" s="5">
        <f>BDP(A1180&amp;" US Equity","VOLUME_AVG_20D")</f>
        <v/>
      </c>
      <c r="E1180" s="6">
        <f>BDP(A1180&amp;" US Equity","PX_LAST")</f>
        <v/>
      </c>
      <c r="F1180" s="5">
        <f>D1180*E1180</f>
        <v/>
      </c>
      <c r="G1180">
        <f>AND(B1180&gt;=50,B1180&lt;=10000)</f>
        <v/>
      </c>
      <c r="H1180">
        <f>OR(C1180="NAS",C1180="NYS",C1180="ASE")</f>
        <v/>
      </c>
      <c r="I1180">
        <f>F1180&gt;=500000</f>
        <v/>
      </c>
      <c r="J1180">
        <f>E1180&gt;=2</f>
        <v/>
      </c>
      <c r="K1180">
        <f>AND(G1180,H1180,I1180,J1180)</f>
        <v/>
      </c>
    </row>
    <row r="1181">
      <c r="B1181" s="5">
        <f>BDP(A1181&amp;" US Equity","CUR_MKT_CAP")</f>
        <v/>
      </c>
      <c r="C1181">
        <f>BDP(A1181&amp;" US Equity","EXCH_CODE")</f>
        <v/>
      </c>
      <c r="D1181" s="5">
        <f>BDP(A1181&amp;" US Equity","VOLUME_AVG_20D")</f>
        <v/>
      </c>
      <c r="E1181" s="6">
        <f>BDP(A1181&amp;" US Equity","PX_LAST")</f>
        <v/>
      </c>
      <c r="F1181" s="5">
        <f>D1181*E1181</f>
        <v/>
      </c>
      <c r="G1181">
        <f>AND(B1181&gt;=50,B1181&lt;=10000)</f>
        <v/>
      </c>
      <c r="H1181">
        <f>OR(C1181="NAS",C1181="NYS",C1181="ASE")</f>
        <v/>
      </c>
      <c r="I1181">
        <f>F1181&gt;=500000</f>
        <v/>
      </c>
      <c r="J1181">
        <f>E1181&gt;=2</f>
        <v/>
      </c>
      <c r="K1181">
        <f>AND(G1181,H1181,I1181,J1181)</f>
        <v/>
      </c>
    </row>
    <row r="1182">
      <c r="B1182" s="5">
        <f>BDP(A1182&amp;" US Equity","CUR_MKT_CAP")</f>
        <v/>
      </c>
      <c r="C1182">
        <f>BDP(A1182&amp;" US Equity","EXCH_CODE")</f>
        <v/>
      </c>
      <c r="D1182" s="5">
        <f>BDP(A1182&amp;" US Equity","VOLUME_AVG_20D")</f>
        <v/>
      </c>
      <c r="E1182" s="6">
        <f>BDP(A1182&amp;" US Equity","PX_LAST")</f>
        <v/>
      </c>
      <c r="F1182" s="5">
        <f>D1182*E1182</f>
        <v/>
      </c>
      <c r="G1182">
        <f>AND(B1182&gt;=50,B1182&lt;=10000)</f>
        <v/>
      </c>
      <c r="H1182">
        <f>OR(C1182="NAS",C1182="NYS",C1182="ASE")</f>
        <v/>
      </c>
      <c r="I1182">
        <f>F1182&gt;=500000</f>
        <v/>
      </c>
      <c r="J1182">
        <f>E1182&gt;=2</f>
        <v/>
      </c>
      <c r="K1182">
        <f>AND(G1182,H1182,I1182,J1182)</f>
        <v/>
      </c>
    </row>
    <row r="1183">
      <c r="B1183" s="5">
        <f>BDP(A1183&amp;" US Equity","CUR_MKT_CAP")</f>
        <v/>
      </c>
      <c r="C1183">
        <f>BDP(A1183&amp;" US Equity","EXCH_CODE")</f>
        <v/>
      </c>
      <c r="D1183" s="5">
        <f>BDP(A1183&amp;" US Equity","VOLUME_AVG_20D")</f>
        <v/>
      </c>
      <c r="E1183" s="6">
        <f>BDP(A1183&amp;" US Equity","PX_LAST")</f>
        <v/>
      </c>
      <c r="F1183" s="5">
        <f>D1183*E1183</f>
        <v/>
      </c>
      <c r="G1183">
        <f>AND(B1183&gt;=50,B1183&lt;=10000)</f>
        <v/>
      </c>
      <c r="H1183">
        <f>OR(C1183="NAS",C1183="NYS",C1183="ASE")</f>
        <v/>
      </c>
      <c r="I1183">
        <f>F1183&gt;=500000</f>
        <v/>
      </c>
      <c r="J1183">
        <f>E1183&gt;=2</f>
        <v/>
      </c>
      <c r="K1183">
        <f>AND(G1183,H1183,I1183,J1183)</f>
        <v/>
      </c>
    </row>
    <row r="1184">
      <c r="B1184" s="5">
        <f>BDP(A1184&amp;" US Equity","CUR_MKT_CAP")</f>
        <v/>
      </c>
      <c r="C1184">
        <f>BDP(A1184&amp;" US Equity","EXCH_CODE")</f>
        <v/>
      </c>
      <c r="D1184" s="5">
        <f>BDP(A1184&amp;" US Equity","VOLUME_AVG_20D")</f>
        <v/>
      </c>
      <c r="E1184" s="6">
        <f>BDP(A1184&amp;" US Equity","PX_LAST")</f>
        <v/>
      </c>
      <c r="F1184" s="5">
        <f>D1184*E1184</f>
        <v/>
      </c>
      <c r="G1184">
        <f>AND(B1184&gt;=50,B1184&lt;=10000)</f>
        <v/>
      </c>
      <c r="H1184">
        <f>OR(C1184="NAS",C1184="NYS",C1184="ASE")</f>
        <v/>
      </c>
      <c r="I1184">
        <f>F1184&gt;=500000</f>
        <v/>
      </c>
      <c r="J1184">
        <f>E1184&gt;=2</f>
        <v/>
      </c>
      <c r="K1184">
        <f>AND(G1184,H1184,I1184,J1184)</f>
        <v/>
      </c>
    </row>
    <row r="1185">
      <c r="B1185" s="5">
        <f>BDP(A1185&amp;" US Equity","CUR_MKT_CAP")</f>
        <v/>
      </c>
      <c r="C1185">
        <f>BDP(A1185&amp;" US Equity","EXCH_CODE")</f>
        <v/>
      </c>
      <c r="D1185" s="5">
        <f>BDP(A1185&amp;" US Equity","VOLUME_AVG_20D")</f>
        <v/>
      </c>
      <c r="E1185" s="6">
        <f>BDP(A1185&amp;" US Equity","PX_LAST")</f>
        <v/>
      </c>
      <c r="F1185" s="5">
        <f>D1185*E1185</f>
        <v/>
      </c>
      <c r="G1185">
        <f>AND(B1185&gt;=50,B1185&lt;=10000)</f>
        <v/>
      </c>
      <c r="H1185">
        <f>OR(C1185="NAS",C1185="NYS",C1185="ASE")</f>
        <v/>
      </c>
      <c r="I1185">
        <f>F1185&gt;=500000</f>
        <v/>
      </c>
      <c r="J1185">
        <f>E1185&gt;=2</f>
        <v/>
      </c>
      <c r="K1185">
        <f>AND(G1185,H1185,I1185,J1185)</f>
        <v/>
      </c>
    </row>
    <row r="1186">
      <c r="B1186" s="5">
        <f>BDP(A1186&amp;" US Equity","CUR_MKT_CAP")</f>
        <v/>
      </c>
      <c r="C1186">
        <f>BDP(A1186&amp;" US Equity","EXCH_CODE")</f>
        <v/>
      </c>
      <c r="D1186" s="5">
        <f>BDP(A1186&amp;" US Equity","VOLUME_AVG_20D")</f>
        <v/>
      </c>
      <c r="E1186" s="6">
        <f>BDP(A1186&amp;" US Equity","PX_LAST")</f>
        <v/>
      </c>
      <c r="F1186" s="5">
        <f>D1186*E1186</f>
        <v/>
      </c>
      <c r="G1186">
        <f>AND(B1186&gt;=50,B1186&lt;=10000)</f>
        <v/>
      </c>
      <c r="H1186">
        <f>OR(C1186="NAS",C1186="NYS",C1186="ASE")</f>
        <v/>
      </c>
      <c r="I1186">
        <f>F1186&gt;=500000</f>
        <v/>
      </c>
      <c r="J1186">
        <f>E1186&gt;=2</f>
        <v/>
      </c>
      <c r="K1186">
        <f>AND(G1186,H1186,I1186,J1186)</f>
        <v/>
      </c>
    </row>
    <row r="1187">
      <c r="B1187" s="5">
        <f>BDP(A1187&amp;" US Equity","CUR_MKT_CAP")</f>
        <v/>
      </c>
      <c r="C1187">
        <f>BDP(A1187&amp;" US Equity","EXCH_CODE")</f>
        <v/>
      </c>
      <c r="D1187" s="5">
        <f>BDP(A1187&amp;" US Equity","VOLUME_AVG_20D")</f>
        <v/>
      </c>
      <c r="E1187" s="6">
        <f>BDP(A1187&amp;" US Equity","PX_LAST")</f>
        <v/>
      </c>
      <c r="F1187" s="5">
        <f>D1187*E1187</f>
        <v/>
      </c>
      <c r="G1187">
        <f>AND(B1187&gt;=50,B1187&lt;=10000)</f>
        <v/>
      </c>
      <c r="H1187">
        <f>OR(C1187="NAS",C1187="NYS",C1187="ASE")</f>
        <v/>
      </c>
      <c r="I1187">
        <f>F1187&gt;=500000</f>
        <v/>
      </c>
      <c r="J1187">
        <f>E1187&gt;=2</f>
        <v/>
      </c>
      <c r="K1187">
        <f>AND(G1187,H1187,I1187,J1187)</f>
        <v/>
      </c>
    </row>
    <row r="1188">
      <c r="B1188" s="5">
        <f>BDP(A1188&amp;" US Equity","CUR_MKT_CAP")</f>
        <v/>
      </c>
      <c r="C1188">
        <f>BDP(A1188&amp;" US Equity","EXCH_CODE")</f>
        <v/>
      </c>
      <c r="D1188" s="5">
        <f>BDP(A1188&amp;" US Equity","VOLUME_AVG_20D")</f>
        <v/>
      </c>
      <c r="E1188" s="6">
        <f>BDP(A1188&amp;" US Equity","PX_LAST")</f>
        <v/>
      </c>
      <c r="F1188" s="5">
        <f>D1188*E1188</f>
        <v/>
      </c>
      <c r="G1188">
        <f>AND(B1188&gt;=50,B1188&lt;=10000)</f>
        <v/>
      </c>
      <c r="H1188">
        <f>OR(C1188="NAS",C1188="NYS",C1188="ASE")</f>
        <v/>
      </c>
      <c r="I1188">
        <f>F1188&gt;=500000</f>
        <v/>
      </c>
      <c r="J1188">
        <f>E1188&gt;=2</f>
        <v/>
      </c>
      <c r="K1188">
        <f>AND(G1188,H1188,I1188,J1188)</f>
        <v/>
      </c>
    </row>
    <row r="1189">
      <c r="B1189" s="5">
        <f>BDP(A1189&amp;" US Equity","CUR_MKT_CAP")</f>
        <v/>
      </c>
      <c r="C1189">
        <f>BDP(A1189&amp;" US Equity","EXCH_CODE")</f>
        <v/>
      </c>
      <c r="D1189" s="5">
        <f>BDP(A1189&amp;" US Equity","VOLUME_AVG_20D")</f>
        <v/>
      </c>
      <c r="E1189" s="6">
        <f>BDP(A1189&amp;" US Equity","PX_LAST")</f>
        <v/>
      </c>
      <c r="F1189" s="5">
        <f>D1189*E1189</f>
        <v/>
      </c>
      <c r="G1189">
        <f>AND(B1189&gt;=50,B1189&lt;=10000)</f>
        <v/>
      </c>
      <c r="H1189">
        <f>OR(C1189="NAS",C1189="NYS",C1189="ASE")</f>
        <v/>
      </c>
      <c r="I1189">
        <f>F1189&gt;=500000</f>
        <v/>
      </c>
      <c r="J1189">
        <f>E1189&gt;=2</f>
        <v/>
      </c>
      <c r="K1189">
        <f>AND(G1189,H1189,I1189,J1189)</f>
        <v/>
      </c>
    </row>
    <row r="1190">
      <c r="B1190" s="5">
        <f>BDP(A1190&amp;" US Equity","CUR_MKT_CAP")</f>
        <v/>
      </c>
      <c r="C1190">
        <f>BDP(A1190&amp;" US Equity","EXCH_CODE")</f>
        <v/>
      </c>
      <c r="D1190" s="5">
        <f>BDP(A1190&amp;" US Equity","VOLUME_AVG_20D")</f>
        <v/>
      </c>
      <c r="E1190" s="6">
        <f>BDP(A1190&amp;" US Equity","PX_LAST")</f>
        <v/>
      </c>
      <c r="F1190" s="5">
        <f>D1190*E1190</f>
        <v/>
      </c>
      <c r="G1190">
        <f>AND(B1190&gt;=50,B1190&lt;=10000)</f>
        <v/>
      </c>
      <c r="H1190">
        <f>OR(C1190="NAS",C1190="NYS",C1190="ASE")</f>
        <v/>
      </c>
      <c r="I1190">
        <f>F1190&gt;=500000</f>
        <v/>
      </c>
      <c r="J1190">
        <f>E1190&gt;=2</f>
        <v/>
      </c>
      <c r="K1190">
        <f>AND(G1190,H1190,I1190,J1190)</f>
        <v/>
      </c>
    </row>
    <row r="1191">
      <c r="B1191" s="5">
        <f>BDP(A1191&amp;" US Equity","CUR_MKT_CAP")</f>
        <v/>
      </c>
      <c r="C1191">
        <f>BDP(A1191&amp;" US Equity","EXCH_CODE")</f>
        <v/>
      </c>
      <c r="D1191" s="5">
        <f>BDP(A1191&amp;" US Equity","VOLUME_AVG_20D")</f>
        <v/>
      </c>
      <c r="E1191" s="6">
        <f>BDP(A1191&amp;" US Equity","PX_LAST")</f>
        <v/>
      </c>
      <c r="F1191" s="5">
        <f>D1191*E1191</f>
        <v/>
      </c>
      <c r="G1191">
        <f>AND(B1191&gt;=50,B1191&lt;=10000)</f>
        <v/>
      </c>
      <c r="H1191">
        <f>OR(C1191="NAS",C1191="NYS",C1191="ASE")</f>
        <v/>
      </c>
      <c r="I1191">
        <f>F1191&gt;=500000</f>
        <v/>
      </c>
      <c r="J1191">
        <f>E1191&gt;=2</f>
        <v/>
      </c>
      <c r="K1191">
        <f>AND(G1191,H1191,I1191,J1191)</f>
        <v/>
      </c>
    </row>
    <row r="1192">
      <c r="B1192" s="5">
        <f>BDP(A1192&amp;" US Equity","CUR_MKT_CAP")</f>
        <v/>
      </c>
      <c r="C1192">
        <f>BDP(A1192&amp;" US Equity","EXCH_CODE")</f>
        <v/>
      </c>
      <c r="D1192" s="5">
        <f>BDP(A1192&amp;" US Equity","VOLUME_AVG_20D")</f>
        <v/>
      </c>
      <c r="E1192" s="6">
        <f>BDP(A1192&amp;" US Equity","PX_LAST")</f>
        <v/>
      </c>
      <c r="F1192" s="5">
        <f>D1192*E1192</f>
        <v/>
      </c>
      <c r="G1192">
        <f>AND(B1192&gt;=50,B1192&lt;=10000)</f>
        <v/>
      </c>
      <c r="H1192">
        <f>OR(C1192="NAS",C1192="NYS",C1192="ASE")</f>
        <v/>
      </c>
      <c r="I1192">
        <f>F1192&gt;=500000</f>
        <v/>
      </c>
      <c r="J1192">
        <f>E1192&gt;=2</f>
        <v/>
      </c>
      <c r="K1192">
        <f>AND(G1192,H1192,I1192,J1192)</f>
        <v/>
      </c>
    </row>
    <row r="1193">
      <c r="B1193" s="5">
        <f>BDP(A1193&amp;" US Equity","CUR_MKT_CAP")</f>
        <v/>
      </c>
      <c r="C1193">
        <f>BDP(A1193&amp;" US Equity","EXCH_CODE")</f>
        <v/>
      </c>
      <c r="D1193" s="5">
        <f>BDP(A1193&amp;" US Equity","VOLUME_AVG_20D")</f>
        <v/>
      </c>
      <c r="E1193" s="6">
        <f>BDP(A1193&amp;" US Equity","PX_LAST")</f>
        <v/>
      </c>
      <c r="F1193" s="5">
        <f>D1193*E1193</f>
        <v/>
      </c>
      <c r="G1193">
        <f>AND(B1193&gt;=50,B1193&lt;=10000)</f>
        <v/>
      </c>
      <c r="H1193">
        <f>OR(C1193="NAS",C1193="NYS",C1193="ASE")</f>
        <v/>
      </c>
      <c r="I1193">
        <f>F1193&gt;=500000</f>
        <v/>
      </c>
      <c r="J1193">
        <f>E1193&gt;=2</f>
        <v/>
      </c>
      <c r="K1193">
        <f>AND(G1193,H1193,I1193,J1193)</f>
        <v/>
      </c>
    </row>
    <row r="1194">
      <c r="B1194" s="5">
        <f>BDP(A1194&amp;" US Equity","CUR_MKT_CAP")</f>
        <v/>
      </c>
      <c r="C1194">
        <f>BDP(A1194&amp;" US Equity","EXCH_CODE")</f>
        <v/>
      </c>
      <c r="D1194" s="5">
        <f>BDP(A1194&amp;" US Equity","VOLUME_AVG_20D")</f>
        <v/>
      </c>
      <c r="E1194" s="6">
        <f>BDP(A1194&amp;" US Equity","PX_LAST")</f>
        <v/>
      </c>
      <c r="F1194" s="5">
        <f>D1194*E1194</f>
        <v/>
      </c>
      <c r="G1194">
        <f>AND(B1194&gt;=50,B1194&lt;=10000)</f>
        <v/>
      </c>
      <c r="H1194">
        <f>OR(C1194="NAS",C1194="NYS",C1194="ASE")</f>
        <v/>
      </c>
      <c r="I1194">
        <f>F1194&gt;=500000</f>
        <v/>
      </c>
      <c r="J1194">
        <f>E1194&gt;=2</f>
        <v/>
      </c>
      <c r="K1194">
        <f>AND(G1194,H1194,I1194,J1194)</f>
        <v/>
      </c>
    </row>
    <row r="1195">
      <c r="B1195" s="5">
        <f>BDP(A1195&amp;" US Equity","CUR_MKT_CAP")</f>
        <v/>
      </c>
      <c r="C1195">
        <f>BDP(A1195&amp;" US Equity","EXCH_CODE")</f>
        <v/>
      </c>
      <c r="D1195" s="5">
        <f>BDP(A1195&amp;" US Equity","VOLUME_AVG_20D")</f>
        <v/>
      </c>
      <c r="E1195" s="6">
        <f>BDP(A1195&amp;" US Equity","PX_LAST")</f>
        <v/>
      </c>
      <c r="F1195" s="5">
        <f>D1195*E1195</f>
        <v/>
      </c>
      <c r="G1195">
        <f>AND(B1195&gt;=50,B1195&lt;=10000)</f>
        <v/>
      </c>
      <c r="H1195">
        <f>OR(C1195="NAS",C1195="NYS",C1195="ASE")</f>
        <v/>
      </c>
      <c r="I1195">
        <f>F1195&gt;=500000</f>
        <v/>
      </c>
      <c r="J1195">
        <f>E1195&gt;=2</f>
        <v/>
      </c>
      <c r="K1195">
        <f>AND(G1195,H1195,I1195,J1195)</f>
        <v/>
      </c>
    </row>
    <row r="1196">
      <c r="B1196" s="5">
        <f>BDP(A1196&amp;" US Equity","CUR_MKT_CAP")</f>
        <v/>
      </c>
      <c r="C1196">
        <f>BDP(A1196&amp;" US Equity","EXCH_CODE")</f>
        <v/>
      </c>
      <c r="D1196" s="5">
        <f>BDP(A1196&amp;" US Equity","VOLUME_AVG_20D")</f>
        <v/>
      </c>
      <c r="E1196" s="6">
        <f>BDP(A1196&amp;" US Equity","PX_LAST")</f>
        <v/>
      </c>
      <c r="F1196" s="5">
        <f>D1196*E1196</f>
        <v/>
      </c>
      <c r="G1196">
        <f>AND(B1196&gt;=50,B1196&lt;=10000)</f>
        <v/>
      </c>
      <c r="H1196">
        <f>OR(C1196="NAS",C1196="NYS",C1196="ASE")</f>
        <v/>
      </c>
      <c r="I1196">
        <f>F1196&gt;=500000</f>
        <v/>
      </c>
      <c r="J1196">
        <f>E1196&gt;=2</f>
        <v/>
      </c>
      <c r="K1196">
        <f>AND(G1196,H1196,I1196,J1196)</f>
        <v/>
      </c>
    </row>
    <row r="1197">
      <c r="B1197" s="5">
        <f>BDP(A1197&amp;" US Equity","CUR_MKT_CAP")</f>
        <v/>
      </c>
      <c r="C1197">
        <f>BDP(A1197&amp;" US Equity","EXCH_CODE")</f>
        <v/>
      </c>
      <c r="D1197" s="5">
        <f>BDP(A1197&amp;" US Equity","VOLUME_AVG_20D")</f>
        <v/>
      </c>
      <c r="E1197" s="6">
        <f>BDP(A1197&amp;" US Equity","PX_LAST")</f>
        <v/>
      </c>
      <c r="F1197" s="5">
        <f>D1197*E1197</f>
        <v/>
      </c>
      <c r="G1197">
        <f>AND(B1197&gt;=50,B1197&lt;=10000)</f>
        <v/>
      </c>
      <c r="H1197">
        <f>OR(C1197="NAS",C1197="NYS",C1197="ASE")</f>
        <v/>
      </c>
      <c r="I1197">
        <f>F1197&gt;=500000</f>
        <v/>
      </c>
      <c r="J1197">
        <f>E1197&gt;=2</f>
        <v/>
      </c>
      <c r="K1197">
        <f>AND(G1197,H1197,I1197,J1197)</f>
        <v/>
      </c>
    </row>
    <row r="1198">
      <c r="B1198" s="5">
        <f>BDP(A1198&amp;" US Equity","CUR_MKT_CAP")</f>
        <v/>
      </c>
      <c r="C1198">
        <f>BDP(A1198&amp;" US Equity","EXCH_CODE")</f>
        <v/>
      </c>
      <c r="D1198" s="5">
        <f>BDP(A1198&amp;" US Equity","VOLUME_AVG_20D")</f>
        <v/>
      </c>
      <c r="E1198" s="6">
        <f>BDP(A1198&amp;" US Equity","PX_LAST")</f>
        <v/>
      </c>
      <c r="F1198" s="5">
        <f>D1198*E1198</f>
        <v/>
      </c>
      <c r="G1198">
        <f>AND(B1198&gt;=50,B1198&lt;=10000)</f>
        <v/>
      </c>
      <c r="H1198">
        <f>OR(C1198="NAS",C1198="NYS",C1198="ASE")</f>
        <v/>
      </c>
      <c r="I1198">
        <f>F1198&gt;=500000</f>
        <v/>
      </c>
      <c r="J1198">
        <f>E1198&gt;=2</f>
        <v/>
      </c>
      <c r="K1198">
        <f>AND(G1198,H1198,I1198,J1198)</f>
        <v/>
      </c>
    </row>
    <row r="1199">
      <c r="B1199" s="5">
        <f>BDP(A1199&amp;" US Equity","CUR_MKT_CAP")</f>
        <v/>
      </c>
      <c r="C1199">
        <f>BDP(A1199&amp;" US Equity","EXCH_CODE")</f>
        <v/>
      </c>
      <c r="D1199" s="5">
        <f>BDP(A1199&amp;" US Equity","VOLUME_AVG_20D")</f>
        <v/>
      </c>
      <c r="E1199" s="6">
        <f>BDP(A1199&amp;" US Equity","PX_LAST")</f>
        <v/>
      </c>
      <c r="F1199" s="5">
        <f>D1199*E1199</f>
        <v/>
      </c>
      <c r="G1199">
        <f>AND(B1199&gt;=50,B1199&lt;=10000)</f>
        <v/>
      </c>
      <c r="H1199">
        <f>OR(C1199="NAS",C1199="NYS",C1199="ASE")</f>
        <v/>
      </c>
      <c r="I1199">
        <f>F1199&gt;=500000</f>
        <v/>
      </c>
      <c r="J1199">
        <f>E1199&gt;=2</f>
        <v/>
      </c>
      <c r="K1199">
        <f>AND(G1199,H1199,I1199,J1199)</f>
        <v/>
      </c>
    </row>
    <row r="1200">
      <c r="B1200" s="5">
        <f>BDP(A1200&amp;" US Equity","CUR_MKT_CAP")</f>
        <v/>
      </c>
      <c r="C1200">
        <f>BDP(A1200&amp;" US Equity","EXCH_CODE")</f>
        <v/>
      </c>
      <c r="D1200" s="5">
        <f>BDP(A1200&amp;" US Equity","VOLUME_AVG_20D")</f>
        <v/>
      </c>
      <c r="E1200" s="6">
        <f>BDP(A1200&amp;" US Equity","PX_LAST")</f>
        <v/>
      </c>
      <c r="F1200" s="5">
        <f>D1200*E1200</f>
        <v/>
      </c>
      <c r="G1200">
        <f>AND(B1200&gt;=50,B1200&lt;=10000)</f>
        <v/>
      </c>
      <c r="H1200">
        <f>OR(C1200="NAS",C1200="NYS",C1200="ASE")</f>
        <v/>
      </c>
      <c r="I1200">
        <f>F1200&gt;=500000</f>
        <v/>
      </c>
      <c r="J1200">
        <f>E1200&gt;=2</f>
        <v/>
      </c>
      <c r="K1200">
        <f>AND(G1200,H1200,I1200,J1200)</f>
        <v/>
      </c>
    </row>
    <row r="1201">
      <c r="B1201" s="5">
        <f>BDP(A1201&amp;" US Equity","CUR_MKT_CAP")</f>
        <v/>
      </c>
      <c r="C1201">
        <f>BDP(A1201&amp;" US Equity","EXCH_CODE")</f>
        <v/>
      </c>
      <c r="D1201" s="5">
        <f>BDP(A1201&amp;" US Equity","VOLUME_AVG_20D")</f>
        <v/>
      </c>
      <c r="E1201" s="6">
        <f>BDP(A1201&amp;" US Equity","PX_LAST")</f>
        <v/>
      </c>
      <c r="F1201" s="5">
        <f>D1201*E1201</f>
        <v/>
      </c>
      <c r="G1201">
        <f>AND(B1201&gt;=50,B1201&lt;=10000)</f>
        <v/>
      </c>
      <c r="H1201">
        <f>OR(C1201="NAS",C1201="NYS",C1201="ASE")</f>
        <v/>
      </c>
      <c r="I1201">
        <f>F1201&gt;=500000</f>
        <v/>
      </c>
      <c r="J1201">
        <f>E1201&gt;=2</f>
        <v/>
      </c>
      <c r="K1201">
        <f>AND(G1201,H1201,I1201,J1201)</f>
        <v/>
      </c>
    </row>
    <row r="1202">
      <c r="B1202" s="5">
        <f>BDP(A1202&amp;" US Equity","CUR_MKT_CAP")</f>
        <v/>
      </c>
      <c r="C1202">
        <f>BDP(A1202&amp;" US Equity","EXCH_CODE")</f>
        <v/>
      </c>
      <c r="D1202" s="5">
        <f>BDP(A1202&amp;" US Equity","VOLUME_AVG_20D")</f>
        <v/>
      </c>
      <c r="E1202" s="6">
        <f>BDP(A1202&amp;" US Equity","PX_LAST")</f>
        <v/>
      </c>
      <c r="F1202" s="5">
        <f>D1202*E1202</f>
        <v/>
      </c>
      <c r="G1202">
        <f>AND(B1202&gt;=50,B1202&lt;=10000)</f>
        <v/>
      </c>
      <c r="H1202">
        <f>OR(C1202="NAS",C1202="NYS",C1202="ASE")</f>
        <v/>
      </c>
      <c r="I1202">
        <f>F1202&gt;=500000</f>
        <v/>
      </c>
      <c r="J1202">
        <f>E1202&gt;=2</f>
        <v/>
      </c>
      <c r="K1202">
        <f>AND(G1202,H1202,I1202,J1202)</f>
        <v/>
      </c>
    </row>
    <row r="1203">
      <c r="B1203" s="5">
        <f>BDP(A1203&amp;" US Equity","CUR_MKT_CAP")</f>
        <v/>
      </c>
      <c r="C1203">
        <f>BDP(A1203&amp;" US Equity","EXCH_CODE")</f>
        <v/>
      </c>
      <c r="D1203" s="5">
        <f>BDP(A1203&amp;" US Equity","VOLUME_AVG_20D")</f>
        <v/>
      </c>
      <c r="E1203" s="6">
        <f>BDP(A1203&amp;" US Equity","PX_LAST")</f>
        <v/>
      </c>
      <c r="F1203" s="5">
        <f>D1203*E1203</f>
        <v/>
      </c>
      <c r="G1203">
        <f>AND(B1203&gt;=50,B1203&lt;=10000)</f>
        <v/>
      </c>
      <c r="H1203">
        <f>OR(C1203="NAS",C1203="NYS",C1203="ASE")</f>
        <v/>
      </c>
      <c r="I1203">
        <f>F1203&gt;=500000</f>
        <v/>
      </c>
      <c r="J1203">
        <f>E1203&gt;=2</f>
        <v/>
      </c>
      <c r="K1203">
        <f>AND(G1203,H1203,I1203,J1203)</f>
        <v/>
      </c>
    </row>
    <row r="1204">
      <c r="B1204" s="5">
        <f>BDP(A1204&amp;" US Equity","CUR_MKT_CAP")</f>
        <v/>
      </c>
      <c r="C1204">
        <f>BDP(A1204&amp;" US Equity","EXCH_CODE")</f>
        <v/>
      </c>
      <c r="D1204" s="5">
        <f>BDP(A1204&amp;" US Equity","VOLUME_AVG_20D")</f>
        <v/>
      </c>
      <c r="E1204" s="6">
        <f>BDP(A1204&amp;" US Equity","PX_LAST")</f>
        <v/>
      </c>
      <c r="F1204" s="5">
        <f>D1204*E1204</f>
        <v/>
      </c>
      <c r="G1204">
        <f>AND(B1204&gt;=50,B1204&lt;=10000)</f>
        <v/>
      </c>
      <c r="H1204">
        <f>OR(C1204="NAS",C1204="NYS",C1204="ASE")</f>
        <v/>
      </c>
      <c r="I1204">
        <f>F1204&gt;=500000</f>
        <v/>
      </c>
      <c r="J1204">
        <f>E1204&gt;=2</f>
        <v/>
      </c>
      <c r="K1204">
        <f>AND(G1204,H1204,I1204,J1204)</f>
        <v/>
      </c>
    </row>
    <row r="1205">
      <c r="B1205" s="5">
        <f>BDP(A1205&amp;" US Equity","CUR_MKT_CAP")</f>
        <v/>
      </c>
      <c r="C1205">
        <f>BDP(A1205&amp;" US Equity","EXCH_CODE")</f>
        <v/>
      </c>
      <c r="D1205" s="5">
        <f>BDP(A1205&amp;" US Equity","VOLUME_AVG_20D")</f>
        <v/>
      </c>
      <c r="E1205" s="6">
        <f>BDP(A1205&amp;" US Equity","PX_LAST")</f>
        <v/>
      </c>
      <c r="F1205" s="5">
        <f>D1205*E1205</f>
        <v/>
      </c>
      <c r="G1205">
        <f>AND(B1205&gt;=50,B1205&lt;=10000)</f>
        <v/>
      </c>
      <c r="H1205">
        <f>OR(C1205="NAS",C1205="NYS",C1205="ASE")</f>
        <v/>
      </c>
      <c r="I1205">
        <f>F1205&gt;=500000</f>
        <v/>
      </c>
      <c r="J1205">
        <f>E1205&gt;=2</f>
        <v/>
      </c>
      <c r="K1205">
        <f>AND(G1205,H1205,I1205,J1205)</f>
        <v/>
      </c>
    </row>
    <row r="1206">
      <c r="B1206" s="5">
        <f>BDP(A1206&amp;" US Equity","CUR_MKT_CAP")</f>
        <v/>
      </c>
      <c r="C1206">
        <f>BDP(A1206&amp;" US Equity","EXCH_CODE")</f>
        <v/>
      </c>
      <c r="D1206" s="5">
        <f>BDP(A1206&amp;" US Equity","VOLUME_AVG_20D")</f>
        <v/>
      </c>
      <c r="E1206" s="6">
        <f>BDP(A1206&amp;" US Equity","PX_LAST")</f>
        <v/>
      </c>
      <c r="F1206" s="5">
        <f>D1206*E1206</f>
        <v/>
      </c>
      <c r="G1206">
        <f>AND(B1206&gt;=50,B1206&lt;=10000)</f>
        <v/>
      </c>
      <c r="H1206">
        <f>OR(C1206="NAS",C1206="NYS",C1206="ASE")</f>
        <v/>
      </c>
      <c r="I1206">
        <f>F1206&gt;=500000</f>
        <v/>
      </c>
      <c r="J1206">
        <f>E1206&gt;=2</f>
        <v/>
      </c>
      <c r="K1206">
        <f>AND(G1206,H1206,I1206,J1206)</f>
        <v/>
      </c>
    </row>
    <row r="1207">
      <c r="B1207" s="5">
        <f>BDP(A1207&amp;" US Equity","CUR_MKT_CAP")</f>
        <v/>
      </c>
      <c r="C1207">
        <f>BDP(A1207&amp;" US Equity","EXCH_CODE")</f>
        <v/>
      </c>
      <c r="D1207" s="5">
        <f>BDP(A1207&amp;" US Equity","VOLUME_AVG_20D")</f>
        <v/>
      </c>
      <c r="E1207" s="6">
        <f>BDP(A1207&amp;" US Equity","PX_LAST")</f>
        <v/>
      </c>
      <c r="F1207" s="5">
        <f>D1207*E1207</f>
        <v/>
      </c>
      <c r="G1207">
        <f>AND(B1207&gt;=50,B1207&lt;=10000)</f>
        <v/>
      </c>
      <c r="H1207">
        <f>OR(C1207="NAS",C1207="NYS",C1207="ASE")</f>
        <v/>
      </c>
      <c r="I1207">
        <f>F1207&gt;=500000</f>
        <v/>
      </c>
      <c r="J1207">
        <f>E1207&gt;=2</f>
        <v/>
      </c>
      <c r="K1207">
        <f>AND(G1207,H1207,I1207,J1207)</f>
        <v/>
      </c>
    </row>
    <row r="1208">
      <c r="B1208" s="5">
        <f>BDP(A1208&amp;" US Equity","CUR_MKT_CAP")</f>
        <v/>
      </c>
      <c r="C1208">
        <f>BDP(A1208&amp;" US Equity","EXCH_CODE")</f>
        <v/>
      </c>
      <c r="D1208" s="5">
        <f>BDP(A1208&amp;" US Equity","VOLUME_AVG_20D")</f>
        <v/>
      </c>
      <c r="E1208" s="6">
        <f>BDP(A1208&amp;" US Equity","PX_LAST")</f>
        <v/>
      </c>
      <c r="F1208" s="5">
        <f>D1208*E1208</f>
        <v/>
      </c>
      <c r="G1208">
        <f>AND(B1208&gt;=50,B1208&lt;=10000)</f>
        <v/>
      </c>
      <c r="H1208">
        <f>OR(C1208="NAS",C1208="NYS",C1208="ASE")</f>
        <v/>
      </c>
      <c r="I1208">
        <f>F1208&gt;=500000</f>
        <v/>
      </c>
      <c r="J1208">
        <f>E1208&gt;=2</f>
        <v/>
      </c>
      <c r="K1208">
        <f>AND(G1208,H1208,I1208,J1208)</f>
        <v/>
      </c>
    </row>
    <row r="1209">
      <c r="B1209" s="5">
        <f>BDP(A1209&amp;" US Equity","CUR_MKT_CAP")</f>
        <v/>
      </c>
      <c r="C1209">
        <f>BDP(A1209&amp;" US Equity","EXCH_CODE")</f>
        <v/>
      </c>
      <c r="D1209" s="5">
        <f>BDP(A1209&amp;" US Equity","VOLUME_AVG_20D")</f>
        <v/>
      </c>
      <c r="E1209" s="6">
        <f>BDP(A1209&amp;" US Equity","PX_LAST")</f>
        <v/>
      </c>
      <c r="F1209" s="5">
        <f>D1209*E1209</f>
        <v/>
      </c>
      <c r="G1209">
        <f>AND(B1209&gt;=50,B1209&lt;=10000)</f>
        <v/>
      </c>
      <c r="H1209">
        <f>OR(C1209="NAS",C1209="NYS",C1209="ASE")</f>
        <v/>
      </c>
      <c r="I1209">
        <f>F1209&gt;=500000</f>
        <v/>
      </c>
      <c r="J1209">
        <f>E1209&gt;=2</f>
        <v/>
      </c>
      <c r="K1209">
        <f>AND(G1209,H1209,I1209,J1209)</f>
        <v/>
      </c>
    </row>
    <row r="1210">
      <c r="B1210" s="5">
        <f>BDP(A1210&amp;" US Equity","CUR_MKT_CAP")</f>
        <v/>
      </c>
      <c r="C1210">
        <f>BDP(A1210&amp;" US Equity","EXCH_CODE")</f>
        <v/>
      </c>
      <c r="D1210" s="5">
        <f>BDP(A1210&amp;" US Equity","VOLUME_AVG_20D")</f>
        <v/>
      </c>
      <c r="E1210" s="6">
        <f>BDP(A1210&amp;" US Equity","PX_LAST")</f>
        <v/>
      </c>
      <c r="F1210" s="5">
        <f>D1210*E1210</f>
        <v/>
      </c>
      <c r="G1210">
        <f>AND(B1210&gt;=50,B1210&lt;=10000)</f>
        <v/>
      </c>
      <c r="H1210">
        <f>OR(C1210="NAS",C1210="NYS",C1210="ASE")</f>
        <v/>
      </c>
      <c r="I1210">
        <f>F1210&gt;=500000</f>
        <v/>
      </c>
      <c r="J1210">
        <f>E1210&gt;=2</f>
        <v/>
      </c>
      <c r="K1210">
        <f>AND(G1210,H1210,I1210,J1210)</f>
        <v/>
      </c>
    </row>
    <row r="1211">
      <c r="B1211" s="5">
        <f>BDP(A1211&amp;" US Equity","CUR_MKT_CAP")</f>
        <v/>
      </c>
      <c r="C1211">
        <f>BDP(A1211&amp;" US Equity","EXCH_CODE")</f>
        <v/>
      </c>
      <c r="D1211" s="5">
        <f>BDP(A1211&amp;" US Equity","VOLUME_AVG_20D")</f>
        <v/>
      </c>
      <c r="E1211" s="6">
        <f>BDP(A1211&amp;" US Equity","PX_LAST")</f>
        <v/>
      </c>
      <c r="F1211" s="5">
        <f>D1211*E1211</f>
        <v/>
      </c>
      <c r="G1211">
        <f>AND(B1211&gt;=50,B1211&lt;=10000)</f>
        <v/>
      </c>
      <c r="H1211">
        <f>OR(C1211="NAS",C1211="NYS",C1211="ASE")</f>
        <v/>
      </c>
      <c r="I1211">
        <f>F1211&gt;=500000</f>
        <v/>
      </c>
      <c r="J1211">
        <f>E1211&gt;=2</f>
        <v/>
      </c>
      <c r="K1211">
        <f>AND(G1211,H1211,I1211,J1211)</f>
        <v/>
      </c>
    </row>
    <row r="1212">
      <c r="B1212" s="5">
        <f>BDP(A1212&amp;" US Equity","CUR_MKT_CAP")</f>
        <v/>
      </c>
      <c r="C1212">
        <f>BDP(A1212&amp;" US Equity","EXCH_CODE")</f>
        <v/>
      </c>
      <c r="D1212" s="5">
        <f>BDP(A1212&amp;" US Equity","VOLUME_AVG_20D")</f>
        <v/>
      </c>
      <c r="E1212" s="6">
        <f>BDP(A1212&amp;" US Equity","PX_LAST")</f>
        <v/>
      </c>
      <c r="F1212" s="5">
        <f>D1212*E1212</f>
        <v/>
      </c>
      <c r="G1212">
        <f>AND(B1212&gt;=50,B1212&lt;=10000)</f>
        <v/>
      </c>
      <c r="H1212">
        <f>OR(C1212="NAS",C1212="NYS",C1212="ASE")</f>
        <v/>
      </c>
      <c r="I1212">
        <f>F1212&gt;=500000</f>
        <v/>
      </c>
      <c r="J1212">
        <f>E1212&gt;=2</f>
        <v/>
      </c>
      <c r="K1212">
        <f>AND(G1212,H1212,I1212,J1212)</f>
        <v/>
      </c>
    </row>
    <row r="1213">
      <c r="B1213" s="5">
        <f>BDP(A1213&amp;" US Equity","CUR_MKT_CAP")</f>
        <v/>
      </c>
      <c r="C1213">
        <f>BDP(A1213&amp;" US Equity","EXCH_CODE")</f>
        <v/>
      </c>
      <c r="D1213" s="5">
        <f>BDP(A1213&amp;" US Equity","VOLUME_AVG_20D")</f>
        <v/>
      </c>
      <c r="E1213" s="6">
        <f>BDP(A1213&amp;" US Equity","PX_LAST")</f>
        <v/>
      </c>
      <c r="F1213" s="5">
        <f>D1213*E1213</f>
        <v/>
      </c>
      <c r="G1213">
        <f>AND(B1213&gt;=50,B1213&lt;=10000)</f>
        <v/>
      </c>
      <c r="H1213">
        <f>OR(C1213="NAS",C1213="NYS",C1213="ASE")</f>
        <v/>
      </c>
      <c r="I1213">
        <f>F1213&gt;=500000</f>
        <v/>
      </c>
      <c r="J1213">
        <f>E1213&gt;=2</f>
        <v/>
      </c>
      <c r="K1213">
        <f>AND(G1213,H1213,I1213,J1213)</f>
        <v/>
      </c>
    </row>
    <row r="1214">
      <c r="B1214" s="5">
        <f>BDP(A1214&amp;" US Equity","CUR_MKT_CAP")</f>
        <v/>
      </c>
      <c r="C1214">
        <f>BDP(A1214&amp;" US Equity","EXCH_CODE")</f>
        <v/>
      </c>
      <c r="D1214" s="5">
        <f>BDP(A1214&amp;" US Equity","VOLUME_AVG_20D")</f>
        <v/>
      </c>
      <c r="E1214" s="6">
        <f>BDP(A1214&amp;" US Equity","PX_LAST")</f>
        <v/>
      </c>
      <c r="F1214" s="5">
        <f>D1214*E1214</f>
        <v/>
      </c>
      <c r="G1214">
        <f>AND(B1214&gt;=50,B1214&lt;=10000)</f>
        <v/>
      </c>
      <c r="H1214">
        <f>OR(C1214="NAS",C1214="NYS",C1214="ASE")</f>
        <v/>
      </c>
      <c r="I1214">
        <f>F1214&gt;=500000</f>
        <v/>
      </c>
      <c r="J1214">
        <f>E1214&gt;=2</f>
        <v/>
      </c>
      <c r="K1214">
        <f>AND(G1214,H1214,I1214,J1214)</f>
        <v/>
      </c>
    </row>
    <row r="1215">
      <c r="B1215" s="5">
        <f>BDP(A1215&amp;" US Equity","CUR_MKT_CAP")</f>
        <v/>
      </c>
      <c r="C1215">
        <f>BDP(A1215&amp;" US Equity","EXCH_CODE")</f>
        <v/>
      </c>
      <c r="D1215" s="5">
        <f>BDP(A1215&amp;" US Equity","VOLUME_AVG_20D")</f>
        <v/>
      </c>
      <c r="E1215" s="6">
        <f>BDP(A1215&amp;" US Equity","PX_LAST")</f>
        <v/>
      </c>
      <c r="F1215" s="5">
        <f>D1215*E1215</f>
        <v/>
      </c>
      <c r="G1215">
        <f>AND(B1215&gt;=50,B1215&lt;=10000)</f>
        <v/>
      </c>
      <c r="H1215">
        <f>OR(C1215="NAS",C1215="NYS",C1215="ASE")</f>
        <v/>
      </c>
      <c r="I1215">
        <f>F1215&gt;=500000</f>
        <v/>
      </c>
      <c r="J1215">
        <f>E1215&gt;=2</f>
        <v/>
      </c>
      <c r="K1215">
        <f>AND(G1215,H1215,I1215,J1215)</f>
        <v/>
      </c>
    </row>
    <row r="1216">
      <c r="B1216" s="5">
        <f>BDP(A1216&amp;" US Equity","CUR_MKT_CAP")</f>
        <v/>
      </c>
      <c r="C1216">
        <f>BDP(A1216&amp;" US Equity","EXCH_CODE")</f>
        <v/>
      </c>
      <c r="D1216" s="5">
        <f>BDP(A1216&amp;" US Equity","VOLUME_AVG_20D")</f>
        <v/>
      </c>
      <c r="E1216" s="6">
        <f>BDP(A1216&amp;" US Equity","PX_LAST")</f>
        <v/>
      </c>
      <c r="F1216" s="5">
        <f>D1216*E1216</f>
        <v/>
      </c>
      <c r="G1216">
        <f>AND(B1216&gt;=50,B1216&lt;=10000)</f>
        <v/>
      </c>
      <c r="H1216">
        <f>OR(C1216="NAS",C1216="NYS",C1216="ASE")</f>
        <v/>
      </c>
      <c r="I1216">
        <f>F1216&gt;=500000</f>
        <v/>
      </c>
      <c r="J1216">
        <f>E1216&gt;=2</f>
        <v/>
      </c>
      <c r="K1216">
        <f>AND(G1216,H1216,I1216,J1216)</f>
        <v/>
      </c>
    </row>
    <row r="1217">
      <c r="B1217" s="5">
        <f>BDP(A1217&amp;" US Equity","CUR_MKT_CAP")</f>
        <v/>
      </c>
      <c r="C1217">
        <f>BDP(A1217&amp;" US Equity","EXCH_CODE")</f>
        <v/>
      </c>
      <c r="D1217" s="5">
        <f>BDP(A1217&amp;" US Equity","VOLUME_AVG_20D")</f>
        <v/>
      </c>
      <c r="E1217" s="6">
        <f>BDP(A1217&amp;" US Equity","PX_LAST")</f>
        <v/>
      </c>
      <c r="F1217" s="5">
        <f>D1217*E1217</f>
        <v/>
      </c>
      <c r="G1217">
        <f>AND(B1217&gt;=50,B1217&lt;=10000)</f>
        <v/>
      </c>
      <c r="H1217">
        <f>OR(C1217="NAS",C1217="NYS",C1217="ASE")</f>
        <v/>
      </c>
      <c r="I1217">
        <f>F1217&gt;=500000</f>
        <v/>
      </c>
      <c r="J1217">
        <f>E1217&gt;=2</f>
        <v/>
      </c>
      <c r="K1217">
        <f>AND(G1217,H1217,I1217,J1217)</f>
        <v/>
      </c>
    </row>
    <row r="1218">
      <c r="B1218" s="5">
        <f>BDP(A1218&amp;" US Equity","CUR_MKT_CAP")</f>
        <v/>
      </c>
      <c r="C1218">
        <f>BDP(A1218&amp;" US Equity","EXCH_CODE")</f>
        <v/>
      </c>
      <c r="D1218" s="5">
        <f>BDP(A1218&amp;" US Equity","VOLUME_AVG_20D")</f>
        <v/>
      </c>
      <c r="E1218" s="6">
        <f>BDP(A1218&amp;" US Equity","PX_LAST")</f>
        <v/>
      </c>
      <c r="F1218" s="5">
        <f>D1218*E1218</f>
        <v/>
      </c>
      <c r="G1218">
        <f>AND(B1218&gt;=50,B1218&lt;=10000)</f>
        <v/>
      </c>
      <c r="H1218">
        <f>OR(C1218="NAS",C1218="NYS",C1218="ASE")</f>
        <v/>
      </c>
      <c r="I1218">
        <f>F1218&gt;=500000</f>
        <v/>
      </c>
      <c r="J1218">
        <f>E1218&gt;=2</f>
        <v/>
      </c>
      <c r="K1218">
        <f>AND(G1218,H1218,I1218,J1218)</f>
        <v/>
      </c>
    </row>
    <row r="1219">
      <c r="B1219" s="5">
        <f>BDP(A1219&amp;" US Equity","CUR_MKT_CAP")</f>
        <v/>
      </c>
      <c r="C1219">
        <f>BDP(A1219&amp;" US Equity","EXCH_CODE")</f>
        <v/>
      </c>
      <c r="D1219" s="5">
        <f>BDP(A1219&amp;" US Equity","VOLUME_AVG_20D")</f>
        <v/>
      </c>
      <c r="E1219" s="6">
        <f>BDP(A1219&amp;" US Equity","PX_LAST")</f>
        <v/>
      </c>
      <c r="F1219" s="5">
        <f>D1219*E1219</f>
        <v/>
      </c>
      <c r="G1219">
        <f>AND(B1219&gt;=50,B1219&lt;=10000)</f>
        <v/>
      </c>
      <c r="H1219">
        <f>OR(C1219="NAS",C1219="NYS",C1219="ASE")</f>
        <v/>
      </c>
      <c r="I1219">
        <f>F1219&gt;=500000</f>
        <v/>
      </c>
      <c r="J1219">
        <f>E1219&gt;=2</f>
        <v/>
      </c>
      <c r="K1219">
        <f>AND(G1219,H1219,I1219,J1219)</f>
        <v/>
      </c>
    </row>
    <row r="1220">
      <c r="B1220" s="5">
        <f>BDP(A1220&amp;" US Equity","CUR_MKT_CAP")</f>
        <v/>
      </c>
      <c r="C1220">
        <f>BDP(A1220&amp;" US Equity","EXCH_CODE")</f>
        <v/>
      </c>
      <c r="D1220" s="5">
        <f>BDP(A1220&amp;" US Equity","VOLUME_AVG_20D")</f>
        <v/>
      </c>
      <c r="E1220" s="6">
        <f>BDP(A1220&amp;" US Equity","PX_LAST")</f>
        <v/>
      </c>
      <c r="F1220" s="5">
        <f>D1220*E1220</f>
        <v/>
      </c>
      <c r="G1220">
        <f>AND(B1220&gt;=50,B1220&lt;=10000)</f>
        <v/>
      </c>
      <c r="H1220">
        <f>OR(C1220="NAS",C1220="NYS",C1220="ASE")</f>
        <v/>
      </c>
      <c r="I1220">
        <f>F1220&gt;=500000</f>
        <v/>
      </c>
      <c r="J1220">
        <f>E1220&gt;=2</f>
        <v/>
      </c>
      <c r="K1220">
        <f>AND(G1220,H1220,I1220,J1220)</f>
        <v/>
      </c>
    </row>
    <row r="1221">
      <c r="B1221" s="5">
        <f>BDP(A1221&amp;" US Equity","CUR_MKT_CAP")</f>
        <v/>
      </c>
      <c r="C1221">
        <f>BDP(A1221&amp;" US Equity","EXCH_CODE")</f>
        <v/>
      </c>
      <c r="D1221" s="5">
        <f>BDP(A1221&amp;" US Equity","VOLUME_AVG_20D")</f>
        <v/>
      </c>
      <c r="E1221" s="6">
        <f>BDP(A1221&amp;" US Equity","PX_LAST")</f>
        <v/>
      </c>
      <c r="F1221" s="5">
        <f>D1221*E1221</f>
        <v/>
      </c>
      <c r="G1221">
        <f>AND(B1221&gt;=50,B1221&lt;=10000)</f>
        <v/>
      </c>
      <c r="H1221">
        <f>OR(C1221="NAS",C1221="NYS",C1221="ASE")</f>
        <v/>
      </c>
      <c r="I1221">
        <f>F1221&gt;=500000</f>
        <v/>
      </c>
      <c r="J1221">
        <f>E1221&gt;=2</f>
        <v/>
      </c>
      <c r="K1221">
        <f>AND(G1221,H1221,I1221,J1221)</f>
        <v/>
      </c>
    </row>
    <row r="1222">
      <c r="B1222" s="5">
        <f>BDP(A1222&amp;" US Equity","CUR_MKT_CAP")</f>
        <v/>
      </c>
      <c r="C1222">
        <f>BDP(A1222&amp;" US Equity","EXCH_CODE")</f>
        <v/>
      </c>
      <c r="D1222" s="5">
        <f>BDP(A1222&amp;" US Equity","VOLUME_AVG_20D")</f>
        <v/>
      </c>
      <c r="E1222" s="6">
        <f>BDP(A1222&amp;" US Equity","PX_LAST")</f>
        <v/>
      </c>
      <c r="F1222" s="5">
        <f>D1222*E1222</f>
        <v/>
      </c>
      <c r="G1222">
        <f>AND(B1222&gt;=50,B1222&lt;=10000)</f>
        <v/>
      </c>
      <c r="H1222">
        <f>OR(C1222="NAS",C1222="NYS",C1222="ASE")</f>
        <v/>
      </c>
      <c r="I1222">
        <f>F1222&gt;=500000</f>
        <v/>
      </c>
      <c r="J1222">
        <f>E1222&gt;=2</f>
        <v/>
      </c>
      <c r="K1222">
        <f>AND(G1222,H1222,I1222,J1222)</f>
        <v/>
      </c>
    </row>
    <row r="1223">
      <c r="B1223" s="5">
        <f>BDP(A1223&amp;" US Equity","CUR_MKT_CAP")</f>
        <v/>
      </c>
      <c r="C1223">
        <f>BDP(A1223&amp;" US Equity","EXCH_CODE")</f>
        <v/>
      </c>
      <c r="D1223" s="5">
        <f>BDP(A1223&amp;" US Equity","VOLUME_AVG_20D")</f>
        <v/>
      </c>
      <c r="E1223" s="6">
        <f>BDP(A1223&amp;" US Equity","PX_LAST")</f>
        <v/>
      </c>
      <c r="F1223" s="5">
        <f>D1223*E1223</f>
        <v/>
      </c>
      <c r="G1223">
        <f>AND(B1223&gt;=50,B1223&lt;=10000)</f>
        <v/>
      </c>
      <c r="H1223">
        <f>OR(C1223="NAS",C1223="NYS",C1223="ASE")</f>
        <v/>
      </c>
      <c r="I1223">
        <f>F1223&gt;=500000</f>
        <v/>
      </c>
      <c r="J1223">
        <f>E1223&gt;=2</f>
        <v/>
      </c>
      <c r="K1223">
        <f>AND(G1223,H1223,I1223,J1223)</f>
        <v/>
      </c>
    </row>
    <row r="1224">
      <c r="B1224" s="5">
        <f>BDP(A1224&amp;" US Equity","CUR_MKT_CAP")</f>
        <v/>
      </c>
      <c r="C1224">
        <f>BDP(A1224&amp;" US Equity","EXCH_CODE")</f>
        <v/>
      </c>
      <c r="D1224" s="5">
        <f>BDP(A1224&amp;" US Equity","VOLUME_AVG_20D")</f>
        <v/>
      </c>
      <c r="E1224" s="6">
        <f>BDP(A1224&amp;" US Equity","PX_LAST")</f>
        <v/>
      </c>
      <c r="F1224" s="5">
        <f>D1224*E1224</f>
        <v/>
      </c>
      <c r="G1224">
        <f>AND(B1224&gt;=50,B1224&lt;=10000)</f>
        <v/>
      </c>
      <c r="H1224">
        <f>OR(C1224="NAS",C1224="NYS",C1224="ASE")</f>
        <v/>
      </c>
      <c r="I1224">
        <f>F1224&gt;=500000</f>
        <v/>
      </c>
      <c r="J1224">
        <f>E1224&gt;=2</f>
        <v/>
      </c>
      <c r="K1224">
        <f>AND(G1224,H1224,I1224,J1224)</f>
        <v/>
      </c>
    </row>
    <row r="1225">
      <c r="B1225" s="5">
        <f>BDP(A1225&amp;" US Equity","CUR_MKT_CAP")</f>
        <v/>
      </c>
      <c r="C1225">
        <f>BDP(A1225&amp;" US Equity","EXCH_CODE")</f>
        <v/>
      </c>
      <c r="D1225" s="5">
        <f>BDP(A1225&amp;" US Equity","VOLUME_AVG_20D")</f>
        <v/>
      </c>
      <c r="E1225" s="6">
        <f>BDP(A1225&amp;" US Equity","PX_LAST")</f>
        <v/>
      </c>
      <c r="F1225" s="5">
        <f>D1225*E1225</f>
        <v/>
      </c>
      <c r="G1225">
        <f>AND(B1225&gt;=50,B1225&lt;=10000)</f>
        <v/>
      </c>
      <c r="H1225">
        <f>OR(C1225="NAS",C1225="NYS",C1225="ASE")</f>
        <v/>
      </c>
      <c r="I1225">
        <f>F1225&gt;=500000</f>
        <v/>
      </c>
      <c r="J1225">
        <f>E1225&gt;=2</f>
        <v/>
      </c>
      <c r="K1225">
        <f>AND(G1225,H1225,I1225,J1225)</f>
        <v/>
      </c>
    </row>
    <row r="1226">
      <c r="B1226" s="5">
        <f>BDP(A1226&amp;" US Equity","CUR_MKT_CAP")</f>
        <v/>
      </c>
      <c r="C1226">
        <f>BDP(A1226&amp;" US Equity","EXCH_CODE")</f>
        <v/>
      </c>
      <c r="D1226" s="5">
        <f>BDP(A1226&amp;" US Equity","VOLUME_AVG_20D")</f>
        <v/>
      </c>
      <c r="E1226" s="6">
        <f>BDP(A1226&amp;" US Equity","PX_LAST")</f>
        <v/>
      </c>
      <c r="F1226" s="5">
        <f>D1226*E1226</f>
        <v/>
      </c>
      <c r="G1226">
        <f>AND(B1226&gt;=50,B1226&lt;=10000)</f>
        <v/>
      </c>
      <c r="H1226">
        <f>OR(C1226="NAS",C1226="NYS",C1226="ASE")</f>
        <v/>
      </c>
      <c r="I1226">
        <f>F1226&gt;=500000</f>
        <v/>
      </c>
      <c r="J1226">
        <f>E1226&gt;=2</f>
        <v/>
      </c>
      <c r="K1226">
        <f>AND(G1226,H1226,I1226,J1226)</f>
        <v/>
      </c>
    </row>
    <row r="1227">
      <c r="B1227" s="5">
        <f>BDP(A1227&amp;" US Equity","CUR_MKT_CAP")</f>
        <v/>
      </c>
      <c r="C1227">
        <f>BDP(A1227&amp;" US Equity","EXCH_CODE")</f>
        <v/>
      </c>
      <c r="D1227" s="5">
        <f>BDP(A1227&amp;" US Equity","VOLUME_AVG_20D")</f>
        <v/>
      </c>
      <c r="E1227" s="6">
        <f>BDP(A1227&amp;" US Equity","PX_LAST")</f>
        <v/>
      </c>
      <c r="F1227" s="5">
        <f>D1227*E1227</f>
        <v/>
      </c>
      <c r="G1227">
        <f>AND(B1227&gt;=50,B1227&lt;=10000)</f>
        <v/>
      </c>
      <c r="H1227">
        <f>OR(C1227="NAS",C1227="NYS",C1227="ASE")</f>
        <v/>
      </c>
      <c r="I1227">
        <f>F1227&gt;=500000</f>
        <v/>
      </c>
      <c r="J1227">
        <f>E1227&gt;=2</f>
        <v/>
      </c>
      <c r="K1227">
        <f>AND(G1227,H1227,I1227,J1227)</f>
        <v/>
      </c>
    </row>
    <row r="1228">
      <c r="B1228" s="5">
        <f>BDP(A1228&amp;" US Equity","CUR_MKT_CAP")</f>
        <v/>
      </c>
      <c r="C1228">
        <f>BDP(A1228&amp;" US Equity","EXCH_CODE")</f>
        <v/>
      </c>
      <c r="D1228" s="5">
        <f>BDP(A1228&amp;" US Equity","VOLUME_AVG_20D")</f>
        <v/>
      </c>
      <c r="E1228" s="6">
        <f>BDP(A1228&amp;" US Equity","PX_LAST")</f>
        <v/>
      </c>
      <c r="F1228" s="5">
        <f>D1228*E1228</f>
        <v/>
      </c>
      <c r="G1228">
        <f>AND(B1228&gt;=50,B1228&lt;=10000)</f>
        <v/>
      </c>
      <c r="H1228">
        <f>OR(C1228="NAS",C1228="NYS",C1228="ASE")</f>
        <v/>
      </c>
      <c r="I1228">
        <f>F1228&gt;=500000</f>
        <v/>
      </c>
      <c r="J1228">
        <f>E1228&gt;=2</f>
        <v/>
      </c>
      <c r="K1228">
        <f>AND(G1228,H1228,I1228,J1228)</f>
        <v/>
      </c>
    </row>
    <row r="1229">
      <c r="B1229" s="5">
        <f>BDP(A1229&amp;" US Equity","CUR_MKT_CAP")</f>
        <v/>
      </c>
      <c r="C1229">
        <f>BDP(A1229&amp;" US Equity","EXCH_CODE")</f>
        <v/>
      </c>
      <c r="D1229" s="5">
        <f>BDP(A1229&amp;" US Equity","VOLUME_AVG_20D")</f>
        <v/>
      </c>
      <c r="E1229" s="6">
        <f>BDP(A1229&amp;" US Equity","PX_LAST")</f>
        <v/>
      </c>
      <c r="F1229" s="5">
        <f>D1229*E1229</f>
        <v/>
      </c>
      <c r="G1229">
        <f>AND(B1229&gt;=50,B1229&lt;=10000)</f>
        <v/>
      </c>
      <c r="H1229">
        <f>OR(C1229="NAS",C1229="NYS",C1229="ASE")</f>
        <v/>
      </c>
      <c r="I1229">
        <f>F1229&gt;=500000</f>
        <v/>
      </c>
      <c r="J1229">
        <f>E1229&gt;=2</f>
        <v/>
      </c>
      <c r="K1229">
        <f>AND(G1229,H1229,I1229,J1229)</f>
        <v/>
      </c>
    </row>
    <row r="1230">
      <c r="B1230" s="5">
        <f>BDP(A1230&amp;" US Equity","CUR_MKT_CAP")</f>
        <v/>
      </c>
      <c r="C1230">
        <f>BDP(A1230&amp;" US Equity","EXCH_CODE")</f>
        <v/>
      </c>
      <c r="D1230" s="5">
        <f>BDP(A1230&amp;" US Equity","VOLUME_AVG_20D")</f>
        <v/>
      </c>
      <c r="E1230" s="6">
        <f>BDP(A1230&amp;" US Equity","PX_LAST")</f>
        <v/>
      </c>
      <c r="F1230" s="5">
        <f>D1230*E1230</f>
        <v/>
      </c>
      <c r="G1230">
        <f>AND(B1230&gt;=50,B1230&lt;=10000)</f>
        <v/>
      </c>
      <c r="H1230">
        <f>OR(C1230="NAS",C1230="NYS",C1230="ASE")</f>
        <v/>
      </c>
      <c r="I1230">
        <f>F1230&gt;=500000</f>
        <v/>
      </c>
      <c r="J1230">
        <f>E1230&gt;=2</f>
        <v/>
      </c>
      <c r="K1230">
        <f>AND(G1230,H1230,I1230,J1230)</f>
        <v/>
      </c>
    </row>
    <row r="1231">
      <c r="B1231" s="5">
        <f>BDP(A1231&amp;" US Equity","CUR_MKT_CAP")</f>
        <v/>
      </c>
      <c r="C1231">
        <f>BDP(A1231&amp;" US Equity","EXCH_CODE")</f>
        <v/>
      </c>
      <c r="D1231" s="5">
        <f>BDP(A1231&amp;" US Equity","VOLUME_AVG_20D")</f>
        <v/>
      </c>
      <c r="E1231" s="6">
        <f>BDP(A1231&amp;" US Equity","PX_LAST")</f>
        <v/>
      </c>
      <c r="F1231" s="5">
        <f>D1231*E1231</f>
        <v/>
      </c>
      <c r="G1231">
        <f>AND(B1231&gt;=50,B1231&lt;=10000)</f>
        <v/>
      </c>
      <c r="H1231">
        <f>OR(C1231="NAS",C1231="NYS",C1231="ASE")</f>
        <v/>
      </c>
      <c r="I1231">
        <f>F1231&gt;=500000</f>
        <v/>
      </c>
      <c r="J1231">
        <f>E1231&gt;=2</f>
        <v/>
      </c>
      <c r="K1231">
        <f>AND(G1231,H1231,I1231,J1231)</f>
        <v/>
      </c>
    </row>
    <row r="1232">
      <c r="B1232" s="5">
        <f>BDP(A1232&amp;" US Equity","CUR_MKT_CAP")</f>
        <v/>
      </c>
      <c r="C1232">
        <f>BDP(A1232&amp;" US Equity","EXCH_CODE")</f>
        <v/>
      </c>
      <c r="D1232" s="5">
        <f>BDP(A1232&amp;" US Equity","VOLUME_AVG_20D")</f>
        <v/>
      </c>
      <c r="E1232" s="6">
        <f>BDP(A1232&amp;" US Equity","PX_LAST")</f>
        <v/>
      </c>
      <c r="F1232" s="5">
        <f>D1232*E1232</f>
        <v/>
      </c>
      <c r="G1232">
        <f>AND(B1232&gt;=50,B1232&lt;=10000)</f>
        <v/>
      </c>
      <c r="H1232">
        <f>OR(C1232="NAS",C1232="NYS",C1232="ASE")</f>
        <v/>
      </c>
      <c r="I1232">
        <f>F1232&gt;=500000</f>
        <v/>
      </c>
      <c r="J1232">
        <f>E1232&gt;=2</f>
        <v/>
      </c>
      <c r="K1232">
        <f>AND(G1232,H1232,I1232,J1232)</f>
        <v/>
      </c>
    </row>
    <row r="1233">
      <c r="B1233" s="5">
        <f>BDP(A1233&amp;" US Equity","CUR_MKT_CAP")</f>
        <v/>
      </c>
      <c r="C1233">
        <f>BDP(A1233&amp;" US Equity","EXCH_CODE")</f>
        <v/>
      </c>
      <c r="D1233" s="5">
        <f>BDP(A1233&amp;" US Equity","VOLUME_AVG_20D")</f>
        <v/>
      </c>
      <c r="E1233" s="6">
        <f>BDP(A1233&amp;" US Equity","PX_LAST")</f>
        <v/>
      </c>
      <c r="F1233" s="5">
        <f>D1233*E1233</f>
        <v/>
      </c>
      <c r="G1233">
        <f>AND(B1233&gt;=50,B1233&lt;=10000)</f>
        <v/>
      </c>
      <c r="H1233">
        <f>OR(C1233="NAS",C1233="NYS",C1233="ASE")</f>
        <v/>
      </c>
      <c r="I1233">
        <f>F1233&gt;=500000</f>
        <v/>
      </c>
      <c r="J1233">
        <f>E1233&gt;=2</f>
        <v/>
      </c>
      <c r="K1233">
        <f>AND(G1233,H1233,I1233,J1233)</f>
        <v/>
      </c>
    </row>
    <row r="1234">
      <c r="B1234" s="5">
        <f>BDP(A1234&amp;" US Equity","CUR_MKT_CAP")</f>
        <v/>
      </c>
      <c r="C1234">
        <f>BDP(A1234&amp;" US Equity","EXCH_CODE")</f>
        <v/>
      </c>
      <c r="D1234" s="5">
        <f>BDP(A1234&amp;" US Equity","VOLUME_AVG_20D")</f>
        <v/>
      </c>
      <c r="E1234" s="6">
        <f>BDP(A1234&amp;" US Equity","PX_LAST")</f>
        <v/>
      </c>
      <c r="F1234" s="5">
        <f>D1234*E1234</f>
        <v/>
      </c>
      <c r="G1234">
        <f>AND(B1234&gt;=50,B1234&lt;=10000)</f>
        <v/>
      </c>
      <c r="H1234">
        <f>OR(C1234="NAS",C1234="NYS",C1234="ASE")</f>
        <v/>
      </c>
      <c r="I1234">
        <f>F1234&gt;=500000</f>
        <v/>
      </c>
      <c r="J1234">
        <f>E1234&gt;=2</f>
        <v/>
      </c>
      <c r="K1234">
        <f>AND(G1234,H1234,I1234,J1234)</f>
        <v/>
      </c>
    </row>
    <row r="1235">
      <c r="B1235" s="5">
        <f>BDP(A1235&amp;" US Equity","CUR_MKT_CAP")</f>
        <v/>
      </c>
      <c r="C1235">
        <f>BDP(A1235&amp;" US Equity","EXCH_CODE")</f>
        <v/>
      </c>
      <c r="D1235" s="5">
        <f>BDP(A1235&amp;" US Equity","VOLUME_AVG_20D")</f>
        <v/>
      </c>
      <c r="E1235" s="6">
        <f>BDP(A1235&amp;" US Equity","PX_LAST")</f>
        <v/>
      </c>
      <c r="F1235" s="5">
        <f>D1235*E1235</f>
        <v/>
      </c>
      <c r="G1235">
        <f>AND(B1235&gt;=50,B1235&lt;=10000)</f>
        <v/>
      </c>
      <c r="H1235">
        <f>OR(C1235="NAS",C1235="NYS",C1235="ASE")</f>
        <v/>
      </c>
      <c r="I1235">
        <f>F1235&gt;=500000</f>
        <v/>
      </c>
      <c r="J1235">
        <f>E1235&gt;=2</f>
        <v/>
      </c>
      <c r="K1235">
        <f>AND(G1235,H1235,I1235,J1235)</f>
        <v/>
      </c>
    </row>
    <row r="1236">
      <c r="B1236" s="5">
        <f>BDP(A1236&amp;" US Equity","CUR_MKT_CAP")</f>
        <v/>
      </c>
      <c r="C1236">
        <f>BDP(A1236&amp;" US Equity","EXCH_CODE")</f>
        <v/>
      </c>
      <c r="D1236" s="5">
        <f>BDP(A1236&amp;" US Equity","VOLUME_AVG_20D")</f>
        <v/>
      </c>
      <c r="E1236" s="6">
        <f>BDP(A1236&amp;" US Equity","PX_LAST")</f>
        <v/>
      </c>
      <c r="F1236" s="5">
        <f>D1236*E1236</f>
        <v/>
      </c>
      <c r="G1236">
        <f>AND(B1236&gt;=50,B1236&lt;=10000)</f>
        <v/>
      </c>
      <c r="H1236">
        <f>OR(C1236="NAS",C1236="NYS",C1236="ASE")</f>
        <v/>
      </c>
      <c r="I1236">
        <f>F1236&gt;=500000</f>
        <v/>
      </c>
      <c r="J1236">
        <f>E1236&gt;=2</f>
        <v/>
      </c>
      <c r="K1236">
        <f>AND(G1236,H1236,I1236,J1236)</f>
        <v/>
      </c>
    </row>
    <row r="1237">
      <c r="B1237" s="5">
        <f>BDP(A1237&amp;" US Equity","CUR_MKT_CAP")</f>
        <v/>
      </c>
      <c r="C1237">
        <f>BDP(A1237&amp;" US Equity","EXCH_CODE")</f>
        <v/>
      </c>
      <c r="D1237" s="5">
        <f>BDP(A1237&amp;" US Equity","VOLUME_AVG_20D")</f>
        <v/>
      </c>
      <c r="E1237" s="6">
        <f>BDP(A1237&amp;" US Equity","PX_LAST")</f>
        <v/>
      </c>
      <c r="F1237" s="5">
        <f>D1237*E1237</f>
        <v/>
      </c>
      <c r="G1237">
        <f>AND(B1237&gt;=50,B1237&lt;=10000)</f>
        <v/>
      </c>
      <c r="H1237">
        <f>OR(C1237="NAS",C1237="NYS",C1237="ASE")</f>
        <v/>
      </c>
      <c r="I1237">
        <f>F1237&gt;=500000</f>
        <v/>
      </c>
      <c r="J1237">
        <f>E1237&gt;=2</f>
        <v/>
      </c>
      <c r="K1237">
        <f>AND(G1237,H1237,I1237,J1237)</f>
        <v/>
      </c>
    </row>
    <row r="1238">
      <c r="B1238" s="5">
        <f>BDP(A1238&amp;" US Equity","CUR_MKT_CAP")</f>
        <v/>
      </c>
      <c r="C1238">
        <f>BDP(A1238&amp;" US Equity","EXCH_CODE")</f>
        <v/>
      </c>
      <c r="D1238" s="5">
        <f>BDP(A1238&amp;" US Equity","VOLUME_AVG_20D")</f>
        <v/>
      </c>
      <c r="E1238" s="6">
        <f>BDP(A1238&amp;" US Equity","PX_LAST")</f>
        <v/>
      </c>
      <c r="F1238" s="5">
        <f>D1238*E1238</f>
        <v/>
      </c>
      <c r="G1238">
        <f>AND(B1238&gt;=50,B1238&lt;=10000)</f>
        <v/>
      </c>
      <c r="H1238">
        <f>OR(C1238="NAS",C1238="NYS",C1238="ASE")</f>
        <v/>
      </c>
      <c r="I1238">
        <f>F1238&gt;=500000</f>
        <v/>
      </c>
      <c r="J1238">
        <f>E1238&gt;=2</f>
        <v/>
      </c>
      <c r="K1238">
        <f>AND(G1238,H1238,I1238,J1238)</f>
        <v/>
      </c>
    </row>
    <row r="1239">
      <c r="B1239" s="5">
        <f>BDP(A1239&amp;" US Equity","CUR_MKT_CAP")</f>
        <v/>
      </c>
      <c r="C1239">
        <f>BDP(A1239&amp;" US Equity","EXCH_CODE")</f>
        <v/>
      </c>
      <c r="D1239" s="5">
        <f>BDP(A1239&amp;" US Equity","VOLUME_AVG_20D")</f>
        <v/>
      </c>
      <c r="E1239" s="6">
        <f>BDP(A1239&amp;" US Equity","PX_LAST")</f>
        <v/>
      </c>
      <c r="F1239" s="5">
        <f>D1239*E1239</f>
        <v/>
      </c>
      <c r="G1239">
        <f>AND(B1239&gt;=50,B1239&lt;=10000)</f>
        <v/>
      </c>
      <c r="H1239">
        <f>OR(C1239="NAS",C1239="NYS",C1239="ASE")</f>
        <v/>
      </c>
      <c r="I1239">
        <f>F1239&gt;=500000</f>
        <v/>
      </c>
      <c r="J1239">
        <f>E1239&gt;=2</f>
        <v/>
      </c>
      <c r="K1239">
        <f>AND(G1239,H1239,I1239,J1239)</f>
        <v/>
      </c>
    </row>
    <row r="1240">
      <c r="B1240" s="5">
        <f>BDP(A1240&amp;" US Equity","CUR_MKT_CAP")</f>
        <v/>
      </c>
      <c r="C1240">
        <f>BDP(A1240&amp;" US Equity","EXCH_CODE")</f>
        <v/>
      </c>
      <c r="D1240" s="5">
        <f>BDP(A1240&amp;" US Equity","VOLUME_AVG_20D")</f>
        <v/>
      </c>
      <c r="E1240" s="6">
        <f>BDP(A1240&amp;" US Equity","PX_LAST")</f>
        <v/>
      </c>
      <c r="F1240" s="5">
        <f>D1240*E1240</f>
        <v/>
      </c>
      <c r="G1240">
        <f>AND(B1240&gt;=50,B1240&lt;=10000)</f>
        <v/>
      </c>
      <c r="H1240">
        <f>OR(C1240="NAS",C1240="NYS",C1240="ASE")</f>
        <v/>
      </c>
      <c r="I1240">
        <f>F1240&gt;=500000</f>
        <v/>
      </c>
      <c r="J1240">
        <f>E1240&gt;=2</f>
        <v/>
      </c>
      <c r="K1240">
        <f>AND(G1240,H1240,I1240,J1240)</f>
        <v/>
      </c>
    </row>
    <row r="1241">
      <c r="B1241" s="5">
        <f>BDP(A1241&amp;" US Equity","CUR_MKT_CAP")</f>
        <v/>
      </c>
      <c r="C1241">
        <f>BDP(A1241&amp;" US Equity","EXCH_CODE")</f>
        <v/>
      </c>
      <c r="D1241" s="5">
        <f>BDP(A1241&amp;" US Equity","VOLUME_AVG_20D")</f>
        <v/>
      </c>
      <c r="E1241" s="6">
        <f>BDP(A1241&amp;" US Equity","PX_LAST")</f>
        <v/>
      </c>
      <c r="F1241" s="5">
        <f>D1241*E1241</f>
        <v/>
      </c>
      <c r="G1241">
        <f>AND(B1241&gt;=50,B1241&lt;=10000)</f>
        <v/>
      </c>
      <c r="H1241">
        <f>OR(C1241="NAS",C1241="NYS",C1241="ASE")</f>
        <v/>
      </c>
      <c r="I1241">
        <f>F1241&gt;=500000</f>
        <v/>
      </c>
      <c r="J1241">
        <f>E1241&gt;=2</f>
        <v/>
      </c>
      <c r="K1241">
        <f>AND(G1241,H1241,I1241,J1241)</f>
        <v/>
      </c>
    </row>
    <row r="1242">
      <c r="B1242" s="5">
        <f>BDP(A1242&amp;" US Equity","CUR_MKT_CAP")</f>
        <v/>
      </c>
      <c r="C1242">
        <f>BDP(A1242&amp;" US Equity","EXCH_CODE")</f>
        <v/>
      </c>
      <c r="D1242" s="5">
        <f>BDP(A1242&amp;" US Equity","VOLUME_AVG_20D")</f>
        <v/>
      </c>
      <c r="E1242" s="6">
        <f>BDP(A1242&amp;" US Equity","PX_LAST")</f>
        <v/>
      </c>
      <c r="F1242" s="5">
        <f>D1242*E1242</f>
        <v/>
      </c>
      <c r="G1242">
        <f>AND(B1242&gt;=50,B1242&lt;=10000)</f>
        <v/>
      </c>
      <c r="H1242">
        <f>OR(C1242="NAS",C1242="NYS",C1242="ASE")</f>
        <v/>
      </c>
      <c r="I1242">
        <f>F1242&gt;=500000</f>
        <v/>
      </c>
      <c r="J1242">
        <f>E1242&gt;=2</f>
        <v/>
      </c>
      <c r="K1242">
        <f>AND(G1242,H1242,I1242,J1242)</f>
        <v/>
      </c>
    </row>
    <row r="1243">
      <c r="B1243" s="5">
        <f>BDP(A1243&amp;" US Equity","CUR_MKT_CAP")</f>
        <v/>
      </c>
      <c r="C1243">
        <f>BDP(A1243&amp;" US Equity","EXCH_CODE")</f>
        <v/>
      </c>
      <c r="D1243" s="5">
        <f>BDP(A1243&amp;" US Equity","VOLUME_AVG_20D")</f>
        <v/>
      </c>
      <c r="E1243" s="6">
        <f>BDP(A1243&amp;" US Equity","PX_LAST")</f>
        <v/>
      </c>
      <c r="F1243" s="5">
        <f>D1243*E1243</f>
        <v/>
      </c>
      <c r="G1243">
        <f>AND(B1243&gt;=50,B1243&lt;=10000)</f>
        <v/>
      </c>
      <c r="H1243">
        <f>OR(C1243="NAS",C1243="NYS",C1243="ASE")</f>
        <v/>
      </c>
      <c r="I1243">
        <f>F1243&gt;=500000</f>
        <v/>
      </c>
      <c r="J1243">
        <f>E1243&gt;=2</f>
        <v/>
      </c>
      <c r="K1243">
        <f>AND(G1243,H1243,I1243,J1243)</f>
        <v/>
      </c>
    </row>
    <row r="1244">
      <c r="B1244" s="5">
        <f>BDP(A1244&amp;" US Equity","CUR_MKT_CAP")</f>
        <v/>
      </c>
      <c r="C1244">
        <f>BDP(A1244&amp;" US Equity","EXCH_CODE")</f>
        <v/>
      </c>
      <c r="D1244" s="5">
        <f>BDP(A1244&amp;" US Equity","VOLUME_AVG_20D")</f>
        <v/>
      </c>
      <c r="E1244" s="6">
        <f>BDP(A1244&amp;" US Equity","PX_LAST")</f>
        <v/>
      </c>
      <c r="F1244" s="5">
        <f>D1244*E1244</f>
        <v/>
      </c>
      <c r="G1244">
        <f>AND(B1244&gt;=50,B1244&lt;=10000)</f>
        <v/>
      </c>
      <c r="H1244">
        <f>OR(C1244="NAS",C1244="NYS",C1244="ASE")</f>
        <v/>
      </c>
      <c r="I1244">
        <f>F1244&gt;=500000</f>
        <v/>
      </c>
      <c r="J1244">
        <f>E1244&gt;=2</f>
        <v/>
      </c>
      <c r="K1244">
        <f>AND(G1244,H1244,I1244,J1244)</f>
        <v/>
      </c>
    </row>
    <row r="1245">
      <c r="B1245" s="5">
        <f>BDP(A1245&amp;" US Equity","CUR_MKT_CAP")</f>
        <v/>
      </c>
      <c r="C1245">
        <f>BDP(A1245&amp;" US Equity","EXCH_CODE")</f>
        <v/>
      </c>
      <c r="D1245" s="5">
        <f>BDP(A1245&amp;" US Equity","VOLUME_AVG_20D")</f>
        <v/>
      </c>
      <c r="E1245" s="6">
        <f>BDP(A1245&amp;" US Equity","PX_LAST")</f>
        <v/>
      </c>
      <c r="F1245" s="5">
        <f>D1245*E1245</f>
        <v/>
      </c>
      <c r="G1245">
        <f>AND(B1245&gt;=50,B1245&lt;=10000)</f>
        <v/>
      </c>
      <c r="H1245">
        <f>OR(C1245="NAS",C1245="NYS",C1245="ASE")</f>
        <v/>
      </c>
      <c r="I1245">
        <f>F1245&gt;=500000</f>
        <v/>
      </c>
      <c r="J1245">
        <f>E1245&gt;=2</f>
        <v/>
      </c>
      <c r="K1245">
        <f>AND(G1245,H1245,I1245,J1245)</f>
        <v/>
      </c>
    </row>
    <row r="1246">
      <c r="B1246" s="5">
        <f>BDP(A1246&amp;" US Equity","CUR_MKT_CAP")</f>
        <v/>
      </c>
      <c r="C1246">
        <f>BDP(A1246&amp;" US Equity","EXCH_CODE")</f>
        <v/>
      </c>
      <c r="D1246" s="5">
        <f>BDP(A1246&amp;" US Equity","VOLUME_AVG_20D")</f>
        <v/>
      </c>
      <c r="E1246" s="6">
        <f>BDP(A1246&amp;" US Equity","PX_LAST")</f>
        <v/>
      </c>
      <c r="F1246" s="5">
        <f>D1246*E1246</f>
        <v/>
      </c>
      <c r="G1246">
        <f>AND(B1246&gt;=50,B1246&lt;=10000)</f>
        <v/>
      </c>
      <c r="H1246">
        <f>OR(C1246="NAS",C1246="NYS",C1246="ASE")</f>
        <v/>
      </c>
      <c r="I1246">
        <f>F1246&gt;=500000</f>
        <v/>
      </c>
      <c r="J1246">
        <f>E1246&gt;=2</f>
        <v/>
      </c>
      <c r="K1246">
        <f>AND(G1246,H1246,I1246,J1246)</f>
        <v/>
      </c>
    </row>
    <row r="1247">
      <c r="B1247" s="5">
        <f>BDP(A1247&amp;" US Equity","CUR_MKT_CAP")</f>
        <v/>
      </c>
      <c r="C1247">
        <f>BDP(A1247&amp;" US Equity","EXCH_CODE")</f>
        <v/>
      </c>
      <c r="D1247" s="5">
        <f>BDP(A1247&amp;" US Equity","VOLUME_AVG_20D")</f>
        <v/>
      </c>
      <c r="E1247" s="6">
        <f>BDP(A1247&amp;" US Equity","PX_LAST")</f>
        <v/>
      </c>
      <c r="F1247" s="5">
        <f>D1247*E1247</f>
        <v/>
      </c>
      <c r="G1247">
        <f>AND(B1247&gt;=50,B1247&lt;=10000)</f>
        <v/>
      </c>
      <c r="H1247">
        <f>OR(C1247="NAS",C1247="NYS",C1247="ASE")</f>
        <v/>
      </c>
      <c r="I1247">
        <f>F1247&gt;=500000</f>
        <v/>
      </c>
      <c r="J1247">
        <f>E1247&gt;=2</f>
        <v/>
      </c>
      <c r="K1247">
        <f>AND(G1247,H1247,I1247,J1247)</f>
        <v/>
      </c>
    </row>
    <row r="1248">
      <c r="B1248" s="5">
        <f>BDP(A1248&amp;" US Equity","CUR_MKT_CAP")</f>
        <v/>
      </c>
      <c r="C1248">
        <f>BDP(A1248&amp;" US Equity","EXCH_CODE")</f>
        <v/>
      </c>
      <c r="D1248" s="5">
        <f>BDP(A1248&amp;" US Equity","VOLUME_AVG_20D")</f>
        <v/>
      </c>
      <c r="E1248" s="6">
        <f>BDP(A1248&amp;" US Equity","PX_LAST")</f>
        <v/>
      </c>
      <c r="F1248" s="5">
        <f>D1248*E1248</f>
        <v/>
      </c>
      <c r="G1248">
        <f>AND(B1248&gt;=50,B1248&lt;=10000)</f>
        <v/>
      </c>
      <c r="H1248">
        <f>OR(C1248="NAS",C1248="NYS",C1248="ASE")</f>
        <v/>
      </c>
      <c r="I1248">
        <f>F1248&gt;=500000</f>
        <v/>
      </c>
      <c r="J1248">
        <f>E1248&gt;=2</f>
        <v/>
      </c>
      <c r="K1248">
        <f>AND(G1248,H1248,I1248,J1248)</f>
        <v/>
      </c>
    </row>
    <row r="1249">
      <c r="B1249" s="5">
        <f>BDP(A1249&amp;" US Equity","CUR_MKT_CAP")</f>
        <v/>
      </c>
      <c r="C1249">
        <f>BDP(A1249&amp;" US Equity","EXCH_CODE")</f>
        <v/>
      </c>
      <c r="D1249" s="5">
        <f>BDP(A1249&amp;" US Equity","VOLUME_AVG_20D")</f>
        <v/>
      </c>
      <c r="E1249" s="6">
        <f>BDP(A1249&amp;" US Equity","PX_LAST")</f>
        <v/>
      </c>
      <c r="F1249" s="5">
        <f>D1249*E1249</f>
        <v/>
      </c>
      <c r="G1249">
        <f>AND(B1249&gt;=50,B1249&lt;=10000)</f>
        <v/>
      </c>
      <c r="H1249">
        <f>OR(C1249="NAS",C1249="NYS",C1249="ASE")</f>
        <v/>
      </c>
      <c r="I1249">
        <f>F1249&gt;=500000</f>
        <v/>
      </c>
      <c r="J1249">
        <f>E1249&gt;=2</f>
        <v/>
      </c>
      <c r="K1249">
        <f>AND(G1249,H1249,I1249,J1249)</f>
        <v/>
      </c>
    </row>
    <row r="1250">
      <c r="B1250" s="5">
        <f>BDP(A1250&amp;" US Equity","CUR_MKT_CAP")</f>
        <v/>
      </c>
      <c r="C1250">
        <f>BDP(A1250&amp;" US Equity","EXCH_CODE")</f>
        <v/>
      </c>
      <c r="D1250" s="5">
        <f>BDP(A1250&amp;" US Equity","VOLUME_AVG_20D")</f>
        <v/>
      </c>
      <c r="E1250" s="6">
        <f>BDP(A1250&amp;" US Equity","PX_LAST")</f>
        <v/>
      </c>
      <c r="F1250" s="5">
        <f>D1250*E1250</f>
        <v/>
      </c>
      <c r="G1250">
        <f>AND(B1250&gt;=50,B1250&lt;=10000)</f>
        <v/>
      </c>
      <c r="H1250">
        <f>OR(C1250="NAS",C1250="NYS",C1250="ASE")</f>
        <v/>
      </c>
      <c r="I1250">
        <f>F1250&gt;=500000</f>
        <v/>
      </c>
      <c r="J1250">
        <f>E1250&gt;=2</f>
        <v/>
      </c>
      <c r="K1250">
        <f>AND(G1250,H1250,I1250,J1250)</f>
        <v/>
      </c>
    </row>
    <row r="1251">
      <c r="B1251" s="5">
        <f>BDP(A1251&amp;" US Equity","CUR_MKT_CAP")</f>
        <v/>
      </c>
      <c r="C1251">
        <f>BDP(A1251&amp;" US Equity","EXCH_CODE")</f>
        <v/>
      </c>
      <c r="D1251" s="5">
        <f>BDP(A1251&amp;" US Equity","VOLUME_AVG_20D")</f>
        <v/>
      </c>
      <c r="E1251" s="6">
        <f>BDP(A1251&amp;" US Equity","PX_LAST")</f>
        <v/>
      </c>
      <c r="F1251" s="5">
        <f>D1251*E1251</f>
        <v/>
      </c>
      <c r="G1251">
        <f>AND(B1251&gt;=50,B1251&lt;=10000)</f>
        <v/>
      </c>
      <c r="H1251">
        <f>OR(C1251="NAS",C1251="NYS",C1251="ASE")</f>
        <v/>
      </c>
      <c r="I1251">
        <f>F1251&gt;=500000</f>
        <v/>
      </c>
      <c r="J1251">
        <f>E1251&gt;=2</f>
        <v/>
      </c>
      <c r="K1251">
        <f>AND(G1251,H1251,I1251,J1251)</f>
        <v/>
      </c>
    </row>
    <row r="1252">
      <c r="B1252" s="5">
        <f>BDP(A1252&amp;" US Equity","CUR_MKT_CAP")</f>
        <v/>
      </c>
      <c r="C1252">
        <f>BDP(A1252&amp;" US Equity","EXCH_CODE")</f>
        <v/>
      </c>
      <c r="D1252" s="5">
        <f>BDP(A1252&amp;" US Equity","VOLUME_AVG_20D")</f>
        <v/>
      </c>
      <c r="E1252" s="6">
        <f>BDP(A1252&amp;" US Equity","PX_LAST")</f>
        <v/>
      </c>
      <c r="F1252" s="5">
        <f>D1252*E1252</f>
        <v/>
      </c>
      <c r="G1252">
        <f>AND(B1252&gt;=50,B1252&lt;=10000)</f>
        <v/>
      </c>
      <c r="H1252">
        <f>OR(C1252="NAS",C1252="NYS",C1252="ASE")</f>
        <v/>
      </c>
      <c r="I1252">
        <f>F1252&gt;=500000</f>
        <v/>
      </c>
      <c r="J1252">
        <f>E1252&gt;=2</f>
        <v/>
      </c>
      <c r="K1252">
        <f>AND(G1252,H1252,I1252,J1252)</f>
        <v/>
      </c>
    </row>
    <row r="1253">
      <c r="B1253" s="5">
        <f>BDP(A1253&amp;" US Equity","CUR_MKT_CAP")</f>
        <v/>
      </c>
      <c r="C1253">
        <f>BDP(A1253&amp;" US Equity","EXCH_CODE")</f>
        <v/>
      </c>
      <c r="D1253" s="5">
        <f>BDP(A1253&amp;" US Equity","VOLUME_AVG_20D")</f>
        <v/>
      </c>
      <c r="E1253" s="6">
        <f>BDP(A1253&amp;" US Equity","PX_LAST")</f>
        <v/>
      </c>
      <c r="F1253" s="5">
        <f>D1253*E1253</f>
        <v/>
      </c>
      <c r="G1253">
        <f>AND(B1253&gt;=50,B1253&lt;=10000)</f>
        <v/>
      </c>
      <c r="H1253">
        <f>OR(C1253="NAS",C1253="NYS",C1253="ASE")</f>
        <v/>
      </c>
      <c r="I1253">
        <f>F1253&gt;=500000</f>
        <v/>
      </c>
      <c r="J1253">
        <f>E1253&gt;=2</f>
        <v/>
      </c>
      <c r="K1253">
        <f>AND(G1253,H1253,I1253,J1253)</f>
        <v/>
      </c>
    </row>
    <row r="1254">
      <c r="B1254" s="5">
        <f>BDP(A1254&amp;" US Equity","CUR_MKT_CAP")</f>
        <v/>
      </c>
      <c r="C1254">
        <f>BDP(A1254&amp;" US Equity","EXCH_CODE")</f>
        <v/>
      </c>
      <c r="D1254" s="5">
        <f>BDP(A1254&amp;" US Equity","VOLUME_AVG_20D")</f>
        <v/>
      </c>
      <c r="E1254" s="6">
        <f>BDP(A1254&amp;" US Equity","PX_LAST")</f>
        <v/>
      </c>
      <c r="F1254" s="5">
        <f>D1254*E1254</f>
        <v/>
      </c>
      <c r="G1254">
        <f>AND(B1254&gt;=50,B1254&lt;=10000)</f>
        <v/>
      </c>
      <c r="H1254">
        <f>OR(C1254="NAS",C1254="NYS",C1254="ASE")</f>
        <v/>
      </c>
      <c r="I1254">
        <f>F1254&gt;=500000</f>
        <v/>
      </c>
      <c r="J1254">
        <f>E1254&gt;=2</f>
        <v/>
      </c>
      <c r="K1254">
        <f>AND(G1254,H1254,I1254,J1254)</f>
        <v/>
      </c>
    </row>
    <row r="1255">
      <c r="B1255" s="5">
        <f>BDP(A1255&amp;" US Equity","CUR_MKT_CAP")</f>
        <v/>
      </c>
      <c r="C1255">
        <f>BDP(A1255&amp;" US Equity","EXCH_CODE")</f>
        <v/>
      </c>
      <c r="D1255" s="5">
        <f>BDP(A1255&amp;" US Equity","VOLUME_AVG_20D")</f>
        <v/>
      </c>
      <c r="E1255" s="6">
        <f>BDP(A1255&amp;" US Equity","PX_LAST")</f>
        <v/>
      </c>
      <c r="F1255" s="5">
        <f>D1255*E1255</f>
        <v/>
      </c>
      <c r="G1255">
        <f>AND(B1255&gt;=50,B1255&lt;=10000)</f>
        <v/>
      </c>
      <c r="H1255">
        <f>OR(C1255="NAS",C1255="NYS",C1255="ASE")</f>
        <v/>
      </c>
      <c r="I1255">
        <f>F1255&gt;=500000</f>
        <v/>
      </c>
      <c r="J1255">
        <f>E1255&gt;=2</f>
        <v/>
      </c>
      <c r="K1255">
        <f>AND(G1255,H1255,I1255,J1255)</f>
        <v/>
      </c>
    </row>
    <row r="1256">
      <c r="B1256" s="5">
        <f>BDP(A1256&amp;" US Equity","CUR_MKT_CAP")</f>
        <v/>
      </c>
      <c r="C1256">
        <f>BDP(A1256&amp;" US Equity","EXCH_CODE")</f>
        <v/>
      </c>
      <c r="D1256" s="5">
        <f>BDP(A1256&amp;" US Equity","VOLUME_AVG_20D")</f>
        <v/>
      </c>
      <c r="E1256" s="6">
        <f>BDP(A1256&amp;" US Equity","PX_LAST")</f>
        <v/>
      </c>
      <c r="F1256" s="5">
        <f>D1256*E1256</f>
        <v/>
      </c>
      <c r="G1256">
        <f>AND(B1256&gt;=50,B1256&lt;=10000)</f>
        <v/>
      </c>
      <c r="H1256">
        <f>OR(C1256="NAS",C1256="NYS",C1256="ASE")</f>
        <v/>
      </c>
      <c r="I1256">
        <f>F1256&gt;=500000</f>
        <v/>
      </c>
      <c r="J1256">
        <f>E1256&gt;=2</f>
        <v/>
      </c>
      <c r="K1256">
        <f>AND(G1256,H1256,I1256,J1256)</f>
        <v/>
      </c>
    </row>
    <row r="1257">
      <c r="B1257" s="5">
        <f>BDP(A1257&amp;" US Equity","CUR_MKT_CAP")</f>
        <v/>
      </c>
      <c r="C1257">
        <f>BDP(A1257&amp;" US Equity","EXCH_CODE")</f>
        <v/>
      </c>
      <c r="D1257" s="5">
        <f>BDP(A1257&amp;" US Equity","VOLUME_AVG_20D")</f>
        <v/>
      </c>
      <c r="E1257" s="6">
        <f>BDP(A1257&amp;" US Equity","PX_LAST")</f>
        <v/>
      </c>
      <c r="F1257" s="5">
        <f>D1257*E1257</f>
        <v/>
      </c>
      <c r="G1257">
        <f>AND(B1257&gt;=50,B1257&lt;=10000)</f>
        <v/>
      </c>
      <c r="H1257">
        <f>OR(C1257="NAS",C1257="NYS",C1257="ASE")</f>
        <v/>
      </c>
      <c r="I1257">
        <f>F1257&gt;=500000</f>
        <v/>
      </c>
      <c r="J1257">
        <f>E1257&gt;=2</f>
        <v/>
      </c>
      <c r="K1257">
        <f>AND(G1257,H1257,I1257,J1257)</f>
        <v/>
      </c>
    </row>
    <row r="1258">
      <c r="B1258" s="5">
        <f>BDP(A1258&amp;" US Equity","CUR_MKT_CAP")</f>
        <v/>
      </c>
      <c r="C1258">
        <f>BDP(A1258&amp;" US Equity","EXCH_CODE")</f>
        <v/>
      </c>
      <c r="D1258" s="5">
        <f>BDP(A1258&amp;" US Equity","VOLUME_AVG_20D")</f>
        <v/>
      </c>
      <c r="E1258" s="6">
        <f>BDP(A1258&amp;" US Equity","PX_LAST")</f>
        <v/>
      </c>
      <c r="F1258" s="5">
        <f>D1258*E1258</f>
        <v/>
      </c>
      <c r="G1258">
        <f>AND(B1258&gt;=50,B1258&lt;=10000)</f>
        <v/>
      </c>
      <c r="H1258">
        <f>OR(C1258="NAS",C1258="NYS",C1258="ASE")</f>
        <v/>
      </c>
      <c r="I1258">
        <f>F1258&gt;=500000</f>
        <v/>
      </c>
      <c r="J1258">
        <f>E1258&gt;=2</f>
        <v/>
      </c>
      <c r="K1258">
        <f>AND(G1258,H1258,I1258,J1258)</f>
        <v/>
      </c>
    </row>
    <row r="1259">
      <c r="B1259" s="5">
        <f>BDP(A1259&amp;" US Equity","CUR_MKT_CAP")</f>
        <v/>
      </c>
      <c r="C1259">
        <f>BDP(A1259&amp;" US Equity","EXCH_CODE")</f>
        <v/>
      </c>
      <c r="D1259" s="5">
        <f>BDP(A1259&amp;" US Equity","VOLUME_AVG_20D")</f>
        <v/>
      </c>
      <c r="E1259" s="6">
        <f>BDP(A1259&amp;" US Equity","PX_LAST")</f>
        <v/>
      </c>
      <c r="F1259" s="5">
        <f>D1259*E1259</f>
        <v/>
      </c>
      <c r="G1259">
        <f>AND(B1259&gt;=50,B1259&lt;=10000)</f>
        <v/>
      </c>
      <c r="H1259">
        <f>OR(C1259="NAS",C1259="NYS",C1259="ASE")</f>
        <v/>
      </c>
      <c r="I1259">
        <f>F1259&gt;=500000</f>
        <v/>
      </c>
      <c r="J1259">
        <f>E1259&gt;=2</f>
        <v/>
      </c>
      <c r="K1259">
        <f>AND(G1259,H1259,I1259,J1259)</f>
        <v/>
      </c>
    </row>
    <row r="1260">
      <c r="B1260" s="5">
        <f>BDP(A1260&amp;" US Equity","CUR_MKT_CAP")</f>
        <v/>
      </c>
      <c r="C1260">
        <f>BDP(A1260&amp;" US Equity","EXCH_CODE")</f>
        <v/>
      </c>
      <c r="D1260" s="5">
        <f>BDP(A1260&amp;" US Equity","VOLUME_AVG_20D")</f>
        <v/>
      </c>
      <c r="E1260" s="6">
        <f>BDP(A1260&amp;" US Equity","PX_LAST")</f>
        <v/>
      </c>
      <c r="F1260" s="5">
        <f>D1260*E1260</f>
        <v/>
      </c>
      <c r="G1260">
        <f>AND(B1260&gt;=50,B1260&lt;=10000)</f>
        <v/>
      </c>
      <c r="H1260">
        <f>OR(C1260="NAS",C1260="NYS",C1260="ASE")</f>
        <v/>
      </c>
      <c r="I1260">
        <f>F1260&gt;=500000</f>
        <v/>
      </c>
      <c r="J1260">
        <f>E1260&gt;=2</f>
        <v/>
      </c>
      <c r="K1260">
        <f>AND(G1260,H1260,I1260,J1260)</f>
        <v/>
      </c>
    </row>
    <row r="1261">
      <c r="B1261" s="5">
        <f>BDP(A1261&amp;" US Equity","CUR_MKT_CAP")</f>
        <v/>
      </c>
      <c r="C1261">
        <f>BDP(A1261&amp;" US Equity","EXCH_CODE")</f>
        <v/>
      </c>
      <c r="D1261" s="5">
        <f>BDP(A1261&amp;" US Equity","VOLUME_AVG_20D")</f>
        <v/>
      </c>
      <c r="E1261" s="6">
        <f>BDP(A1261&amp;" US Equity","PX_LAST")</f>
        <v/>
      </c>
      <c r="F1261" s="5">
        <f>D1261*E1261</f>
        <v/>
      </c>
      <c r="G1261">
        <f>AND(B1261&gt;=50,B1261&lt;=10000)</f>
        <v/>
      </c>
      <c r="H1261">
        <f>OR(C1261="NAS",C1261="NYS",C1261="ASE")</f>
        <v/>
      </c>
      <c r="I1261">
        <f>F1261&gt;=500000</f>
        <v/>
      </c>
      <c r="J1261">
        <f>E1261&gt;=2</f>
        <v/>
      </c>
      <c r="K1261">
        <f>AND(G1261,H1261,I1261,J1261)</f>
        <v/>
      </c>
    </row>
    <row r="1262">
      <c r="B1262" s="5">
        <f>BDP(A1262&amp;" US Equity","CUR_MKT_CAP")</f>
        <v/>
      </c>
      <c r="C1262">
        <f>BDP(A1262&amp;" US Equity","EXCH_CODE")</f>
        <v/>
      </c>
      <c r="D1262" s="5">
        <f>BDP(A1262&amp;" US Equity","VOLUME_AVG_20D")</f>
        <v/>
      </c>
      <c r="E1262" s="6">
        <f>BDP(A1262&amp;" US Equity","PX_LAST")</f>
        <v/>
      </c>
      <c r="F1262" s="5">
        <f>D1262*E1262</f>
        <v/>
      </c>
      <c r="G1262">
        <f>AND(B1262&gt;=50,B1262&lt;=10000)</f>
        <v/>
      </c>
      <c r="H1262">
        <f>OR(C1262="NAS",C1262="NYS",C1262="ASE")</f>
        <v/>
      </c>
      <c r="I1262">
        <f>F1262&gt;=500000</f>
        <v/>
      </c>
      <c r="J1262">
        <f>E1262&gt;=2</f>
        <v/>
      </c>
      <c r="K1262">
        <f>AND(G1262,H1262,I1262,J1262)</f>
        <v/>
      </c>
    </row>
    <row r="1263">
      <c r="B1263" s="5">
        <f>BDP(A1263&amp;" US Equity","CUR_MKT_CAP")</f>
        <v/>
      </c>
      <c r="C1263">
        <f>BDP(A1263&amp;" US Equity","EXCH_CODE")</f>
        <v/>
      </c>
      <c r="D1263" s="5">
        <f>BDP(A1263&amp;" US Equity","VOLUME_AVG_20D")</f>
        <v/>
      </c>
      <c r="E1263" s="6">
        <f>BDP(A1263&amp;" US Equity","PX_LAST")</f>
        <v/>
      </c>
      <c r="F1263" s="5">
        <f>D1263*E1263</f>
        <v/>
      </c>
      <c r="G1263">
        <f>AND(B1263&gt;=50,B1263&lt;=10000)</f>
        <v/>
      </c>
      <c r="H1263">
        <f>OR(C1263="NAS",C1263="NYS",C1263="ASE")</f>
        <v/>
      </c>
      <c r="I1263">
        <f>F1263&gt;=500000</f>
        <v/>
      </c>
      <c r="J1263">
        <f>E1263&gt;=2</f>
        <v/>
      </c>
      <c r="K1263">
        <f>AND(G1263,H1263,I1263,J1263)</f>
        <v/>
      </c>
    </row>
    <row r="1264">
      <c r="B1264" s="5">
        <f>BDP(A1264&amp;" US Equity","CUR_MKT_CAP")</f>
        <v/>
      </c>
      <c r="C1264">
        <f>BDP(A1264&amp;" US Equity","EXCH_CODE")</f>
        <v/>
      </c>
      <c r="D1264" s="5">
        <f>BDP(A1264&amp;" US Equity","VOLUME_AVG_20D")</f>
        <v/>
      </c>
      <c r="E1264" s="6">
        <f>BDP(A1264&amp;" US Equity","PX_LAST")</f>
        <v/>
      </c>
      <c r="F1264" s="5">
        <f>D1264*E1264</f>
        <v/>
      </c>
      <c r="G1264">
        <f>AND(B1264&gt;=50,B1264&lt;=10000)</f>
        <v/>
      </c>
      <c r="H1264">
        <f>OR(C1264="NAS",C1264="NYS",C1264="ASE")</f>
        <v/>
      </c>
      <c r="I1264">
        <f>F1264&gt;=500000</f>
        <v/>
      </c>
      <c r="J1264">
        <f>E1264&gt;=2</f>
        <v/>
      </c>
      <c r="K1264">
        <f>AND(G1264,H1264,I1264,J1264)</f>
        <v/>
      </c>
    </row>
    <row r="1265">
      <c r="B1265" s="5">
        <f>BDP(A1265&amp;" US Equity","CUR_MKT_CAP")</f>
        <v/>
      </c>
      <c r="C1265">
        <f>BDP(A1265&amp;" US Equity","EXCH_CODE")</f>
        <v/>
      </c>
      <c r="D1265" s="5">
        <f>BDP(A1265&amp;" US Equity","VOLUME_AVG_20D")</f>
        <v/>
      </c>
      <c r="E1265" s="6">
        <f>BDP(A1265&amp;" US Equity","PX_LAST")</f>
        <v/>
      </c>
      <c r="F1265" s="5">
        <f>D1265*E1265</f>
        <v/>
      </c>
      <c r="G1265">
        <f>AND(B1265&gt;=50,B1265&lt;=10000)</f>
        <v/>
      </c>
      <c r="H1265">
        <f>OR(C1265="NAS",C1265="NYS",C1265="ASE")</f>
        <v/>
      </c>
      <c r="I1265">
        <f>F1265&gt;=500000</f>
        <v/>
      </c>
      <c r="J1265">
        <f>E1265&gt;=2</f>
        <v/>
      </c>
      <c r="K1265">
        <f>AND(G1265,H1265,I1265,J1265)</f>
        <v/>
      </c>
    </row>
    <row r="1266">
      <c r="B1266" s="5">
        <f>BDP(A1266&amp;" US Equity","CUR_MKT_CAP")</f>
        <v/>
      </c>
      <c r="C1266">
        <f>BDP(A1266&amp;" US Equity","EXCH_CODE")</f>
        <v/>
      </c>
      <c r="D1266" s="5">
        <f>BDP(A1266&amp;" US Equity","VOLUME_AVG_20D")</f>
        <v/>
      </c>
      <c r="E1266" s="6">
        <f>BDP(A1266&amp;" US Equity","PX_LAST")</f>
        <v/>
      </c>
      <c r="F1266" s="5">
        <f>D1266*E1266</f>
        <v/>
      </c>
      <c r="G1266">
        <f>AND(B1266&gt;=50,B1266&lt;=10000)</f>
        <v/>
      </c>
      <c r="H1266">
        <f>OR(C1266="NAS",C1266="NYS",C1266="ASE")</f>
        <v/>
      </c>
      <c r="I1266">
        <f>F1266&gt;=500000</f>
        <v/>
      </c>
      <c r="J1266">
        <f>E1266&gt;=2</f>
        <v/>
      </c>
      <c r="K1266">
        <f>AND(G1266,H1266,I1266,J1266)</f>
        <v/>
      </c>
    </row>
    <row r="1267">
      <c r="B1267" s="5">
        <f>BDP(A1267&amp;" US Equity","CUR_MKT_CAP")</f>
        <v/>
      </c>
      <c r="C1267">
        <f>BDP(A1267&amp;" US Equity","EXCH_CODE")</f>
        <v/>
      </c>
      <c r="D1267" s="5">
        <f>BDP(A1267&amp;" US Equity","VOLUME_AVG_20D")</f>
        <v/>
      </c>
      <c r="E1267" s="6">
        <f>BDP(A1267&amp;" US Equity","PX_LAST")</f>
        <v/>
      </c>
      <c r="F1267" s="5">
        <f>D1267*E1267</f>
        <v/>
      </c>
      <c r="G1267">
        <f>AND(B1267&gt;=50,B1267&lt;=10000)</f>
        <v/>
      </c>
      <c r="H1267">
        <f>OR(C1267="NAS",C1267="NYS",C1267="ASE")</f>
        <v/>
      </c>
      <c r="I1267">
        <f>F1267&gt;=500000</f>
        <v/>
      </c>
      <c r="J1267">
        <f>E1267&gt;=2</f>
        <v/>
      </c>
      <c r="K1267">
        <f>AND(G1267,H1267,I1267,J1267)</f>
        <v/>
      </c>
    </row>
    <row r="1268">
      <c r="B1268" s="5">
        <f>BDP(A1268&amp;" US Equity","CUR_MKT_CAP")</f>
        <v/>
      </c>
      <c r="C1268">
        <f>BDP(A1268&amp;" US Equity","EXCH_CODE")</f>
        <v/>
      </c>
      <c r="D1268" s="5">
        <f>BDP(A1268&amp;" US Equity","VOLUME_AVG_20D")</f>
        <v/>
      </c>
      <c r="E1268" s="6">
        <f>BDP(A1268&amp;" US Equity","PX_LAST")</f>
        <v/>
      </c>
      <c r="F1268" s="5">
        <f>D1268*E1268</f>
        <v/>
      </c>
      <c r="G1268">
        <f>AND(B1268&gt;=50,B1268&lt;=10000)</f>
        <v/>
      </c>
      <c r="H1268">
        <f>OR(C1268="NAS",C1268="NYS",C1268="ASE")</f>
        <v/>
      </c>
      <c r="I1268">
        <f>F1268&gt;=500000</f>
        <v/>
      </c>
      <c r="J1268">
        <f>E1268&gt;=2</f>
        <v/>
      </c>
      <c r="K1268">
        <f>AND(G1268,H1268,I1268,J1268)</f>
        <v/>
      </c>
    </row>
    <row r="1269">
      <c r="B1269" s="5">
        <f>BDP(A1269&amp;" US Equity","CUR_MKT_CAP")</f>
        <v/>
      </c>
      <c r="C1269">
        <f>BDP(A1269&amp;" US Equity","EXCH_CODE")</f>
        <v/>
      </c>
      <c r="D1269" s="5">
        <f>BDP(A1269&amp;" US Equity","VOLUME_AVG_20D")</f>
        <v/>
      </c>
      <c r="E1269" s="6">
        <f>BDP(A1269&amp;" US Equity","PX_LAST")</f>
        <v/>
      </c>
      <c r="F1269" s="5">
        <f>D1269*E1269</f>
        <v/>
      </c>
      <c r="G1269">
        <f>AND(B1269&gt;=50,B1269&lt;=10000)</f>
        <v/>
      </c>
      <c r="H1269">
        <f>OR(C1269="NAS",C1269="NYS",C1269="ASE")</f>
        <v/>
      </c>
      <c r="I1269">
        <f>F1269&gt;=500000</f>
        <v/>
      </c>
      <c r="J1269">
        <f>E1269&gt;=2</f>
        <v/>
      </c>
      <c r="K1269">
        <f>AND(G1269,H1269,I1269,J1269)</f>
        <v/>
      </c>
    </row>
    <row r="1270">
      <c r="B1270" s="5">
        <f>BDP(A1270&amp;" US Equity","CUR_MKT_CAP")</f>
        <v/>
      </c>
      <c r="C1270">
        <f>BDP(A1270&amp;" US Equity","EXCH_CODE")</f>
        <v/>
      </c>
      <c r="D1270" s="5">
        <f>BDP(A1270&amp;" US Equity","VOLUME_AVG_20D")</f>
        <v/>
      </c>
      <c r="E1270" s="6">
        <f>BDP(A1270&amp;" US Equity","PX_LAST")</f>
        <v/>
      </c>
      <c r="F1270" s="5">
        <f>D1270*E1270</f>
        <v/>
      </c>
      <c r="G1270">
        <f>AND(B1270&gt;=50,B1270&lt;=10000)</f>
        <v/>
      </c>
      <c r="H1270">
        <f>OR(C1270="NAS",C1270="NYS",C1270="ASE")</f>
        <v/>
      </c>
      <c r="I1270">
        <f>F1270&gt;=500000</f>
        <v/>
      </c>
      <c r="J1270">
        <f>E1270&gt;=2</f>
        <v/>
      </c>
      <c r="K1270">
        <f>AND(G1270,H1270,I1270,J1270)</f>
        <v/>
      </c>
    </row>
    <row r="1271">
      <c r="B1271" s="5">
        <f>BDP(A1271&amp;" US Equity","CUR_MKT_CAP")</f>
        <v/>
      </c>
      <c r="C1271">
        <f>BDP(A1271&amp;" US Equity","EXCH_CODE")</f>
        <v/>
      </c>
      <c r="D1271" s="5">
        <f>BDP(A1271&amp;" US Equity","VOLUME_AVG_20D")</f>
        <v/>
      </c>
      <c r="E1271" s="6">
        <f>BDP(A1271&amp;" US Equity","PX_LAST")</f>
        <v/>
      </c>
      <c r="F1271" s="5">
        <f>D1271*E1271</f>
        <v/>
      </c>
      <c r="G1271">
        <f>AND(B1271&gt;=50,B1271&lt;=10000)</f>
        <v/>
      </c>
      <c r="H1271">
        <f>OR(C1271="NAS",C1271="NYS",C1271="ASE")</f>
        <v/>
      </c>
      <c r="I1271">
        <f>F1271&gt;=500000</f>
        <v/>
      </c>
      <c r="J1271">
        <f>E1271&gt;=2</f>
        <v/>
      </c>
      <c r="K1271">
        <f>AND(G1271,H1271,I1271,J1271)</f>
        <v/>
      </c>
    </row>
    <row r="1272">
      <c r="B1272" s="5">
        <f>BDP(A1272&amp;" US Equity","CUR_MKT_CAP")</f>
        <v/>
      </c>
      <c r="C1272">
        <f>BDP(A1272&amp;" US Equity","EXCH_CODE")</f>
        <v/>
      </c>
      <c r="D1272" s="5">
        <f>BDP(A1272&amp;" US Equity","VOLUME_AVG_20D")</f>
        <v/>
      </c>
      <c r="E1272" s="6">
        <f>BDP(A1272&amp;" US Equity","PX_LAST")</f>
        <v/>
      </c>
      <c r="F1272" s="5">
        <f>D1272*E1272</f>
        <v/>
      </c>
      <c r="G1272">
        <f>AND(B1272&gt;=50,B1272&lt;=10000)</f>
        <v/>
      </c>
      <c r="H1272">
        <f>OR(C1272="NAS",C1272="NYS",C1272="ASE")</f>
        <v/>
      </c>
      <c r="I1272">
        <f>F1272&gt;=500000</f>
        <v/>
      </c>
      <c r="J1272">
        <f>E1272&gt;=2</f>
        <v/>
      </c>
      <c r="K1272">
        <f>AND(G1272,H1272,I1272,J1272)</f>
        <v/>
      </c>
    </row>
    <row r="1273">
      <c r="B1273" s="5">
        <f>BDP(A1273&amp;" US Equity","CUR_MKT_CAP")</f>
        <v/>
      </c>
      <c r="C1273">
        <f>BDP(A1273&amp;" US Equity","EXCH_CODE")</f>
        <v/>
      </c>
      <c r="D1273" s="5">
        <f>BDP(A1273&amp;" US Equity","VOLUME_AVG_20D")</f>
        <v/>
      </c>
      <c r="E1273" s="6">
        <f>BDP(A1273&amp;" US Equity","PX_LAST")</f>
        <v/>
      </c>
      <c r="F1273" s="5">
        <f>D1273*E1273</f>
        <v/>
      </c>
      <c r="G1273">
        <f>AND(B1273&gt;=50,B1273&lt;=10000)</f>
        <v/>
      </c>
      <c r="H1273">
        <f>OR(C1273="NAS",C1273="NYS",C1273="ASE")</f>
        <v/>
      </c>
      <c r="I1273">
        <f>F1273&gt;=500000</f>
        <v/>
      </c>
      <c r="J1273">
        <f>E1273&gt;=2</f>
        <v/>
      </c>
      <c r="K1273">
        <f>AND(G1273,H1273,I1273,J1273)</f>
        <v/>
      </c>
    </row>
    <row r="1274">
      <c r="B1274" s="5">
        <f>BDP(A1274&amp;" US Equity","CUR_MKT_CAP")</f>
        <v/>
      </c>
      <c r="C1274">
        <f>BDP(A1274&amp;" US Equity","EXCH_CODE")</f>
        <v/>
      </c>
      <c r="D1274" s="5">
        <f>BDP(A1274&amp;" US Equity","VOLUME_AVG_20D")</f>
        <v/>
      </c>
      <c r="E1274" s="6">
        <f>BDP(A1274&amp;" US Equity","PX_LAST")</f>
        <v/>
      </c>
      <c r="F1274" s="5">
        <f>D1274*E1274</f>
        <v/>
      </c>
      <c r="G1274">
        <f>AND(B1274&gt;=50,B1274&lt;=10000)</f>
        <v/>
      </c>
      <c r="H1274">
        <f>OR(C1274="NAS",C1274="NYS",C1274="ASE")</f>
        <v/>
      </c>
      <c r="I1274">
        <f>F1274&gt;=500000</f>
        <v/>
      </c>
      <c r="J1274">
        <f>E1274&gt;=2</f>
        <v/>
      </c>
      <c r="K1274">
        <f>AND(G1274,H1274,I1274,J1274)</f>
        <v/>
      </c>
    </row>
    <row r="1275">
      <c r="B1275" s="5">
        <f>BDP(A1275&amp;" US Equity","CUR_MKT_CAP")</f>
        <v/>
      </c>
      <c r="C1275">
        <f>BDP(A1275&amp;" US Equity","EXCH_CODE")</f>
        <v/>
      </c>
      <c r="D1275" s="5">
        <f>BDP(A1275&amp;" US Equity","VOLUME_AVG_20D")</f>
        <v/>
      </c>
      <c r="E1275" s="6">
        <f>BDP(A1275&amp;" US Equity","PX_LAST")</f>
        <v/>
      </c>
      <c r="F1275" s="5">
        <f>D1275*E1275</f>
        <v/>
      </c>
      <c r="G1275">
        <f>AND(B1275&gt;=50,B1275&lt;=10000)</f>
        <v/>
      </c>
      <c r="H1275">
        <f>OR(C1275="NAS",C1275="NYS",C1275="ASE")</f>
        <v/>
      </c>
      <c r="I1275">
        <f>F1275&gt;=500000</f>
        <v/>
      </c>
      <c r="J1275">
        <f>E1275&gt;=2</f>
        <v/>
      </c>
      <c r="K1275">
        <f>AND(G1275,H1275,I1275,J1275)</f>
        <v/>
      </c>
    </row>
    <row r="1276">
      <c r="B1276" s="5">
        <f>BDP(A1276&amp;" US Equity","CUR_MKT_CAP")</f>
        <v/>
      </c>
      <c r="C1276">
        <f>BDP(A1276&amp;" US Equity","EXCH_CODE")</f>
        <v/>
      </c>
      <c r="D1276" s="5">
        <f>BDP(A1276&amp;" US Equity","VOLUME_AVG_20D")</f>
        <v/>
      </c>
      <c r="E1276" s="6">
        <f>BDP(A1276&amp;" US Equity","PX_LAST")</f>
        <v/>
      </c>
      <c r="F1276" s="5">
        <f>D1276*E1276</f>
        <v/>
      </c>
      <c r="G1276">
        <f>AND(B1276&gt;=50,B1276&lt;=10000)</f>
        <v/>
      </c>
      <c r="H1276">
        <f>OR(C1276="NAS",C1276="NYS",C1276="ASE")</f>
        <v/>
      </c>
      <c r="I1276">
        <f>F1276&gt;=500000</f>
        <v/>
      </c>
      <c r="J1276">
        <f>E1276&gt;=2</f>
        <v/>
      </c>
      <c r="K1276">
        <f>AND(G1276,H1276,I1276,J1276)</f>
        <v/>
      </c>
    </row>
    <row r="1277">
      <c r="B1277" s="5">
        <f>BDP(A1277&amp;" US Equity","CUR_MKT_CAP")</f>
        <v/>
      </c>
      <c r="C1277">
        <f>BDP(A1277&amp;" US Equity","EXCH_CODE")</f>
        <v/>
      </c>
      <c r="D1277" s="5">
        <f>BDP(A1277&amp;" US Equity","VOLUME_AVG_20D")</f>
        <v/>
      </c>
      <c r="E1277" s="6">
        <f>BDP(A1277&amp;" US Equity","PX_LAST")</f>
        <v/>
      </c>
      <c r="F1277" s="5">
        <f>D1277*E1277</f>
        <v/>
      </c>
      <c r="G1277">
        <f>AND(B1277&gt;=50,B1277&lt;=10000)</f>
        <v/>
      </c>
      <c r="H1277">
        <f>OR(C1277="NAS",C1277="NYS",C1277="ASE")</f>
        <v/>
      </c>
      <c r="I1277">
        <f>F1277&gt;=500000</f>
        <v/>
      </c>
      <c r="J1277">
        <f>E1277&gt;=2</f>
        <v/>
      </c>
      <c r="K1277">
        <f>AND(G1277,H1277,I1277,J1277)</f>
        <v/>
      </c>
    </row>
    <row r="1278">
      <c r="B1278" s="5">
        <f>BDP(A1278&amp;" US Equity","CUR_MKT_CAP")</f>
        <v/>
      </c>
      <c r="C1278">
        <f>BDP(A1278&amp;" US Equity","EXCH_CODE")</f>
        <v/>
      </c>
      <c r="D1278" s="5">
        <f>BDP(A1278&amp;" US Equity","VOLUME_AVG_20D")</f>
        <v/>
      </c>
      <c r="E1278" s="6">
        <f>BDP(A1278&amp;" US Equity","PX_LAST")</f>
        <v/>
      </c>
      <c r="F1278" s="5">
        <f>D1278*E1278</f>
        <v/>
      </c>
      <c r="G1278">
        <f>AND(B1278&gt;=50,B1278&lt;=10000)</f>
        <v/>
      </c>
      <c r="H1278">
        <f>OR(C1278="NAS",C1278="NYS",C1278="ASE")</f>
        <v/>
      </c>
      <c r="I1278">
        <f>F1278&gt;=500000</f>
        <v/>
      </c>
      <c r="J1278">
        <f>E1278&gt;=2</f>
        <v/>
      </c>
      <c r="K1278">
        <f>AND(G1278,H1278,I1278,J1278)</f>
        <v/>
      </c>
    </row>
    <row r="1279">
      <c r="B1279" s="5">
        <f>BDP(A1279&amp;" US Equity","CUR_MKT_CAP")</f>
        <v/>
      </c>
      <c r="C1279">
        <f>BDP(A1279&amp;" US Equity","EXCH_CODE")</f>
        <v/>
      </c>
      <c r="D1279" s="5">
        <f>BDP(A1279&amp;" US Equity","VOLUME_AVG_20D")</f>
        <v/>
      </c>
      <c r="E1279" s="6">
        <f>BDP(A1279&amp;" US Equity","PX_LAST")</f>
        <v/>
      </c>
      <c r="F1279" s="5">
        <f>D1279*E1279</f>
        <v/>
      </c>
      <c r="G1279">
        <f>AND(B1279&gt;=50,B1279&lt;=10000)</f>
        <v/>
      </c>
      <c r="H1279">
        <f>OR(C1279="NAS",C1279="NYS",C1279="ASE")</f>
        <v/>
      </c>
      <c r="I1279">
        <f>F1279&gt;=500000</f>
        <v/>
      </c>
      <c r="J1279">
        <f>E1279&gt;=2</f>
        <v/>
      </c>
      <c r="K1279">
        <f>AND(G1279,H1279,I1279,J1279)</f>
        <v/>
      </c>
    </row>
    <row r="1280">
      <c r="B1280" s="5">
        <f>BDP(A1280&amp;" US Equity","CUR_MKT_CAP")</f>
        <v/>
      </c>
      <c r="C1280">
        <f>BDP(A1280&amp;" US Equity","EXCH_CODE")</f>
        <v/>
      </c>
      <c r="D1280" s="5">
        <f>BDP(A1280&amp;" US Equity","VOLUME_AVG_20D")</f>
        <v/>
      </c>
      <c r="E1280" s="6">
        <f>BDP(A1280&amp;" US Equity","PX_LAST")</f>
        <v/>
      </c>
      <c r="F1280" s="5">
        <f>D1280*E1280</f>
        <v/>
      </c>
      <c r="G1280">
        <f>AND(B1280&gt;=50,B1280&lt;=10000)</f>
        <v/>
      </c>
      <c r="H1280">
        <f>OR(C1280="NAS",C1280="NYS",C1280="ASE")</f>
        <v/>
      </c>
      <c r="I1280">
        <f>F1280&gt;=500000</f>
        <v/>
      </c>
      <c r="J1280">
        <f>E1280&gt;=2</f>
        <v/>
      </c>
      <c r="K1280">
        <f>AND(G1280,H1280,I1280,J1280)</f>
        <v/>
      </c>
    </row>
    <row r="1281">
      <c r="B1281" s="5">
        <f>BDP(A1281&amp;" US Equity","CUR_MKT_CAP")</f>
        <v/>
      </c>
      <c r="C1281">
        <f>BDP(A1281&amp;" US Equity","EXCH_CODE")</f>
        <v/>
      </c>
      <c r="D1281" s="5">
        <f>BDP(A1281&amp;" US Equity","VOLUME_AVG_20D")</f>
        <v/>
      </c>
      <c r="E1281" s="6">
        <f>BDP(A1281&amp;" US Equity","PX_LAST")</f>
        <v/>
      </c>
      <c r="F1281" s="5">
        <f>D1281*E1281</f>
        <v/>
      </c>
      <c r="G1281">
        <f>AND(B1281&gt;=50,B1281&lt;=10000)</f>
        <v/>
      </c>
      <c r="H1281">
        <f>OR(C1281="NAS",C1281="NYS",C1281="ASE")</f>
        <v/>
      </c>
      <c r="I1281">
        <f>F1281&gt;=500000</f>
        <v/>
      </c>
      <c r="J1281">
        <f>E1281&gt;=2</f>
        <v/>
      </c>
      <c r="K1281">
        <f>AND(G1281,H1281,I1281,J1281)</f>
        <v/>
      </c>
    </row>
    <row r="1282">
      <c r="B1282" s="5">
        <f>BDP(A1282&amp;" US Equity","CUR_MKT_CAP")</f>
        <v/>
      </c>
      <c r="C1282">
        <f>BDP(A1282&amp;" US Equity","EXCH_CODE")</f>
        <v/>
      </c>
      <c r="D1282" s="5">
        <f>BDP(A1282&amp;" US Equity","VOLUME_AVG_20D")</f>
        <v/>
      </c>
      <c r="E1282" s="6">
        <f>BDP(A1282&amp;" US Equity","PX_LAST")</f>
        <v/>
      </c>
      <c r="F1282" s="5">
        <f>D1282*E1282</f>
        <v/>
      </c>
      <c r="G1282">
        <f>AND(B1282&gt;=50,B1282&lt;=10000)</f>
        <v/>
      </c>
      <c r="H1282">
        <f>OR(C1282="NAS",C1282="NYS",C1282="ASE")</f>
        <v/>
      </c>
      <c r="I1282">
        <f>F1282&gt;=500000</f>
        <v/>
      </c>
      <c r="J1282">
        <f>E1282&gt;=2</f>
        <v/>
      </c>
      <c r="K1282">
        <f>AND(G1282,H1282,I1282,J1282)</f>
        <v/>
      </c>
    </row>
    <row r="1283">
      <c r="B1283" s="5">
        <f>BDP(A1283&amp;" US Equity","CUR_MKT_CAP")</f>
        <v/>
      </c>
      <c r="C1283">
        <f>BDP(A1283&amp;" US Equity","EXCH_CODE")</f>
        <v/>
      </c>
      <c r="D1283" s="5">
        <f>BDP(A1283&amp;" US Equity","VOLUME_AVG_20D")</f>
        <v/>
      </c>
      <c r="E1283" s="6">
        <f>BDP(A1283&amp;" US Equity","PX_LAST")</f>
        <v/>
      </c>
      <c r="F1283" s="5">
        <f>D1283*E1283</f>
        <v/>
      </c>
      <c r="G1283">
        <f>AND(B1283&gt;=50,B1283&lt;=10000)</f>
        <v/>
      </c>
      <c r="H1283">
        <f>OR(C1283="NAS",C1283="NYS",C1283="ASE")</f>
        <v/>
      </c>
      <c r="I1283">
        <f>F1283&gt;=500000</f>
        <v/>
      </c>
      <c r="J1283">
        <f>E1283&gt;=2</f>
        <v/>
      </c>
      <c r="K1283">
        <f>AND(G1283,H1283,I1283,J1283)</f>
        <v/>
      </c>
    </row>
    <row r="1284">
      <c r="B1284" s="5">
        <f>BDP(A1284&amp;" US Equity","CUR_MKT_CAP")</f>
        <v/>
      </c>
      <c r="C1284">
        <f>BDP(A1284&amp;" US Equity","EXCH_CODE")</f>
        <v/>
      </c>
      <c r="D1284" s="5">
        <f>BDP(A1284&amp;" US Equity","VOLUME_AVG_20D")</f>
        <v/>
      </c>
      <c r="E1284" s="6">
        <f>BDP(A1284&amp;" US Equity","PX_LAST")</f>
        <v/>
      </c>
      <c r="F1284" s="5">
        <f>D1284*E1284</f>
        <v/>
      </c>
      <c r="G1284">
        <f>AND(B1284&gt;=50,B1284&lt;=10000)</f>
        <v/>
      </c>
      <c r="H1284">
        <f>OR(C1284="NAS",C1284="NYS",C1284="ASE")</f>
        <v/>
      </c>
      <c r="I1284">
        <f>F1284&gt;=500000</f>
        <v/>
      </c>
      <c r="J1284">
        <f>E1284&gt;=2</f>
        <v/>
      </c>
      <c r="K1284">
        <f>AND(G1284,H1284,I1284,J1284)</f>
        <v/>
      </c>
    </row>
    <row r="1285">
      <c r="B1285" s="5">
        <f>BDP(A1285&amp;" US Equity","CUR_MKT_CAP")</f>
        <v/>
      </c>
      <c r="C1285">
        <f>BDP(A1285&amp;" US Equity","EXCH_CODE")</f>
        <v/>
      </c>
      <c r="D1285" s="5">
        <f>BDP(A1285&amp;" US Equity","VOLUME_AVG_20D")</f>
        <v/>
      </c>
      <c r="E1285" s="6">
        <f>BDP(A1285&amp;" US Equity","PX_LAST")</f>
        <v/>
      </c>
      <c r="F1285" s="5">
        <f>D1285*E1285</f>
        <v/>
      </c>
      <c r="G1285">
        <f>AND(B1285&gt;=50,B1285&lt;=10000)</f>
        <v/>
      </c>
      <c r="H1285">
        <f>OR(C1285="NAS",C1285="NYS",C1285="ASE")</f>
        <v/>
      </c>
      <c r="I1285">
        <f>F1285&gt;=500000</f>
        <v/>
      </c>
      <c r="J1285">
        <f>E1285&gt;=2</f>
        <v/>
      </c>
      <c r="K1285">
        <f>AND(G1285,H1285,I1285,J1285)</f>
        <v/>
      </c>
    </row>
    <row r="1286">
      <c r="B1286" s="5">
        <f>BDP(A1286&amp;" US Equity","CUR_MKT_CAP")</f>
        <v/>
      </c>
      <c r="C1286">
        <f>BDP(A1286&amp;" US Equity","EXCH_CODE")</f>
        <v/>
      </c>
      <c r="D1286" s="5">
        <f>BDP(A1286&amp;" US Equity","VOLUME_AVG_20D")</f>
        <v/>
      </c>
      <c r="E1286" s="6">
        <f>BDP(A1286&amp;" US Equity","PX_LAST")</f>
        <v/>
      </c>
      <c r="F1286" s="5">
        <f>D1286*E1286</f>
        <v/>
      </c>
      <c r="G1286">
        <f>AND(B1286&gt;=50,B1286&lt;=10000)</f>
        <v/>
      </c>
      <c r="H1286">
        <f>OR(C1286="NAS",C1286="NYS",C1286="ASE")</f>
        <v/>
      </c>
      <c r="I1286">
        <f>F1286&gt;=500000</f>
        <v/>
      </c>
      <c r="J1286">
        <f>E1286&gt;=2</f>
        <v/>
      </c>
      <c r="K1286">
        <f>AND(G1286,H1286,I1286,J1286)</f>
        <v/>
      </c>
    </row>
    <row r="1287">
      <c r="B1287" s="5">
        <f>BDP(A1287&amp;" US Equity","CUR_MKT_CAP")</f>
        <v/>
      </c>
      <c r="C1287">
        <f>BDP(A1287&amp;" US Equity","EXCH_CODE")</f>
        <v/>
      </c>
      <c r="D1287" s="5">
        <f>BDP(A1287&amp;" US Equity","VOLUME_AVG_20D")</f>
        <v/>
      </c>
      <c r="E1287" s="6">
        <f>BDP(A1287&amp;" US Equity","PX_LAST")</f>
        <v/>
      </c>
      <c r="F1287" s="5">
        <f>D1287*E1287</f>
        <v/>
      </c>
      <c r="G1287">
        <f>AND(B1287&gt;=50,B1287&lt;=10000)</f>
        <v/>
      </c>
      <c r="H1287">
        <f>OR(C1287="NAS",C1287="NYS",C1287="ASE")</f>
        <v/>
      </c>
      <c r="I1287">
        <f>F1287&gt;=500000</f>
        <v/>
      </c>
      <c r="J1287">
        <f>E1287&gt;=2</f>
        <v/>
      </c>
      <c r="K1287">
        <f>AND(G1287,H1287,I1287,J1287)</f>
        <v/>
      </c>
    </row>
    <row r="1288">
      <c r="B1288" s="5">
        <f>BDP(A1288&amp;" US Equity","CUR_MKT_CAP")</f>
        <v/>
      </c>
      <c r="C1288">
        <f>BDP(A1288&amp;" US Equity","EXCH_CODE")</f>
        <v/>
      </c>
      <c r="D1288" s="5">
        <f>BDP(A1288&amp;" US Equity","VOLUME_AVG_20D")</f>
        <v/>
      </c>
      <c r="E1288" s="6">
        <f>BDP(A1288&amp;" US Equity","PX_LAST")</f>
        <v/>
      </c>
      <c r="F1288" s="5">
        <f>D1288*E1288</f>
        <v/>
      </c>
      <c r="G1288">
        <f>AND(B1288&gt;=50,B1288&lt;=10000)</f>
        <v/>
      </c>
      <c r="H1288">
        <f>OR(C1288="NAS",C1288="NYS",C1288="ASE")</f>
        <v/>
      </c>
      <c r="I1288">
        <f>F1288&gt;=500000</f>
        <v/>
      </c>
      <c r="J1288">
        <f>E1288&gt;=2</f>
        <v/>
      </c>
      <c r="K1288">
        <f>AND(G1288,H1288,I1288,J1288)</f>
        <v/>
      </c>
    </row>
    <row r="1289">
      <c r="B1289" s="5">
        <f>BDP(A1289&amp;" US Equity","CUR_MKT_CAP")</f>
        <v/>
      </c>
      <c r="C1289">
        <f>BDP(A1289&amp;" US Equity","EXCH_CODE")</f>
        <v/>
      </c>
      <c r="D1289" s="5">
        <f>BDP(A1289&amp;" US Equity","VOLUME_AVG_20D")</f>
        <v/>
      </c>
      <c r="E1289" s="6">
        <f>BDP(A1289&amp;" US Equity","PX_LAST")</f>
        <v/>
      </c>
      <c r="F1289" s="5">
        <f>D1289*E1289</f>
        <v/>
      </c>
      <c r="G1289">
        <f>AND(B1289&gt;=50,B1289&lt;=10000)</f>
        <v/>
      </c>
      <c r="H1289">
        <f>OR(C1289="NAS",C1289="NYS",C1289="ASE")</f>
        <v/>
      </c>
      <c r="I1289">
        <f>F1289&gt;=500000</f>
        <v/>
      </c>
      <c r="J1289">
        <f>E1289&gt;=2</f>
        <v/>
      </c>
      <c r="K1289">
        <f>AND(G1289,H1289,I1289,J1289)</f>
        <v/>
      </c>
    </row>
    <row r="1290">
      <c r="B1290" s="5">
        <f>BDP(A1290&amp;" US Equity","CUR_MKT_CAP")</f>
        <v/>
      </c>
      <c r="C1290">
        <f>BDP(A1290&amp;" US Equity","EXCH_CODE")</f>
        <v/>
      </c>
      <c r="D1290" s="5">
        <f>BDP(A1290&amp;" US Equity","VOLUME_AVG_20D")</f>
        <v/>
      </c>
      <c r="E1290" s="6">
        <f>BDP(A1290&amp;" US Equity","PX_LAST")</f>
        <v/>
      </c>
      <c r="F1290" s="5">
        <f>D1290*E1290</f>
        <v/>
      </c>
      <c r="G1290">
        <f>AND(B1290&gt;=50,B1290&lt;=10000)</f>
        <v/>
      </c>
      <c r="H1290">
        <f>OR(C1290="NAS",C1290="NYS",C1290="ASE")</f>
        <v/>
      </c>
      <c r="I1290">
        <f>F1290&gt;=500000</f>
        <v/>
      </c>
      <c r="J1290">
        <f>E1290&gt;=2</f>
        <v/>
      </c>
      <c r="K1290">
        <f>AND(G1290,H1290,I1290,J1290)</f>
        <v/>
      </c>
    </row>
    <row r="1291">
      <c r="B1291" s="5">
        <f>BDP(A1291&amp;" US Equity","CUR_MKT_CAP")</f>
        <v/>
      </c>
      <c r="C1291">
        <f>BDP(A1291&amp;" US Equity","EXCH_CODE")</f>
        <v/>
      </c>
      <c r="D1291" s="5">
        <f>BDP(A1291&amp;" US Equity","VOLUME_AVG_20D")</f>
        <v/>
      </c>
      <c r="E1291" s="6">
        <f>BDP(A1291&amp;" US Equity","PX_LAST")</f>
        <v/>
      </c>
      <c r="F1291" s="5">
        <f>D1291*E1291</f>
        <v/>
      </c>
      <c r="G1291">
        <f>AND(B1291&gt;=50,B1291&lt;=10000)</f>
        <v/>
      </c>
      <c r="H1291">
        <f>OR(C1291="NAS",C1291="NYS",C1291="ASE")</f>
        <v/>
      </c>
      <c r="I1291">
        <f>F1291&gt;=500000</f>
        <v/>
      </c>
      <c r="J1291">
        <f>E1291&gt;=2</f>
        <v/>
      </c>
      <c r="K1291">
        <f>AND(G1291,H1291,I1291,J1291)</f>
        <v/>
      </c>
    </row>
    <row r="1292">
      <c r="B1292" s="5">
        <f>BDP(A1292&amp;" US Equity","CUR_MKT_CAP")</f>
        <v/>
      </c>
      <c r="C1292">
        <f>BDP(A1292&amp;" US Equity","EXCH_CODE")</f>
        <v/>
      </c>
      <c r="D1292" s="5">
        <f>BDP(A1292&amp;" US Equity","VOLUME_AVG_20D")</f>
        <v/>
      </c>
      <c r="E1292" s="6">
        <f>BDP(A1292&amp;" US Equity","PX_LAST")</f>
        <v/>
      </c>
      <c r="F1292" s="5">
        <f>D1292*E1292</f>
        <v/>
      </c>
      <c r="G1292">
        <f>AND(B1292&gt;=50,B1292&lt;=10000)</f>
        <v/>
      </c>
      <c r="H1292">
        <f>OR(C1292="NAS",C1292="NYS",C1292="ASE")</f>
        <v/>
      </c>
      <c r="I1292">
        <f>F1292&gt;=500000</f>
        <v/>
      </c>
      <c r="J1292">
        <f>E1292&gt;=2</f>
        <v/>
      </c>
      <c r="K1292">
        <f>AND(G1292,H1292,I1292,J1292)</f>
        <v/>
      </c>
    </row>
    <row r="1293">
      <c r="B1293" s="5">
        <f>BDP(A1293&amp;" US Equity","CUR_MKT_CAP")</f>
        <v/>
      </c>
      <c r="C1293">
        <f>BDP(A1293&amp;" US Equity","EXCH_CODE")</f>
        <v/>
      </c>
      <c r="D1293" s="5">
        <f>BDP(A1293&amp;" US Equity","VOLUME_AVG_20D")</f>
        <v/>
      </c>
      <c r="E1293" s="6">
        <f>BDP(A1293&amp;" US Equity","PX_LAST")</f>
        <v/>
      </c>
      <c r="F1293" s="5">
        <f>D1293*E1293</f>
        <v/>
      </c>
      <c r="G1293">
        <f>AND(B1293&gt;=50,B1293&lt;=10000)</f>
        <v/>
      </c>
      <c r="H1293">
        <f>OR(C1293="NAS",C1293="NYS",C1293="ASE")</f>
        <v/>
      </c>
      <c r="I1293">
        <f>F1293&gt;=500000</f>
        <v/>
      </c>
      <c r="J1293">
        <f>E1293&gt;=2</f>
        <v/>
      </c>
      <c r="K1293">
        <f>AND(G1293,H1293,I1293,J1293)</f>
        <v/>
      </c>
    </row>
    <row r="1294">
      <c r="B1294" s="5">
        <f>BDP(A1294&amp;" US Equity","CUR_MKT_CAP")</f>
        <v/>
      </c>
      <c r="C1294">
        <f>BDP(A1294&amp;" US Equity","EXCH_CODE")</f>
        <v/>
      </c>
      <c r="D1294" s="5">
        <f>BDP(A1294&amp;" US Equity","VOLUME_AVG_20D")</f>
        <v/>
      </c>
      <c r="E1294" s="6">
        <f>BDP(A1294&amp;" US Equity","PX_LAST")</f>
        <v/>
      </c>
      <c r="F1294" s="5">
        <f>D1294*E1294</f>
        <v/>
      </c>
      <c r="G1294">
        <f>AND(B1294&gt;=50,B1294&lt;=10000)</f>
        <v/>
      </c>
      <c r="H1294">
        <f>OR(C1294="NAS",C1294="NYS",C1294="ASE")</f>
        <v/>
      </c>
      <c r="I1294">
        <f>F1294&gt;=500000</f>
        <v/>
      </c>
      <c r="J1294">
        <f>E1294&gt;=2</f>
        <v/>
      </c>
      <c r="K1294">
        <f>AND(G1294,H1294,I1294,J1294)</f>
        <v/>
      </c>
    </row>
    <row r="1295">
      <c r="B1295" s="5">
        <f>BDP(A1295&amp;" US Equity","CUR_MKT_CAP")</f>
        <v/>
      </c>
      <c r="C1295">
        <f>BDP(A1295&amp;" US Equity","EXCH_CODE")</f>
        <v/>
      </c>
      <c r="D1295" s="5">
        <f>BDP(A1295&amp;" US Equity","VOLUME_AVG_20D")</f>
        <v/>
      </c>
      <c r="E1295" s="6">
        <f>BDP(A1295&amp;" US Equity","PX_LAST")</f>
        <v/>
      </c>
      <c r="F1295" s="5">
        <f>D1295*E1295</f>
        <v/>
      </c>
      <c r="G1295">
        <f>AND(B1295&gt;=50,B1295&lt;=10000)</f>
        <v/>
      </c>
      <c r="H1295">
        <f>OR(C1295="NAS",C1295="NYS",C1295="ASE")</f>
        <v/>
      </c>
      <c r="I1295">
        <f>F1295&gt;=500000</f>
        <v/>
      </c>
      <c r="J1295">
        <f>E1295&gt;=2</f>
        <v/>
      </c>
      <c r="K1295">
        <f>AND(G1295,H1295,I1295,J1295)</f>
        <v/>
      </c>
    </row>
    <row r="1296">
      <c r="B1296" s="5">
        <f>BDP(A1296&amp;" US Equity","CUR_MKT_CAP")</f>
        <v/>
      </c>
      <c r="C1296">
        <f>BDP(A1296&amp;" US Equity","EXCH_CODE")</f>
        <v/>
      </c>
      <c r="D1296" s="5">
        <f>BDP(A1296&amp;" US Equity","VOLUME_AVG_20D")</f>
        <v/>
      </c>
      <c r="E1296" s="6">
        <f>BDP(A1296&amp;" US Equity","PX_LAST")</f>
        <v/>
      </c>
      <c r="F1296" s="5">
        <f>D1296*E1296</f>
        <v/>
      </c>
      <c r="G1296">
        <f>AND(B1296&gt;=50,B1296&lt;=10000)</f>
        <v/>
      </c>
      <c r="H1296">
        <f>OR(C1296="NAS",C1296="NYS",C1296="ASE")</f>
        <v/>
      </c>
      <c r="I1296">
        <f>F1296&gt;=500000</f>
        <v/>
      </c>
      <c r="J1296">
        <f>E1296&gt;=2</f>
        <v/>
      </c>
      <c r="K1296">
        <f>AND(G1296,H1296,I1296,J1296)</f>
        <v/>
      </c>
    </row>
    <row r="1297">
      <c r="B1297" s="5">
        <f>BDP(A1297&amp;" US Equity","CUR_MKT_CAP")</f>
        <v/>
      </c>
      <c r="C1297">
        <f>BDP(A1297&amp;" US Equity","EXCH_CODE")</f>
        <v/>
      </c>
      <c r="D1297" s="5">
        <f>BDP(A1297&amp;" US Equity","VOLUME_AVG_20D")</f>
        <v/>
      </c>
      <c r="E1297" s="6">
        <f>BDP(A1297&amp;" US Equity","PX_LAST")</f>
        <v/>
      </c>
      <c r="F1297" s="5">
        <f>D1297*E1297</f>
        <v/>
      </c>
      <c r="G1297">
        <f>AND(B1297&gt;=50,B1297&lt;=10000)</f>
        <v/>
      </c>
      <c r="H1297">
        <f>OR(C1297="NAS",C1297="NYS",C1297="ASE")</f>
        <v/>
      </c>
      <c r="I1297">
        <f>F1297&gt;=500000</f>
        <v/>
      </c>
      <c r="J1297">
        <f>E1297&gt;=2</f>
        <v/>
      </c>
      <c r="K1297">
        <f>AND(G1297,H1297,I1297,J1297)</f>
        <v/>
      </c>
    </row>
    <row r="1298">
      <c r="B1298" s="5">
        <f>BDP(A1298&amp;" US Equity","CUR_MKT_CAP")</f>
        <v/>
      </c>
      <c r="C1298">
        <f>BDP(A1298&amp;" US Equity","EXCH_CODE")</f>
        <v/>
      </c>
      <c r="D1298" s="5">
        <f>BDP(A1298&amp;" US Equity","VOLUME_AVG_20D")</f>
        <v/>
      </c>
      <c r="E1298" s="6">
        <f>BDP(A1298&amp;" US Equity","PX_LAST")</f>
        <v/>
      </c>
      <c r="F1298" s="5">
        <f>D1298*E1298</f>
        <v/>
      </c>
      <c r="G1298">
        <f>AND(B1298&gt;=50,B1298&lt;=10000)</f>
        <v/>
      </c>
      <c r="H1298">
        <f>OR(C1298="NAS",C1298="NYS",C1298="ASE")</f>
        <v/>
      </c>
      <c r="I1298">
        <f>F1298&gt;=500000</f>
        <v/>
      </c>
      <c r="J1298">
        <f>E1298&gt;=2</f>
        <v/>
      </c>
      <c r="K1298">
        <f>AND(G1298,H1298,I1298,J1298)</f>
        <v/>
      </c>
    </row>
    <row r="1299">
      <c r="B1299" s="5">
        <f>BDP(A1299&amp;" US Equity","CUR_MKT_CAP")</f>
        <v/>
      </c>
      <c r="C1299">
        <f>BDP(A1299&amp;" US Equity","EXCH_CODE")</f>
        <v/>
      </c>
      <c r="D1299" s="5">
        <f>BDP(A1299&amp;" US Equity","VOLUME_AVG_20D")</f>
        <v/>
      </c>
      <c r="E1299" s="6">
        <f>BDP(A1299&amp;" US Equity","PX_LAST")</f>
        <v/>
      </c>
      <c r="F1299" s="5">
        <f>D1299*E1299</f>
        <v/>
      </c>
      <c r="G1299">
        <f>AND(B1299&gt;=50,B1299&lt;=10000)</f>
        <v/>
      </c>
      <c r="H1299">
        <f>OR(C1299="NAS",C1299="NYS",C1299="ASE")</f>
        <v/>
      </c>
      <c r="I1299">
        <f>F1299&gt;=500000</f>
        <v/>
      </c>
      <c r="J1299">
        <f>E1299&gt;=2</f>
        <v/>
      </c>
      <c r="K1299">
        <f>AND(G1299,H1299,I1299,J1299)</f>
        <v/>
      </c>
    </row>
    <row r="1300">
      <c r="B1300" s="5">
        <f>BDP(A1300&amp;" US Equity","CUR_MKT_CAP")</f>
        <v/>
      </c>
      <c r="C1300">
        <f>BDP(A1300&amp;" US Equity","EXCH_CODE")</f>
        <v/>
      </c>
      <c r="D1300" s="5">
        <f>BDP(A1300&amp;" US Equity","VOLUME_AVG_20D")</f>
        <v/>
      </c>
      <c r="E1300" s="6">
        <f>BDP(A1300&amp;" US Equity","PX_LAST")</f>
        <v/>
      </c>
      <c r="F1300" s="5">
        <f>D1300*E1300</f>
        <v/>
      </c>
      <c r="G1300">
        <f>AND(B1300&gt;=50,B1300&lt;=10000)</f>
        <v/>
      </c>
      <c r="H1300">
        <f>OR(C1300="NAS",C1300="NYS",C1300="ASE")</f>
        <v/>
      </c>
      <c r="I1300">
        <f>F1300&gt;=500000</f>
        <v/>
      </c>
      <c r="J1300">
        <f>E1300&gt;=2</f>
        <v/>
      </c>
      <c r="K1300">
        <f>AND(G1300,H1300,I1300,J1300)</f>
        <v/>
      </c>
    </row>
    <row r="1301">
      <c r="B1301" s="5">
        <f>BDP(A1301&amp;" US Equity","CUR_MKT_CAP")</f>
        <v/>
      </c>
      <c r="C1301">
        <f>BDP(A1301&amp;" US Equity","EXCH_CODE")</f>
        <v/>
      </c>
      <c r="D1301" s="5">
        <f>BDP(A1301&amp;" US Equity","VOLUME_AVG_20D")</f>
        <v/>
      </c>
      <c r="E1301" s="6">
        <f>BDP(A1301&amp;" US Equity","PX_LAST")</f>
        <v/>
      </c>
      <c r="F1301" s="5">
        <f>D1301*E1301</f>
        <v/>
      </c>
      <c r="G1301">
        <f>AND(B1301&gt;=50,B1301&lt;=10000)</f>
        <v/>
      </c>
      <c r="H1301">
        <f>OR(C1301="NAS",C1301="NYS",C1301="ASE")</f>
        <v/>
      </c>
      <c r="I1301">
        <f>F1301&gt;=500000</f>
        <v/>
      </c>
      <c r="J1301">
        <f>E1301&gt;=2</f>
        <v/>
      </c>
      <c r="K1301">
        <f>AND(G1301,H1301,I1301,J1301)</f>
        <v/>
      </c>
    </row>
    <row r="1302">
      <c r="B1302" s="5">
        <f>BDP(A1302&amp;" US Equity","CUR_MKT_CAP")</f>
        <v/>
      </c>
      <c r="C1302">
        <f>BDP(A1302&amp;" US Equity","EXCH_CODE")</f>
        <v/>
      </c>
      <c r="D1302" s="5">
        <f>BDP(A1302&amp;" US Equity","VOLUME_AVG_20D")</f>
        <v/>
      </c>
      <c r="E1302" s="6">
        <f>BDP(A1302&amp;" US Equity","PX_LAST")</f>
        <v/>
      </c>
      <c r="F1302" s="5">
        <f>D1302*E1302</f>
        <v/>
      </c>
      <c r="G1302">
        <f>AND(B1302&gt;=50,B1302&lt;=10000)</f>
        <v/>
      </c>
      <c r="H1302">
        <f>OR(C1302="NAS",C1302="NYS",C1302="ASE")</f>
        <v/>
      </c>
      <c r="I1302">
        <f>F1302&gt;=500000</f>
        <v/>
      </c>
      <c r="J1302">
        <f>E1302&gt;=2</f>
        <v/>
      </c>
      <c r="K1302">
        <f>AND(G1302,H1302,I1302,J1302)</f>
        <v/>
      </c>
    </row>
    <row r="1303">
      <c r="B1303" s="5">
        <f>BDP(A1303&amp;" US Equity","CUR_MKT_CAP")</f>
        <v/>
      </c>
      <c r="C1303">
        <f>BDP(A1303&amp;" US Equity","EXCH_CODE")</f>
        <v/>
      </c>
      <c r="D1303" s="5">
        <f>BDP(A1303&amp;" US Equity","VOLUME_AVG_20D")</f>
        <v/>
      </c>
      <c r="E1303" s="6">
        <f>BDP(A1303&amp;" US Equity","PX_LAST")</f>
        <v/>
      </c>
      <c r="F1303" s="5">
        <f>D1303*E1303</f>
        <v/>
      </c>
      <c r="G1303">
        <f>AND(B1303&gt;=50,B1303&lt;=10000)</f>
        <v/>
      </c>
      <c r="H1303">
        <f>OR(C1303="NAS",C1303="NYS",C1303="ASE")</f>
        <v/>
      </c>
      <c r="I1303">
        <f>F1303&gt;=500000</f>
        <v/>
      </c>
      <c r="J1303">
        <f>E1303&gt;=2</f>
        <v/>
      </c>
      <c r="K1303">
        <f>AND(G1303,H1303,I1303,J1303)</f>
        <v/>
      </c>
    </row>
    <row r="1304">
      <c r="B1304" s="5">
        <f>BDP(A1304&amp;" US Equity","CUR_MKT_CAP")</f>
        <v/>
      </c>
      <c r="C1304">
        <f>BDP(A1304&amp;" US Equity","EXCH_CODE")</f>
        <v/>
      </c>
      <c r="D1304" s="5">
        <f>BDP(A1304&amp;" US Equity","VOLUME_AVG_20D")</f>
        <v/>
      </c>
      <c r="E1304" s="6">
        <f>BDP(A1304&amp;" US Equity","PX_LAST")</f>
        <v/>
      </c>
      <c r="F1304" s="5">
        <f>D1304*E1304</f>
        <v/>
      </c>
      <c r="G1304">
        <f>AND(B1304&gt;=50,B1304&lt;=10000)</f>
        <v/>
      </c>
      <c r="H1304">
        <f>OR(C1304="NAS",C1304="NYS",C1304="ASE")</f>
        <v/>
      </c>
      <c r="I1304">
        <f>F1304&gt;=500000</f>
        <v/>
      </c>
      <c r="J1304">
        <f>E1304&gt;=2</f>
        <v/>
      </c>
      <c r="K1304">
        <f>AND(G1304,H1304,I1304,J1304)</f>
        <v/>
      </c>
    </row>
    <row r="1305">
      <c r="B1305" s="5">
        <f>BDP(A1305&amp;" US Equity","CUR_MKT_CAP")</f>
        <v/>
      </c>
      <c r="C1305">
        <f>BDP(A1305&amp;" US Equity","EXCH_CODE")</f>
        <v/>
      </c>
      <c r="D1305" s="5">
        <f>BDP(A1305&amp;" US Equity","VOLUME_AVG_20D")</f>
        <v/>
      </c>
      <c r="E1305" s="6">
        <f>BDP(A1305&amp;" US Equity","PX_LAST")</f>
        <v/>
      </c>
      <c r="F1305" s="5">
        <f>D1305*E1305</f>
        <v/>
      </c>
      <c r="G1305">
        <f>AND(B1305&gt;=50,B1305&lt;=10000)</f>
        <v/>
      </c>
      <c r="H1305">
        <f>OR(C1305="NAS",C1305="NYS",C1305="ASE")</f>
        <v/>
      </c>
      <c r="I1305">
        <f>F1305&gt;=500000</f>
        <v/>
      </c>
      <c r="J1305">
        <f>E1305&gt;=2</f>
        <v/>
      </c>
      <c r="K1305">
        <f>AND(G1305,H1305,I1305,J1305)</f>
        <v/>
      </c>
    </row>
    <row r="1306">
      <c r="B1306" s="5">
        <f>BDP(A1306&amp;" US Equity","CUR_MKT_CAP")</f>
        <v/>
      </c>
      <c r="C1306">
        <f>BDP(A1306&amp;" US Equity","EXCH_CODE")</f>
        <v/>
      </c>
      <c r="D1306" s="5">
        <f>BDP(A1306&amp;" US Equity","VOLUME_AVG_20D")</f>
        <v/>
      </c>
      <c r="E1306" s="6">
        <f>BDP(A1306&amp;" US Equity","PX_LAST")</f>
        <v/>
      </c>
      <c r="F1306" s="5">
        <f>D1306*E1306</f>
        <v/>
      </c>
      <c r="G1306">
        <f>AND(B1306&gt;=50,B1306&lt;=10000)</f>
        <v/>
      </c>
      <c r="H1306">
        <f>OR(C1306="NAS",C1306="NYS",C1306="ASE")</f>
        <v/>
      </c>
      <c r="I1306">
        <f>F1306&gt;=500000</f>
        <v/>
      </c>
      <c r="J1306">
        <f>E1306&gt;=2</f>
        <v/>
      </c>
      <c r="K1306">
        <f>AND(G1306,H1306,I1306,J1306)</f>
        <v/>
      </c>
    </row>
    <row r="1307">
      <c r="B1307" s="5">
        <f>BDP(A1307&amp;" US Equity","CUR_MKT_CAP")</f>
        <v/>
      </c>
      <c r="C1307">
        <f>BDP(A1307&amp;" US Equity","EXCH_CODE")</f>
        <v/>
      </c>
      <c r="D1307" s="5">
        <f>BDP(A1307&amp;" US Equity","VOLUME_AVG_20D")</f>
        <v/>
      </c>
      <c r="E1307" s="6">
        <f>BDP(A1307&amp;" US Equity","PX_LAST")</f>
        <v/>
      </c>
      <c r="F1307" s="5">
        <f>D1307*E1307</f>
        <v/>
      </c>
      <c r="G1307">
        <f>AND(B1307&gt;=50,B1307&lt;=10000)</f>
        <v/>
      </c>
      <c r="H1307">
        <f>OR(C1307="NAS",C1307="NYS",C1307="ASE")</f>
        <v/>
      </c>
      <c r="I1307">
        <f>F1307&gt;=500000</f>
        <v/>
      </c>
      <c r="J1307">
        <f>E1307&gt;=2</f>
        <v/>
      </c>
      <c r="K1307">
        <f>AND(G1307,H1307,I1307,J1307)</f>
        <v/>
      </c>
    </row>
    <row r="1308">
      <c r="B1308" s="5">
        <f>BDP(A1308&amp;" US Equity","CUR_MKT_CAP")</f>
        <v/>
      </c>
      <c r="C1308">
        <f>BDP(A1308&amp;" US Equity","EXCH_CODE")</f>
        <v/>
      </c>
      <c r="D1308" s="5">
        <f>BDP(A1308&amp;" US Equity","VOLUME_AVG_20D")</f>
        <v/>
      </c>
      <c r="E1308" s="6">
        <f>BDP(A1308&amp;" US Equity","PX_LAST")</f>
        <v/>
      </c>
      <c r="F1308" s="5">
        <f>D1308*E1308</f>
        <v/>
      </c>
      <c r="G1308">
        <f>AND(B1308&gt;=50,B1308&lt;=10000)</f>
        <v/>
      </c>
      <c r="H1308">
        <f>OR(C1308="NAS",C1308="NYS",C1308="ASE")</f>
        <v/>
      </c>
      <c r="I1308">
        <f>F1308&gt;=500000</f>
        <v/>
      </c>
      <c r="J1308">
        <f>E1308&gt;=2</f>
        <v/>
      </c>
      <c r="K1308">
        <f>AND(G1308,H1308,I1308,J1308)</f>
        <v/>
      </c>
    </row>
    <row r="1309">
      <c r="B1309" s="5">
        <f>BDP(A1309&amp;" US Equity","CUR_MKT_CAP")</f>
        <v/>
      </c>
      <c r="C1309">
        <f>BDP(A1309&amp;" US Equity","EXCH_CODE")</f>
        <v/>
      </c>
      <c r="D1309" s="5">
        <f>BDP(A1309&amp;" US Equity","VOLUME_AVG_20D")</f>
        <v/>
      </c>
      <c r="E1309" s="6">
        <f>BDP(A1309&amp;" US Equity","PX_LAST")</f>
        <v/>
      </c>
      <c r="F1309" s="5">
        <f>D1309*E1309</f>
        <v/>
      </c>
      <c r="G1309">
        <f>AND(B1309&gt;=50,B1309&lt;=10000)</f>
        <v/>
      </c>
      <c r="H1309">
        <f>OR(C1309="NAS",C1309="NYS",C1309="ASE")</f>
        <v/>
      </c>
      <c r="I1309">
        <f>F1309&gt;=500000</f>
        <v/>
      </c>
      <c r="J1309">
        <f>E1309&gt;=2</f>
        <v/>
      </c>
      <c r="K1309">
        <f>AND(G1309,H1309,I1309,J1309)</f>
        <v/>
      </c>
    </row>
    <row r="1310">
      <c r="B1310" s="5">
        <f>BDP(A1310&amp;" US Equity","CUR_MKT_CAP")</f>
        <v/>
      </c>
      <c r="C1310">
        <f>BDP(A1310&amp;" US Equity","EXCH_CODE")</f>
        <v/>
      </c>
      <c r="D1310" s="5">
        <f>BDP(A1310&amp;" US Equity","VOLUME_AVG_20D")</f>
        <v/>
      </c>
      <c r="E1310" s="6">
        <f>BDP(A1310&amp;" US Equity","PX_LAST")</f>
        <v/>
      </c>
      <c r="F1310" s="5">
        <f>D1310*E1310</f>
        <v/>
      </c>
      <c r="G1310">
        <f>AND(B1310&gt;=50,B1310&lt;=10000)</f>
        <v/>
      </c>
      <c r="H1310">
        <f>OR(C1310="NAS",C1310="NYS",C1310="ASE")</f>
        <v/>
      </c>
      <c r="I1310">
        <f>F1310&gt;=500000</f>
        <v/>
      </c>
      <c r="J1310">
        <f>E1310&gt;=2</f>
        <v/>
      </c>
      <c r="K1310">
        <f>AND(G1310,H1310,I1310,J1310)</f>
        <v/>
      </c>
    </row>
    <row r="1311">
      <c r="B1311" s="5">
        <f>BDP(A1311&amp;" US Equity","CUR_MKT_CAP")</f>
        <v/>
      </c>
      <c r="C1311">
        <f>BDP(A1311&amp;" US Equity","EXCH_CODE")</f>
        <v/>
      </c>
      <c r="D1311" s="5">
        <f>BDP(A1311&amp;" US Equity","VOLUME_AVG_20D")</f>
        <v/>
      </c>
      <c r="E1311" s="6">
        <f>BDP(A1311&amp;" US Equity","PX_LAST")</f>
        <v/>
      </c>
      <c r="F1311" s="5">
        <f>D1311*E1311</f>
        <v/>
      </c>
      <c r="G1311">
        <f>AND(B1311&gt;=50,B1311&lt;=10000)</f>
        <v/>
      </c>
      <c r="H1311">
        <f>OR(C1311="NAS",C1311="NYS",C1311="ASE")</f>
        <v/>
      </c>
      <c r="I1311">
        <f>F1311&gt;=500000</f>
        <v/>
      </c>
      <c r="J1311">
        <f>E1311&gt;=2</f>
        <v/>
      </c>
      <c r="K1311">
        <f>AND(G1311,H1311,I1311,J1311)</f>
        <v/>
      </c>
    </row>
    <row r="1312">
      <c r="B1312" s="5">
        <f>BDP(A1312&amp;" US Equity","CUR_MKT_CAP")</f>
        <v/>
      </c>
      <c r="C1312">
        <f>BDP(A1312&amp;" US Equity","EXCH_CODE")</f>
        <v/>
      </c>
      <c r="D1312" s="5">
        <f>BDP(A1312&amp;" US Equity","VOLUME_AVG_20D")</f>
        <v/>
      </c>
      <c r="E1312" s="6">
        <f>BDP(A1312&amp;" US Equity","PX_LAST")</f>
        <v/>
      </c>
      <c r="F1312" s="5">
        <f>D1312*E1312</f>
        <v/>
      </c>
      <c r="G1312">
        <f>AND(B1312&gt;=50,B1312&lt;=10000)</f>
        <v/>
      </c>
      <c r="H1312">
        <f>OR(C1312="NAS",C1312="NYS",C1312="ASE")</f>
        <v/>
      </c>
      <c r="I1312">
        <f>F1312&gt;=500000</f>
        <v/>
      </c>
      <c r="J1312">
        <f>E1312&gt;=2</f>
        <v/>
      </c>
      <c r="K1312">
        <f>AND(G1312,H1312,I1312,J1312)</f>
        <v/>
      </c>
    </row>
    <row r="1313">
      <c r="B1313" s="5">
        <f>BDP(A1313&amp;" US Equity","CUR_MKT_CAP")</f>
        <v/>
      </c>
      <c r="C1313">
        <f>BDP(A1313&amp;" US Equity","EXCH_CODE")</f>
        <v/>
      </c>
      <c r="D1313" s="5">
        <f>BDP(A1313&amp;" US Equity","VOLUME_AVG_20D")</f>
        <v/>
      </c>
      <c r="E1313" s="6">
        <f>BDP(A1313&amp;" US Equity","PX_LAST")</f>
        <v/>
      </c>
      <c r="F1313" s="5">
        <f>D1313*E1313</f>
        <v/>
      </c>
      <c r="G1313">
        <f>AND(B1313&gt;=50,B1313&lt;=10000)</f>
        <v/>
      </c>
      <c r="H1313">
        <f>OR(C1313="NAS",C1313="NYS",C1313="ASE")</f>
        <v/>
      </c>
      <c r="I1313">
        <f>F1313&gt;=500000</f>
        <v/>
      </c>
      <c r="J1313">
        <f>E1313&gt;=2</f>
        <v/>
      </c>
      <c r="K1313">
        <f>AND(G1313,H1313,I1313,J1313)</f>
        <v/>
      </c>
    </row>
    <row r="1314">
      <c r="B1314" s="5">
        <f>BDP(A1314&amp;" US Equity","CUR_MKT_CAP")</f>
        <v/>
      </c>
      <c r="C1314">
        <f>BDP(A1314&amp;" US Equity","EXCH_CODE")</f>
        <v/>
      </c>
      <c r="D1314" s="5">
        <f>BDP(A1314&amp;" US Equity","VOLUME_AVG_20D")</f>
        <v/>
      </c>
      <c r="E1314" s="6">
        <f>BDP(A1314&amp;" US Equity","PX_LAST")</f>
        <v/>
      </c>
      <c r="F1314" s="5">
        <f>D1314*E1314</f>
        <v/>
      </c>
      <c r="G1314">
        <f>AND(B1314&gt;=50,B1314&lt;=10000)</f>
        <v/>
      </c>
      <c r="H1314">
        <f>OR(C1314="NAS",C1314="NYS",C1314="ASE")</f>
        <v/>
      </c>
      <c r="I1314">
        <f>F1314&gt;=500000</f>
        <v/>
      </c>
      <c r="J1314">
        <f>E1314&gt;=2</f>
        <v/>
      </c>
      <c r="K1314">
        <f>AND(G1314,H1314,I1314,J1314)</f>
        <v/>
      </c>
    </row>
    <row r="1315">
      <c r="B1315" s="5">
        <f>BDP(A1315&amp;" US Equity","CUR_MKT_CAP")</f>
        <v/>
      </c>
      <c r="C1315">
        <f>BDP(A1315&amp;" US Equity","EXCH_CODE")</f>
        <v/>
      </c>
      <c r="D1315" s="5">
        <f>BDP(A1315&amp;" US Equity","VOLUME_AVG_20D")</f>
        <v/>
      </c>
      <c r="E1315" s="6">
        <f>BDP(A1315&amp;" US Equity","PX_LAST")</f>
        <v/>
      </c>
      <c r="F1315" s="5">
        <f>D1315*E1315</f>
        <v/>
      </c>
      <c r="G1315">
        <f>AND(B1315&gt;=50,B1315&lt;=10000)</f>
        <v/>
      </c>
      <c r="H1315">
        <f>OR(C1315="NAS",C1315="NYS",C1315="ASE")</f>
        <v/>
      </c>
      <c r="I1315">
        <f>F1315&gt;=500000</f>
        <v/>
      </c>
      <c r="J1315">
        <f>E1315&gt;=2</f>
        <v/>
      </c>
      <c r="K1315">
        <f>AND(G1315,H1315,I1315,J1315)</f>
        <v/>
      </c>
    </row>
    <row r="1316">
      <c r="B1316" s="5">
        <f>BDP(A1316&amp;" US Equity","CUR_MKT_CAP")</f>
        <v/>
      </c>
      <c r="C1316">
        <f>BDP(A1316&amp;" US Equity","EXCH_CODE")</f>
        <v/>
      </c>
      <c r="D1316" s="5">
        <f>BDP(A1316&amp;" US Equity","VOLUME_AVG_20D")</f>
        <v/>
      </c>
      <c r="E1316" s="6">
        <f>BDP(A1316&amp;" US Equity","PX_LAST")</f>
        <v/>
      </c>
      <c r="F1316" s="5">
        <f>D1316*E1316</f>
        <v/>
      </c>
      <c r="G1316">
        <f>AND(B1316&gt;=50,B1316&lt;=10000)</f>
        <v/>
      </c>
      <c r="H1316">
        <f>OR(C1316="NAS",C1316="NYS",C1316="ASE")</f>
        <v/>
      </c>
      <c r="I1316">
        <f>F1316&gt;=500000</f>
        <v/>
      </c>
      <c r="J1316">
        <f>E1316&gt;=2</f>
        <v/>
      </c>
      <c r="K1316">
        <f>AND(G1316,H1316,I1316,J1316)</f>
        <v/>
      </c>
    </row>
    <row r="1317">
      <c r="B1317" s="5">
        <f>BDP(A1317&amp;" US Equity","CUR_MKT_CAP")</f>
        <v/>
      </c>
      <c r="C1317">
        <f>BDP(A1317&amp;" US Equity","EXCH_CODE")</f>
        <v/>
      </c>
      <c r="D1317" s="5">
        <f>BDP(A1317&amp;" US Equity","VOLUME_AVG_20D")</f>
        <v/>
      </c>
      <c r="E1317" s="6">
        <f>BDP(A1317&amp;" US Equity","PX_LAST")</f>
        <v/>
      </c>
      <c r="F1317" s="5">
        <f>D1317*E1317</f>
        <v/>
      </c>
      <c r="G1317">
        <f>AND(B1317&gt;=50,B1317&lt;=10000)</f>
        <v/>
      </c>
      <c r="H1317">
        <f>OR(C1317="NAS",C1317="NYS",C1317="ASE")</f>
        <v/>
      </c>
      <c r="I1317">
        <f>F1317&gt;=500000</f>
        <v/>
      </c>
      <c r="J1317">
        <f>E1317&gt;=2</f>
        <v/>
      </c>
      <c r="K1317">
        <f>AND(G1317,H1317,I1317,J1317)</f>
        <v/>
      </c>
    </row>
    <row r="1318">
      <c r="B1318" s="5">
        <f>BDP(A1318&amp;" US Equity","CUR_MKT_CAP")</f>
        <v/>
      </c>
      <c r="C1318">
        <f>BDP(A1318&amp;" US Equity","EXCH_CODE")</f>
        <v/>
      </c>
      <c r="D1318" s="5">
        <f>BDP(A1318&amp;" US Equity","VOLUME_AVG_20D")</f>
        <v/>
      </c>
      <c r="E1318" s="6">
        <f>BDP(A1318&amp;" US Equity","PX_LAST")</f>
        <v/>
      </c>
      <c r="F1318" s="5">
        <f>D1318*E1318</f>
        <v/>
      </c>
      <c r="G1318">
        <f>AND(B1318&gt;=50,B1318&lt;=10000)</f>
        <v/>
      </c>
      <c r="H1318">
        <f>OR(C1318="NAS",C1318="NYS",C1318="ASE")</f>
        <v/>
      </c>
      <c r="I1318">
        <f>F1318&gt;=500000</f>
        <v/>
      </c>
      <c r="J1318">
        <f>E1318&gt;=2</f>
        <v/>
      </c>
      <c r="K1318">
        <f>AND(G1318,H1318,I1318,J1318)</f>
        <v/>
      </c>
    </row>
    <row r="1319">
      <c r="B1319" s="5">
        <f>BDP(A1319&amp;" US Equity","CUR_MKT_CAP")</f>
        <v/>
      </c>
      <c r="C1319">
        <f>BDP(A1319&amp;" US Equity","EXCH_CODE")</f>
        <v/>
      </c>
      <c r="D1319" s="5">
        <f>BDP(A1319&amp;" US Equity","VOLUME_AVG_20D")</f>
        <v/>
      </c>
      <c r="E1319" s="6">
        <f>BDP(A1319&amp;" US Equity","PX_LAST")</f>
        <v/>
      </c>
      <c r="F1319" s="5">
        <f>D1319*E1319</f>
        <v/>
      </c>
      <c r="G1319">
        <f>AND(B1319&gt;=50,B1319&lt;=10000)</f>
        <v/>
      </c>
      <c r="H1319">
        <f>OR(C1319="NAS",C1319="NYS",C1319="ASE")</f>
        <v/>
      </c>
      <c r="I1319">
        <f>F1319&gt;=500000</f>
        <v/>
      </c>
      <c r="J1319">
        <f>E1319&gt;=2</f>
        <v/>
      </c>
      <c r="K1319">
        <f>AND(G1319,H1319,I1319,J1319)</f>
        <v/>
      </c>
    </row>
    <row r="1320">
      <c r="B1320" s="5">
        <f>BDP(A1320&amp;" US Equity","CUR_MKT_CAP")</f>
        <v/>
      </c>
      <c r="C1320">
        <f>BDP(A1320&amp;" US Equity","EXCH_CODE")</f>
        <v/>
      </c>
      <c r="D1320" s="5">
        <f>BDP(A1320&amp;" US Equity","VOLUME_AVG_20D")</f>
        <v/>
      </c>
      <c r="E1320" s="6">
        <f>BDP(A1320&amp;" US Equity","PX_LAST")</f>
        <v/>
      </c>
      <c r="F1320" s="5">
        <f>D1320*E1320</f>
        <v/>
      </c>
      <c r="G1320">
        <f>AND(B1320&gt;=50,B1320&lt;=10000)</f>
        <v/>
      </c>
      <c r="H1320">
        <f>OR(C1320="NAS",C1320="NYS",C1320="ASE")</f>
        <v/>
      </c>
      <c r="I1320">
        <f>F1320&gt;=500000</f>
        <v/>
      </c>
      <c r="J1320">
        <f>E1320&gt;=2</f>
        <v/>
      </c>
      <c r="K1320">
        <f>AND(G1320,H1320,I1320,J1320)</f>
        <v/>
      </c>
    </row>
    <row r="1321">
      <c r="B1321" s="5">
        <f>BDP(A1321&amp;" US Equity","CUR_MKT_CAP")</f>
        <v/>
      </c>
      <c r="C1321">
        <f>BDP(A1321&amp;" US Equity","EXCH_CODE")</f>
        <v/>
      </c>
      <c r="D1321" s="5">
        <f>BDP(A1321&amp;" US Equity","VOLUME_AVG_20D")</f>
        <v/>
      </c>
      <c r="E1321" s="6">
        <f>BDP(A1321&amp;" US Equity","PX_LAST")</f>
        <v/>
      </c>
      <c r="F1321" s="5">
        <f>D1321*E1321</f>
        <v/>
      </c>
      <c r="G1321">
        <f>AND(B1321&gt;=50,B1321&lt;=10000)</f>
        <v/>
      </c>
      <c r="H1321">
        <f>OR(C1321="NAS",C1321="NYS",C1321="ASE")</f>
        <v/>
      </c>
      <c r="I1321">
        <f>F1321&gt;=500000</f>
        <v/>
      </c>
      <c r="J1321">
        <f>E1321&gt;=2</f>
        <v/>
      </c>
      <c r="K1321">
        <f>AND(G1321,H1321,I1321,J1321)</f>
        <v/>
      </c>
    </row>
    <row r="1322">
      <c r="B1322" s="5">
        <f>BDP(A1322&amp;" US Equity","CUR_MKT_CAP")</f>
        <v/>
      </c>
      <c r="C1322">
        <f>BDP(A1322&amp;" US Equity","EXCH_CODE")</f>
        <v/>
      </c>
      <c r="D1322" s="5">
        <f>BDP(A1322&amp;" US Equity","VOLUME_AVG_20D")</f>
        <v/>
      </c>
      <c r="E1322" s="6">
        <f>BDP(A1322&amp;" US Equity","PX_LAST")</f>
        <v/>
      </c>
      <c r="F1322" s="5">
        <f>D1322*E1322</f>
        <v/>
      </c>
      <c r="G1322">
        <f>AND(B1322&gt;=50,B1322&lt;=10000)</f>
        <v/>
      </c>
      <c r="H1322">
        <f>OR(C1322="NAS",C1322="NYS",C1322="ASE")</f>
        <v/>
      </c>
      <c r="I1322">
        <f>F1322&gt;=500000</f>
        <v/>
      </c>
      <c r="J1322">
        <f>E1322&gt;=2</f>
        <v/>
      </c>
      <c r="K1322">
        <f>AND(G1322,H1322,I1322,J1322)</f>
        <v/>
      </c>
    </row>
    <row r="1323">
      <c r="B1323" s="5">
        <f>BDP(A1323&amp;" US Equity","CUR_MKT_CAP")</f>
        <v/>
      </c>
      <c r="C1323">
        <f>BDP(A1323&amp;" US Equity","EXCH_CODE")</f>
        <v/>
      </c>
      <c r="D1323" s="5">
        <f>BDP(A1323&amp;" US Equity","VOLUME_AVG_20D")</f>
        <v/>
      </c>
      <c r="E1323" s="6">
        <f>BDP(A1323&amp;" US Equity","PX_LAST")</f>
        <v/>
      </c>
      <c r="F1323" s="5">
        <f>D1323*E1323</f>
        <v/>
      </c>
      <c r="G1323">
        <f>AND(B1323&gt;=50,B1323&lt;=10000)</f>
        <v/>
      </c>
      <c r="H1323">
        <f>OR(C1323="NAS",C1323="NYS",C1323="ASE")</f>
        <v/>
      </c>
      <c r="I1323">
        <f>F1323&gt;=500000</f>
        <v/>
      </c>
      <c r="J1323">
        <f>E1323&gt;=2</f>
        <v/>
      </c>
      <c r="K1323">
        <f>AND(G1323,H1323,I1323,J1323)</f>
        <v/>
      </c>
    </row>
    <row r="1324">
      <c r="B1324" s="5">
        <f>BDP(A1324&amp;" US Equity","CUR_MKT_CAP")</f>
        <v/>
      </c>
      <c r="C1324">
        <f>BDP(A1324&amp;" US Equity","EXCH_CODE")</f>
        <v/>
      </c>
      <c r="D1324" s="5">
        <f>BDP(A1324&amp;" US Equity","VOLUME_AVG_20D")</f>
        <v/>
      </c>
      <c r="E1324" s="6">
        <f>BDP(A1324&amp;" US Equity","PX_LAST")</f>
        <v/>
      </c>
      <c r="F1324" s="5">
        <f>D1324*E1324</f>
        <v/>
      </c>
      <c r="G1324">
        <f>AND(B1324&gt;=50,B1324&lt;=10000)</f>
        <v/>
      </c>
      <c r="H1324">
        <f>OR(C1324="NAS",C1324="NYS",C1324="ASE")</f>
        <v/>
      </c>
      <c r="I1324">
        <f>F1324&gt;=500000</f>
        <v/>
      </c>
      <c r="J1324">
        <f>E1324&gt;=2</f>
        <v/>
      </c>
      <c r="K1324">
        <f>AND(G1324,H1324,I1324,J1324)</f>
        <v/>
      </c>
    </row>
    <row r="1325">
      <c r="B1325" s="5">
        <f>BDP(A1325&amp;" US Equity","CUR_MKT_CAP")</f>
        <v/>
      </c>
      <c r="C1325">
        <f>BDP(A1325&amp;" US Equity","EXCH_CODE")</f>
        <v/>
      </c>
      <c r="D1325" s="5">
        <f>BDP(A1325&amp;" US Equity","VOLUME_AVG_20D")</f>
        <v/>
      </c>
      <c r="E1325" s="6">
        <f>BDP(A1325&amp;" US Equity","PX_LAST")</f>
        <v/>
      </c>
      <c r="F1325" s="5">
        <f>D1325*E1325</f>
        <v/>
      </c>
      <c r="G1325">
        <f>AND(B1325&gt;=50,B1325&lt;=10000)</f>
        <v/>
      </c>
      <c r="H1325">
        <f>OR(C1325="NAS",C1325="NYS",C1325="ASE")</f>
        <v/>
      </c>
      <c r="I1325">
        <f>F1325&gt;=500000</f>
        <v/>
      </c>
      <c r="J1325">
        <f>E1325&gt;=2</f>
        <v/>
      </c>
      <c r="K1325">
        <f>AND(G1325,H1325,I1325,J1325)</f>
        <v/>
      </c>
    </row>
    <row r="1326">
      <c r="B1326" s="5">
        <f>BDP(A1326&amp;" US Equity","CUR_MKT_CAP")</f>
        <v/>
      </c>
      <c r="C1326">
        <f>BDP(A1326&amp;" US Equity","EXCH_CODE")</f>
        <v/>
      </c>
      <c r="D1326" s="5">
        <f>BDP(A1326&amp;" US Equity","VOLUME_AVG_20D")</f>
        <v/>
      </c>
      <c r="E1326" s="6">
        <f>BDP(A1326&amp;" US Equity","PX_LAST")</f>
        <v/>
      </c>
      <c r="F1326" s="5">
        <f>D1326*E1326</f>
        <v/>
      </c>
      <c r="G1326">
        <f>AND(B1326&gt;=50,B1326&lt;=10000)</f>
        <v/>
      </c>
      <c r="H1326">
        <f>OR(C1326="NAS",C1326="NYS",C1326="ASE")</f>
        <v/>
      </c>
      <c r="I1326">
        <f>F1326&gt;=500000</f>
        <v/>
      </c>
      <c r="J1326">
        <f>E1326&gt;=2</f>
        <v/>
      </c>
      <c r="K1326">
        <f>AND(G1326,H1326,I1326,J1326)</f>
        <v/>
      </c>
    </row>
    <row r="1327">
      <c r="B1327" s="5">
        <f>BDP(A1327&amp;" US Equity","CUR_MKT_CAP")</f>
        <v/>
      </c>
      <c r="C1327">
        <f>BDP(A1327&amp;" US Equity","EXCH_CODE")</f>
        <v/>
      </c>
      <c r="D1327" s="5">
        <f>BDP(A1327&amp;" US Equity","VOLUME_AVG_20D")</f>
        <v/>
      </c>
      <c r="E1327" s="6">
        <f>BDP(A1327&amp;" US Equity","PX_LAST")</f>
        <v/>
      </c>
      <c r="F1327" s="5">
        <f>D1327*E1327</f>
        <v/>
      </c>
      <c r="G1327">
        <f>AND(B1327&gt;=50,B1327&lt;=10000)</f>
        <v/>
      </c>
      <c r="H1327">
        <f>OR(C1327="NAS",C1327="NYS",C1327="ASE")</f>
        <v/>
      </c>
      <c r="I1327">
        <f>F1327&gt;=500000</f>
        <v/>
      </c>
      <c r="J1327">
        <f>E1327&gt;=2</f>
        <v/>
      </c>
      <c r="K1327">
        <f>AND(G1327,H1327,I1327,J1327)</f>
        <v/>
      </c>
    </row>
    <row r="1328">
      <c r="B1328" s="5">
        <f>BDP(A1328&amp;" US Equity","CUR_MKT_CAP")</f>
        <v/>
      </c>
      <c r="C1328">
        <f>BDP(A1328&amp;" US Equity","EXCH_CODE")</f>
        <v/>
      </c>
      <c r="D1328" s="5">
        <f>BDP(A1328&amp;" US Equity","VOLUME_AVG_20D")</f>
        <v/>
      </c>
      <c r="E1328" s="6">
        <f>BDP(A1328&amp;" US Equity","PX_LAST")</f>
        <v/>
      </c>
      <c r="F1328" s="5">
        <f>D1328*E1328</f>
        <v/>
      </c>
      <c r="G1328">
        <f>AND(B1328&gt;=50,B1328&lt;=10000)</f>
        <v/>
      </c>
      <c r="H1328">
        <f>OR(C1328="NAS",C1328="NYS",C1328="ASE")</f>
        <v/>
      </c>
      <c r="I1328">
        <f>F1328&gt;=500000</f>
        <v/>
      </c>
      <c r="J1328">
        <f>E1328&gt;=2</f>
        <v/>
      </c>
      <c r="K1328">
        <f>AND(G1328,H1328,I1328,J1328)</f>
        <v/>
      </c>
    </row>
    <row r="1329">
      <c r="B1329" s="5">
        <f>BDP(A1329&amp;" US Equity","CUR_MKT_CAP")</f>
        <v/>
      </c>
      <c r="C1329">
        <f>BDP(A1329&amp;" US Equity","EXCH_CODE")</f>
        <v/>
      </c>
      <c r="D1329" s="5">
        <f>BDP(A1329&amp;" US Equity","VOLUME_AVG_20D")</f>
        <v/>
      </c>
      <c r="E1329" s="6">
        <f>BDP(A1329&amp;" US Equity","PX_LAST")</f>
        <v/>
      </c>
      <c r="F1329" s="5">
        <f>D1329*E1329</f>
        <v/>
      </c>
      <c r="G1329">
        <f>AND(B1329&gt;=50,B1329&lt;=10000)</f>
        <v/>
      </c>
      <c r="H1329">
        <f>OR(C1329="NAS",C1329="NYS",C1329="ASE")</f>
        <v/>
      </c>
      <c r="I1329">
        <f>F1329&gt;=500000</f>
        <v/>
      </c>
      <c r="J1329">
        <f>E1329&gt;=2</f>
        <v/>
      </c>
      <c r="K1329">
        <f>AND(G1329,H1329,I1329,J1329)</f>
        <v/>
      </c>
    </row>
    <row r="1330">
      <c r="B1330" s="5">
        <f>BDP(A1330&amp;" US Equity","CUR_MKT_CAP")</f>
        <v/>
      </c>
      <c r="C1330">
        <f>BDP(A1330&amp;" US Equity","EXCH_CODE")</f>
        <v/>
      </c>
      <c r="D1330" s="5">
        <f>BDP(A1330&amp;" US Equity","VOLUME_AVG_20D")</f>
        <v/>
      </c>
      <c r="E1330" s="6">
        <f>BDP(A1330&amp;" US Equity","PX_LAST")</f>
        <v/>
      </c>
      <c r="F1330" s="5">
        <f>D1330*E1330</f>
        <v/>
      </c>
      <c r="G1330">
        <f>AND(B1330&gt;=50,B1330&lt;=10000)</f>
        <v/>
      </c>
      <c r="H1330">
        <f>OR(C1330="NAS",C1330="NYS",C1330="ASE")</f>
        <v/>
      </c>
      <c r="I1330">
        <f>F1330&gt;=500000</f>
        <v/>
      </c>
      <c r="J1330">
        <f>E1330&gt;=2</f>
        <v/>
      </c>
      <c r="K1330">
        <f>AND(G1330,H1330,I1330,J1330)</f>
        <v/>
      </c>
    </row>
    <row r="1331">
      <c r="B1331" s="5">
        <f>BDP(A1331&amp;" US Equity","CUR_MKT_CAP")</f>
        <v/>
      </c>
      <c r="C1331">
        <f>BDP(A1331&amp;" US Equity","EXCH_CODE")</f>
        <v/>
      </c>
      <c r="D1331" s="5">
        <f>BDP(A1331&amp;" US Equity","VOLUME_AVG_20D")</f>
        <v/>
      </c>
      <c r="E1331" s="6">
        <f>BDP(A1331&amp;" US Equity","PX_LAST")</f>
        <v/>
      </c>
      <c r="F1331" s="5">
        <f>D1331*E1331</f>
        <v/>
      </c>
      <c r="G1331">
        <f>AND(B1331&gt;=50,B1331&lt;=10000)</f>
        <v/>
      </c>
      <c r="H1331">
        <f>OR(C1331="NAS",C1331="NYS",C1331="ASE")</f>
        <v/>
      </c>
      <c r="I1331">
        <f>F1331&gt;=500000</f>
        <v/>
      </c>
      <c r="J1331">
        <f>E1331&gt;=2</f>
        <v/>
      </c>
      <c r="K1331">
        <f>AND(G1331,H1331,I1331,J1331)</f>
        <v/>
      </c>
    </row>
    <row r="1332">
      <c r="B1332" s="5">
        <f>BDP(A1332&amp;" US Equity","CUR_MKT_CAP")</f>
        <v/>
      </c>
      <c r="C1332">
        <f>BDP(A1332&amp;" US Equity","EXCH_CODE")</f>
        <v/>
      </c>
      <c r="D1332" s="5">
        <f>BDP(A1332&amp;" US Equity","VOLUME_AVG_20D")</f>
        <v/>
      </c>
      <c r="E1332" s="6">
        <f>BDP(A1332&amp;" US Equity","PX_LAST")</f>
        <v/>
      </c>
      <c r="F1332" s="5">
        <f>D1332*E1332</f>
        <v/>
      </c>
      <c r="G1332">
        <f>AND(B1332&gt;=50,B1332&lt;=10000)</f>
        <v/>
      </c>
      <c r="H1332">
        <f>OR(C1332="NAS",C1332="NYS",C1332="ASE")</f>
        <v/>
      </c>
      <c r="I1332">
        <f>F1332&gt;=500000</f>
        <v/>
      </c>
      <c r="J1332">
        <f>E1332&gt;=2</f>
        <v/>
      </c>
      <c r="K1332">
        <f>AND(G1332,H1332,I1332,J1332)</f>
        <v/>
      </c>
    </row>
    <row r="1333">
      <c r="B1333" s="5">
        <f>BDP(A1333&amp;" US Equity","CUR_MKT_CAP")</f>
        <v/>
      </c>
      <c r="C1333">
        <f>BDP(A1333&amp;" US Equity","EXCH_CODE")</f>
        <v/>
      </c>
      <c r="D1333" s="5">
        <f>BDP(A1333&amp;" US Equity","VOLUME_AVG_20D")</f>
        <v/>
      </c>
      <c r="E1333" s="6">
        <f>BDP(A1333&amp;" US Equity","PX_LAST")</f>
        <v/>
      </c>
      <c r="F1333" s="5">
        <f>D1333*E1333</f>
        <v/>
      </c>
      <c r="G1333">
        <f>AND(B1333&gt;=50,B1333&lt;=10000)</f>
        <v/>
      </c>
      <c r="H1333">
        <f>OR(C1333="NAS",C1333="NYS",C1333="ASE")</f>
        <v/>
      </c>
      <c r="I1333">
        <f>F1333&gt;=500000</f>
        <v/>
      </c>
      <c r="J1333">
        <f>E1333&gt;=2</f>
        <v/>
      </c>
      <c r="K1333">
        <f>AND(G1333,H1333,I1333,J1333)</f>
        <v/>
      </c>
    </row>
    <row r="1334">
      <c r="B1334" s="5">
        <f>BDP(A1334&amp;" US Equity","CUR_MKT_CAP")</f>
        <v/>
      </c>
      <c r="C1334">
        <f>BDP(A1334&amp;" US Equity","EXCH_CODE")</f>
        <v/>
      </c>
      <c r="D1334" s="5">
        <f>BDP(A1334&amp;" US Equity","VOLUME_AVG_20D")</f>
        <v/>
      </c>
      <c r="E1334" s="6">
        <f>BDP(A1334&amp;" US Equity","PX_LAST")</f>
        <v/>
      </c>
      <c r="F1334" s="5">
        <f>D1334*E1334</f>
        <v/>
      </c>
      <c r="G1334">
        <f>AND(B1334&gt;=50,B1334&lt;=10000)</f>
        <v/>
      </c>
      <c r="H1334">
        <f>OR(C1334="NAS",C1334="NYS",C1334="ASE")</f>
        <v/>
      </c>
      <c r="I1334">
        <f>F1334&gt;=500000</f>
        <v/>
      </c>
      <c r="J1334">
        <f>E1334&gt;=2</f>
        <v/>
      </c>
      <c r="K1334">
        <f>AND(G1334,H1334,I1334,J1334)</f>
        <v/>
      </c>
    </row>
    <row r="1335">
      <c r="B1335" s="5">
        <f>BDP(A1335&amp;" US Equity","CUR_MKT_CAP")</f>
        <v/>
      </c>
      <c r="C1335">
        <f>BDP(A1335&amp;" US Equity","EXCH_CODE")</f>
        <v/>
      </c>
      <c r="D1335" s="5">
        <f>BDP(A1335&amp;" US Equity","VOLUME_AVG_20D")</f>
        <v/>
      </c>
      <c r="E1335" s="6">
        <f>BDP(A1335&amp;" US Equity","PX_LAST")</f>
        <v/>
      </c>
      <c r="F1335" s="5">
        <f>D1335*E1335</f>
        <v/>
      </c>
      <c r="G1335">
        <f>AND(B1335&gt;=50,B1335&lt;=10000)</f>
        <v/>
      </c>
      <c r="H1335">
        <f>OR(C1335="NAS",C1335="NYS",C1335="ASE")</f>
        <v/>
      </c>
      <c r="I1335">
        <f>F1335&gt;=500000</f>
        <v/>
      </c>
      <c r="J1335">
        <f>E1335&gt;=2</f>
        <v/>
      </c>
      <c r="K1335">
        <f>AND(G1335,H1335,I1335,J1335)</f>
        <v/>
      </c>
    </row>
    <row r="1336">
      <c r="B1336" s="5">
        <f>BDP(A1336&amp;" US Equity","CUR_MKT_CAP")</f>
        <v/>
      </c>
      <c r="C1336">
        <f>BDP(A1336&amp;" US Equity","EXCH_CODE")</f>
        <v/>
      </c>
      <c r="D1336" s="5">
        <f>BDP(A1336&amp;" US Equity","VOLUME_AVG_20D")</f>
        <v/>
      </c>
      <c r="E1336" s="6">
        <f>BDP(A1336&amp;" US Equity","PX_LAST")</f>
        <v/>
      </c>
      <c r="F1336" s="5">
        <f>D1336*E1336</f>
        <v/>
      </c>
      <c r="G1336">
        <f>AND(B1336&gt;=50,B1336&lt;=10000)</f>
        <v/>
      </c>
      <c r="H1336">
        <f>OR(C1336="NAS",C1336="NYS",C1336="ASE")</f>
        <v/>
      </c>
      <c r="I1336">
        <f>F1336&gt;=500000</f>
        <v/>
      </c>
      <c r="J1336">
        <f>E1336&gt;=2</f>
        <v/>
      </c>
      <c r="K1336">
        <f>AND(G1336,H1336,I1336,J1336)</f>
        <v/>
      </c>
    </row>
    <row r="1337">
      <c r="B1337" s="5">
        <f>BDP(A1337&amp;" US Equity","CUR_MKT_CAP")</f>
        <v/>
      </c>
      <c r="C1337">
        <f>BDP(A1337&amp;" US Equity","EXCH_CODE")</f>
        <v/>
      </c>
      <c r="D1337" s="5">
        <f>BDP(A1337&amp;" US Equity","VOLUME_AVG_20D")</f>
        <v/>
      </c>
      <c r="E1337" s="6">
        <f>BDP(A1337&amp;" US Equity","PX_LAST")</f>
        <v/>
      </c>
      <c r="F1337" s="5">
        <f>D1337*E1337</f>
        <v/>
      </c>
      <c r="G1337">
        <f>AND(B1337&gt;=50,B1337&lt;=10000)</f>
        <v/>
      </c>
      <c r="H1337">
        <f>OR(C1337="NAS",C1337="NYS",C1337="ASE")</f>
        <v/>
      </c>
      <c r="I1337">
        <f>F1337&gt;=500000</f>
        <v/>
      </c>
      <c r="J1337">
        <f>E1337&gt;=2</f>
        <v/>
      </c>
      <c r="K1337">
        <f>AND(G1337,H1337,I1337,J1337)</f>
        <v/>
      </c>
    </row>
    <row r="1338">
      <c r="B1338" s="5">
        <f>BDP(A1338&amp;" US Equity","CUR_MKT_CAP")</f>
        <v/>
      </c>
      <c r="C1338">
        <f>BDP(A1338&amp;" US Equity","EXCH_CODE")</f>
        <v/>
      </c>
      <c r="D1338" s="5">
        <f>BDP(A1338&amp;" US Equity","VOLUME_AVG_20D")</f>
        <v/>
      </c>
      <c r="E1338" s="6">
        <f>BDP(A1338&amp;" US Equity","PX_LAST")</f>
        <v/>
      </c>
      <c r="F1338" s="5">
        <f>D1338*E1338</f>
        <v/>
      </c>
      <c r="G1338">
        <f>AND(B1338&gt;=50,B1338&lt;=10000)</f>
        <v/>
      </c>
      <c r="H1338">
        <f>OR(C1338="NAS",C1338="NYS",C1338="ASE")</f>
        <v/>
      </c>
      <c r="I1338">
        <f>F1338&gt;=500000</f>
        <v/>
      </c>
      <c r="J1338">
        <f>E1338&gt;=2</f>
        <v/>
      </c>
      <c r="K1338">
        <f>AND(G1338,H1338,I1338,J1338)</f>
        <v/>
      </c>
    </row>
    <row r="1339">
      <c r="B1339" s="5">
        <f>BDP(A1339&amp;" US Equity","CUR_MKT_CAP")</f>
        <v/>
      </c>
      <c r="C1339">
        <f>BDP(A1339&amp;" US Equity","EXCH_CODE")</f>
        <v/>
      </c>
      <c r="D1339" s="5">
        <f>BDP(A1339&amp;" US Equity","VOLUME_AVG_20D")</f>
        <v/>
      </c>
      <c r="E1339" s="6">
        <f>BDP(A1339&amp;" US Equity","PX_LAST")</f>
        <v/>
      </c>
      <c r="F1339" s="5">
        <f>D1339*E1339</f>
        <v/>
      </c>
      <c r="G1339">
        <f>AND(B1339&gt;=50,B1339&lt;=10000)</f>
        <v/>
      </c>
      <c r="H1339">
        <f>OR(C1339="NAS",C1339="NYS",C1339="ASE")</f>
        <v/>
      </c>
      <c r="I1339">
        <f>F1339&gt;=500000</f>
        <v/>
      </c>
      <c r="J1339">
        <f>E1339&gt;=2</f>
        <v/>
      </c>
      <c r="K1339">
        <f>AND(G1339,H1339,I1339,J1339)</f>
        <v/>
      </c>
    </row>
    <row r="1340">
      <c r="B1340" s="5">
        <f>BDP(A1340&amp;" US Equity","CUR_MKT_CAP")</f>
        <v/>
      </c>
      <c r="C1340">
        <f>BDP(A1340&amp;" US Equity","EXCH_CODE")</f>
        <v/>
      </c>
      <c r="D1340" s="5">
        <f>BDP(A1340&amp;" US Equity","VOLUME_AVG_20D")</f>
        <v/>
      </c>
      <c r="E1340" s="6">
        <f>BDP(A1340&amp;" US Equity","PX_LAST")</f>
        <v/>
      </c>
      <c r="F1340" s="5">
        <f>D1340*E1340</f>
        <v/>
      </c>
      <c r="G1340">
        <f>AND(B1340&gt;=50,B1340&lt;=10000)</f>
        <v/>
      </c>
      <c r="H1340">
        <f>OR(C1340="NAS",C1340="NYS",C1340="ASE")</f>
        <v/>
      </c>
      <c r="I1340">
        <f>F1340&gt;=500000</f>
        <v/>
      </c>
      <c r="J1340">
        <f>E1340&gt;=2</f>
        <v/>
      </c>
      <c r="K1340">
        <f>AND(G1340,H1340,I1340,J1340)</f>
        <v/>
      </c>
    </row>
    <row r="1341">
      <c r="B1341" s="5">
        <f>BDP(A1341&amp;" US Equity","CUR_MKT_CAP")</f>
        <v/>
      </c>
      <c r="C1341">
        <f>BDP(A1341&amp;" US Equity","EXCH_CODE")</f>
        <v/>
      </c>
      <c r="D1341" s="5">
        <f>BDP(A1341&amp;" US Equity","VOLUME_AVG_20D")</f>
        <v/>
      </c>
      <c r="E1341" s="6">
        <f>BDP(A1341&amp;" US Equity","PX_LAST")</f>
        <v/>
      </c>
      <c r="F1341" s="5">
        <f>D1341*E1341</f>
        <v/>
      </c>
      <c r="G1341">
        <f>AND(B1341&gt;=50,B1341&lt;=10000)</f>
        <v/>
      </c>
      <c r="H1341">
        <f>OR(C1341="NAS",C1341="NYS",C1341="ASE")</f>
        <v/>
      </c>
      <c r="I1341">
        <f>F1341&gt;=500000</f>
        <v/>
      </c>
      <c r="J1341">
        <f>E1341&gt;=2</f>
        <v/>
      </c>
      <c r="K1341">
        <f>AND(G1341,H1341,I1341,J1341)</f>
        <v/>
      </c>
    </row>
    <row r="1342">
      <c r="B1342" s="5">
        <f>BDP(A1342&amp;" US Equity","CUR_MKT_CAP")</f>
        <v/>
      </c>
      <c r="C1342">
        <f>BDP(A1342&amp;" US Equity","EXCH_CODE")</f>
        <v/>
      </c>
      <c r="D1342" s="5">
        <f>BDP(A1342&amp;" US Equity","VOLUME_AVG_20D")</f>
        <v/>
      </c>
      <c r="E1342" s="6">
        <f>BDP(A1342&amp;" US Equity","PX_LAST")</f>
        <v/>
      </c>
      <c r="F1342" s="5">
        <f>D1342*E1342</f>
        <v/>
      </c>
      <c r="G1342">
        <f>AND(B1342&gt;=50,B1342&lt;=10000)</f>
        <v/>
      </c>
      <c r="H1342">
        <f>OR(C1342="NAS",C1342="NYS",C1342="ASE")</f>
        <v/>
      </c>
      <c r="I1342">
        <f>F1342&gt;=500000</f>
        <v/>
      </c>
      <c r="J1342">
        <f>E1342&gt;=2</f>
        <v/>
      </c>
      <c r="K1342">
        <f>AND(G1342,H1342,I1342,J1342)</f>
        <v/>
      </c>
    </row>
    <row r="1343">
      <c r="B1343" s="5">
        <f>BDP(A1343&amp;" US Equity","CUR_MKT_CAP")</f>
        <v/>
      </c>
      <c r="C1343">
        <f>BDP(A1343&amp;" US Equity","EXCH_CODE")</f>
        <v/>
      </c>
      <c r="D1343" s="5">
        <f>BDP(A1343&amp;" US Equity","VOLUME_AVG_20D")</f>
        <v/>
      </c>
      <c r="E1343" s="6">
        <f>BDP(A1343&amp;" US Equity","PX_LAST")</f>
        <v/>
      </c>
      <c r="F1343" s="5">
        <f>D1343*E1343</f>
        <v/>
      </c>
      <c r="G1343">
        <f>AND(B1343&gt;=50,B1343&lt;=10000)</f>
        <v/>
      </c>
      <c r="H1343">
        <f>OR(C1343="NAS",C1343="NYS",C1343="ASE")</f>
        <v/>
      </c>
      <c r="I1343">
        <f>F1343&gt;=500000</f>
        <v/>
      </c>
      <c r="J1343">
        <f>E1343&gt;=2</f>
        <v/>
      </c>
      <c r="K1343">
        <f>AND(G1343,H1343,I1343,J1343)</f>
        <v/>
      </c>
    </row>
    <row r="1344">
      <c r="B1344" s="5">
        <f>BDP(A1344&amp;" US Equity","CUR_MKT_CAP")</f>
        <v/>
      </c>
      <c r="C1344">
        <f>BDP(A1344&amp;" US Equity","EXCH_CODE")</f>
        <v/>
      </c>
      <c r="D1344" s="5">
        <f>BDP(A1344&amp;" US Equity","VOLUME_AVG_20D")</f>
        <v/>
      </c>
      <c r="E1344" s="6">
        <f>BDP(A1344&amp;" US Equity","PX_LAST")</f>
        <v/>
      </c>
      <c r="F1344" s="5">
        <f>D1344*E1344</f>
        <v/>
      </c>
      <c r="G1344">
        <f>AND(B1344&gt;=50,B1344&lt;=10000)</f>
        <v/>
      </c>
      <c r="H1344">
        <f>OR(C1344="NAS",C1344="NYS",C1344="ASE")</f>
        <v/>
      </c>
      <c r="I1344">
        <f>F1344&gt;=500000</f>
        <v/>
      </c>
      <c r="J1344">
        <f>E1344&gt;=2</f>
        <v/>
      </c>
      <c r="K1344">
        <f>AND(G1344,H1344,I1344,J1344)</f>
        <v/>
      </c>
    </row>
    <row r="1345">
      <c r="B1345" s="5">
        <f>BDP(A1345&amp;" US Equity","CUR_MKT_CAP")</f>
        <v/>
      </c>
      <c r="C1345">
        <f>BDP(A1345&amp;" US Equity","EXCH_CODE")</f>
        <v/>
      </c>
      <c r="D1345" s="5">
        <f>BDP(A1345&amp;" US Equity","VOLUME_AVG_20D")</f>
        <v/>
      </c>
      <c r="E1345" s="6">
        <f>BDP(A1345&amp;" US Equity","PX_LAST")</f>
        <v/>
      </c>
      <c r="F1345" s="5">
        <f>D1345*E1345</f>
        <v/>
      </c>
      <c r="G1345">
        <f>AND(B1345&gt;=50,B1345&lt;=10000)</f>
        <v/>
      </c>
      <c r="H1345">
        <f>OR(C1345="NAS",C1345="NYS",C1345="ASE")</f>
        <v/>
      </c>
      <c r="I1345">
        <f>F1345&gt;=500000</f>
        <v/>
      </c>
      <c r="J1345">
        <f>E1345&gt;=2</f>
        <v/>
      </c>
      <c r="K1345">
        <f>AND(G1345,H1345,I1345,J1345)</f>
        <v/>
      </c>
    </row>
    <row r="1346">
      <c r="B1346" s="5">
        <f>BDP(A1346&amp;" US Equity","CUR_MKT_CAP")</f>
        <v/>
      </c>
      <c r="C1346">
        <f>BDP(A1346&amp;" US Equity","EXCH_CODE")</f>
        <v/>
      </c>
      <c r="D1346" s="5">
        <f>BDP(A1346&amp;" US Equity","VOLUME_AVG_20D")</f>
        <v/>
      </c>
      <c r="E1346" s="6">
        <f>BDP(A1346&amp;" US Equity","PX_LAST")</f>
        <v/>
      </c>
      <c r="F1346" s="5">
        <f>D1346*E1346</f>
        <v/>
      </c>
      <c r="G1346">
        <f>AND(B1346&gt;=50,B1346&lt;=10000)</f>
        <v/>
      </c>
      <c r="H1346">
        <f>OR(C1346="NAS",C1346="NYS",C1346="ASE")</f>
        <v/>
      </c>
      <c r="I1346">
        <f>F1346&gt;=500000</f>
        <v/>
      </c>
      <c r="J1346">
        <f>E1346&gt;=2</f>
        <v/>
      </c>
      <c r="K1346">
        <f>AND(G1346,H1346,I1346,J1346)</f>
        <v/>
      </c>
    </row>
    <row r="1347">
      <c r="B1347" s="5">
        <f>BDP(A1347&amp;" US Equity","CUR_MKT_CAP")</f>
        <v/>
      </c>
      <c r="C1347">
        <f>BDP(A1347&amp;" US Equity","EXCH_CODE")</f>
        <v/>
      </c>
      <c r="D1347" s="5">
        <f>BDP(A1347&amp;" US Equity","VOLUME_AVG_20D")</f>
        <v/>
      </c>
      <c r="E1347" s="6">
        <f>BDP(A1347&amp;" US Equity","PX_LAST")</f>
        <v/>
      </c>
      <c r="F1347" s="5">
        <f>D1347*E1347</f>
        <v/>
      </c>
      <c r="G1347">
        <f>AND(B1347&gt;=50,B1347&lt;=10000)</f>
        <v/>
      </c>
      <c r="H1347">
        <f>OR(C1347="NAS",C1347="NYS",C1347="ASE")</f>
        <v/>
      </c>
      <c r="I1347">
        <f>F1347&gt;=500000</f>
        <v/>
      </c>
      <c r="J1347">
        <f>E1347&gt;=2</f>
        <v/>
      </c>
      <c r="K1347">
        <f>AND(G1347,H1347,I1347,J1347)</f>
        <v/>
      </c>
    </row>
    <row r="1348">
      <c r="B1348" s="5">
        <f>BDP(A1348&amp;" US Equity","CUR_MKT_CAP")</f>
        <v/>
      </c>
      <c r="C1348">
        <f>BDP(A1348&amp;" US Equity","EXCH_CODE")</f>
        <v/>
      </c>
      <c r="D1348" s="5">
        <f>BDP(A1348&amp;" US Equity","VOLUME_AVG_20D")</f>
        <v/>
      </c>
      <c r="E1348" s="6">
        <f>BDP(A1348&amp;" US Equity","PX_LAST")</f>
        <v/>
      </c>
      <c r="F1348" s="5">
        <f>D1348*E1348</f>
        <v/>
      </c>
      <c r="G1348">
        <f>AND(B1348&gt;=50,B1348&lt;=10000)</f>
        <v/>
      </c>
      <c r="H1348">
        <f>OR(C1348="NAS",C1348="NYS",C1348="ASE")</f>
        <v/>
      </c>
      <c r="I1348">
        <f>F1348&gt;=500000</f>
        <v/>
      </c>
      <c r="J1348">
        <f>E1348&gt;=2</f>
        <v/>
      </c>
      <c r="K1348">
        <f>AND(G1348,H1348,I1348,J1348)</f>
        <v/>
      </c>
    </row>
    <row r="1349">
      <c r="B1349" s="5">
        <f>BDP(A1349&amp;" US Equity","CUR_MKT_CAP")</f>
        <v/>
      </c>
      <c r="C1349">
        <f>BDP(A1349&amp;" US Equity","EXCH_CODE")</f>
        <v/>
      </c>
      <c r="D1349" s="5">
        <f>BDP(A1349&amp;" US Equity","VOLUME_AVG_20D")</f>
        <v/>
      </c>
      <c r="E1349" s="6">
        <f>BDP(A1349&amp;" US Equity","PX_LAST")</f>
        <v/>
      </c>
      <c r="F1349" s="5">
        <f>D1349*E1349</f>
        <v/>
      </c>
      <c r="G1349">
        <f>AND(B1349&gt;=50,B1349&lt;=10000)</f>
        <v/>
      </c>
      <c r="H1349">
        <f>OR(C1349="NAS",C1349="NYS",C1349="ASE")</f>
        <v/>
      </c>
      <c r="I1349">
        <f>F1349&gt;=500000</f>
        <v/>
      </c>
      <c r="J1349">
        <f>E1349&gt;=2</f>
        <v/>
      </c>
      <c r="K1349">
        <f>AND(G1349,H1349,I1349,J1349)</f>
        <v/>
      </c>
    </row>
    <row r="1350">
      <c r="B1350" s="5">
        <f>BDP(A1350&amp;" US Equity","CUR_MKT_CAP")</f>
        <v/>
      </c>
      <c r="C1350">
        <f>BDP(A1350&amp;" US Equity","EXCH_CODE")</f>
        <v/>
      </c>
      <c r="D1350" s="5">
        <f>BDP(A1350&amp;" US Equity","VOLUME_AVG_20D")</f>
        <v/>
      </c>
      <c r="E1350" s="6">
        <f>BDP(A1350&amp;" US Equity","PX_LAST")</f>
        <v/>
      </c>
      <c r="F1350" s="5">
        <f>D1350*E1350</f>
        <v/>
      </c>
      <c r="G1350">
        <f>AND(B1350&gt;=50,B1350&lt;=10000)</f>
        <v/>
      </c>
      <c r="H1350">
        <f>OR(C1350="NAS",C1350="NYS",C1350="ASE")</f>
        <v/>
      </c>
      <c r="I1350">
        <f>F1350&gt;=500000</f>
        <v/>
      </c>
      <c r="J1350">
        <f>E1350&gt;=2</f>
        <v/>
      </c>
      <c r="K1350">
        <f>AND(G1350,H1350,I1350,J1350)</f>
        <v/>
      </c>
    </row>
    <row r="1351">
      <c r="B1351" s="5">
        <f>BDP(A1351&amp;" US Equity","CUR_MKT_CAP")</f>
        <v/>
      </c>
      <c r="C1351">
        <f>BDP(A1351&amp;" US Equity","EXCH_CODE")</f>
        <v/>
      </c>
      <c r="D1351" s="5">
        <f>BDP(A1351&amp;" US Equity","VOLUME_AVG_20D")</f>
        <v/>
      </c>
      <c r="E1351" s="6">
        <f>BDP(A1351&amp;" US Equity","PX_LAST")</f>
        <v/>
      </c>
      <c r="F1351" s="5">
        <f>D1351*E1351</f>
        <v/>
      </c>
      <c r="G1351">
        <f>AND(B1351&gt;=50,B1351&lt;=10000)</f>
        <v/>
      </c>
      <c r="H1351">
        <f>OR(C1351="NAS",C1351="NYS",C1351="ASE")</f>
        <v/>
      </c>
      <c r="I1351">
        <f>F1351&gt;=500000</f>
        <v/>
      </c>
      <c r="J1351">
        <f>E1351&gt;=2</f>
        <v/>
      </c>
      <c r="K1351">
        <f>AND(G1351,H1351,I1351,J1351)</f>
        <v/>
      </c>
    </row>
    <row r="1352">
      <c r="B1352" s="5">
        <f>BDP(A1352&amp;" US Equity","CUR_MKT_CAP")</f>
        <v/>
      </c>
      <c r="C1352">
        <f>BDP(A1352&amp;" US Equity","EXCH_CODE")</f>
        <v/>
      </c>
      <c r="D1352" s="5">
        <f>BDP(A1352&amp;" US Equity","VOLUME_AVG_20D")</f>
        <v/>
      </c>
      <c r="E1352" s="6">
        <f>BDP(A1352&amp;" US Equity","PX_LAST")</f>
        <v/>
      </c>
      <c r="F1352" s="5">
        <f>D1352*E1352</f>
        <v/>
      </c>
      <c r="G1352">
        <f>AND(B1352&gt;=50,B1352&lt;=10000)</f>
        <v/>
      </c>
      <c r="H1352">
        <f>OR(C1352="NAS",C1352="NYS",C1352="ASE")</f>
        <v/>
      </c>
      <c r="I1352">
        <f>F1352&gt;=500000</f>
        <v/>
      </c>
      <c r="J1352">
        <f>E1352&gt;=2</f>
        <v/>
      </c>
      <c r="K1352">
        <f>AND(G1352,H1352,I1352,J1352)</f>
        <v/>
      </c>
    </row>
    <row r="1353">
      <c r="B1353" s="5">
        <f>BDP(A1353&amp;" US Equity","CUR_MKT_CAP")</f>
        <v/>
      </c>
      <c r="C1353">
        <f>BDP(A1353&amp;" US Equity","EXCH_CODE")</f>
        <v/>
      </c>
      <c r="D1353" s="5">
        <f>BDP(A1353&amp;" US Equity","VOLUME_AVG_20D")</f>
        <v/>
      </c>
      <c r="E1353" s="6">
        <f>BDP(A1353&amp;" US Equity","PX_LAST")</f>
        <v/>
      </c>
      <c r="F1353" s="5">
        <f>D1353*E1353</f>
        <v/>
      </c>
      <c r="G1353">
        <f>AND(B1353&gt;=50,B1353&lt;=10000)</f>
        <v/>
      </c>
      <c r="H1353">
        <f>OR(C1353="NAS",C1353="NYS",C1353="ASE")</f>
        <v/>
      </c>
      <c r="I1353">
        <f>F1353&gt;=500000</f>
        <v/>
      </c>
      <c r="J1353">
        <f>E1353&gt;=2</f>
        <v/>
      </c>
      <c r="K1353">
        <f>AND(G1353,H1353,I1353,J1353)</f>
        <v/>
      </c>
    </row>
    <row r="1354">
      <c r="B1354" s="5">
        <f>BDP(A1354&amp;" US Equity","CUR_MKT_CAP")</f>
        <v/>
      </c>
      <c r="C1354">
        <f>BDP(A1354&amp;" US Equity","EXCH_CODE")</f>
        <v/>
      </c>
      <c r="D1354" s="5">
        <f>BDP(A1354&amp;" US Equity","VOLUME_AVG_20D")</f>
        <v/>
      </c>
      <c r="E1354" s="6">
        <f>BDP(A1354&amp;" US Equity","PX_LAST")</f>
        <v/>
      </c>
      <c r="F1354" s="5">
        <f>D1354*E1354</f>
        <v/>
      </c>
      <c r="G1354">
        <f>AND(B1354&gt;=50,B1354&lt;=10000)</f>
        <v/>
      </c>
      <c r="H1354">
        <f>OR(C1354="NAS",C1354="NYS",C1354="ASE")</f>
        <v/>
      </c>
      <c r="I1354">
        <f>F1354&gt;=500000</f>
        <v/>
      </c>
      <c r="J1354">
        <f>E1354&gt;=2</f>
        <v/>
      </c>
      <c r="K1354">
        <f>AND(G1354,H1354,I1354,J1354)</f>
        <v/>
      </c>
    </row>
    <row r="1355">
      <c r="B1355" s="5">
        <f>BDP(A1355&amp;" US Equity","CUR_MKT_CAP")</f>
        <v/>
      </c>
      <c r="C1355">
        <f>BDP(A1355&amp;" US Equity","EXCH_CODE")</f>
        <v/>
      </c>
      <c r="D1355" s="5">
        <f>BDP(A1355&amp;" US Equity","VOLUME_AVG_20D")</f>
        <v/>
      </c>
      <c r="E1355" s="6">
        <f>BDP(A1355&amp;" US Equity","PX_LAST")</f>
        <v/>
      </c>
      <c r="F1355" s="5">
        <f>D1355*E1355</f>
        <v/>
      </c>
      <c r="G1355">
        <f>AND(B1355&gt;=50,B1355&lt;=10000)</f>
        <v/>
      </c>
      <c r="H1355">
        <f>OR(C1355="NAS",C1355="NYS",C1355="ASE")</f>
        <v/>
      </c>
      <c r="I1355">
        <f>F1355&gt;=500000</f>
        <v/>
      </c>
      <c r="J1355">
        <f>E1355&gt;=2</f>
        <v/>
      </c>
      <c r="K1355">
        <f>AND(G1355,H1355,I1355,J1355)</f>
        <v/>
      </c>
    </row>
    <row r="1356">
      <c r="B1356" s="5">
        <f>BDP(A1356&amp;" US Equity","CUR_MKT_CAP")</f>
        <v/>
      </c>
      <c r="C1356">
        <f>BDP(A1356&amp;" US Equity","EXCH_CODE")</f>
        <v/>
      </c>
      <c r="D1356" s="5">
        <f>BDP(A1356&amp;" US Equity","VOLUME_AVG_20D")</f>
        <v/>
      </c>
      <c r="E1356" s="6">
        <f>BDP(A1356&amp;" US Equity","PX_LAST")</f>
        <v/>
      </c>
      <c r="F1356" s="5">
        <f>D1356*E1356</f>
        <v/>
      </c>
      <c r="G1356">
        <f>AND(B1356&gt;=50,B1356&lt;=10000)</f>
        <v/>
      </c>
      <c r="H1356">
        <f>OR(C1356="NAS",C1356="NYS",C1356="ASE")</f>
        <v/>
      </c>
      <c r="I1356">
        <f>F1356&gt;=500000</f>
        <v/>
      </c>
      <c r="J1356">
        <f>E1356&gt;=2</f>
        <v/>
      </c>
      <c r="K1356">
        <f>AND(G1356,H1356,I1356,J1356)</f>
        <v/>
      </c>
    </row>
    <row r="1357">
      <c r="B1357" s="5">
        <f>BDP(A1357&amp;" US Equity","CUR_MKT_CAP")</f>
        <v/>
      </c>
      <c r="C1357">
        <f>BDP(A1357&amp;" US Equity","EXCH_CODE")</f>
        <v/>
      </c>
      <c r="D1357" s="5">
        <f>BDP(A1357&amp;" US Equity","VOLUME_AVG_20D")</f>
        <v/>
      </c>
      <c r="E1357" s="6">
        <f>BDP(A1357&amp;" US Equity","PX_LAST")</f>
        <v/>
      </c>
      <c r="F1357" s="5">
        <f>D1357*E1357</f>
        <v/>
      </c>
      <c r="G1357">
        <f>AND(B1357&gt;=50,B1357&lt;=10000)</f>
        <v/>
      </c>
      <c r="H1357">
        <f>OR(C1357="NAS",C1357="NYS",C1357="ASE")</f>
        <v/>
      </c>
      <c r="I1357">
        <f>F1357&gt;=500000</f>
        <v/>
      </c>
      <c r="J1357">
        <f>E1357&gt;=2</f>
        <v/>
      </c>
      <c r="K1357">
        <f>AND(G1357,H1357,I1357,J1357)</f>
        <v/>
      </c>
    </row>
    <row r="1358">
      <c r="B1358" s="5">
        <f>BDP(A1358&amp;" US Equity","CUR_MKT_CAP")</f>
        <v/>
      </c>
      <c r="C1358">
        <f>BDP(A1358&amp;" US Equity","EXCH_CODE")</f>
        <v/>
      </c>
      <c r="D1358" s="5">
        <f>BDP(A1358&amp;" US Equity","VOLUME_AVG_20D")</f>
        <v/>
      </c>
      <c r="E1358" s="6">
        <f>BDP(A1358&amp;" US Equity","PX_LAST")</f>
        <v/>
      </c>
      <c r="F1358" s="5">
        <f>D1358*E1358</f>
        <v/>
      </c>
      <c r="G1358">
        <f>AND(B1358&gt;=50,B1358&lt;=10000)</f>
        <v/>
      </c>
      <c r="H1358">
        <f>OR(C1358="NAS",C1358="NYS",C1358="ASE")</f>
        <v/>
      </c>
      <c r="I1358">
        <f>F1358&gt;=500000</f>
        <v/>
      </c>
      <c r="J1358">
        <f>E1358&gt;=2</f>
        <v/>
      </c>
      <c r="K1358">
        <f>AND(G1358,H1358,I1358,J1358)</f>
        <v/>
      </c>
    </row>
    <row r="1359">
      <c r="B1359" s="5">
        <f>BDP(A1359&amp;" US Equity","CUR_MKT_CAP")</f>
        <v/>
      </c>
      <c r="C1359">
        <f>BDP(A1359&amp;" US Equity","EXCH_CODE")</f>
        <v/>
      </c>
      <c r="D1359" s="5">
        <f>BDP(A1359&amp;" US Equity","VOLUME_AVG_20D")</f>
        <v/>
      </c>
      <c r="E1359" s="6">
        <f>BDP(A1359&amp;" US Equity","PX_LAST")</f>
        <v/>
      </c>
      <c r="F1359" s="5">
        <f>D1359*E1359</f>
        <v/>
      </c>
      <c r="G1359">
        <f>AND(B1359&gt;=50,B1359&lt;=10000)</f>
        <v/>
      </c>
      <c r="H1359">
        <f>OR(C1359="NAS",C1359="NYS",C1359="ASE")</f>
        <v/>
      </c>
      <c r="I1359">
        <f>F1359&gt;=500000</f>
        <v/>
      </c>
      <c r="J1359">
        <f>E1359&gt;=2</f>
        <v/>
      </c>
      <c r="K1359">
        <f>AND(G1359,H1359,I1359,J1359)</f>
        <v/>
      </c>
    </row>
    <row r="1360">
      <c r="B1360" s="5">
        <f>BDP(A1360&amp;" US Equity","CUR_MKT_CAP")</f>
        <v/>
      </c>
      <c r="C1360">
        <f>BDP(A1360&amp;" US Equity","EXCH_CODE")</f>
        <v/>
      </c>
      <c r="D1360" s="5">
        <f>BDP(A1360&amp;" US Equity","VOLUME_AVG_20D")</f>
        <v/>
      </c>
      <c r="E1360" s="6">
        <f>BDP(A1360&amp;" US Equity","PX_LAST")</f>
        <v/>
      </c>
      <c r="F1360" s="5">
        <f>D1360*E1360</f>
        <v/>
      </c>
      <c r="G1360">
        <f>AND(B1360&gt;=50,B1360&lt;=10000)</f>
        <v/>
      </c>
      <c r="H1360">
        <f>OR(C1360="NAS",C1360="NYS",C1360="ASE")</f>
        <v/>
      </c>
      <c r="I1360">
        <f>F1360&gt;=500000</f>
        <v/>
      </c>
      <c r="J1360">
        <f>E1360&gt;=2</f>
        <v/>
      </c>
      <c r="K1360">
        <f>AND(G1360,H1360,I1360,J1360)</f>
        <v/>
      </c>
    </row>
    <row r="1361">
      <c r="B1361" s="5">
        <f>BDP(A1361&amp;" US Equity","CUR_MKT_CAP")</f>
        <v/>
      </c>
      <c r="C1361">
        <f>BDP(A1361&amp;" US Equity","EXCH_CODE")</f>
        <v/>
      </c>
      <c r="D1361" s="5">
        <f>BDP(A1361&amp;" US Equity","VOLUME_AVG_20D")</f>
        <v/>
      </c>
      <c r="E1361" s="6">
        <f>BDP(A1361&amp;" US Equity","PX_LAST")</f>
        <v/>
      </c>
      <c r="F1361" s="5">
        <f>D1361*E1361</f>
        <v/>
      </c>
      <c r="G1361">
        <f>AND(B1361&gt;=50,B1361&lt;=10000)</f>
        <v/>
      </c>
      <c r="H1361">
        <f>OR(C1361="NAS",C1361="NYS",C1361="ASE")</f>
        <v/>
      </c>
      <c r="I1361">
        <f>F1361&gt;=500000</f>
        <v/>
      </c>
      <c r="J1361">
        <f>E1361&gt;=2</f>
        <v/>
      </c>
      <c r="K1361">
        <f>AND(G1361,H1361,I1361,J1361)</f>
        <v/>
      </c>
    </row>
    <row r="1362">
      <c r="B1362" s="5">
        <f>BDP(A1362&amp;" US Equity","CUR_MKT_CAP")</f>
        <v/>
      </c>
      <c r="C1362">
        <f>BDP(A1362&amp;" US Equity","EXCH_CODE")</f>
        <v/>
      </c>
      <c r="D1362" s="5">
        <f>BDP(A1362&amp;" US Equity","VOLUME_AVG_20D")</f>
        <v/>
      </c>
      <c r="E1362" s="6">
        <f>BDP(A1362&amp;" US Equity","PX_LAST")</f>
        <v/>
      </c>
      <c r="F1362" s="5">
        <f>D1362*E1362</f>
        <v/>
      </c>
      <c r="G1362">
        <f>AND(B1362&gt;=50,B1362&lt;=10000)</f>
        <v/>
      </c>
      <c r="H1362">
        <f>OR(C1362="NAS",C1362="NYS",C1362="ASE")</f>
        <v/>
      </c>
      <c r="I1362">
        <f>F1362&gt;=500000</f>
        <v/>
      </c>
      <c r="J1362">
        <f>E1362&gt;=2</f>
        <v/>
      </c>
      <c r="K1362">
        <f>AND(G1362,H1362,I1362,J1362)</f>
        <v/>
      </c>
    </row>
    <row r="1363">
      <c r="B1363" s="5">
        <f>BDP(A1363&amp;" US Equity","CUR_MKT_CAP")</f>
        <v/>
      </c>
      <c r="C1363">
        <f>BDP(A1363&amp;" US Equity","EXCH_CODE")</f>
        <v/>
      </c>
      <c r="D1363" s="5">
        <f>BDP(A1363&amp;" US Equity","VOLUME_AVG_20D")</f>
        <v/>
      </c>
      <c r="E1363" s="6">
        <f>BDP(A1363&amp;" US Equity","PX_LAST")</f>
        <v/>
      </c>
      <c r="F1363" s="5">
        <f>D1363*E1363</f>
        <v/>
      </c>
      <c r="G1363">
        <f>AND(B1363&gt;=50,B1363&lt;=10000)</f>
        <v/>
      </c>
      <c r="H1363">
        <f>OR(C1363="NAS",C1363="NYS",C1363="ASE")</f>
        <v/>
      </c>
      <c r="I1363">
        <f>F1363&gt;=500000</f>
        <v/>
      </c>
      <c r="J1363">
        <f>E1363&gt;=2</f>
        <v/>
      </c>
      <c r="K1363">
        <f>AND(G1363,H1363,I1363,J1363)</f>
        <v/>
      </c>
    </row>
    <row r="1364">
      <c r="B1364" s="5">
        <f>BDP(A1364&amp;" US Equity","CUR_MKT_CAP")</f>
        <v/>
      </c>
      <c r="C1364">
        <f>BDP(A1364&amp;" US Equity","EXCH_CODE")</f>
        <v/>
      </c>
      <c r="D1364" s="5">
        <f>BDP(A1364&amp;" US Equity","VOLUME_AVG_20D")</f>
        <v/>
      </c>
      <c r="E1364" s="6">
        <f>BDP(A1364&amp;" US Equity","PX_LAST")</f>
        <v/>
      </c>
      <c r="F1364" s="5">
        <f>D1364*E1364</f>
        <v/>
      </c>
      <c r="G1364">
        <f>AND(B1364&gt;=50,B1364&lt;=10000)</f>
        <v/>
      </c>
      <c r="H1364">
        <f>OR(C1364="NAS",C1364="NYS",C1364="ASE")</f>
        <v/>
      </c>
      <c r="I1364">
        <f>F1364&gt;=500000</f>
        <v/>
      </c>
      <c r="J1364">
        <f>E1364&gt;=2</f>
        <v/>
      </c>
      <c r="K1364">
        <f>AND(G1364,H1364,I1364,J1364)</f>
        <v/>
      </c>
    </row>
    <row r="1365">
      <c r="B1365" s="5">
        <f>BDP(A1365&amp;" US Equity","CUR_MKT_CAP")</f>
        <v/>
      </c>
      <c r="C1365">
        <f>BDP(A1365&amp;" US Equity","EXCH_CODE")</f>
        <v/>
      </c>
      <c r="D1365" s="5">
        <f>BDP(A1365&amp;" US Equity","VOLUME_AVG_20D")</f>
        <v/>
      </c>
      <c r="E1365" s="6">
        <f>BDP(A1365&amp;" US Equity","PX_LAST")</f>
        <v/>
      </c>
      <c r="F1365" s="5">
        <f>D1365*E1365</f>
        <v/>
      </c>
      <c r="G1365">
        <f>AND(B1365&gt;=50,B1365&lt;=10000)</f>
        <v/>
      </c>
      <c r="H1365">
        <f>OR(C1365="NAS",C1365="NYS",C1365="ASE")</f>
        <v/>
      </c>
      <c r="I1365">
        <f>F1365&gt;=500000</f>
        <v/>
      </c>
      <c r="J1365">
        <f>E1365&gt;=2</f>
        <v/>
      </c>
      <c r="K1365">
        <f>AND(G1365,H1365,I1365,J1365)</f>
        <v/>
      </c>
    </row>
    <row r="1366">
      <c r="B1366" s="5">
        <f>BDP(A1366&amp;" US Equity","CUR_MKT_CAP")</f>
        <v/>
      </c>
      <c r="C1366">
        <f>BDP(A1366&amp;" US Equity","EXCH_CODE")</f>
        <v/>
      </c>
      <c r="D1366" s="5">
        <f>BDP(A1366&amp;" US Equity","VOLUME_AVG_20D")</f>
        <v/>
      </c>
      <c r="E1366" s="6">
        <f>BDP(A1366&amp;" US Equity","PX_LAST")</f>
        <v/>
      </c>
      <c r="F1366" s="5">
        <f>D1366*E1366</f>
        <v/>
      </c>
      <c r="G1366">
        <f>AND(B1366&gt;=50,B1366&lt;=10000)</f>
        <v/>
      </c>
      <c r="H1366">
        <f>OR(C1366="NAS",C1366="NYS",C1366="ASE")</f>
        <v/>
      </c>
      <c r="I1366">
        <f>F1366&gt;=500000</f>
        <v/>
      </c>
      <c r="J1366">
        <f>E1366&gt;=2</f>
        <v/>
      </c>
      <c r="K1366">
        <f>AND(G1366,H1366,I1366,J1366)</f>
        <v/>
      </c>
    </row>
    <row r="1367">
      <c r="B1367" s="5">
        <f>BDP(A1367&amp;" US Equity","CUR_MKT_CAP")</f>
        <v/>
      </c>
      <c r="C1367">
        <f>BDP(A1367&amp;" US Equity","EXCH_CODE")</f>
        <v/>
      </c>
      <c r="D1367" s="5">
        <f>BDP(A1367&amp;" US Equity","VOLUME_AVG_20D")</f>
        <v/>
      </c>
      <c r="E1367" s="6">
        <f>BDP(A1367&amp;" US Equity","PX_LAST")</f>
        <v/>
      </c>
      <c r="F1367" s="5">
        <f>D1367*E1367</f>
        <v/>
      </c>
      <c r="G1367">
        <f>AND(B1367&gt;=50,B1367&lt;=10000)</f>
        <v/>
      </c>
      <c r="H1367">
        <f>OR(C1367="NAS",C1367="NYS",C1367="ASE")</f>
        <v/>
      </c>
      <c r="I1367">
        <f>F1367&gt;=500000</f>
        <v/>
      </c>
      <c r="J1367">
        <f>E1367&gt;=2</f>
        <v/>
      </c>
      <c r="K1367">
        <f>AND(G1367,H1367,I1367,J1367)</f>
        <v/>
      </c>
    </row>
    <row r="1368">
      <c r="B1368" s="5">
        <f>BDP(A1368&amp;" US Equity","CUR_MKT_CAP")</f>
        <v/>
      </c>
      <c r="C1368">
        <f>BDP(A1368&amp;" US Equity","EXCH_CODE")</f>
        <v/>
      </c>
      <c r="D1368" s="5">
        <f>BDP(A1368&amp;" US Equity","VOLUME_AVG_20D")</f>
        <v/>
      </c>
      <c r="E1368" s="6">
        <f>BDP(A1368&amp;" US Equity","PX_LAST")</f>
        <v/>
      </c>
      <c r="F1368" s="5">
        <f>D1368*E1368</f>
        <v/>
      </c>
      <c r="G1368">
        <f>AND(B1368&gt;=50,B1368&lt;=10000)</f>
        <v/>
      </c>
      <c r="H1368">
        <f>OR(C1368="NAS",C1368="NYS",C1368="ASE")</f>
        <v/>
      </c>
      <c r="I1368">
        <f>F1368&gt;=500000</f>
        <v/>
      </c>
      <c r="J1368">
        <f>E1368&gt;=2</f>
        <v/>
      </c>
      <c r="K1368">
        <f>AND(G1368,H1368,I1368,J1368)</f>
        <v/>
      </c>
    </row>
    <row r="1369">
      <c r="B1369" s="5">
        <f>BDP(A1369&amp;" US Equity","CUR_MKT_CAP")</f>
        <v/>
      </c>
      <c r="C1369">
        <f>BDP(A1369&amp;" US Equity","EXCH_CODE")</f>
        <v/>
      </c>
      <c r="D1369" s="5">
        <f>BDP(A1369&amp;" US Equity","VOLUME_AVG_20D")</f>
        <v/>
      </c>
      <c r="E1369" s="6">
        <f>BDP(A1369&amp;" US Equity","PX_LAST")</f>
        <v/>
      </c>
      <c r="F1369" s="5">
        <f>D1369*E1369</f>
        <v/>
      </c>
      <c r="G1369">
        <f>AND(B1369&gt;=50,B1369&lt;=10000)</f>
        <v/>
      </c>
      <c r="H1369">
        <f>OR(C1369="NAS",C1369="NYS",C1369="ASE")</f>
        <v/>
      </c>
      <c r="I1369">
        <f>F1369&gt;=500000</f>
        <v/>
      </c>
      <c r="J1369">
        <f>E1369&gt;=2</f>
        <v/>
      </c>
      <c r="K1369">
        <f>AND(G1369,H1369,I1369,J1369)</f>
        <v/>
      </c>
    </row>
    <row r="1370">
      <c r="B1370" s="5">
        <f>BDP(A1370&amp;" US Equity","CUR_MKT_CAP")</f>
        <v/>
      </c>
      <c r="C1370">
        <f>BDP(A1370&amp;" US Equity","EXCH_CODE")</f>
        <v/>
      </c>
      <c r="D1370" s="5">
        <f>BDP(A1370&amp;" US Equity","VOLUME_AVG_20D")</f>
        <v/>
      </c>
      <c r="E1370" s="6">
        <f>BDP(A1370&amp;" US Equity","PX_LAST")</f>
        <v/>
      </c>
      <c r="F1370" s="5">
        <f>D1370*E1370</f>
        <v/>
      </c>
      <c r="G1370">
        <f>AND(B1370&gt;=50,B1370&lt;=10000)</f>
        <v/>
      </c>
      <c r="H1370">
        <f>OR(C1370="NAS",C1370="NYS",C1370="ASE")</f>
        <v/>
      </c>
      <c r="I1370">
        <f>F1370&gt;=500000</f>
        <v/>
      </c>
      <c r="J1370">
        <f>E1370&gt;=2</f>
        <v/>
      </c>
      <c r="K1370">
        <f>AND(G1370,H1370,I1370,J1370)</f>
        <v/>
      </c>
    </row>
    <row r="1371">
      <c r="B1371" s="5">
        <f>BDP(A1371&amp;" US Equity","CUR_MKT_CAP")</f>
        <v/>
      </c>
      <c r="C1371">
        <f>BDP(A1371&amp;" US Equity","EXCH_CODE")</f>
        <v/>
      </c>
      <c r="D1371" s="5">
        <f>BDP(A1371&amp;" US Equity","VOLUME_AVG_20D")</f>
        <v/>
      </c>
      <c r="E1371" s="6">
        <f>BDP(A1371&amp;" US Equity","PX_LAST")</f>
        <v/>
      </c>
      <c r="F1371" s="5">
        <f>D1371*E1371</f>
        <v/>
      </c>
      <c r="G1371">
        <f>AND(B1371&gt;=50,B1371&lt;=10000)</f>
        <v/>
      </c>
      <c r="H1371">
        <f>OR(C1371="NAS",C1371="NYS",C1371="ASE")</f>
        <v/>
      </c>
      <c r="I1371">
        <f>F1371&gt;=500000</f>
        <v/>
      </c>
      <c r="J1371">
        <f>E1371&gt;=2</f>
        <v/>
      </c>
      <c r="K1371">
        <f>AND(G1371,H1371,I1371,J1371)</f>
        <v/>
      </c>
    </row>
    <row r="1372">
      <c r="B1372" s="5">
        <f>BDP(A1372&amp;" US Equity","CUR_MKT_CAP")</f>
        <v/>
      </c>
      <c r="C1372">
        <f>BDP(A1372&amp;" US Equity","EXCH_CODE")</f>
        <v/>
      </c>
      <c r="D1372" s="5">
        <f>BDP(A1372&amp;" US Equity","VOLUME_AVG_20D")</f>
        <v/>
      </c>
      <c r="E1372" s="6">
        <f>BDP(A1372&amp;" US Equity","PX_LAST")</f>
        <v/>
      </c>
      <c r="F1372" s="5">
        <f>D1372*E1372</f>
        <v/>
      </c>
      <c r="G1372">
        <f>AND(B1372&gt;=50,B1372&lt;=10000)</f>
        <v/>
      </c>
      <c r="H1372">
        <f>OR(C1372="NAS",C1372="NYS",C1372="ASE")</f>
        <v/>
      </c>
      <c r="I1372">
        <f>F1372&gt;=500000</f>
        <v/>
      </c>
      <c r="J1372">
        <f>E1372&gt;=2</f>
        <v/>
      </c>
      <c r="K1372">
        <f>AND(G1372,H1372,I1372,J1372)</f>
        <v/>
      </c>
    </row>
    <row r="1373">
      <c r="B1373" s="5">
        <f>BDP(A1373&amp;" US Equity","CUR_MKT_CAP")</f>
        <v/>
      </c>
      <c r="C1373">
        <f>BDP(A1373&amp;" US Equity","EXCH_CODE")</f>
        <v/>
      </c>
      <c r="D1373" s="5">
        <f>BDP(A1373&amp;" US Equity","VOLUME_AVG_20D")</f>
        <v/>
      </c>
      <c r="E1373" s="6">
        <f>BDP(A1373&amp;" US Equity","PX_LAST")</f>
        <v/>
      </c>
      <c r="F1373" s="5">
        <f>D1373*E1373</f>
        <v/>
      </c>
      <c r="G1373">
        <f>AND(B1373&gt;=50,B1373&lt;=10000)</f>
        <v/>
      </c>
      <c r="H1373">
        <f>OR(C1373="NAS",C1373="NYS",C1373="ASE")</f>
        <v/>
      </c>
      <c r="I1373">
        <f>F1373&gt;=500000</f>
        <v/>
      </c>
      <c r="J1373">
        <f>E1373&gt;=2</f>
        <v/>
      </c>
      <c r="K1373">
        <f>AND(G1373,H1373,I1373,J1373)</f>
        <v/>
      </c>
    </row>
    <row r="1374">
      <c r="B1374" s="5">
        <f>BDP(A1374&amp;" US Equity","CUR_MKT_CAP")</f>
        <v/>
      </c>
      <c r="C1374">
        <f>BDP(A1374&amp;" US Equity","EXCH_CODE")</f>
        <v/>
      </c>
      <c r="D1374" s="5">
        <f>BDP(A1374&amp;" US Equity","VOLUME_AVG_20D")</f>
        <v/>
      </c>
      <c r="E1374" s="6">
        <f>BDP(A1374&amp;" US Equity","PX_LAST")</f>
        <v/>
      </c>
      <c r="F1374" s="5">
        <f>D1374*E1374</f>
        <v/>
      </c>
      <c r="G1374">
        <f>AND(B1374&gt;=50,B1374&lt;=10000)</f>
        <v/>
      </c>
      <c r="H1374">
        <f>OR(C1374="NAS",C1374="NYS",C1374="ASE")</f>
        <v/>
      </c>
      <c r="I1374">
        <f>F1374&gt;=500000</f>
        <v/>
      </c>
      <c r="J1374">
        <f>E1374&gt;=2</f>
        <v/>
      </c>
      <c r="K1374">
        <f>AND(G1374,H1374,I1374,J1374)</f>
        <v/>
      </c>
    </row>
    <row r="1375">
      <c r="B1375" s="5">
        <f>BDP(A1375&amp;" US Equity","CUR_MKT_CAP")</f>
        <v/>
      </c>
      <c r="C1375">
        <f>BDP(A1375&amp;" US Equity","EXCH_CODE")</f>
        <v/>
      </c>
      <c r="D1375" s="5">
        <f>BDP(A1375&amp;" US Equity","VOLUME_AVG_20D")</f>
        <v/>
      </c>
      <c r="E1375" s="6">
        <f>BDP(A1375&amp;" US Equity","PX_LAST")</f>
        <v/>
      </c>
      <c r="F1375" s="5">
        <f>D1375*E1375</f>
        <v/>
      </c>
      <c r="G1375">
        <f>AND(B1375&gt;=50,B1375&lt;=10000)</f>
        <v/>
      </c>
      <c r="H1375">
        <f>OR(C1375="NAS",C1375="NYS",C1375="ASE")</f>
        <v/>
      </c>
      <c r="I1375">
        <f>F1375&gt;=500000</f>
        <v/>
      </c>
      <c r="J1375">
        <f>E1375&gt;=2</f>
        <v/>
      </c>
      <c r="K1375">
        <f>AND(G1375,H1375,I1375,J1375)</f>
        <v/>
      </c>
    </row>
    <row r="1376">
      <c r="B1376" s="5">
        <f>BDP(A1376&amp;" US Equity","CUR_MKT_CAP")</f>
        <v/>
      </c>
      <c r="C1376">
        <f>BDP(A1376&amp;" US Equity","EXCH_CODE")</f>
        <v/>
      </c>
      <c r="D1376" s="5">
        <f>BDP(A1376&amp;" US Equity","VOLUME_AVG_20D")</f>
        <v/>
      </c>
      <c r="E1376" s="6">
        <f>BDP(A1376&amp;" US Equity","PX_LAST")</f>
        <v/>
      </c>
      <c r="F1376" s="5">
        <f>D1376*E1376</f>
        <v/>
      </c>
      <c r="G1376">
        <f>AND(B1376&gt;=50,B1376&lt;=10000)</f>
        <v/>
      </c>
      <c r="H1376">
        <f>OR(C1376="NAS",C1376="NYS",C1376="ASE")</f>
        <v/>
      </c>
      <c r="I1376">
        <f>F1376&gt;=500000</f>
        <v/>
      </c>
      <c r="J1376">
        <f>E1376&gt;=2</f>
        <v/>
      </c>
      <c r="K1376">
        <f>AND(G1376,H1376,I1376,J1376)</f>
        <v/>
      </c>
    </row>
    <row r="1377">
      <c r="B1377" s="5">
        <f>BDP(A1377&amp;" US Equity","CUR_MKT_CAP")</f>
        <v/>
      </c>
      <c r="C1377">
        <f>BDP(A1377&amp;" US Equity","EXCH_CODE")</f>
        <v/>
      </c>
      <c r="D1377" s="5">
        <f>BDP(A1377&amp;" US Equity","VOLUME_AVG_20D")</f>
        <v/>
      </c>
      <c r="E1377" s="6">
        <f>BDP(A1377&amp;" US Equity","PX_LAST")</f>
        <v/>
      </c>
      <c r="F1377" s="5">
        <f>D1377*E1377</f>
        <v/>
      </c>
      <c r="G1377">
        <f>AND(B1377&gt;=50,B1377&lt;=10000)</f>
        <v/>
      </c>
      <c r="H1377">
        <f>OR(C1377="NAS",C1377="NYS",C1377="ASE")</f>
        <v/>
      </c>
      <c r="I1377">
        <f>F1377&gt;=500000</f>
        <v/>
      </c>
      <c r="J1377">
        <f>E1377&gt;=2</f>
        <v/>
      </c>
      <c r="K1377">
        <f>AND(G1377,H1377,I1377,J1377)</f>
        <v/>
      </c>
    </row>
    <row r="1378">
      <c r="B1378" s="5">
        <f>BDP(A1378&amp;" US Equity","CUR_MKT_CAP")</f>
        <v/>
      </c>
      <c r="C1378">
        <f>BDP(A1378&amp;" US Equity","EXCH_CODE")</f>
        <v/>
      </c>
      <c r="D1378" s="5">
        <f>BDP(A1378&amp;" US Equity","VOLUME_AVG_20D")</f>
        <v/>
      </c>
      <c r="E1378" s="6">
        <f>BDP(A1378&amp;" US Equity","PX_LAST")</f>
        <v/>
      </c>
      <c r="F1378" s="5">
        <f>D1378*E1378</f>
        <v/>
      </c>
      <c r="G1378">
        <f>AND(B1378&gt;=50,B1378&lt;=10000)</f>
        <v/>
      </c>
      <c r="H1378">
        <f>OR(C1378="NAS",C1378="NYS",C1378="ASE")</f>
        <v/>
      </c>
      <c r="I1378">
        <f>F1378&gt;=500000</f>
        <v/>
      </c>
      <c r="J1378">
        <f>E1378&gt;=2</f>
        <v/>
      </c>
      <c r="K1378">
        <f>AND(G1378,H1378,I1378,J1378)</f>
        <v/>
      </c>
    </row>
    <row r="1379">
      <c r="B1379" s="5">
        <f>BDP(A1379&amp;" US Equity","CUR_MKT_CAP")</f>
        <v/>
      </c>
      <c r="C1379">
        <f>BDP(A1379&amp;" US Equity","EXCH_CODE")</f>
        <v/>
      </c>
      <c r="D1379" s="5">
        <f>BDP(A1379&amp;" US Equity","VOLUME_AVG_20D")</f>
        <v/>
      </c>
      <c r="E1379" s="6">
        <f>BDP(A1379&amp;" US Equity","PX_LAST")</f>
        <v/>
      </c>
      <c r="F1379" s="5">
        <f>D1379*E1379</f>
        <v/>
      </c>
      <c r="G1379">
        <f>AND(B1379&gt;=50,B1379&lt;=10000)</f>
        <v/>
      </c>
      <c r="H1379">
        <f>OR(C1379="NAS",C1379="NYS",C1379="ASE")</f>
        <v/>
      </c>
      <c r="I1379">
        <f>F1379&gt;=500000</f>
        <v/>
      </c>
      <c r="J1379">
        <f>E1379&gt;=2</f>
        <v/>
      </c>
      <c r="K1379">
        <f>AND(G1379,H1379,I1379,J1379)</f>
        <v/>
      </c>
    </row>
    <row r="1380">
      <c r="B1380" s="5">
        <f>BDP(A1380&amp;" US Equity","CUR_MKT_CAP")</f>
        <v/>
      </c>
      <c r="C1380">
        <f>BDP(A1380&amp;" US Equity","EXCH_CODE")</f>
        <v/>
      </c>
      <c r="D1380" s="5">
        <f>BDP(A1380&amp;" US Equity","VOLUME_AVG_20D")</f>
        <v/>
      </c>
      <c r="E1380" s="6">
        <f>BDP(A1380&amp;" US Equity","PX_LAST")</f>
        <v/>
      </c>
      <c r="F1380" s="5">
        <f>D1380*E1380</f>
        <v/>
      </c>
      <c r="G1380">
        <f>AND(B1380&gt;=50,B1380&lt;=10000)</f>
        <v/>
      </c>
      <c r="H1380">
        <f>OR(C1380="NAS",C1380="NYS",C1380="ASE")</f>
        <v/>
      </c>
      <c r="I1380">
        <f>F1380&gt;=500000</f>
        <v/>
      </c>
      <c r="J1380">
        <f>E1380&gt;=2</f>
        <v/>
      </c>
      <c r="K1380">
        <f>AND(G1380,H1380,I1380,J1380)</f>
        <v/>
      </c>
    </row>
    <row r="1381">
      <c r="B1381" s="5">
        <f>BDP(A1381&amp;" US Equity","CUR_MKT_CAP")</f>
        <v/>
      </c>
      <c r="C1381">
        <f>BDP(A1381&amp;" US Equity","EXCH_CODE")</f>
        <v/>
      </c>
      <c r="D1381" s="5">
        <f>BDP(A1381&amp;" US Equity","VOLUME_AVG_20D")</f>
        <v/>
      </c>
      <c r="E1381" s="6">
        <f>BDP(A1381&amp;" US Equity","PX_LAST")</f>
        <v/>
      </c>
      <c r="F1381" s="5">
        <f>D1381*E1381</f>
        <v/>
      </c>
      <c r="G1381">
        <f>AND(B1381&gt;=50,B1381&lt;=10000)</f>
        <v/>
      </c>
      <c r="H1381">
        <f>OR(C1381="NAS",C1381="NYS",C1381="ASE")</f>
        <v/>
      </c>
      <c r="I1381">
        <f>F1381&gt;=500000</f>
        <v/>
      </c>
      <c r="J1381">
        <f>E1381&gt;=2</f>
        <v/>
      </c>
      <c r="K1381">
        <f>AND(G1381,H1381,I1381,J1381)</f>
        <v/>
      </c>
    </row>
    <row r="1382">
      <c r="B1382" s="5">
        <f>BDP(A1382&amp;" US Equity","CUR_MKT_CAP")</f>
        <v/>
      </c>
      <c r="C1382">
        <f>BDP(A1382&amp;" US Equity","EXCH_CODE")</f>
        <v/>
      </c>
      <c r="D1382" s="5">
        <f>BDP(A1382&amp;" US Equity","VOLUME_AVG_20D")</f>
        <v/>
      </c>
      <c r="E1382" s="6">
        <f>BDP(A1382&amp;" US Equity","PX_LAST")</f>
        <v/>
      </c>
      <c r="F1382" s="5">
        <f>D1382*E1382</f>
        <v/>
      </c>
      <c r="G1382">
        <f>AND(B1382&gt;=50,B1382&lt;=10000)</f>
        <v/>
      </c>
      <c r="H1382">
        <f>OR(C1382="NAS",C1382="NYS",C1382="ASE")</f>
        <v/>
      </c>
      <c r="I1382">
        <f>F1382&gt;=500000</f>
        <v/>
      </c>
      <c r="J1382">
        <f>E1382&gt;=2</f>
        <v/>
      </c>
      <c r="K1382">
        <f>AND(G1382,H1382,I1382,J1382)</f>
        <v/>
      </c>
    </row>
    <row r="1383">
      <c r="B1383" s="5">
        <f>BDP(A1383&amp;" US Equity","CUR_MKT_CAP")</f>
        <v/>
      </c>
      <c r="C1383">
        <f>BDP(A1383&amp;" US Equity","EXCH_CODE")</f>
        <v/>
      </c>
      <c r="D1383" s="5">
        <f>BDP(A1383&amp;" US Equity","VOLUME_AVG_20D")</f>
        <v/>
      </c>
      <c r="E1383" s="6">
        <f>BDP(A1383&amp;" US Equity","PX_LAST")</f>
        <v/>
      </c>
      <c r="F1383" s="5">
        <f>D1383*E1383</f>
        <v/>
      </c>
      <c r="G1383">
        <f>AND(B1383&gt;=50,B1383&lt;=10000)</f>
        <v/>
      </c>
      <c r="H1383">
        <f>OR(C1383="NAS",C1383="NYS",C1383="ASE")</f>
        <v/>
      </c>
      <c r="I1383">
        <f>F1383&gt;=500000</f>
        <v/>
      </c>
      <c r="J1383">
        <f>E1383&gt;=2</f>
        <v/>
      </c>
      <c r="K1383">
        <f>AND(G1383,H1383,I1383,J1383)</f>
        <v/>
      </c>
    </row>
    <row r="1384">
      <c r="B1384" s="5">
        <f>BDP(A1384&amp;" US Equity","CUR_MKT_CAP")</f>
        <v/>
      </c>
      <c r="C1384">
        <f>BDP(A1384&amp;" US Equity","EXCH_CODE")</f>
        <v/>
      </c>
      <c r="D1384" s="5">
        <f>BDP(A1384&amp;" US Equity","VOLUME_AVG_20D")</f>
        <v/>
      </c>
      <c r="E1384" s="6">
        <f>BDP(A1384&amp;" US Equity","PX_LAST")</f>
        <v/>
      </c>
      <c r="F1384" s="5">
        <f>D1384*E1384</f>
        <v/>
      </c>
      <c r="G1384">
        <f>AND(B1384&gt;=50,B1384&lt;=10000)</f>
        <v/>
      </c>
      <c r="H1384">
        <f>OR(C1384="NAS",C1384="NYS",C1384="ASE")</f>
        <v/>
      </c>
      <c r="I1384">
        <f>F1384&gt;=500000</f>
        <v/>
      </c>
      <c r="J1384">
        <f>E1384&gt;=2</f>
        <v/>
      </c>
      <c r="K1384">
        <f>AND(G1384,H1384,I1384,J1384)</f>
        <v/>
      </c>
    </row>
    <row r="1385">
      <c r="B1385" s="5">
        <f>BDP(A1385&amp;" US Equity","CUR_MKT_CAP")</f>
        <v/>
      </c>
      <c r="C1385">
        <f>BDP(A1385&amp;" US Equity","EXCH_CODE")</f>
        <v/>
      </c>
      <c r="D1385" s="5">
        <f>BDP(A1385&amp;" US Equity","VOLUME_AVG_20D")</f>
        <v/>
      </c>
      <c r="E1385" s="6">
        <f>BDP(A1385&amp;" US Equity","PX_LAST")</f>
        <v/>
      </c>
      <c r="F1385" s="5">
        <f>D1385*E1385</f>
        <v/>
      </c>
      <c r="G1385">
        <f>AND(B1385&gt;=50,B1385&lt;=10000)</f>
        <v/>
      </c>
      <c r="H1385">
        <f>OR(C1385="NAS",C1385="NYS",C1385="ASE")</f>
        <v/>
      </c>
      <c r="I1385">
        <f>F1385&gt;=500000</f>
        <v/>
      </c>
      <c r="J1385">
        <f>E1385&gt;=2</f>
        <v/>
      </c>
      <c r="K1385">
        <f>AND(G1385,H1385,I1385,J1385)</f>
        <v/>
      </c>
    </row>
    <row r="1386">
      <c r="B1386" s="5">
        <f>BDP(A1386&amp;" US Equity","CUR_MKT_CAP")</f>
        <v/>
      </c>
      <c r="C1386">
        <f>BDP(A1386&amp;" US Equity","EXCH_CODE")</f>
        <v/>
      </c>
      <c r="D1386" s="5">
        <f>BDP(A1386&amp;" US Equity","VOLUME_AVG_20D")</f>
        <v/>
      </c>
      <c r="E1386" s="6">
        <f>BDP(A1386&amp;" US Equity","PX_LAST")</f>
        <v/>
      </c>
      <c r="F1386" s="5">
        <f>D1386*E1386</f>
        <v/>
      </c>
      <c r="G1386">
        <f>AND(B1386&gt;=50,B1386&lt;=10000)</f>
        <v/>
      </c>
      <c r="H1386">
        <f>OR(C1386="NAS",C1386="NYS",C1386="ASE")</f>
        <v/>
      </c>
      <c r="I1386">
        <f>F1386&gt;=500000</f>
        <v/>
      </c>
      <c r="J1386">
        <f>E1386&gt;=2</f>
        <v/>
      </c>
      <c r="K1386">
        <f>AND(G1386,H1386,I1386,J1386)</f>
        <v/>
      </c>
    </row>
    <row r="1387">
      <c r="B1387" s="5">
        <f>BDP(A1387&amp;" US Equity","CUR_MKT_CAP")</f>
        <v/>
      </c>
      <c r="C1387">
        <f>BDP(A1387&amp;" US Equity","EXCH_CODE")</f>
        <v/>
      </c>
      <c r="D1387" s="5">
        <f>BDP(A1387&amp;" US Equity","VOLUME_AVG_20D")</f>
        <v/>
      </c>
      <c r="E1387" s="6">
        <f>BDP(A1387&amp;" US Equity","PX_LAST")</f>
        <v/>
      </c>
      <c r="F1387" s="5">
        <f>D1387*E1387</f>
        <v/>
      </c>
      <c r="G1387">
        <f>AND(B1387&gt;=50,B1387&lt;=10000)</f>
        <v/>
      </c>
      <c r="H1387">
        <f>OR(C1387="NAS",C1387="NYS",C1387="ASE")</f>
        <v/>
      </c>
      <c r="I1387">
        <f>F1387&gt;=500000</f>
        <v/>
      </c>
      <c r="J1387">
        <f>E1387&gt;=2</f>
        <v/>
      </c>
      <c r="K1387">
        <f>AND(G1387,H1387,I1387,J1387)</f>
        <v/>
      </c>
    </row>
    <row r="1388">
      <c r="B1388" s="5">
        <f>BDP(A1388&amp;" US Equity","CUR_MKT_CAP")</f>
        <v/>
      </c>
      <c r="C1388">
        <f>BDP(A1388&amp;" US Equity","EXCH_CODE")</f>
        <v/>
      </c>
      <c r="D1388" s="5">
        <f>BDP(A1388&amp;" US Equity","VOLUME_AVG_20D")</f>
        <v/>
      </c>
      <c r="E1388" s="6">
        <f>BDP(A1388&amp;" US Equity","PX_LAST")</f>
        <v/>
      </c>
      <c r="F1388" s="5">
        <f>D1388*E1388</f>
        <v/>
      </c>
      <c r="G1388">
        <f>AND(B1388&gt;=50,B1388&lt;=10000)</f>
        <v/>
      </c>
      <c r="H1388">
        <f>OR(C1388="NAS",C1388="NYS",C1388="ASE")</f>
        <v/>
      </c>
      <c r="I1388">
        <f>F1388&gt;=500000</f>
        <v/>
      </c>
      <c r="J1388">
        <f>E1388&gt;=2</f>
        <v/>
      </c>
      <c r="K1388">
        <f>AND(G1388,H1388,I1388,J1388)</f>
        <v/>
      </c>
    </row>
    <row r="1389">
      <c r="B1389" s="5">
        <f>BDP(A1389&amp;" US Equity","CUR_MKT_CAP")</f>
        <v/>
      </c>
      <c r="C1389">
        <f>BDP(A1389&amp;" US Equity","EXCH_CODE")</f>
        <v/>
      </c>
      <c r="D1389" s="5">
        <f>BDP(A1389&amp;" US Equity","VOLUME_AVG_20D")</f>
        <v/>
      </c>
      <c r="E1389" s="6">
        <f>BDP(A1389&amp;" US Equity","PX_LAST")</f>
        <v/>
      </c>
      <c r="F1389" s="5">
        <f>D1389*E1389</f>
        <v/>
      </c>
      <c r="G1389">
        <f>AND(B1389&gt;=50,B1389&lt;=10000)</f>
        <v/>
      </c>
      <c r="H1389">
        <f>OR(C1389="NAS",C1389="NYS",C1389="ASE")</f>
        <v/>
      </c>
      <c r="I1389">
        <f>F1389&gt;=500000</f>
        <v/>
      </c>
      <c r="J1389">
        <f>E1389&gt;=2</f>
        <v/>
      </c>
      <c r="K1389">
        <f>AND(G1389,H1389,I1389,J1389)</f>
        <v/>
      </c>
    </row>
    <row r="1390">
      <c r="B1390" s="5">
        <f>BDP(A1390&amp;" US Equity","CUR_MKT_CAP")</f>
        <v/>
      </c>
      <c r="C1390">
        <f>BDP(A1390&amp;" US Equity","EXCH_CODE")</f>
        <v/>
      </c>
      <c r="D1390" s="5">
        <f>BDP(A1390&amp;" US Equity","VOLUME_AVG_20D")</f>
        <v/>
      </c>
      <c r="E1390" s="6">
        <f>BDP(A1390&amp;" US Equity","PX_LAST")</f>
        <v/>
      </c>
      <c r="F1390" s="5">
        <f>D1390*E1390</f>
        <v/>
      </c>
      <c r="G1390">
        <f>AND(B1390&gt;=50,B1390&lt;=10000)</f>
        <v/>
      </c>
      <c r="H1390">
        <f>OR(C1390="NAS",C1390="NYS",C1390="ASE")</f>
        <v/>
      </c>
      <c r="I1390">
        <f>F1390&gt;=500000</f>
        <v/>
      </c>
      <c r="J1390">
        <f>E1390&gt;=2</f>
        <v/>
      </c>
      <c r="K1390">
        <f>AND(G1390,H1390,I1390,J1390)</f>
        <v/>
      </c>
    </row>
    <row r="1391">
      <c r="B1391" s="5">
        <f>BDP(A1391&amp;" US Equity","CUR_MKT_CAP")</f>
        <v/>
      </c>
      <c r="C1391">
        <f>BDP(A1391&amp;" US Equity","EXCH_CODE")</f>
        <v/>
      </c>
      <c r="D1391" s="5">
        <f>BDP(A1391&amp;" US Equity","VOLUME_AVG_20D")</f>
        <v/>
      </c>
      <c r="E1391" s="6">
        <f>BDP(A1391&amp;" US Equity","PX_LAST")</f>
        <v/>
      </c>
      <c r="F1391" s="5">
        <f>D1391*E1391</f>
        <v/>
      </c>
      <c r="G1391">
        <f>AND(B1391&gt;=50,B1391&lt;=10000)</f>
        <v/>
      </c>
      <c r="H1391">
        <f>OR(C1391="NAS",C1391="NYS",C1391="ASE")</f>
        <v/>
      </c>
      <c r="I1391">
        <f>F1391&gt;=500000</f>
        <v/>
      </c>
      <c r="J1391">
        <f>E1391&gt;=2</f>
        <v/>
      </c>
      <c r="K1391">
        <f>AND(G1391,H1391,I1391,J1391)</f>
        <v/>
      </c>
    </row>
    <row r="1392">
      <c r="B1392" s="5">
        <f>BDP(A1392&amp;" US Equity","CUR_MKT_CAP")</f>
        <v/>
      </c>
      <c r="C1392">
        <f>BDP(A1392&amp;" US Equity","EXCH_CODE")</f>
        <v/>
      </c>
      <c r="D1392" s="5">
        <f>BDP(A1392&amp;" US Equity","VOLUME_AVG_20D")</f>
        <v/>
      </c>
      <c r="E1392" s="6">
        <f>BDP(A1392&amp;" US Equity","PX_LAST")</f>
        <v/>
      </c>
      <c r="F1392" s="5">
        <f>D1392*E1392</f>
        <v/>
      </c>
      <c r="G1392">
        <f>AND(B1392&gt;=50,B1392&lt;=10000)</f>
        <v/>
      </c>
      <c r="H1392">
        <f>OR(C1392="NAS",C1392="NYS",C1392="ASE")</f>
        <v/>
      </c>
      <c r="I1392">
        <f>F1392&gt;=500000</f>
        <v/>
      </c>
      <c r="J1392">
        <f>E1392&gt;=2</f>
        <v/>
      </c>
      <c r="K1392">
        <f>AND(G1392,H1392,I1392,J1392)</f>
        <v/>
      </c>
    </row>
    <row r="1393">
      <c r="B1393" s="5">
        <f>BDP(A1393&amp;" US Equity","CUR_MKT_CAP")</f>
        <v/>
      </c>
      <c r="C1393">
        <f>BDP(A1393&amp;" US Equity","EXCH_CODE")</f>
        <v/>
      </c>
      <c r="D1393" s="5">
        <f>BDP(A1393&amp;" US Equity","VOLUME_AVG_20D")</f>
        <v/>
      </c>
      <c r="E1393" s="6">
        <f>BDP(A1393&amp;" US Equity","PX_LAST")</f>
        <v/>
      </c>
      <c r="F1393" s="5">
        <f>D1393*E1393</f>
        <v/>
      </c>
      <c r="G1393">
        <f>AND(B1393&gt;=50,B1393&lt;=10000)</f>
        <v/>
      </c>
      <c r="H1393">
        <f>OR(C1393="NAS",C1393="NYS",C1393="ASE")</f>
        <v/>
      </c>
      <c r="I1393">
        <f>F1393&gt;=500000</f>
        <v/>
      </c>
      <c r="J1393">
        <f>E1393&gt;=2</f>
        <v/>
      </c>
      <c r="K1393">
        <f>AND(G1393,H1393,I1393,J1393)</f>
        <v/>
      </c>
    </row>
    <row r="1394">
      <c r="B1394" s="5">
        <f>BDP(A1394&amp;" US Equity","CUR_MKT_CAP")</f>
        <v/>
      </c>
      <c r="C1394">
        <f>BDP(A1394&amp;" US Equity","EXCH_CODE")</f>
        <v/>
      </c>
      <c r="D1394" s="5">
        <f>BDP(A1394&amp;" US Equity","VOLUME_AVG_20D")</f>
        <v/>
      </c>
      <c r="E1394" s="6">
        <f>BDP(A1394&amp;" US Equity","PX_LAST")</f>
        <v/>
      </c>
      <c r="F1394" s="5">
        <f>D1394*E1394</f>
        <v/>
      </c>
      <c r="G1394">
        <f>AND(B1394&gt;=50,B1394&lt;=10000)</f>
        <v/>
      </c>
      <c r="H1394">
        <f>OR(C1394="NAS",C1394="NYS",C1394="ASE")</f>
        <v/>
      </c>
      <c r="I1394">
        <f>F1394&gt;=500000</f>
        <v/>
      </c>
      <c r="J1394">
        <f>E1394&gt;=2</f>
        <v/>
      </c>
      <c r="K1394">
        <f>AND(G1394,H1394,I1394,J1394)</f>
        <v/>
      </c>
    </row>
    <row r="1395">
      <c r="B1395" s="5">
        <f>BDP(A1395&amp;" US Equity","CUR_MKT_CAP")</f>
        <v/>
      </c>
      <c r="C1395">
        <f>BDP(A1395&amp;" US Equity","EXCH_CODE")</f>
        <v/>
      </c>
      <c r="D1395" s="5">
        <f>BDP(A1395&amp;" US Equity","VOLUME_AVG_20D")</f>
        <v/>
      </c>
      <c r="E1395" s="6">
        <f>BDP(A1395&amp;" US Equity","PX_LAST")</f>
        <v/>
      </c>
      <c r="F1395" s="5">
        <f>D1395*E1395</f>
        <v/>
      </c>
      <c r="G1395">
        <f>AND(B1395&gt;=50,B1395&lt;=10000)</f>
        <v/>
      </c>
      <c r="H1395">
        <f>OR(C1395="NAS",C1395="NYS",C1395="ASE")</f>
        <v/>
      </c>
      <c r="I1395">
        <f>F1395&gt;=500000</f>
        <v/>
      </c>
      <c r="J1395">
        <f>E1395&gt;=2</f>
        <v/>
      </c>
      <c r="K1395">
        <f>AND(G1395,H1395,I1395,J1395)</f>
        <v/>
      </c>
    </row>
    <row r="1396">
      <c r="B1396" s="5">
        <f>BDP(A1396&amp;" US Equity","CUR_MKT_CAP")</f>
        <v/>
      </c>
      <c r="C1396">
        <f>BDP(A1396&amp;" US Equity","EXCH_CODE")</f>
        <v/>
      </c>
      <c r="D1396" s="5">
        <f>BDP(A1396&amp;" US Equity","VOLUME_AVG_20D")</f>
        <v/>
      </c>
      <c r="E1396" s="6">
        <f>BDP(A1396&amp;" US Equity","PX_LAST")</f>
        <v/>
      </c>
      <c r="F1396" s="5">
        <f>D1396*E1396</f>
        <v/>
      </c>
      <c r="G1396">
        <f>AND(B1396&gt;=50,B1396&lt;=10000)</f>
        <v/>
      </c>
      <c r="H1396">
        <f>OR(C1396="NAS",C1396="NYS",C1396="ASE")</f>
        <v/>
      </c>
      <c r="I1396">
        <f>F1396&gt;=500000</f>
        <v/>
      </c>
      <c r="J1396">
        <f>E1396&gt;=2</f>
        <v/>
      </c>
      <c r="K1396">
        <f>AND(G1396,H1396,I1396,J1396)</f>
        <v/>
      </c>
    </row>
    <row r="1397">
      <c r="B1397" s="5">
        <f>BDP(A1397&amp;" US Equity","CUR_MKT_CAP")</f>
        <v/>
      </c>
      <c r="C1397">
        <f>BDP(A1397&amp;" US Equity","EXCH_CODE")</f>
        <v/>
      </c>
      <c r="D1397" s="5">
        <f>BDP(A1397&amp;" US Equity","VOLUME_AVG_20D")</f>
        <v/>
      </c>
      <c r="E1397" s="6">
        <f>BDP(A1397&amp;" US Equity","PX_LAST")</f>
        <v/>
      </c>
      <c r="F1397" s="5">
        <f>D1397*E1397</f>
        <v/>
      </c>
      <c r="G1397">
        <f>AND(B1397&gt;=50,B1397&lt;=10000)</f>
        <v/>
      </c>
      <c r="H1397">
        <f>OR(C1397="NAS",C1397="NYS",C1397="ASE")</f>
        <v/>
      </c>
      <c r="I1397">
        <f>F1397&gt;=500000</f>
        <v/>
      </c>
      <c r="J1397">
        <f>E1397&gt;=2</f>
        <v/>
      </c>
      <c r="K1397">
        <f>AND(G1397,H1397,I1397,J1397)</f>
        <v/>
      </c>
    </row>
    <row r="1398">
      <c r="B1398" s="5">
        <f>BDP(A1398&amp;" US Equity","CUR_MKT_CAP")</f>
        <v/>
      </c>
      <c r="C1398">
        <f>BDP(A1398&amp;" US Equity","EXCH_CODE")</f>
        <v/>
      </c>
      <c r="D1398" s="5">
        <f>BDP(A1398&amp;" US Equity","VOLUME_AVG_20D")</f>
        <v/>
      </c>
      <c r="E1398" s="6">
        <f>BDP(A1398&amp;" US Equity","PX_LAST")</f>
        <v/>
      </c>
      <c r="F1398" s="5">
        <f>D1398*E1398</f>
        <v/>
      </c>
      <c r="G1398">
        <f>AND(B1398&gt;=50,B1398&lt;=10000)</f>
        <v/>
      </c>
      <c r="H1398">
        <f>OR(C1398="NAS",C1398="NYS",C1398="ASE")</f>
        <v/>
      </c>
      <c r="I1398">
        <f>F1398&gt;=500000</f>
        <v/>
      </c>
      <c r="J1398">
        <f>E1398&gt;=2</f>
        <v/>
      </c>
      <c r="K1398">
        <f>AND(G1398,H1398,I1398,J1398)</f>
        <v/>
      </c>
    </row>
    <row r="1399">
      <c r="B1399" s="5">
        <f>BDP(A1399&amp;" US Equity","CUR_MKT_CAP")</f>
        <v/>
      </c>
      <c r="C1399">
        <f>BDP(A1399&amp;" US Equity","EXCH_CODE")</f>
        <v/>
      </c>
      <c r="D1399" s="5">
        <f>BDP(A1399&amp;" US Equity","VOLUME_AVG_20D")</f>
        <v/>
      </c>
      <c r="E1399" s="6">
        <f>BDP(A1399&amp;" US Equity","PX_LAST")</f>
        <v/>
      </c>
      <c r="F1399" s="5">
        <f>D1399*E1399</f>
        <v/>
      </c>
      <c r="G1399">
        <f>AND(B1399&gt;=50,B1399&lt;=10000)</f>
        <v/>
      </c>
      <c r="H1399">
        <f>OR(C1399="NAS",C1399="NYS",C1399="ASE")</f>
        <v/>
      </c>
      <c r="I1399">
        <f>F1399&gt;=500000</f>
        <v/>
      </c>
      <c r="J1399">
        <f>E1399&gt;=2</f>
        <v/>
      </c>
      <c r="K1399">
        <f>AND(G1399,H1399,I1399,J1399)</f>
        <v/>
      </c>
    </row>
    <row r="1400">
      <c r="B1400" s="5">
        <f>BDP(A1400&amp;" US Equity","CUR_MKT_CAP")</f>
        <v/>
      </c>
      <c r="C1400">
        <f>BDP(A1400&amp;" US Equity","EXCH_CODE")</f>
        <v/>
      </c>
      <c r="D1400" s="5">
        <f>BDP(A1400&amp;" US Equity","VOLUME_AVG_20D")</f>
        <v/>
      </c>
      <c r="E1400" s="6">
        <f>BDP(A1400&amp;" US Equity","PX_LAST")</f>
        <v/>
      </c>
      <c r="F1400" s="5">
        <f>D1400*E1400</f>
        <v/>
      </c>
      <c r="G1400">
        <f>AND(B1400&gt;=50,B1400&lt;=10000)</f>
        <v/>
      </c>
      <c r="H1400">
        <f>OR(C1400="NAS",C1400="NYS",C1400="ASE")</f>
        <v/>
      </c>
      <c r="I1400">
        <f>F1400&gt;=500000</f>
        <v/>
      </c>
      <c r="J1400">
        <f>E1400&gt;=2</f>
        <v/>
      </c>
      <c r="K1400">
        <f>AND(G1400,H1400,I1400,J1400)</f>
        <v/>
      </c>
    </row>
    <row r="1401">
      <c r="B1401" s="5">
        <f>BDP(A1401&amp;" US Equity","CUR_MKT_CAP")</f>
        <v/>
      </c>
      <c r="C1401">
        <f>BDP(A1401&amp;" US Equity","EXCH_CODE")</f>
        <v/>
      </c>
      <c r="D1401" s="5">
        <f>BDP(A1401&amp;" US Equity","VOLUME_AVG_20D")</f>
        <v/>
      </c>
      <c r="E1401" s="6">
        <f>BDP(A1401&amp;" US Equity","PX_LAST")</f>
        <v/>
      </c>
      <c r="F1401" s="5">
        <f>D1401*E1401</f>
        <v/>
      </c>
      <c r="G1401">
        <f>AND(B1401&gt;=50,B1401&lt;=10000)</f>
        <v/>
      </c>
      <c r="H1401">
        <f>OR(C1401="NAS",C1401="NYS",C1401="ASE")</f>
        <v/>
      </c>
      <c r="I1401">
        <f>F1401&gt;=500000</f>
        <v/>
      </c>
      <c r="J1401">
        <f>E1401&gt;=2</f>
        <v/>
      </c>
      <c r="K1401">
        <f>AND(G1401,H1401,I1401,J1401)</f>
        <v/>
      </c>
    </row>
    <row r="1402">
      <c r="B1402" s="5">
        <f>BDP(A1402&amp;" US Equity","CUR_MKT_CAP")</f>
        <v/>
      </c>
      <c r="C1402">
        <f>BDP(A1402&amp;" US Equity","EXCH_CODE")</f>
        <v/>
      </c>
      <c r="D1402" s="5">
        <f>BDP(A1402&amp;" US Equity","VOLUME_AVG_20D")</f>
        <v/>
      </c>
      <c r="E1402" s="6">
        <f>BDP(A1402&amp;" US Equity","PX_LAST")</f>
        <v/>
      </c>
      <c r="F1402" s="5">
        <f>D1402*E1402</f>
        <v/>
      </c>
      <c r="G1402">
        <f>AND(B1402&gt;=50,B1402&lt;=10000)</f>
        <v/>
      </c>
      <c r="H1402">
        <f>OR(C1402="NAS",C1402="NYS",C1402="ASE")</f>
        <v/>
      </c>
      <c r="I1402">
        <f>F1402&gt;=500000</f>
        <v/>
      </c>
      <c r="J1402">
        <f>E1402&gt;=2</f>
        <v/>
      </c>
      <c r="K1402">
        <f>AND(G1402,H1402,I1402,J1402)</f>
        <v/>
      </c>
    </row>
    <row r="1403">
      <c r="B1403" s="5">
        <f>BDP(A1403&amp;" US Equity","CUR_MKT_CAP")</f>
        <v/>
      </c>
      <c r="C1403">
        <f>BDP(A1403&amp;" US Equity","EXCH_CODE")</f>
        <v/>
      </c>
      <c r="D1403" s="5">
        <f>BDP(A1403&amp;" US Equity","VOLUME_AVG_20D")</f>
        <v/>
      </c>
      <c r="E1403" s="6">
        <f>BDP(A1403&amp;" US Equity","PX_LAST")</f>
        <v/>
      </c>
      <c r="F1403" s="5">
        <f>D1403*E1403</f>
        <v/>
      </c>
      <c r="G1403">
        <f>AND(B1403&gt;=50,B1403&lt;=10000)</f>
        <v/>
      </c>
      <c r="H1403">
        <f>OR(C1403="NAS",C1403="NYS",C1403="ASE")</f>
        <v/>
      </c>
      <c r="I1403">
        <f>F1403&gt;=500000</f>
        <v/>
      </c>
      <c r="J1403">
        <f>E1403&gt;=2</f>
        <v/>
      </c>
      <c r="K1403">
        <f>AND(G1403,H1403,I1403,J1403)</f>
        <v/>
      </c>
    </row>
    <row r="1404">
      <c r="B1404" s="5">
        <f>BDP(A1404&amp;" US Equity","CUR_MKT_CAP")</f>
        <v/>
      </c>
      <c r="C1404">
        <f>BDP(A1404&amp;" US Equity","EXCH_CODE")</f>
        <v/>
      </c>
      <c r="D1404" s="5">
        <f>BDP(A1404&amp;" US Equity","VOLUME_AVG_20D")</f>
        <v/>
      </c>
      <c r="E1404" s="6">
        <f>BDP(A1404&amp;" US Equity","PX_LAST")</f>
        <v/>
      </c>
      <c r="F1404" s="5">
        <f>D1404*E1404</f>
        <v/>
      </c>
      <c r="G1404">
        <f>AND(B1404&gt;=50,B1404&lt;=10000)</f>
        <v/>
      </c>
      <c r="H1404">
        <f>OR(C1404="NAS",C1404="NYS",C1404="ASE")</f>
        <v/>
      </c>
      <c r="I1404">
        <f>F1404&gt;=500000</f>
        <v/>
      </c>
      <c r="J1404">
        <f>E1404&gt;=2</f>
        <v/>
      </c>
      <c r="K1404">
        <f>AND(G1404,H1404,I1404,J1404)</f>
        <v/>
      </c>
    </row>
    <row r="1405">
      <c r="B1405" s="5">
        <f>BDP(A1405&amp;" US Equity","CUR_MKT_CAP")</f>
        <v/>
      </c>
      <c r="C1405">
        <f>BDP(A1405&amp;" US Equity","EXCH_CODE")</f>
        <v/>
      </c>
      <c r="D1405" s="5">
        <f>BDP(A1405&amp;" US Equity","VOLUME_AVG_20D")</f>
        <v/>
      </c>
      <c r="E1405" s="6">
        <f>BDP(A1405&amp;" US Equity","PX_LAST")</f>
        <v/>
      </c>
      <c r="F1405" s="5">
        <f>D1405*E1405</f>
        <v/>
      </c>
      <c r="G1405">
        <f>AND(B1405&gt;=50,B1405&lt;=10000)</f>
        <v/>
      </c>
      <c r="H1405">
        <f>OR(C1405="NAS",C1405="NYS",C1405="ASE")</f>
        <v/>
      </c>
      <c r="I1405">
        <f>F1405&gt;=500000</f>
        <v/>
      </c>
      <c r="J1405">
        <f>E1405&gt;=2</f>
        <v/>
      </c>
      <c r="K1405">
        <f>AND(G1405,H1405,I1405,J1405)</f>
        <v/>
      </c>
    </row>
    <row r="1406">
      <c r="B1406" s="5">
        <f>BDP(A1406&amp;" US Equity","CUR_MKT_CAP")</f>
        <v/>
      </c>
      <c r="C1406">
        <f>BDP(A1406&amp;" US Equity","EXCH_CODE")</f>
        <v/>
      </c>
      <c r="D1406" s="5">
        <f>BDP(A1406&amp;" US Equity","VOLUME_AVG_20D")</f>
        <v/>
      </c>
      <c r="E1406" s="6">
        <f>BDP(A1406&amp;" US Equity","PX_LAST")</f>
        <v/>
      </c>
      <c r="F1406" s="5">
        <f>D1406*E1406</f>
        <v/>
      </c>
      <c r="G1406">
        <f>AND(B1406&gt;=50,B1406&lt;=10000)</f>
        <v/>
      </c>
      <c r="H1406">
        <f>OR(C1406="NAS",C1406="NYS",C1406="ASE")</f>
        <v/>
      </c>
      <c r="I1406">
        <f>F1406&gt;=500000</f>
        <v/>
      </c>
      <c r="J1406">
        <f>E1406&gt;=2</f>
        <v/>
      </c>
      <c r="K1406">
        <f>AND(G1406,H1406,I1406,J1406)</f>
        <v/>
      </c>
    </row>
    <row r="1407">
      <c r="B1407" s="5">
        <f>BDP(A1407&amp;" US Equity","CUR_MKT_CAP")</f>
        <v/>
      </c>
      <c r="C1407">
        <f>BDP(A1407&amp;" US Equity","EXCH_CODE")</f>
        <v/>
      </c>
      <c r="D1407" s="5">
        <f>BDP(A1407&amp;" US Equity","VOLUME_AVG_20D")</f>
        <v/>
      </c>
      <c r="E1407" s="6">
        <f>BDP(A1407&amp;" US Equity","PX_LAST")</f>
        <v/>
      </c>
      <c r="F1407" s="5">
        <f>D1407*E1407</f>
        <v/>
      </c>
      <c r="G1407">
        <f>AND(B1407&gt;=50,B1407&lt;=10000)</f>
        <v/>
      </c>
      <c r="H1407">
        <f>OR(C1407="NAS",C1407="NYS",C1407="ASE")</f>
        <v/>
      </c>
      <c r="I1407">
        <f>F1407&gt;=500000</f>
        <v/>
      </c>
      <c r="J1407">
        <f>E1407&gt;=2</f>
        <v/>
      </c>
      <c r="K1407">
        <f>AND(G1407,H1407,I1407,J1407)</f>
        <v/>
      </c>
    </row>
    <row r="1408">
      <c r="B1408" s="5">
        <f>BDP(A1408&amp;" US Equity","CUR_MKT_CAP")</f>
        <v/>
      </c>
      <c r="C1408">
        <f>BDP(A1408&amp;" US Equity","EXCH_CODE")</f>
        <v/>
      </c>
      <c r="D1408" s="5">
        <f>BDP(A1408&amp;" US Equity","VOLUME_AVG_20D")</f>
        <v/>
      </c>
      <c r="E1408" s="6">
        <f>BDP(A1408&amp;" US Equity","PX_LAST")</f>
        <v/>
      </c>
      <c r="F1408" s="5">
        <f>D1408*E1408</f>
        <v/>
      </c>
      <c r="G1408">
        <f>AND(B1408&gt;=50,B1408&lt;=10000)</f>
        <v/>
      </c>
      <c r="H1408">
        <f>OR(C1408="NAS",C1408="NYS",C1408="ASE")</f>
        <v/>
      </c>
      <c r="I1408">
        <f>F1408&gt;=500000</f>
        <v/>
      </c>
      <c r="J1408">
        <f>E1408&gt;=2</f>
        <v/>
      </c>
      <c r="K1408">
        <f>AND(G1408,H1408,I1408,J1408)</f>
        <v/>
      </c>
    </row>
    <row r="1409">
      <c r="B1409" s="5">
        <f>BDP(A1409&amp;" US Equity","CUR_MKT_CAP")</f>
        <v/>
      </c>
      <c r="C1409">
        <f>BDP(A1409&amp;" US Equity","EXCH_CODE")</f>
        <v/>
      </c>
      <c r="D1409" s="5">
        <f>BDP(A1409&amp;" US Equity","VOLUME_AVG_20D")</f>
        <v/>
      </c>
      <c r="E1409" s="6">
        <f>BDP(A1409&amp;" US Equity","PX_LAST")</f>
        <v/>
      </c>
      <c r="F1409" s="5">
        <f>D1409*E1409</f>
        <v/>
      </c>
      <c r="G1409">
        <f>AND(B1409&gt;=50,B1409&lt;=10000)</f>
        <v/>
      </c>
      <c r="H1409">
        <f>OR(C1409="NAS",C1409="NYS",C1409="ASE")</f>
        <v/>
      </c>
      <c r="I1409">
        <f>F1409&gt;=500000</f>
        <v/>
      </c>
      <c r="J1409">
        <f>E1409&gt;=2</f>
        <v/>
      </c>
      <c r="K1409">
        <f>AND(G1409,H1409,I1409,J1409)</f>
        <v/>
      </c>
    </row>
    <row r="1410">
      <c r="B1410" s="5">
        <f>BDP(A1410&amp;" US Equity","CUR_MKT_CAP")</f>
        <v/>
      </c>
      <c r="C1410">
        <f>BDP(A1410&amp;" US Equity","EXCH_CODE")</f>
        <v/>
      </c>
      <c r="D1410" s="5">
        <f>BDP(A1410&amp;" US Equity","VOLUME_AVG_20D")</f>
        <v/>
      </c>
      <c r="E1410" s="6">
        <f>BDP(A1410&amp;" US Equity","PX_LAST")</f>
        <v/>
      </c>
      <c r="F1410" s="5">
        <f>D1410*E1410</f>
        <v/>
      </c>
      <c r="G1410">
        <f>AND(B1410&gt;=50,B1410&lt;=10000)</f>
        <v/>
      </c>
      <c r="H1410">
        <f>OR(C1410="NAS",C1410="NYS",C1410="ASE")</f>
        <v/>
      </c>
      <c r="I1410">
        <f>F1410&gt;=500000</f>
        <v/>
      </c>
      <c r="J1410">
        <f>E1410&gt;=2</f>
        <v/>
      </c>
      <c r="K1410">
        <f>AND(G1410,H1410,I1410,J1410)</f>
        <v/>
      </c>
    </row>
    <row r="1411">
      <c r="B1411" s="5">
        <f>BDP(A1411&amp;" US Equity","CUR_MKT_CAP")</f>
        <v/>
      </c>
      <c r="C1411">
        <f>BDP(A1411&amp;" US Equity","EXCH_CODE")</f>
        <v/>
      </c>
      <c r="D1411" s="5">
        <f>BDP(A1411&amp;" US Equity","VOLUME_AVG_20D")</f>
        <v/>
      </c>
      <c r="E1411" s="6">
        <f>BDP(A1411&amp;" US Equity","PX_LAST")</f>
        <v/>
      </c>
      <c r="F1411" s="5">
        <f>D1411*E1411</f>
        <v/>
      </c>
      <c r="G1411">
        <f>AND(B1411&gt;=50,B1411&lt;=10000)</f>
        <v/>
      </c>
      <c r="H1411">
        <f>OR(C1411="NAS",C1411="NYS",C1411="ASE")</f>
        <v/>
      </c>
      <c r="I1411">
        <f>F1411&gt;=500000</f>
        <v/>
      </c>
      <c r="J1411">
        <f>E1411&gt;=2</f>
        <v/>
      </c>
      <c r="K1411">
        <f>AND(G1411,H1411,I1411,J1411)</f>
        <v/>
      </c>
    </row>
    <row r="1412">
      <c r="B1412" s="5">
        <f>BDP(A1412&amp;" US Equity","CUR_MKT_CAP")</f>
        <v/>
      </c>
      <c r="C1412">
        <f>BDP(A1412&amp;" US Equity","EXCH_CODE")</f>
        <v/>
      </c>
      <c r="D1412" s="5">
        <f>BDP(A1412&amp;" US Equity","VOLUME_AVG_20D")</f>
        <v/>
      </c>
      <c r="E1412" s="6">
        <f>BDP(A1412&amp;" US Equity","PX_LAST")</f>
        <v/>
      </c>
      <c r="F1412" s="5">
        <f>D1412*E1412</f>
        <v/>
      </c>
      <c r="G1412">
        <f>AND(B1412&gt;=50,B1412&lt;=10000)</f>
        <v/>
      </c>
      <c r="H1412">
        <f>OR(C1412="NAS",C1412="NYS",C1412="ASE")</f>
        <v/>
      </c>
      <c r="I1412">
        <f>F1412&gt;=500000</f>
        <v/>
      </c>
      <c r="J1412">
        <f>E1412&gt;=2</f>
        <v/>
      </c>
      <c r="K1412">
        <f>AND(G1412,H1412,I1412,J1412)</f>
        <v/>
      </c>
    </row>
    <row r="1413">
      <c r="B1413" s="5">
        <f>BDP(A1413&amp;" US Equity","CUR_MKT_CAP")</f>
        <v/>
      </c>
      <c r="C1413">
        <f>BDP(A1413&amp;" US Equity","EXCH_CODE")</f>
        <v/>
      </c>
      <c r="D1413" s="5">
        <f>BDP(A1413&amp;" US Equity","VOLUME_AVG_20D")</f>
        <v/>
      </c>
      <c r="E1413" s="6">
        <f>BDP(A1413&amp;" US Equity","PX_LAST")</f>
        <v/>
      </c>
      <c r="F1413" s="5">
        <f>D1413*E1413</f>
        <v/>
      </c>
      <c r="G1413">
        <f>AND(B1413&gt;=50,B1413&lt;=10000)</f>
        <v/>
      </c>
      <c r="H1413">
        <f>OR(C1413="NAS",C1413="NYS",C1413="ASE")</f>
        <v/>
      </c>
      <c r="I1413">
        <f>F1413&gt;=500000</f>
        <v/>
      </c>
      <c r="J1413">
        <f>E1413&gt;=2</f>
        <v/>
      </c>
      <c r="K1413">
        <f>AND(G1413,H1413,I1413,J1413)</f>
        <v/>
      </c>
    </row>
    <row r="1414">
      <c r="B1414" s="5">
        <f>BDP(A1414&amp;" US Equity","CUR_MKT_CAP")</f>
        <v/>
      </c>
      <c r="C1414">
        <f>BDP(A1414&amp;" US Equity","EXCH_CODE")</f>
        <v/>
      </c>
      <c r="D1414" s="5">
        <f>BDP(A1414&amp;" US Equity","VOLUME_AVG_20D")</f>
        <v/>
      </c>
      <c r="E1414" s="6">
        <f>BDP(A1414&amp;" US Equity","PX_LAST")</f>
        <v/>
      </c>
      <c r="F1414" s="5">
        <f>D1414*E1414</f>
        <v/>
      </c>
      <c r="G1414">
        <f>AND(B1414&gt;=50,B1414&lt;=10000)</f>
        <v/>
      </c>
      <c r="H1414">
        <f>OR(C1414="NAS",C1414="NYS",C1414="ASE")</f>
        <v/>
      </c>
      <c r="I1414">
        <f>F1414&gt;=500000</f>
        <v/>
      </c>
      <c r="J1414">
        <f>E1414&gt;=2</f>
        <v/>
      </c>
      <c r="K1414">
        <f>AND(G1414,H1414,I1414,J1414)</f>
        <v/>
      </c>
    </row>
    <row r="1415">
      <c r="B1415" s="5">
        <f>BDP(A1415&amp;" US Equity","CUR_MKT_CAP")</f>
        <v/>
      </c>
      <c r="C1415">
        <f>BDP(A1415&amp;" US Equity","EXCH_CODE")</f>
        <v/>
      </c>
      <c r="D1415" s="5">
        <f>BDP(A1415&amp;" US Equity","VOLUME_AVG_20D")</f>
        <v/>
      </c>
      <c r="E1415" s="6">
        <f>BDP(A1415&amp;" US Equity","PX_LAST")</f>
        <v/>
      </c>
      <c r="F1415" s="5">
        <f>D1415*E1415</f>
        <v/>
      </c>
      <c r="G1415">
        <f>AND(B1415&gt;=50,B1415&lt;=10000)</f>
        <v/>
      </c>
      <c r="H1415">
        <f>OR(C1415="NAS",C1415="NYS",C1415="ASE")</f>
        <v/>
      </c>
      <c r="I1415">
        <f>F1415&gt;=500000</f>
        <v/>
      </c>
      <c r="J1415">
        <f>E1415&gt;=2</f>
        <v/>
      </c>
      <c r="K1415">
        <f>AND(G1415,H1415,I1415,J1415)</f>
        <v/>
      </c>
    </row>
    <row r="1416">
      <c r="B1416" s="5">
        <f>BDP(A1416&amp;" US Equity","CUR_MKT_CAP")</f>
        <v/>
      </c>
      <c r="C1416">
        <f>BDP(A1416&amp;" US Equity","EXCH_CODE")</f>
        <v/>
      </c>
      <c r="D1416" s="5">
        <f>BDP(A1416&amp;" US Equity","VOLUME_AVG_20D")</f>
        <v/>
      </c>
      <c r="E1416" s="6">
        <f>BDP(A1416&amp;" US Equity","PX_LAST")</f>
        <v/>
      </c>
      <c r="F1416" s="5">
        <f>D1416*E1416</f>
        <v/>
      </c>
      <c r="G1416">
        <f>AND(B1416&gt;=50,B1416&lt;=10000)</f>
        <v/>
      </c>
      <c r="H1416">
        <f>OR(C1416="NAS",C1416="NYS",C1416="ASE")</f>
        <v/>
      </c>
      <c r="I1416">
        <f>F1416&gt;=500000</f>
        <v/>
      </c>
      <c r="J1416">
        <f>E1416&gt;=2</f>
        <v/>
      </c>
      <c r="K1416">
        <f>AND(G1416,H1416,I1416,J1416)</f>
        <v/>
      </c>
    </row>
    <row r="1417">
      <c r="B1417" s="5">
        <f>BDP(A1417&amp;" US Equity","CUR_MKT_CAP")</f>
        <v/>
      </c>
      <c r="C1417">
        <f>BDP(A1417&amp;" US Equity","EXCH_CODE")</f>
        <v/>
      </c>
      <c r="D1417" s="5">
        <f>BDP(A1417&amp;" US Equity","VOLUME_AVG_20D")</f>
        <v/>
      </c>
      <c r="E1417" s="6">
        <f>BDP(A1417&amp;" US Equity","PX_LAST")</f>
        <v/>
      </c>
      <c r="F1417" s="5">
        <f>D1417*E1417</f>
        <v/>
      </c>
      <c r="G1417">
        <f>AND(B1417&gt;=50,B1417&lt;=10000)</f>
        <v/>
      </c>
      <c r="H1417">
        <f>OR(C1417="NAS",C1417="NYS",C1417="ASE")</f>
        <v/>
      </c>
      <c r="I1417">
        <f>F1417&gt;=500000</f>
        <v/>
      </c>
      <c r="J1417">
        <f>E1417&gt;=2</f>
        <v/>
      </c>
      <c r="K1417">
        <f>AND(G1417,H1417,I1417,J1417)</f>
        <v/>
      </c>
    </row>
    <row r="1418">
      <c r="B1418" s="5">
        <f>BDP(A1418&amp;" US Equity","CUR_MKT_CAP")</f>
        <v/>
      </c>
      <c r="C1418">
        <f>BDP(A1418&amp;" US Equity","EXCH_CODE")</f>
        <v/>
      </c>
      <c r="D1418" s="5">
        <f>BDP(A1418&amp;" US Equity","VOLUME_AVG_20D")</f>
        <v/>
      </c>
      <c r="E1418" s="6">
        <f>BDP(A1418&amp;" US Equity","PX_LAST")</f>
        <v/>
      </c>
      <c r="F1418" s="5">
        <f>D1418*E1418</f>
        <v/>
      </c>
      <c r="G1418">
        <f>AND(B1418&gt;=50,B1418&lt;=10000)</f>
        <v/>
      </c>
      <c r="H1418">
        <f>OR(C1418="NAS",C1418="NYS",C1418="ASE")</f>
        <v/>
      </c>
      <c r="I1418">
        <f>F1418&gt;=500000</f>
        <v/>
      </c>
      <c r="J1418">
        <f>E1418&gt;=2</f>
        <v/>
      </c>
      <c r="K1418">
        <f>AND(G1418,H1418,I1418,J1418)</f>
        <v/>
      </c>
    </row>
    <row r="1419">
      <c r="B1419" s="5">
        <f>BDP(A1419&amp;" US Equity","CUR_MKT_CAP")</f>
        <v/>
      </c>
      <c r="C1419">
        <f>BDP(A1419&amp;" US Equity","EXCH_CODE")</f>
        <v/>
      </c>
      <c r="D1419" s="5">
        <f>BDP(A1419&amp;" US Equity","VOLUME_AVG_20D")</f>
        <v/>
      </c>
      <c r="E1419" s="6">
        <f>BDP(A1419&amp;" US Equity","PX_LAST")</f>
        <v/>
      </c>
      <c r="F1419" s="5">
        <f>D1419*E1419</f>
        <v/>
      </c>
      <c r="G1419">
        <f>AND(B1419&gt;=50,B1419&lt;=10000)</f>
        <v/>
      </c>
      <c r="H1419">
        <f>OR(C1419="NAS",C1419="NYS",C1419="ASE")</f>
        <v/>
      </c>
      <c r="I1419">
        <f>F1419&gt;=500000</f>
        <v/>
      </c>
      <c r="J1419">
        <f>E1419&gt;=2</f>
        <v/>
      </c>
      <c r="K1419">
        <f>AND(G1419,H1419,I1419,J1419)</f>
        <v/>
      </c>
    </row>
    <row r="1420">
      <c r="B1420" s="5">
        <f>BDP(A1420&amp;" US Equity","CUR_MKT_CAP")</f>
        <v/>
      </c>
      <c r="C1420">
        <f>BDP(A1420&amp;" US Equity","EXCH_CODE")</f>
        <v/>
      </c>
      <c r="D1420" s="5">
        <f>BDP(A1420&amp;" US Equity","VOLUME_AVG_20D")</f>
        <v/>
      </c>
      <c r="E1420" s="6">
        <f>BDP(A1420&amp;" US Equity","PX_LAST")</f>
        <v/>
      </c>
      <c r="F1420" s="5">
        <f>D1420*E1420</f>
        <v/>
      </c>
      <c r="G1420">
        <f>AND(B1420&gt;=50,B1420&lt;=10000)</f>
        <v/>
      </c>
      <c r="H1420">
        <f>OR(C1420="NAS",C1420="NYS",C1420="ASE")</f>
        <v/>
      </c>
      <c r="I1420">
        <f>F1420&gt;=500000</f>
        <v/>
      </c>
      <c r="J1420">
        <f>E1420&gt;=2</f>
        <v/>
      </c>
      <c r="K1420">
        <f>AND(G1420,H1420,I1420,J1420)</f>
        <v/>
      </c>
    </row>
    <row r="1421">
      <c r="B1421" s="5">
        <f>BDP(A1421&amp;" US Equity","CUR_MKT_CAP")</f>
        <v/>
      </c>
      <c r="C1421">
        <f>BDP(A1421&amp;" US Equity","EXCH_CODE")</f>
        <v/>
      </c>
      <c r="D1421" s="5">
        <f>BDP(A1421&amp;" US Equity","VOLUME_AVG_20D")</f>
        <v/>
      </c>
      <c r="E1421" s="6">
        <f>BDP(A1421&amp;" US Equity","PX_LAST")</f>
        <v/>
      </c>
      <c r="F1421" s="5">
        <f>D1421*E1421</f>
        <v/>
      </c>
      <c r="G1421">
        <f>AND(B1421&gt;=50,B1421&lt;=10000)</f>
        <v/>
      </c>
      <c r="H1421">
        <f>OR(C1421="NAS",C1421="NYS",C1421="ASE")</f>
        <v/>
      </c>
      <c r="I1421">
        <f>F1421&gt;=500000</f>
        <v/>
      </c>
      <c r="J1421">
        <f>E1421&gt;=2</f>
        <v/>
      </c>
      <c r="K1421">
        <f>AND(G1421,H1421,I1421,J1421)</f>
        <v/>
      </c>
    </row>
    <row r="1422">
      <c r="B1422" s="5">
        <f>BDP(A1422&amp;" US Equity","CUR_MKT_CAP")</f>
        <v/>
      </c>
      <c r="C1422">
        <f>BDP(A1422&amp;" US Equity","EXCH_CODE")</f>
        <v/>
      </c>
      <c r="D1422" s="5">
        <f>BDP(A1422&amp;" US Equity","VOLUME_AVG_20D")</f>
        <v/>
      </c>
      <c r="E1422" s="6">
        <f>BDP(A1422&amp;" US Equity","PX_LAST")</f>
        <v/>
      </c>
      <c r="F1422" s="5">
        <f>D1422*E1422</f>
        <v/>
      </c>
      <c r="G1422">
        <f>AND(B1422&gt;=50,B1422&lt;=10000)</f>
        <v/>
      </c>
      <c r="H1422">
        <f>OR(C1422="NAS",C1422="NYS",C1422="ASE")</f>
        <v/>
      </c>
      <c r="I1422">
        <f>F1422&gt;=500000</f>
        <v/>
      </c>
      <c r="J1422">
        <f>E1422&gt;=2</f>
        <v/>
      </c>
      <c r="K1422">
        <f>AND(G1422,H1422,I1422,J1422)</f>
        <v/>
      </c>
    </row>
    <row r="1423">
      <c r="B1423" s="5">
        <f>BDP(A1423&amp;" US Equity","CUR_MKT_CAP")</f>
        <v/>
      </c>
      <c r="C1423">
        <f>BDP(A1423&amp;" US Equity","EXCH_CODE")</f>
        <v/>
      </c>
      <c r="D1423" s="5">
        <f>BDP(A1423&amp;" US Equity","VOLUME_AVG_20D")</f>
        <v/>
      </c>
      <c r="E1423" s="6">
        <f>BDP(A1423&amp;" US Equity","PX_LAST")</f>
        <v/>
      </c>
      <c r="F1423" s="5">
        <f>D1423*E1423</f>
        <v/>
      </c>
      <c r="G1423">
        <f>AND(B1423&gt;=50,B1423&lt;=10000)</f>
        <v/>
      </c>
      <c r="H1423">
        <f>OR(C1423="NAS",C1423="NYS",C1423="ASE")</f>
        <v/>
      </c>
      <c r="I1423">
        <f>F1423&gt;=500000</f>
        <v/>
      </c>
      <c r="J1423">
        <f>E1423&gt;=2</f>
        <v/>
      </c>
      <c r="K1423">
        <f>AND(G1423,H1423,I1423,J1423)</f>
        <v/>
      </c>
    </row>
    <row r="1424">
      <c r="B1424" s="5">
        <f>BDP(A1424&amp;" US Equity","CUR_MKT_CAP")</f>
        <v/>
      </c>
      <c r="C1424">
        <f>BDP(A1424&amp;" US Equity","EXCH_CODE")</f>
        <v/>
      </c>
      <c r="D1424" s="5">
        <f>BDP(A1424&amp;" US Equity","VOLUME_AVG_20D")</f>
        <v/>
      </c>
      <c r="E1424" s="6">
        <f>BDP(A1424&amp;" US Equity","PX_LAST")</f>
        <v/>
      </c>
      <c r="F1424" s="5">
        <f>D1424*E1424</f>
        <v/>
      </c>
      <c r="G1424">
        <f>AND(B1424&gt;=50,B1424&lt;=10000)</f>
        <v/>
      </c>
      <c r="H1424">
        <f>OR(C1424="NAS",C1424="NYS",C1424="ASE")</f>
        <v/>
      </c>
      <c r="I1424">
        <f>F1424&gt;=500000</f>
        <v/>
      </c>
      <c r="J1424">
        <f>E1424&gt;=2</f>
        <v/>
      </c>
      <c r="K1424">
        <f>AND(G1424,H1424,I1424,J1424)</f>
        <v/>
      </c>
    </row>
    <row r="1425">
      <c r="B1425" s="5">
        <f>BDP(A1425&amp;" US Equity","CUR_MKT_CAP")</f>
        <v/>
      </c>
      <c r="C1425">
        <f>BDP(A1425&amp;" US Equity","EXCH_CODE")</f>
        <v/>
      </c>
      <c r="D1425" s="5">
        <f>BDP(A1425&amp;" US Equity","VOLUME_AVG_20D")</f>
        <v/>
      </c>
      <c r="E1425" s="6">
        <f>BDP(A1425&amp;" US Equity","PX_LAST")</f>
        <v/>
      </c>
      <c r="F1425" s="5">
        <f>D1425*E1425</f>
        <v/>
      </c>
      <c r="G1425">
        <f>AND(B1425&gt;=50,B1425&lt;=10000)</f>
        <v/>
      </c>
      <c r="H1425">
        <f>OR(C1425="NAS",C1425="NYS",C1425="ASE")</f>
        <v/>
      </c>
      <c r="I1425">
        <f>F1425&gt;=500000</f>
        <v/>
      </c>
      <c r="J1425">
        <f>E1425&gt;=2</f>
        <v/>
      </c>
      <c r="K1425">
        <f>AND(G1425,H1425,I1425,J1425)</f>
        <v/>
      </c>
    </row>
    <row r="1426">
      <c r="B1426" s="5">
        <f>BDP(A1426&amp;" US Equity","CUR_MKT_CAP")</f>
        <v/>
      </c>
      <c r="C1426">
        <f>BDP(A1426&amp;" US Equity","EXCH_CODE")</f>
        <v/>
      </c>
      <c r="D1426" s="5">
        <f>BDP(A1426&amp;" US Equity","VOLUME_AVG_20D")</f>
        <v/>
      </c>
      <c r="E1426" s="6">
        <f>BDP(A1426&amp;" US Equity","PX_LAST")</f>
        <v/>
      </c>
      <c r="F1426" s="5">
        <f>D1426*E1426</f>
        <v/>
      </c>
      <c r="G1426">
        <f>AND(B1426&gt;=50,B1426&lt;=10000)</f>
        <v/>
      </c>
      <c r="H1426">
        <f>OR(C1426="NAS",C1426="NYS",C1426="ASE")</f>
        <v/>
      </c>
      <c r="I1426">
        <f>F1426&gt;=500000</f>
        <v/>
      </c>
      <c r="J1426">
        <f>E1426&gt;=2</f>
        <v/>
      </c>
      <c r="K1426">
        <f>AND(G1426,H1426,I1426,J1426)</f>
        <v/>
      </c>
    </row>
    <row r="1427">
      <c r="B1427" s="5">
        <f>BDP(A1427&amp;" US Equity","CUR_MKT_CAP")</f>
        <v/>
      </c>
      <c r="C1427">
        <f>BDP(A1427&amp;" US Equity","EXCH_CODE")</f>
        <v/>
      </c>
      <c r="D1427" s="5">
        <f>BDP(A1427&amp;" US Equity","VOLUME_AVG_20D")</f>
        <v/>
      </c>
      <c r="E1427" s="6">
        <f>BDP(A1427&amp;" US Equity","PX_LAST")</f>
        <v/>
      </c>
      <c r="F1427" s="5">
        <f>D1427*E1427</f>
        <v/>
      </c>
      <c r="G1427">
        <f>AND(B1427&gt;=50,B1427&lt;=10000)</f>
        <v/>
      </c>
      <c r="H1427">
        <f>OR(C1427="NAS",C1427="NYS",C1427="ASE")</f>
        <v/>
      </c>
      <c r="I1427">
        <f>F1427&gt;=500000</f>
        <v/>
      </c>
      <c r="J1427">
        <f>E1427&gt;=2</f>
        <v/>
      </c>
      <c r="K1427">
        <f>AND(G1427,H1427,I1427,J1427)</f>
        <v/>
      </c>
    </row>
    <row r="1428">
      <c r="B1428" s="5">
        <f>BDP(A1428&amp;" US Equity","CUR_MKT_CAP")</f>
        <v/>
      </c>
      <c r="C1428">
        <f>BDP(A1428&amp;" US Equity","EXCH_CODE")</f>
        <v/>
      </c>
      <c r="D1428" s="5">
        <f>BDP(A1428&amp;" US Equity","VOLUME_AVG_20D")</f>
        <v/>
      </c>
      <c r="E1428" s="6">
        <f>BDP(A1428&amp;" US Equity","PX_LAST")</f>
        <v/>
      </c>
      <c r="F1428" s="5">
        <f>D1428*E1428</f>
        <v/>
      </c>
      <c r="G1428">
        <f>AND(B1428&gt;=50,B1428&lt;=10000)</f>
        <v/>
      </c>
      <c r="H1428">
        <f>OR(C1428="NAS",C1428="NYS",C1428="ASE")</f>
        <v/>
      </c>
      <c r="I1428">
        <f>F1428&gt;=500000</f>
        <v/>
      </c>
      <c r="J1428">
        <f>E1428&gt;=2</f>
        <v/>
      </c>
      <c r="K1428">
        <f>AND(G1428,H1428,I1428,J1428)</f>
        <v/>
      </c>
    </row>
    <row r="1429">
      <c r="B1429" s="5">
        <f>BDP(A1429&amp;" US Equity","CUR_MKT_CAP")</f>
        <v/>
      </c>
      <c r="C1429">
        <f>BDP(A1429&amp;" US Equity","EXCH_CODE")</f>
        <v/>
      </c>
      <c r="D1429" s="5">
        <f>BDP(A1429&amp;" US Equity","VOLUME_AVG_20D")</f>
        <v/>
      </c>
      <c r="E1429" s="6">
        <f>BDP(A1429&amp;" US Equity","PX_LAST")</f>
        <v/>
      </c>
      <c r="F1429" s="5">
        <f>D1429*E1429</f>
        <v/>
      </c>
      <c r="G1429">
        <f>AND(B1429&gt;=50,B1429&lt;=10000)</f>
        <v/>
      </c>
      <c r="H1429">
        <f>OR(C1429="NAS",C1429="NYS",C1429="ASE")</f>
        <v/>
      </c>
      <c r="I1429">
        <f>F1429&gt;=500000</f>
        <v/>
      </c>
      <c r="J1429">
        <f>E1429&gt;=2</f>
        <v/>
      </c>
      <c r="K1429">
        <f>AND(G1429,H1429,I1429,J1429)</f>
        <v/>
      </c>
    </row>
    <row r="1430">
      <c r="B1430" s="5">
        <f>BDP(A1430&amp;" US Equity","CUR_MKT_CAP")</f>
        <v/>
      </c>
      <c r="C1430">
        <f>BDP(A1430&amp;" US Equity","EXCH_CODE")</f>
        <v/>
      </c>
      <c r="D1430" s="5">
        <f>BDP(A1430&amp;" US Equity","VOLUME_AVG_20D")</f>
        <v/>
      </c>
      <c r="E1430" s="6">
        <f>BDP(A1430&amp;" US Equity","PX_LAST")</f>
        <v/>
      </c>
      <c r="F1430" s="5">
        <f>D1430*E1430</f>
        <v/>
      </c>
      <c r="G1430">
        <f>AND(B1430&gt;=50,B1430&lt;=10000)</f>
        <v/>
      </c>
      <c r="H1430">
        <f>OR(C1430="NAS",C1430="NYS",C1430="ASE")</f>
        <v/>
      </c>
      <c r="I1430">
        <f>F1430&gt;=500000</f>
        <v/>
      </c>
      <c r="J1430">
        <f>E1430&gt;=2</f>
        <v/>
      </c>
      <c r="K1430">
        <f>AND(G1430,H1430,I1430,J1430)</f>
        <v/>
      </c>
    </row>
    <row r="1431">
      <c r="B1431" s="5">
        <f>BDP(A1431&amp;" US Equity","CUR_MKT_CAP")</f>
        <v/>
      </c>
      <c r="C1431">
        <f>BDP(A1431&amp;" US Equity","EXCH_CODE")</f>
        <v/>
      </c>
      <c r="D1431" s="5">
        <f>BDP(A1431&amp;" US Equity","VOLUME_AVG_20D")</f>
        <v/>
      </c>
      <c r="E1431" s="6">
        <f>BDP(A1431&amp;" US Equity","PX_LAST")</f>
        <v/>
      </c>
      <c r="F1431" s="5">
        <f>D1431*E1431</f>
        <v/>
      </c>
      <c r="G1431">
        <f>AND(B1431&gt;=50,B1431&lt;=10000)</f>
        <v/>
      </c>
      <c r="H1431">
        <f>OR(C1431="NAS",C1431="NYS",C1431="ASE")</f>
        <v/>
      </c>
      <c r="I1431">
        <f>F1431&gt;=500000</f>
        <v/>
      </c>
      <c r="J1431">
        <f>E1431&gt;=2</f>
        <v/>
      </c>
      <c r="K1431">
        <f>AND(G1431,H1431,I1431,J1431)</f>
        <v/>
      </c>
    </row>
    <row r="1432">
      <c r="B1432" s="5">
        <f>BDP(A1432&amp;" US Equity","CUR_MKT_CAP")</f>
        <v/>
      </c>
      <c r="C1432">
        <f>BDP(A1432&amp;" US Equity","EXCH_CODE")</f>
        <v/>
      </c>
      <c r="D1432" s="5">
        <f>BDP(A1432&amp;" US Equity","VOLUME_AVG_20D")</f>
        <v/>
      </c>
      <c r="E1432" s="6">
        <f>BDP(A1432&amp;" US Equity","PX_LAST")</f>
        <v/>
      </c>
      <c r="F1432" s="5">
        <f>D1432*E1432</f>
        <v/>
      </c>
      <c r="G1432">
        <f>AND(B1432&gt;=50,B1432&lt;=10000)</f>
        <v/>
      </c>
      <c r="H1432">
        <f>OR(C1432="NAS",C1432="NYS",C1432="ASE")</f>
        <v/>
      </c>
      <c r="I1432">
        <f>F1432&gt;=500000</f>
        <v/>
      </c>
      <c r="J1432">
        <f>E1432&gt;=2</f>
        <v/>
      </c>
      <c r="K1432">
        <f>AND(G1432,H1432,I1432,J1432)</f>
        <v/>
      </c>
    </row>
    <row r="1433">
      <c r="B1433" s="5">
        <f>BDP(A1433&amp;" US Equity","CUR_MKT_CAP")</f>
        <v/>
      </c>
      <c r="C1433">
        <f>BDP(A1433&amp;" US Equity","EXCH_CODE")</f>
        <v/>
      </c>
      <c r="D1433" s="5">
        <f>BDP(A1433&amp;" US Equity","VOLUME_AVG_20D")</f>
        <v/>
      </c>
      <c r="E1433" s="6">
        <f>BDP(A1433&amp;" US Equity","PX_LAST")</f>
        <v/>
      </c>
      <c r="F1433" s="5">
        <f>D1433*E1433</f>
        <v/>
      </c>
      <c r="G1433">
        <f>AND(B1433&gt;=50,B1433&lt;=10000)</f>
        <v/>
      </c>
      <c r="H1433">
        <f>OR(C1433="NAS",C1433="NYS",C1433="ASE")</f>
        <v/>
      </c>
      <c r="I1433">
        <f>F1433&gt;=500000</f>
        <v/>
      </c>
      <c r="J1433">
        <f>E1433&gt;=2</f>
        <v/>
      </c>
      <c r="K1433">
        <f>AND(G1433,H1433,I1433,J1433)</f>
        <v/>
      </c>
    </row>
    <row r="1434">
      <c r="B1434" s="5">
        <f>BDP(A1434&amp;" US Equity","CUR_MKT_CAP")</f>
        <v/>
      </c>
      <c r="C1434">
        <f>BDP(A1434&amp;" US Equity","EXCH_CODE")</f>
        <v/>
      </c>
      <c r="D1434" s="5">
        <f>BDP(A1434&amp;" US Equity","VOLUME_AVG_20D")</f>
        <v/>
      </c>
      <c r="E1434" s="6">
        <f>BDP(A1434&amp;" US Equity","PX_LAST")</f>
        <v/>
      </c>
      <c r="F1434" s="5">
        <f>D1434*E1434</f>
        <v/>
      </c>
      <c r="G1434">
        <f>AND(B1434&gt;=50,B1434&lt;=10000)</f>
        <v/>
      </c>
      <c r="H1434">
        <f>OR(C1434="NAS",C1434="NYS",C1434="ASE")</f>
        <v/>
      </c>
      <c r="I1434">
        <f>F1434&gt;=500000</f>
        <v/>
      </c>
      <c r="J1434">
        <f>E1434&gt;=2</f>
        <v/>
      </c>
      <c r="K1434">
        <f>AND(G1434,H1434,I1434,J1434)</f>
        <v/>
      </c>
    </row>
    <row r="1435">
      <c r="B1435" s="5">
        <f>BDP(A1435&amp;" US Equity","CUR_MKT_CAP")</f>
        <v/>
      </c>
      <c r="C1435">
        <f>BDP(A1435&amp;" US Equity","EXCH_CODE")</f>
        <v/>
      </c>
      <c r="D1435" s="5">
        <f>BDP(A1435&amp;" US Equity","VOLUME_AVG_20D")</f>
        <v/>
      </c>
      <c r="E1435" s="6">
        <f>BDP(A1435&amp;" US Equity","PX_LAST")</f>
        <v/>
      </c>
      <c r="F1435" s="5">
        <f>D1435*E1435</f>
        <v/>
      </c>
      <c r="G1435">
        <f>AND(B1435&gt;=50,B1435&lt;=10000)</f>
        <v/>
      </c>
      <c r="H1435">
        <f>OR(C1435="NAS",C1435="NYS",C1435="ASE")</f>
        <v/>
      </c>
      <c r="I1435">
        <f>F1435&gt;=500000</f>
        <v/>
      </c>
      <c r="J1435">
        <f>E1435&gt;=2</f>
        <v/>
      </c>
      <c r="K1435">
        <f>AND(G1435,H1435,I1435,J1435)</f>
        <v/>
      </c>
    </row>
    <row r="1436">
      <c r="B1436" s="5">
        <f>BDP(A1436&amp;" US Equity","CUR_MKT_CAP")</f>
        <v/>
      </c>
      <c r="C1436">
        <f>BDP(A1436&amp;" US Equity","EXCH_CODE")</f>
        <v/>
      </c>
      <c r="D1436" s="5">
        <f>BDP(A1436&amp;" US Equity","VOLUME_AVG_20D")</f>
        <v/>
      </c>
      <c r="E1436" s="6">
        <f>BDP(A1436&amp;" US Equity","PX_LAST")</f>
        <v/>
      </c>
      <c r="F1436" s="5">
        <f>D1436*E1436</f>
        <v/>
      </c>
      <c r="G1436">
        <f>AND(B1436&gt;=50,B1436&lt;=10000)</f>
        <v/>
      </c>
      <c r="H1436">
        <f>OR(C1436="NAS",C1436="NYS",C1436="ASE")</f>
        <v/>
      </c>
      <c r="I1436">
        <f>F1436&gt;=500000</f>
        <v/>
      </c>
      <c r="J1436">
        <f>E1436&gt;=2</f>
        <v/>
      </c>
      <c r="K1436">
        <f>AND(G1436,H1436,I1436,J1436)</f>
        <v/>
      </c>
    </row>
    <row r="1437">
      <c r="B1437" s="5">
        <f>BDP(A1437&amp;" US Equity","CUR_MKT_CAP")</f>
        <v/>
      </c>
      <c r="C1437">
        <f>BDP(A1437&amp;" US Equity","EXCH_CODE")</f>
        <v/>
      </c>
      <c r="D1437" s="5">
        <f>BDP(A1437&amp;" US Equity","VOLUME_AVG_20D")</f>
        <v/>
      </c>
      <c r="E1437" s="6">
        <f>BDP(A1437&amp;" US Equity","PX_LAST")</f>
        <v/>
      </c>
      <c r="F1437" s="5">
        <f>D1437*E1437</f>
        <v/>
      </c>
      <c r="G1437">
        <f>AND(B1437&gt;=50,B1437&lt;=10000)</f>
        <v/>
      </c>
      <c r="H1437">
        <f>OR(C1437="NAS",C1437="NYS",C1437="ASE")</f>
        <v/>
      </c>
      <c r="I1437">
        <f>F1437&gt;=500000</f>
        <v/>
      </c>
      <c r="J1437">
        <f>E1437&gt;=2</f>
        <v/>
      </c>
      <c r="K1437">
        <f>AND(G1437,H1437,I1437,J1437)</f>
        <v/>
      </c>
    </row>
    <row r="1438">
      <c r="B1438" s="5">
        <f>BDP(A1438&amp;" US Equity","CUR_MKT_CAP")</f>
        <v/>
      </c>
      <c r="C1438">
        <f>BDP(A1438&amp;" US Equity","EXCH_CODE")</f>
        <v/>
      </c>
      <c r="D1438" s="5">
        <f>BDP(A1438&amp;" US Equity","VOLUME_AVG_20D")</f>
        <v/>
      </c>
      <c r="E1438" s="6">
        <f>BDP(A1438&amp;" US Equity","PX_LAST")</f>
        <v/>
      </c>
      <c r="F1438" s="5">
        <f>D1438*E1438</f>
        <v/>
      </c>
      <c r="G1438">
        <f>AND(B1438&gt;=50,B1438&lt;=10000)</f>
        <v/>
      </c>
      <c r="H1438">
        <f>OR(C1438="NAS",C1438="NYS",C1438="ASE")</f>
        <v/>
      </c>
      <c r="I1438">
        <f>F1438&gt;=500000</f>
        <v/>
      </c>
      <c r="J1438">
        <f>E1438&gt;=2</f>
        <v/>
      </c>
      <c r="K1438">
        <f>AND(G1438,H1438,I1438,J1438)</f>
        <v/>
      </c>
    </row>
    <row r="1439">
      <c r="B1439" s="5">
        <f>BDP(A1439&amp;" US Equity","CUR_MKT_CAP")</f>
        <v/>
      </c>
      <c r="C1439">
        <f>BDP(A1439&amp;" US Equity","EXCH_CODE")</f>
        <v/>
      </c>
      <c r="D1439" s="5">
        <f>BDP(A1439&amp;" US Equity","VOLUME_AVG_20D")</f>
        <v/>
      </c>
      <c r="E1439" s="6">
        <f>BDP(A1439&amp;" US Equity","PX_LAST")</f>
        <v/>
      </c>
      <c r="F1439" s="5">
        <f>D1439*E1439</f>
        <v/>
      </c>
      <c r="G1439">
        <f>AND(B1439&gt;=50,B1439&lt;=10000)</f>
        <v/>
      </c>
      <c r="H1439">
        <f>OR(C1439="NAS",C1439="NYS",C1439="ASE")</f>
        <v/>
      </c>
      <c r="I1439">
        <f>F1439&gt;=500000</f>
        <v/>
      </c>
      <c r="J1439">
        <f>E1439&gt;=2</f>
        <v/>
      </c>
      <c r="K1439">
        <f>AND(G1439,H1439,I1439,J1439)</f>
        <v/>
      </c>
    </row>
    <row r="1440">
      <c r="B1440" s="5">
        <f>BDP(A1440&amp;" US Equity","CUR_MKT_CAP")</f>
        <v/>
      </c>
      <c r="C1440">
        <f>BDP(A1440&amp;" US Equity","EXCH_CODE")</f>
        <v/>
      </c>
      <c r="D1440" s="5">
        <f>BDP(A1440&amp;" US Equity","VOLUME_AVG_20D")</f>
        <v/>
      </c>
      <c r="E1440" s="6">
        <f>BDP(A1440&amp;" US Equity","PX_LAST")</f>
        <v/>
      </c>
      <c r="F1440" s="5">
        <f>D1440*E1440</f>
        <v/>
      </c>
      <c r="G1440">
        <f>AND(B1440&gt;=50,B1440&lt;=10000)</f>
        <v/>
      </c>
      <c r="H1440">
        <f>OR(C1440="NAS",C1440="NYS",C1440="ASE")</f>
        <v/>
      </c>
      <c r="I1440">
        <f>F1440&gt;=500000</f>
        <v/>
      </c>
      <c r="J1440">
        <f>E1440&gt;=2</f>
        <v/>
      </c>
      <c r="K1440">
        <f>AND(G1440,H1440,I1440,J1440)</f>
        <v/>
      </c>
    </row>
    <row r="1441">
      <c r="B1441" s="5">
        <f>BDP(A1441&amp;" US Equity","CUR_MKT_CAP")</f>
        <v/>
      </c>
      <c r="C1441">
        <f>BDP(A1441&amp;" US Equity","EXCH_CODE")</f>
        <v/>
      </c>
      <c r="D1441" s="5">
        <f>BDP(A1441&amp;" US Equity","VOLUME_AVG_20D")</f>
        <v/>
      </c>
      <c r="E1441" s="6">
        <f>BDP(A1441&amp;" US Equity","PX_LAST")</f>
        <v/>
      </c>
      <c r="F1441" s="5">
        <f>D1441*E1441</f>
        <v/>
      </c>
      <c r="G1441">
        <f>AND(B1441&gt;=50,B1441&lt;=10000)</f>
        <v/>
      </c>
      <c r="H1441">
        <f>OR(C1441="NAS",C1441="NYS",C1441="ASE")</f>
        <v/>
      </c>
      <c r="I1441">
        <f>F1441&gt;=500000</f>
        <v/>
      </c>
      <c r="J1441">
        <f>E1441&gt;=2</f>
        <v/>
      </c>
      <c r="K1441">
        <f>AND(G1441,H1441,I1441,J1441)</f>
        <v/>
      </c>
    </row>
    <row r="1442">
      <c r="B1442" s="5">
        <f>BDP(A1442&amp;" US Equity","CUR_MKT_CAP")</f>
        <v/>
      </c>
      <c r="C1442">
        <f>BDP(A1442&amp;" US Equity","EXCH_CODE")</f>
        <v/>
      </c>
      <c r="D1442" s="5">
        <f>BDP(A1442&amp;" US Equity","VOLUME_AVG_20D")</f>
        <v/>
      </c>
      <c r="E1442" s="6">
        <f>BDP(A1442&amp;" US Equity","PX_LAST")</f>
        <v/>
      </c>
      <c r="F1442" s="5">
        <f>D1442*E1442</f>
        <v/>
      </c>
      <c r="G1442">
        <f>AND(B1442&gt;=50,B1442&lt;=10000)</f>
        <v/>
      </c>
      <c r="H1442">
        <f>OR(C1442="NAS",C1442="NYS",C1442="ASE")</f>
        <v/>
      </c>
      <c r="I1442">
        <f>F1442&gt;=500000</f>
        <v/>
      </c>
      <c r="J1442">
        <f>E1442&gt;=2</f>
        <v/>
      </c>
      <c r="K1442">
        <f>AND(G1442,H1442,I1442,J1442)</f>
        <v/>
      </c>
    </row>
    <row r="1443">
      <c r="B1443" s="5">
        <f>BDP(A1443&amp;" US Equity","CUR_MKT_CAP")</f>
        <v/>
      </c>
      <c r="C1443">
        <f>BDP(A1443&amp;" US Equity","EXCH_CODE")</f>
        <v/>
      </c>
      <c r="D1443" s="5">
        <f>BDP(A1443&amp;" US Equity","VOLUME_AVG_20D")</f>
        <v/>
      </c>
      <c r="E1443" s="6">
        <f>BDP(A1443&amp;" US Equity","PX_LAST")</f>
        <v/>
      </c>
      <c r="F1443" s="5">
        <f>D1443*E1443</f>
        <v/>
      </c>
      <c r="G1443">
        <f>AND(B1443&gt;=50,B1443&lt;=10000)</f>
        <v/>
      </c>
      <c r="H1443">
        <f>OR(C1443="NAS",C1443="NYS",C1443="ASE")</f>
        <v/>
      </c>
      <c r="I1443">
        <f>F1443&gt;=500000</f>
        <v/>
      </c>
      <c r="J1443">
        <f>E1443&gt;=2</f>
        <v/>
      </c>
      <c r="K1443">
        <f>AND(G1443,H1443,I1443,J1443)</f>
        <v/>
      </c>
    </row>
    <row r="1444">
      <c r="B1444" s="5">
        <f>BDP(A1444&amp;" US Equity","CUR_MKT_CAP")</f>
        <v/>
      </c>
      <c r="C1444">
        <f>BDP(A1444&amp;" US Equity","EXCH_CODE")</f>
        <v/>
      </c>
      <c r="D1444" s="5">
        <f>BDP(A1444&amp;" US Equity","VOLUME_AVG_20D")</f>
        <v/>
      </c>
      <c r="E1444" s="6">
        <f>BDP(A1444&amp;" US Equity","PX_LAST")</f>
        <v/>
      </c>
      <c r="F1444" s="5">
        <f>D1444*E1444</f>
        <v/>
      </c>
      <c r="G1444">
        <f>AND(B1444&gt;=50,B1444&lt;=10000)</f>
        <v/>
      </c>
      <c r="H1444">
        <f>OR(C1444="NAS",C1444="NYS",C1444="ASE")</f>
        <v/>
      </c>
      <c r="I1444">
        <f>F1444&gt;=500000</f>
        <v/>
      </c>
      <c r="J1444">
        <f>E1444&gt;=2</f>
        <v/>
      </c>
      <c r="K1444">
        <f>AND(G1444,H1444,I1444,J1444)</f>
        <v/>
      </c>
    </row>
    <row r="1445">
      <c r="B1445" s="5">
        <f>BDP(A1445&amp;" US Equity","CUR_MKT_CAP")</f>
        <v/>
      </c>
      <c r="C1445">
        <f>BDP(A1445&amp;" US Equity","EXCH_CODE")</f>
        <v/>
      </c>
      <c r="D1445" s="5">
        <f>BDP(A1445&amp;" US Equity","VOLUME_AVG_20D")</f>
        <v/>
      </c>
      <c r="E1445" s="6">
        <f>BDP(A1445&amp;" US Equity","PX_LAST")</f>
        <v/>
      </c>
      <c r="F1445" s="5">
        <f>D1445*E1445</f>
        <v/>
      </c>
      <c r="G1445">
        <f>AND(B1445&gt;=50,B1445&lt;=10000)</f>
        <v/>
      </c>
      <c r="H1445">
        <f>OR(C1445="NAS",C1445="NYS",C1445="ASE")</f>
        <v/>
      </c>
      <c r="I1445">
        <f>F1445&gt;=500000</f>
        <v/>
      </c>
      <c r="J1445">
        <f>E1445&gt;=2</f>
        <v/>
      </c>
      <c r="K1445">
        <f>AND(G1445,H1445,I1445,J1445)</f>
        <v/>
      </c>
    </row>
    <row r="1446">
      <c r="B1446" s="5">
        <f>BDP(A1446&amp;" US Equity","CUR_MKT_CAP")</f>
        <v/>
      </c>
      <c r="C1446">
        <f>BDP(A1446&amp;" US Equity","EXCH_CODE")</f>
        <v/>
      </c>
      <c r="D1446" s="5">
        <f>BDP(A1446&amp;" US Equity","VOLUME_AVG_20D")</f>
        <v/>
      </c>
      <c r="E1446" s="6">
        <f>BDP(A1446&amp;" US Equity","PX_LAST")</f>
        <v/>
      </c>
      <c r="F1446" s="5">
        <f>D1446*E1446</f>
        <v/>
      </c>
      <c r="G1446">
        <f>AND(B1446&gt;=50,B1446&lt;=10000)</f>
        <v/>
      </c>
      <c r="H1446">
        <f>OR(C1446="NAS",C1446="NYS",C1446="ASE")</f>
        <v/>
      </c>
      <c r="I1446">
        <f>F1446&gt;=500000</f>
        <v/>
      </c>
      <c r="J1446">
        <f>E1446&gt;=2</f>
        <v/>
      </c>
      <c r="K1446">
        <f>AND(G1446,H1446,I1446,J1446)</f>
        <v/>
      </c>
    </row>
    <row r="1447">
      <c r="B1447" s="5">
        <f>BDP(A1447&amp;" US Equity","CUR_MKT_CAP")</f>
        <v/>
      </c>
      <c r="C1447">
        <f>BDP(A1447&amp;" US Equity","EXCH_CODE")</f>
        <v/>
      </c>
      <c r="D1447" s="5">
        <f>BDP(A1447&amp;" US Equity","VOLUME_AVG_20D")</f>
        <v/>
      </c>
      <c r="E1447" s="6">
        <f>BDP(A1447&amp;" US Equity","PX_LAST")</f>
        <v/>
      </c>
      <c r="F1447" s="5">
        <f>D1447*E1447</f>
        <v/>
      </c>
      <c r="G1447">
        <f>AND(B1447&gt;=50,B1447&lt;=10000)</f>
        <v/>
      </c>
      <c r="H1447">
        <f>OR(C1447="NAS",C1447="NYS",C1447="ASE")</f>
        <v/>
      </c>
      <c r="I1447">
        <f>F1447&gt;=500000</f>
        <v/>
      </c>
      <c r="J1447">
        <f>E1447&gt;=2</f>
        <v/>
      </c>
      <c r="K1447">
        <f>AND(G1447,H1447,I1447,J1447)</f>
        <v/>
      </c>
    </row>
    <row r="1448">
      <c r="B1448" s="5">
        <f>BDP(A1448&amp;" US Equity","CUR_MKT_CAP")</f>
        <v/>
      </c>
      <c r="C1448">
        <f>BDP(A1448&amp;" US Equity","EXCH_CODE")</f>
        <v/>
      </c>
      <c r="D1448" s="5">
        <f>BDP(A1448&amp;" US Equity","VOLUME_AVG_20D")</f>
        <v/>
      </c>
      <c r="E1448" s="6">
        <f>BDP(A1448&amp;" US Equity","PX_LAST")</f>
        <v/>
      </c>
      <c r="F1448" s="5">
        <f>D1448*E1448</f>
        <v/>
      </c>
      <c r="G1448">
        <f>AND(B1448&gt;=50,B1448&lt;=10000)</f>
        <v/>
      </c>
      <c r="H1448">
        <f>OR(C1448="NAS",C1448="NYS",C1448="ASE")</f>
        <v/>
      </c>
      <c r="I1448">
        <f>F1448&gt;=500000</f>
        <v/>
      </c>
      <c r="J1448">
        <f>E1448&gt;=2</f>
        <v/>
      </c>
      <c r="K1448">
        <f>AND(G1448,H1448,I1448,J1448)</f>
        <v/>
      </c>
    </row>
    <row r="1449">
      <c r="B1449" s="5">
        <f>BDP(A1449&amp;" US Equity","CUR_MKT_CAP")</f>
        <v/>
      </c>
      <c r="C1449">
        <f>BDP(A1449&amp;" US Equity","EXCH_CODE")</f>
        <v/>
      </c>
      <c r="D1449" s="5">
        <f>BDP(A1449&amp;" US Equity","VOLUME_AVG_20D")</f>
        <v/>
      </c>
      <c r="E1449" s="6">
        <f>BDP(A1449&amp;" US Equity","PX_LAST")</f>
        <v/>
      </c>
      <c r="F1449" s="5">
        <f>D1449*E1449</f>
        <v/>
      </c>
      <c r="G1449">
        <f>AND(B1449&gt;=50,B1449&lt;=10000)</f>
        <v/>
      </c>
      <c r="H1449">
        <f>OR(C1449="NAS",C1449="NYS",C1449="ASE")</f>
        <v/>
      </c>
      <c r="I1449">
        <f>F1449&gt;=500000</f>
        <v/>
      </c>
      <c r="J1449">
        <f>E1449&gt;=2</f>
        <v/>
      </c>
      <c r="K1449">
        <f>AND(G1449,H1449,I1449,J1449)</f>
        <v/>
      </c>
    </row>
    <row r="1450">
      <c r="B1450" s="5">
        <f>BDP(A1450&amp;" US Equity","CUR_MKT_CAP")</f>
        <v/>
      </c>
      <c r="C1450">
        <f>BDP(A1450&amp;" US Equity","EXCH_CODE")</f>
        <v/>
      </c>
      <c r="D1450" s="5">
        <f>BDP(A1450&amp;" US Equity","VOLUME_AVG_20D")</f>
        <v/>
      </c>
      <c r="E1450" s="6">
        <f>BDP(A1450&amp;" US Equity","PX_LAST")</f>
        <v/>
      </c>
      <c r="F1450" s="5">
        <f>D1450*E1450</f>
        <v/>
      </c>
      <c r="G1450">
        <f>AND(B1450&gt;=50,B1450&lt;=10000)</f>
        <v/>
      </c>
      <c r="H1450">
        <f>OR(C1450="NAS",C1450="NYS",C1450="ASE")</f>
        <v/>
      </c>
      <c r="I1450">
        <f>F1450&gt;=500000</f>
        <v/>
      </c>
      <c r="J1450">
        <f>E1450&gt;=2</f>
        <v/>
      </c>
      <c r="K1450">
        <f>AND(G1450,H1450,I1450,J1450)</f>
        <v/>
      </c>
    </row>
    <row r="1451">
      <c r="B1451" s="5">
        <f>BDP(A1451&amp;" US Equity","CUR_MKT_CAP")</f>
        <v/>
      </c>
      <c r="C1451">
        <f>BDP(A1451&amp;" US Equity","EXCH_CODE")</f>
        <v/>
      </c>
      <c r="D1451" s="5">
        <f>BDP(A1451&amp;" US Equity","VOLUME_AVG_20D")</f>
        <v/>
      </c>
      <c r="E1451" s="6">
        <f>BDP(A1451&amp;" US Equity","PX_LAST")</f>
        <v/>
      </c>
      <c r="F1451" s="5">
        <f>D1451*E1451</f>
        <v/>
      </c>
      <c r="G1451">
        <f>AND(B1451&gt;=50,B1451&lt;=10000)</f>
        <v/>
      </c>
      <c r="H1451">
        <f>OR(C1451="NAS",C1451="NYS",C1451="ASE")</f>
        <v/>
      </c>
      <c r="I1451">
        <f>F1451&gt;=500000</f>
        <v/>
      </c>
      <c r="J1451">
        <f>E1451&gt;=2</f>
        <v/>
      </c>
      <c r="K1451">
        <f>AND(G1451,H1451,I1451,J1451)</f>
        <v/>
      </c>
    </row>
    <row r="1452">
      <c r="B1452" s="5">
        <f>BDP(A1452&amp;" US Equity","CUR_MKT_CAP")</f>
        <v/>
      </c>
      <c r="C1452">
        <f>BDP(A1452&amp;" US Equity","EXCH_CODE")</f>
        <v/>
      </c>
      <c r="D1452" s="5">
        <f>BDP(A1452&amp;" US Equity","VOLUME_AVG_20D")</f>
        <v/>
      </c>
      <c r="E1452" s="6">
        <f>BDP(A1452&amp;" US Equity","PX_LAST")</f>
        <v/>
      </c>
      <c r="F1452" s="5">
        <f>D1452*E1452</f>
        <v/>
      </c>
      <c r="G1452">
        <f>AND(B1452&gt;=50,B1452&lt;=10000)</f>
        <v/>
      </c>
      <c r="H1452">
        <f>OR(C1452="NAS",C1452="NYS",C1452="ASE")</f>
        <v/>
      </c>
      <c r="I1452">
        <f>F1452&gt;=500000</f>
        <v/>
      </c>
      <c r="J1452">
        <f>E1452&gt;=2</f>
        <v/>
      </c>
      <c r="K1452">
        <f>AND(G1452,H1452,I1452,J1452)</f>
        <v/>
      </c>
    </row>
    <row r="1453">
      <c r="B1453" s="5">
        <f>BDP(A1453&amp;" US Equity","CUR_MKT_CAP")</f>
        <v/>
      </c>
      <c r="C1453">
        <f>BDP(A1453&amp;" US Equity","EXCH_CODE")</f>
        <v/>
      </c>
      <c r="D1453" s="5">
        <f>BDP(A1453&amp;" US Equity","VOLUME_AVG_20D")</f>
        <v/>
      </c>
      <c r="E1453" s="6">
        <f>BDP(A1453&amp;" US Equity","PX_LAST")</f>
        <v/>
      </c>
      <c r="F1453" s="5">
        <f>D1453*E1453</f>
        <v/>
      </c>
      <c r="G1453">
        <f>AND(B1453&gt;=50,B1453&lt;=10000)</f>
        <v/>
      </c>
      <c r="H1453">
        <f>OR(C1453="NAS",C1453="NYS",C1453="ASE")</f>
        <v/>
      </c>
      <c r="I1453">
        <f>F1453&gt;=500000</f>
        <v/>
      </c>
      <c r="J1453">
        <f>E1453&gt;=2</f>
        <v/>
      </c>
      <c r="K1453">
        <f>AND(G1453,H1453,I1453,J1453)</f>
        <v/>
      </c>
    </row>
    <row r="1454">
      <c r="B1454" s="5">
        <f>BDP(A1454&amp;" US Equity","CUR_MKT_CAP")</f>
        <v/>
      </c>
      <c r="C1454">
        <f>BDP(A1454&amp;" US Equity","EXCH_CODE")</f>
        <v/>
      </c>
      <c r="D1454" s="5">
        <f>BDP(A1454&amp;" US Equity","VOLUME_AVG_20D")</f>
        <v/>
      </c>
      <c r="E1454" s="6">
        <f>BDP(A1454&amp;" US Equity","PX_LAST")</f>
        <v/>
      </c>
      <c r="F1454" s="5">
        <f>D1454*E1454</f>
        <v/>
      </c>
      <c r="G1454">
        <f>AND(B1454&gt;=50,B1454&lt;=10000)</f>
        <v/>
      </c>
      <c r="H1454">
        <f>OR(C1454="NAS",C1454="NYS",C1454="ASE")</f>
        <v/>
      </c>
      <c r="I1454">
        <f>F1454&gt;=500000</f>
        <v/>
      </c>
      <c r="J1454">
        <f>E1454&gt;=2</f>
        <v/>
      </c>
      <c r="K1454">
        <f>AND(G1454,H1454,I1454,J1454)</f>
        <v/>
      </c>
    </row>
    <row r="1455">
      <c r="B1455" s="5">
        <f>BDP(A1455&amp;" US Equity","CUR_MKT_CAP")</f>
        <v/>
      </c>
      <c r="C1455">
        <f>BDP(A1455&amp;" US Equity","EXCH_CODE")</f>
        <v/>
      </c>
      <c r="D1455" s="5">
        <f>BDP(A1455&amp;" US Equity","VOLUME_AVG_20D")</f>
        <v/>
      </c>
      <c r="E1455" s="6">
        <f>BDP(A1455&amp;" US Equity","PX_LAST")</f>
        <v/>
      </c>
      <c r="F1455" s="5">
        <f>D1455*E1455</f>
        <v/>
      </c>
      <c r="G1455">
        <f>AND(B1455&gt;=50,B1455&lt;=10000)</f>
        <v/>
      </c>
      <c r="H1455">
        <f>OR(C1455="NAS",C1455="NYS",C1455="ASE")</f>
        <v/>
      </c>
      <c r="I1455">
        <f>F1455&gt;=500000</f>
        <v/>
      </c>
      <c r="J1455">
        <f>E1455&gt;=2</f>
        <v/>
      </c>
      <c r="K1455">
        <f>AND(G1455,H1455,I1455,J1455)</f>
        <v/>
      </c>
    </row>
    <row r="1456">
      <c r="B1456" s="5">
        <f>BDP(A1456&amp;" US Equity","CUR_MKT_CAP")</f>
        <v/>
      </c>
      <c r="C1456">
        <f>BDP(A1456&amp;" US Equity","EXCH_CODE")</f>
        <v/>
      </c>
      <c r="D1456" s="5">
        <f>BDP(A1456&amp;" US Equity","VOLUME_AVG_20D")</f>
        <v/>
      </c>
      <c r="E1456" s="6">
        <f>BDP(A1456&amp;" US Equity","PX_LAST")</f>
        <v/>
      </c>
      <c r="F1456" s="5">
        <f>D1456*E1456</f>
        <v/>
      </c>
      <c r="G1456">
        <f>AND(B1456&gt;=50,B1456&lt;=10000)</f>
        <v/>
      </c>
      <c r="H1456">
        <f>OR(C1456="NAS",C1456="NYS",C1456="ASE")</f>
        <v/>
      </c>
      <c r="I1456">
        <f>F1456&gt;=500000</f>
        <v/>
      </c>
      <c r="J1456">
        <f>E1456&gt;=2</f>
        <v/>
      </c>
      <c r="K1456">
        <f>AND(G1456,H1456,I1456,J1456)</f>
        <v/>
      </c>
    </row>
    <row r="1457">
      <c r="B1457" s="5">
        <f>BDP(A1457&amp;" US Equity","CUR_MKT_CAP")</f>
        <v/>
      </c>
      <c r="C1457">
        <f>BDP(A1457&amp;" US Equity","EXCH_CODE")</f>
        <v/>
      </c>
      <c r="D1457" s="5">
        <f>BDP(A1457&amp;" US Equity","VOLUME_AVG_20D")</f>
        <v/>
      </c>
      <c r="E1457" s="6">
        <f>BDP(A1457&amp;" US Equity","PX_LAST")</f>
        <v/>
      </c>
      <c r="F1457" s="5">
        <f>D1457*E1457</f>
        <v/>
      </c>
      <c r="G1457">
        <f>AND(B1457&gt;=50,B1457&lt;=10000)</f>
        <v/>
      </c>
      <c r="H1457">
        <f>OR(C1457="NAS",C1457="NYS",C1457="ASE")</f>
        <v/>
      </c>
      <c r="I1457">
        <f>F1457&gt;=500000</f>
        <v/>
      </c>
      <c r="J1457">
        <f>E1457&gt;=2</f>
        <v/>
      </c>
      <c r="K1457">
        <f>AND(G1457,H1457,I1457,J1457)</f>
        <v/>
      </c>
    </row>
    <row r="1458">
      <c r="B1458" s="5">
        <f>BDP(A1458&amp;" US Equity","CUR_MKT_CAP")</f>
        <v/>
      </c>
      <c r="C1458">
        <f>BDP(A1458&amp;" US Equity","EXCH_CODE")</f>
        <v/>
      </c>
      <c r="D1458" s="5">
        <f>BDP(A1458&amp;" US Equity","VOLUME_AVG_20D")</f>
        <v/>
      </c>
      <c r="E1458" s="6">
        <f>BDP(A1458&amp;" US Equity","PX_LAST")</f>
        <v/>
      </c>
      <c r="F1458" s="5">
        <f>D1458*E1458</f>
        <v/>
      </c>
      <c r="G1458">
        <f>AND(B1458&gt;=50,B1458&lt;=10000)</f>
        <v/>
      </c>
      <c r="H1458">
        <f>OR(C1458="NAS",C1458="NYS",C1458="ASE")</f>
        <v/>
      </c>
      <c r="I1458">
        <f>F1458&gt;=500000</f>
        <v/>
      </c>
      <c r="J1458">
        <f>E1458&gt;=2</f>
        <v/>
      </c>
      <c r="K1458">
        <f>AND(G1458,H1458,I1458,J1458)</f>
        <v/>
      </c>
    </row>
    <row r="1459">
      <c r="B1459" s="5">
        <f>BDP(A1459&amp;" US Equity","CUR_MKT_CAP")</f>
        <v/>
      </c>
      <c r="C1459">
        <f>BDP(A1459&amp;" US Equity","EXCH_CODE")</f>
        <v/>
      </c>
      <c r="D1459" s="5">
        <f>BDP(A1459&amp;" US Equity","VOLUME_AVG_20D")</f>
        <v/>
      </c>
      <c r="E1459" s="6">
        <f>BDP(A1459&amp;" US Equity","PX_LAST")</f>
        <v/>
      </c>
      <c r="F1459" s="5">
        <f>D1459*E1459</f>
        <v/>
      </c>
      <c r="G1459">
        <f>AND(B1459&gt;=50,B1459&lt;=10000)</f>
        <v/>
      </c>
      <c r="H1459">
        <f>OR(C1459="NAS",C1459="NYS",C1459="ASE")</f>
        <v/>
      </c>
      <c r="I1459">
        <f>F1459&gt;=500000</f>
        <v/>
      </c>
      <c r="J1459">
        <f>E1459&gt;=2</f>
        <v/>
      </c>
      <c r="K1459">
        <f>AND(G1459,H1459,I1459,J1459)</f>
        <v/>
      </c>
    </row>
    <row r="1460">
      <c r="B1460" s="5">
        <f>BDP(A1460&amp;" US Equity","CUR_MKT_CAP")</f>
        <v/>
      </c>
      <c r="C1460">
        <f>BDP(A1460&amp;" US Equity","EXCH_CODE")</f>
        <v/>
      </c>
      <c r="D1460" s="5">
        <f>BDP(A1460&amp;" US Equity","VOLUME_AVG_20D")</f>
        <v/>
      </c>
      <c r="E1460" s="6">
        <f>BDP(A1460&amp;" US Equity","PX_LAST")</f>
        <v/>
      </c>
      <c r="F1460" s="5">
        <f>D1460*E1460</f>
        <v/>
      </c>
      <c r="G1460">
        <f>AND(B1460&gt;=50,B1460&lt;=10000)</f>
        <v/>
      </c>
      <c r="H1460">
        <f>OR(C1460="NAS",C1460="NYS",C1460="ASE")</f>
        <v/>
      </c>
      <c r="I1460">
        <f>F1460&gt;=500000</f>
        <v/>
      </c>
      <c r="J1460">
        <f>E1460&gt;=2</f>
        <v/>
      </c>
      <c r="K1460">
        <f>AND(G1460,H1460,I1460,J1460)</f>
        <v/>
      </c>
    </row>
    <row r="1461">
      <c r="B1461" s="5">
        <f>BDP(A1461&amp;" US Equity","CUR_MKT_CAP")</f>
        <v/>
      </c>
      <c r="C1461">
        <f>BDP(A1461&amp;" US Equity","EXCH_CODE")</f>
        <v/>
      </c>
      <c r="D1461" s="5">
        <f>BDP(A1461&amp;" US Equity","VOLUME_AVG_20D")</f>
        <v/>
      </c>
      <c r="E1461" s="6">
        <f>BDP(A1461&amp;" US Equity","PX_LAST")</f>
        <v/>
      </c>
      <c r="F1461" s="5">
        <f>D1461*E1461</f>
        <v/>
      </c>
      <c r="G1461">
        <f>AND(B1461&gt;=50,B1461&lt;=10000)</f>
        <v/>
      </c>
      <c r="H1461">
        <f>OR(C1461="NAS",C1461="NYS",C1461="ASE")</f>
        <v/>
      </c>
      <c r="I1461">
        <f>F1461&gt;=500000</f>
        <v/>
      </c>
      <c r="J1461">
        <f>E1461&gt;=2</f>
        <v/>
      </c>
      <c r="K1461">
        <f>AND(G1461,H1461,I1461,J1461)</f>
        <v/>
      </c>
    </row>
    <row r="1462">
      <c r="B1462" s="5">
        <f>BDP(A1462&amp;" US Equity","CUR_MKT_CAP")</f>
        <v/>
      </c>
      <c r="C1462">
        <f>BDP(A1462&amp;" US Equity","EXCH_CODE")</f>
        <v/>
      </c>
      <c r="D1462" s="5">
        <f>BDP(A1462&amp;" US Equity","VOLUME_AVG_20D")</f>
        <v/>
      </c>
      <c r="E1462" s="6">
        <f>BDP(A1462&amp;" US Equity","PX_LAST")</f>
        <v/>
      </c>
      <c r="F1462" s="5">
        <f>D1462*E1462</f>
        <v/>
      </c>
      <c r="G1462">
        <f>AND(B1462&gt;=50,B1462&lt;=10000)</f>
        <v/>
      </c>
      <c r="H1462">
        <f>OR(C1462="NAS",C1462="NYS",C1462="ASE")</f>
        <v/>
      </c>
      <c r="I1462">
        <f>F1462&gt;=500000</f>
        <v/>
      </c>
      <c r="J1462">
        <f>E1462&gt;=2</f>
        <v/>
      </c>
      <c r="K1462">
        <f>AND(G1462,H1462,I1462,J1462)</f>
        <v/>
      </c>
    </row>
    <row r="1463">
      <c r="B1463" s="5">
        <f>BDP(A1463&amp;" US Equity","CUR_MKT_CAP")</f>
        <v/>
      </c>
      <c r="C1463">
        <f>BDP(A1463&amp;" US Equity","EXCH_CODE")</f>
        <v/>
      </c>
      <c r="D1463" s="5">
        <f>BDP(A1463&amp;" US Equity","VOLUME_AVG_20D")</f>
        <v/>
      </c>
      <c r="E1463" s="6">
        <f>BDP(A1463&amp;" US Equity","PX_LAST")</f>
        <v/>
      </c>
      <c r="F1463" s="5">
        <f>D1463*E1463</f>
        <v/>
      </c>
      <c r="G1463">
        <f>AND(B1463&gt;=50,B1463&lt;=10000)</f>
        <v/>
      </c>
      <c r="H1463">
        <f>OR(C1463="NAS",C1463="NYS",C1463="ASE")</f>
        <v/>
      </c>
      <c r="I1463">
        <f>F1463&gt;=500000</f>
        <v/>
      </c>
      <c r="J1463">
        <f>E1463&gt;=2</f>
        <v/>
      </c>
      <c r="K1463">
        <f>AND(G1463,H1463,I1463,J1463)</f>
        <v/>
      </c>
    </row>
    <row r="1464">
      <c r="B1464" s="5">
        <f>BDP(A1464&amp;" US Equity","CUR_MKT_CAP")</f>
        <v/>
      </c>
      <c r="C1464">
        <f>BDP(A1464&amp;" US Equity","EXCH_CODE")</f>
        <v/>
      </c>
      <c r="D1464" s="5">
        <f>BDP(A1464&amp;" US Equity","VOLUME_AVG_20D")</f>
        <v/>
      </c>
      <c r="E1464" s="6">
        <f>BDP(A1464&amp;" US Equity","PX_LAST")</f>
        <v/>
      </c>
      <c r="F1464" s="5">
        <f>D1464*E1464</f>
        <v/>
      </c>
      <c r="G1464">
        <f>AND(B1464&gt;=50,B1464&lt;=10000)</f>
        <v/>
      </c>
      <c r="H1464">
        <f>OR(C1464="NAS",C1464="NYS",C1464="ASE")</f>
        <v/>
      </c>
      <c r="I1464">
        <f>F1464&gt;=500000</f>
        <v/>
      </c>
      <c r="J1464">
        <f>E1464&gt;=2</f>
        <v/>
      </c>
      <c r="K1464">
        <f>AND(G1464,H1464,I1464,J1464)</f>
        <v/>
      </c>
    </row>
    <row r="1465">
      <c r="B1465" s="5">
        <f>BDP(A1465&amp;" US Equity","CUR_MKT_CAP")</f>
        <v/>
      </c>
      <c r="C1465">
        <f>BDP(A1465&amp;" US Equity","EXCH_CODE")</f>
        <v/>
      </c>
      <c r="D1465" s="5">
        <f>BDP(A1465&amp;" US Equity","VOLUME_AVG_20D")</f>
        <v/>
      </c>
      <c r="E1465" s="6">
        <f>BDP(A1465&amp;" US Equity","PX_LAST")</f>
        <v/>
      </c>
      <c r="F1465" s="5">
        <f>D1465*E1465</f>
        <v/>
      </c>
      <c r="G1465">
        <f>AND(B1465&gt;=50,B1465&lt;=10000)</f>
        <v/>
      </c>
      <c r="H1465">
        <f>OR(C1465="NAS",C1465="NYS",C1465="ASE")</f>
        <v/>
      </c>
      <c r="I1465">
        <f>F1465&gt;=500000</f>
        <v/>
      </c>
      <c r="J1465">
        <f>E1465&gt;=2</f>
        <v/>
      </c>
      <c r="K1465">
        <f>AND(G1465,H1465,I1465,J1465)</f>
        <v/>
      </c>
    </row>
    <row r="1466">
      <c r="B1466" s="5">
        <f>BDP(A1466&amp;" US Equity","CUR_MKT_CAP")</f>
        <v/>
      </c>
      <c r="C1466">
        <f>BDP(A1466&amp;" US Equity","EXCH_CODE")</f>
        <v/>
      </c>
      <c r="D1466" s="5">
        <f>BDP(A1466&amp;" US Equity","VOLUME_AVG_20D")</f>
        <v/>
      </c>
      <c r="E1466" s="6">
        <f>BDP(A1466&amp;" US Equity","PX_LAST")</f>
        <v/>
      </c>
      <c r="F1466" s="5">
        <f>D1466*E1466</f>
        <v/>
      </c>
      <c r="G1466">
        <f>AND(B1466&gt;=50,B1466&lt;=10000)</f>
        <v/>
      </c>
      <c r="H1466">
        <f>OR(C1466="NAS",C1466="NYS",C1466="ASE")</f>
        <v/>
      </c>
      <c r="I1466">
        <f>F1466&gt;=500000</f>
        <v/>
      </c>
      <c r="J1466">
        <f>E1466&gt;=2</f>
        <v/>
      </c>
      <c r="K1466">
        <f>AND(G1466,H1466,I1466,J1466)</f>
        <v/>
      </c>
    </row>
    <row r="1467">
      <c r="B1467" s="5">
        <f>BDP(A1467&amp;" US Equity","CUR_MKT_CAP")</f>
        <v/>
      </c>
      <c r="C1467">
        <f>BDP(A1467&amp;" US Equity","EXCH_CODE")</f>
        <v/>
      </c>
      <c r="D1467" s="5">
        <f>BDP(A1467&amp;" US Equity","VOLUME_AVG_20D")</f>
        <v/>
      </c>
      <c r="E1467" s="6">
        <f>BDP(A1467&amp;" US Equity","PX_LAST")</f>
        <v/>
      </c>
      <c r="F1467" s="5">
        <f>D1467*E1467</f>
        <v/>
      </c>
      <c r="G1467">
        <f>AND(B1467&gt;=50,B1467&lt;=10000)</f>
        <v/>
      </c>
      <c r="H1467">
        <f>OR(C1467="NAS",C1467="NYS",C1467="ASE")</f>
        <v/>
      </c>
      <c r="I1467">
        <f>F1467&gt;=500000</f>
        <v/>
      </c>
      <c r="J1467">
        <f>E1467&gt;=2</f>
        <v/>
      </c>
      <c r="K1467">
        <f>AND(G1467,H1467,I1467,J1467)</f>
        <v/>
      </c>
    </row>
    <row r="1468">
      <c r="B1468" s="5">
        <f>BDP(A1468&amp;" US Equity","CUR_MKT_CAP")</f>
        <v/>
      </c>
      <c r="C1468">
        <f>BDP(A1468&amp;" US Equity","EXCH_CODE")</f>
        <v/>
      </c>
      <c r="D1468" s="5">
        <f>BDP(A1468&amp;" US Equity","VOLUME_AVG_20D")</f>
        <v/>
      </c>
      <c r="E1468" s="6">
        <f>BDP(A1468&amp;" US Equity","PX_LAST")</f>
        <v/>
      </c>
      <c r="F1468" s="5">
        <f>D1468*E1468</f>
        <v/>
      </c>
      <c r="G1468">
        <f>AND(B1468&gt;=50,B1468&lt;=10000)</f>
        <v/>
      </c>
      <c r="H1468">
        <f>OR(C1468="NAS",C1468="NYS",C1468="ASE")</f>
        <v/>
      </c>
      <c r="I1468">
        <f>F1468&gt;=500000</f>
        <v/>
      </c>
      <c r="J1468">
        <f>E1468&gt;=2</f>
        <v/>
      </c>
      <c r="K1468">
        <f>AND(G1468,H1468,I1468,J1468)</f>
        <v/>
      </c>
    </row>
    <row r="1469">
      <c r="B1469" s="5">
        <f>BDP(A1469&amp;" US Equity","CUR_MKT_CAP")</f>
        <v/>
      </c>
      <c r="C1469">
        <f>BDP(A1469&amp;" US Equity","EXCH_CODE")</f>
        <v/>
      </c>
      <c r="D1469" s="5">
        <f>BDP(A1469&amp;" US Equity","VOLUME_AVG_20D")</f>
        <v/>
      </c>
      <c r="E1469" s="6">
        <f>BDP(A1469&amp;" US Equity","PX_LAST")</f>
        <v/>
      </c>
      <c r="F1469" s="5">
        <f>D1469*E1469</f>
        <v/>
      </c>
      <c r="G1469">
        <f>AND(B1469&gt;=50,B1469&lt;=10000)</f>
        <v/>
      </c>
      <c r="H1469">
        <f>OR(C1469="NAS",C1469="NYS",C1469="ASE")</f>
        <v/>
      </c>
      <c r="I1469">
        <f>F1469&gt;=500000</f>
        <v/>
      </c>
      <c r="J1469">
        <f>E1469&gt;=2</f>
        <v/>
      </c>
      <c r="K1469">
        <f>AND(G1469,H1469,I1469,J1469)</f>
        <v/>
      </c>
    </row>
    <row r="1470">
      <c r="B1470" s="5">
        <f>BDP(A1470&amp;" US Equity","CUR_MKT_CAP")</f>
        <v/>
      </c>
      <c r="C1470">
        <f>BDP(A1470&amp;" US Equity","EXCH_CODE")</f>
        <v/>
      </c>
      <c r="D1470" s="5">
        <f>BDP(A1470&amp;" US Equity","VOLUME_AVG_20D")</f>
        <v/>
      </c>
      <c r="E1470" s="6">
        <f>BDP(A1470&amp;" US Equity","PX_LAST")</f>
        <v/>
      </c>
      <c r="F1470" s="5">
        <f>D1470*E1470</f>
        <v/>
      </c>
      <c r="G1470">
        <f>AND(B1470&gt;=50,B1470&lt;=10000)</f>
        <v/>
      </c>
      <c r="H1470">
        <f>OR(C1470="NAS",C1470="NYS",C1470="ASE")</f>
        <v/>
      </c>
      <c r="I1470">
        <f>F1470&gt;=500000</f>
        <v/>
      </c>
      <c r="J1470">
        <f>E1470&gt;=2</f>
        <v/>
      </c>
      <c r="K1470">
        <f>AND(G1470,H1470,I1470,J1470)</f>
        <v/>
      </c>
    </row>
    <row r="1471">
      <c r="B1471" s="5">
        <f>BDP(A1471&amp;" US Equity","CUR_MKT_CAP")</f>
        <v/>
      </c>
      <c r="C1471">
        <f>BDP(A1471&amp;" US Equity","EXCH_CODE")</f>
        <v/>
      </c>
      <c r="D1471" s="5">
        <f>BDP(A1471&amp;" US Equity","VOLUME_AVG_20D")</f>
        <v/>
      </c>
      <c r="E1471" s="6">
        <f>BDP(A1471&amp;" US Equity","PX_LAST")</f>
        <v/>
      </c>
      <c r="F1471" s="5">
        <f>D1471*E1471</f>
        <v/>
      </c>
      <c r="G1471">
        <f>AND(B1471&gt;=50,B1471&lt;=10000)</f>
        <v/>
      </c>
      <c r="H1471">
        <f>OR(C1471="NAS",C1471="NYS",C1471="ASE")</f>
        <v/>
      </c>
      <c r="I1471">
        <f>F1471&gt;=500000</f>
        <v/>
      </c>
      <c r="J1471">
        <f>E1471&gt;=2</f>
        <v/>
      </c>
      <c r="K1471">
        <f>AND(G1471,H1471,I1471,J1471)</f>
        <v/>
      </c>
    </row>
    <row r="1472">
      <c r="B1472" s="5">
        <f>BDP(A1472&amp;" US Equity","CUR_MKT_CAP")</f>
        <v/>
      </c>
      <c r="C1472">
        <f>BDP(A1472&amp;" US Equity","EXCH_CODE")</f>
        <v/>
      </c>
      <c r="D1472" s="5">
        <f>BDP(A1472&amp;" US Equity","VOLUME_AVG_20D")</f>
        <v/>
      </c>
      <c r="E1472" s="6">
        <f>BDP(A1472&amp;" US Equity","PX_LAST")</f>
        <v/>
      </c>
      <c r="F1472" s="5">
        <f>D1472*E1472</f>
        <v/>
      </c>
      <c r="G1472">
        <f>AND(B1472&gt;=50,B1472&lt;=10000)</f>
        <v/>
      </c>
      <c r="H1472">
        <f>OR(C1472="NAS",C1472="NYS",C1472="ASE")</f>
        <v/>
      </c>
      <c r="I1472">
        <f>F1472&gt;=500000</f>
        <v/>
      </c>
      <c r="J1472">
        <f>E1472&gt;=2</f>
        <v/>
      </c>
      <c r="K1472">
        <f>AND(G1472,H1472,I1472,J1472)</f>
        <v/>
      </c>
    </row>
    <row r="1473">
      <c r="B1473" s="5">
        <f>BDP(A1473&amp;" US Equity","CUR_MKT_CAP")</f>
        <v/>
      </c>
      <c r="C1473">
        <f>BDP(A1473&amp;" US Equity","EXCH_CODE")</f>
        <v/>
      </c>
      <c r="D1473" s="5">
        <f>BDP(A1473&amp;" US Equity","VOLUME_AVG_20D")</f>
        <v/>
      </c>
      <c r="E1473" s="6">
        <f>BDP(A1473&amp;" US Equity","PX_LAST")</f>
        <v/>
      </c>
      <c r="F1473" s="5">
        <f>D1473*E1473</f>
        <v/>
      </c>
      <c r="G1473">
        <f>AND(B1473&gt;=50,B1473&lt;=10000)</f>
        <v/>
      </c>
      <c r="H1473">
        <f>OR(C1473="NAS",C1473="NYS",C1473="ASE")</f>
        <v/>
      </c>
      <c r="I1473">
        <f>F1473&gt;=500000</f>
        <v/>
      </c>
      <c r="J1473">
        <f>E1473&gt;=2</f>
        <v/>
      </c>
      <c r="K1473">
        <f>AND(G1473,H1473,I1473,J1473)</f>
        <v/>
      </c>
    </row>
    <row r="1474">
      <c r="B1474" s="5">
        <f>BDP(A1474&amp;" US Equity","CUR_MKT_CAP")</f>
        <v/>
      </c>
      <c r="C1474">
        <f>BDP(A1474&amp;" US Equity","EXCH_CODE")</f>
        <v/>
      </c>
      <c r="D1474" s="5">
        <f>BDP(A1474&amp;" US Equity","VOLUME_AVG_20D")</f>
        <v/>
      </c>
      <c r="E1474" s="6">
        <f>BDP(A1474&amp;" US Equity","PX_LAST")</f>
        <v/>
      </c>
      <c r="F1474" s="5">
        <f>D1474*E1474</f>
        <v/>
      </c>
      <c r="G1474">
        <f>AND(B1474&gt;=50,B1474&lt;=10000)</f>
        <v/>
      </c>
      <c r="H1474">
        <f>OR(C1474="NAS",C1474="NYS",C1474="ASE")</f>
        <v/>
      </c>
      <c r="I1474">
        <f>F1474&gt;=500000</f>
        <v/>
      </c>
      <c r="J1474">
        <f>E1474&gt;=2</f>
        <v/>
      </c>
      <c r="K1474">
        <f>AND(G1474,H1474,I1474,J1474)</f>
        <v/>
      </c>
    </row>
    <row r="1475">
      <c r="B1475" s="5">
        <f>BDP(A1475&amp;" US Equity","CUR_MKT_CAP")</f>
        <v/>
      </c>
      <c r="C1475">
        <f>BDP(A1475&amp;" US Equity","EXCH_CODE")</f>
        <v/>
      </c>
      <c r="D1475" s="5">
        <f>BDP(A1475&amp;" US Equity","VOLUME_AVG_20D")</f>
        <v/>
      </c>
      <c r="E1475" s="6">
        <f>BDP(A1475&amp;" US Equity","PX_LAST")</f>
        <v/>
      </c>
      <c r="F1475" s="5">
        <f>D1475*E1475</f>
        <v/>
      </c>
      <c r="G1475">
        <f>AND(B1475&gt;=50,B1475&lt;=10000)</f>
        <v/>
      </c>
      <c r="H1475">
        <f>OR(C1475="NAS",C1475="NYS",C1475="ASE")</f>
        <v/>
      </c>
      <c r="I1475">
        <f>F1475&gt;=500000</f>
        <v/>
      </c>
      <c r="J1475">
        <f>E1475&gt;=2</f>
        <v/>
      </c>
      <c r="K1475">
        <f>AND(G1475,H1475,I1475,J1475)</f>
        <v/>
      </c>
    </row>
    <row r="1476">
      <c r="B1476" s="5">
        <f>BDP(A1476&amp;" US Equity","CUR_MKT_CAP")</f>
        <v/>
      </c>
      <c r="C1476">
        <f>BDP(A1476&amp;" US Equity","EXCH_CODE")</f>
        <v/>
      </c>
      <c r="D1476" s="5">
        <f>BDP(A1476&amp;" US Equity","VOLUME_AVG_20D")</f>
        <v/>
      </c>
      <c r="E1476" s="6">
        <f>BDP(A1476&amp;" US Equity","PX_LAST")</f>
        <v/>
      </c>
      <c r="F1476" s="5">
        <f>D1476*E1476</f>
        <v/>
      </c>
      <c r="G1476">
        <f>AND(B1476&gt;=50,B1476&lt;=10000)</f>
        <v/>
      </c>
      <c r="H1476">
        <f>OR(C1476="NAS",C1476="NYS",C1476="ASE")</f>
        <v/>
      </c>
      <c r="I1476">
        <f>F1476&gt;=500000</f>
        <v/>
      </c>
      <c r="J1476">
        <f>E1476&gt;=2</f>
        <v/>
      </c>
      <c r="K1476">
        <f>AND(G1476,H1476,I1476,J1476)</f>
        <v/>
      </c>
    </row>
    <row r="1477">
      <c r="B1477" s="5">
        <f>BDP(A1477&amp;" US Equity","CUR_MKT_CAP")</f>
        <v/>
      </c>
      <c r="C1477">
        <f>BDP(A1477&amp;" US Equity","EXCH_CODE")</f>
        <v/>
      </c>
      <c r="D1477" s="5">
        <f>BDP(A1477&amp;" US Equity","VOLUME_AVG_20D")</f>
        <v/>
      </c>
      <c r="E1477" s="6">
        <f>BDP(A1477&amp;" US Equity","PX_LAST")</f>
        <v/>
      </c>
      <c r="F1477" s="5">
        <f>D1477*E1477</f>
        <v/>
      </c>
      <c r="G1477">
        <f>AND(B1477&gt;=50,B1477&lt;=10000)</f>
        <v/>
      </c>
      <c r="H1477">
        <f>OR(C1477="NAS",C1477="NYS",C1477="ASE")</f>
        <v/>
      </c>
      <c r="I1477">
        <f>F1477&gt;=500000</f>
        <v/>
      </c>
      <c r="J1477">
        <f>E1477&gt;=2</f>
        <v/>
      </c>
      <c r="K1477">
        <f>AND(G1477,H1477,I1477,J1477)</f>
        <v/>
      </c>
    </row>
    <row r="1478">
      <c r="B1478" s="5">
        <f>BDP(A1478&amp;" US Equity","CUR_MKT_CAP")</f>
        <v/>
      </c>
      <c r="C1478">
        <f>BDP(A1478&amp;" US Equity","EXCH_CODE")</f>
        <v/>
      </c>
      <c r="D1478" s="5">
        <f>BDP(A1478&amp;" US Equity","VOLUME_AVG_20D")</f>
        <v/>
      </c>
      <c r="E1478" s="6">
        <f>BDP(A1478&amp;" US Equity","PX_LAST")</f>
        <v/>
      </c>
      <c r="F1478" s="5">
        <f>D1478*E1478</f>
        <v/>
      </c>
      <c r="G1478">
        <f>AND(B1478&gt;=50,B1478&lt;=10000)</f>
        <v/>
      </c>
      <c r="H1478">
        <f>OR(C1478="NAS",C1478="NYS",C1478="ASE")</f>
        <v/>
      </c>
      <c r="I1478">
        <f>F1478&gt;=500000</f>
        <v/>
      </c>
      <c r="J1478">
        <f>E1478&gt;=2</f>
        <v/>
      </c>
      <c r="K1478">
        <f>AND(G1478,H1478,I1478,J1478)</f>
        <v/>
      </c>
    </row>
    <row r="1479">
      <c r="B1479" s="5">
        <f>BDP(A1479&amp;" US Equity","CUR_MKT_CAP")</f>
        <v/>
      </c>
      <c r="C1479">
        <f>BDP(A1479&amp;" US Equity","EXCH_CODE")</f>
        <v/>
      </c>
      <c r="D1479" s="5">
        <f>BDP(A1479&amp;" US Equity","VOLUME_AVG_20D")</f>
        <v/>
      </c>
      <c r="E1479" s="6">
        <f>BDP(A1479&amp;" US Equity","PX_LAST")</f>
        <v/>
      </c>
      <c r="F1479" s="5">
        <f>D1479*E1479</f>
        <v/>
      </c>
      <c r="G1479">
        <f>AND(B1479&gt;=50,B1479&lt;=10000)</f>
        <v/>
      </c>
      <c r="H1479">
        <f>OR(C1479="NAS",C1479="NYS",C1479="ASE")</f>
        <v/>
      </c>
      <c r="I1479">
        <f>F1479&gt;=500000</f>
        <v/>
      </c>
      <c r="J1479">
        <f>E1479&gt;=2</f>
        <v/>
      </c>
      <c r="K1479">
        <f>AND(G1479,H1479,I1479,J1479)</f>
        <v/>
      </c>
    </row>
    <row r="1480">
      <c r="B1480" s="5">
        <f>BDP(A1480&amp;" US Equity","CUR_MKT_CAP")</f>
        <v/>
      </c>
      <c r="C1480">
        <f>BDP(A1480&amp;" US Equity","EXCH_CODE")</f>
        <v/>
      </c>
      <c r="D1480" s="5">
        <f>BDP(A1480&amp;" US Equity","VOLUME_AVG_20D")</f>
        <v/>
      </c>
      <c r="E1480" s="6">
        <f>BDP(A1480&amp;" US Equity","PX_LAST")</f>
        <v/>
      </c>
      <c r="F1480" s="5">
        <f>D1480*E1480</f>
        <v/>
      </c>
      <c r="G1480">
        <f>AND(B1480&gt;=50,B1480&lt;=10000)</f>
        <v/>
      </c>
      <c r="H1480">
        <f>OR(C1480="NAS",C1480="NYS",C1480="ASE")</f>
        <v/>
      </c>
      <c r="I1480">
        <f>F1480&gt;=500000</f>
        <v/>
      </c>
      <c r="J1480">
        <f>E1480&gt;=2</f>
        <v/>
      </c>
      <c r="K1480">
        <f>AND(G1480,H1480,I1480,J1480)</f>
        <v/>
      </c>
    </row>
    <row r="1481">
      <c r="B1481" s="5">
        <f>BDP(A1481&amp;" US Equity","CUR_MKT_CAP")</f>
        <v/>
      </c>
      <c r="C1481">
        <f>BDP(A1481&amp;" US Equity","EXCH_CODE")</f>
        <v/>
      </c>
      <c r="D1481" s="5">
        <f>BDP(A1481&amp;" US Equity","VOLUME_AVG_20D")</f>
        <v/>
      </c>
      <c r="E1481" s="6">
        <f>BDP(A1481&amp;" US Equity","PX_LAST")</f>
        <v/>
      </c>
      <c r="F1481" s="5">
        <f>D1481*E1481</f>
        <v/>
      </c>
      <c r="G1481">
        <f>AND(B1481&gt;=50,B1481&lt;=10000)</f>
        <v/>
      </c>
      <c r="H1481">
        <f>OR(C1481="NAS",C1481="NYS",C1481="ASE")</f>
        <v/>
      </c>
      <c r="I1481">
        <f>F1481&gt;=500000</f>
        <v/>
      </c>
      <c r="J1481">
        <f>E1481&gt;=2</f>
        <v/>
      </c>
      <c r="K1481">
        <f>AND(G1481,H1481,I1481,J1481)</f>
        <v/>
      </c>
    </row>
    <row r="1482">
      <c r="B1482" s="5">
        <f>BDP(A1482&amp;" US Equity","CUR_MKT_CAP")</f>
        <v/>
      </c>
      <c r="C1482">
        <f>BDP(A1482&amp;" US Equity","EXCH_CODE")</f>
        <v/>
      </c>
      <c r="D1482" s="5">
        <f>BDP(A1482&amp;" US Equity","VOLUME_AVG_20D")</f>
        <v/>
      </c>
      <c r="E1482" s="6">
        <f>BDP(A1482&amp;" US Equity","PX_LAST")</f>
        <v/>
      </c>
      <c r="F1482" s="5">
        <f>D1482*E1482</f>
        <v/>
      </c>
      <c r="G1482">
        <f>AND(B1482&gt;=50,B1482&lt;=10000)</f>
        <v/>
      </c>
      <c r="H1482">
        <f>OR(C1482="NAS",C1482="NYS",C1482="ASE")</f>
        <v/>
      </c>
      <c r="I1482">
        <f>F1482&gt;=500000</f>
        <v/>
      </c>
      <c r="J1482">
        <f>E1482&gt;=2</f>
        <v/>
      </c>
      <c r="K1482">
        <f>AND(G1482,H1482,I1482,J1482)</f>
        <v/>
      </c>
    </row>
    <row r="1483">
      <c r="B1483" s="5">
        <f>BDP(A1483&amp;" US Equity","CUR_MKT_CAP")</f>
        <v/>
      </c>
      <c r="C1483">
        <f>BDP(A1483&amp;" US Equity","EXCH_CODE")</f>
        <v/>
      </c>
      <c r="D1483" s="5">
        <f>BDP(A1483&amp;" US Equity","VOLUME_AVG_20D")</f>
        <v/>
      </c>
      <c r="E1483" s="6">
        <f>BDP(A1483&amp;" US Equity","PX_LAST")</f>
        <v/>
      </c>
      <c r="F1483" s="5">
        <f>D1483*E1483</f>
        <v/>
      </c>
      <c r="G1483">
        <f>AND(B1483&gt;=50,B1483&lt;=10000)</f>
        <v/>
      </c>
      <c r="H1483">
        <f>OR(C1483="NAS",C1483="NYS",C1483="ASE")</f>
        <v/>
      </c>
      <c r="I1483">
        <f>F1483&gt;=500000</f>
        <v/>
      </c>
      <c r="J1483">
        <f>E1483&gt;=2</f>
        <v/>
      </c>
      <c r="K1483">
        <f>AND(G1483,H1483,I1483,J1483)</f>
        <v/>
      </c>
    </row>
    <row r="1484">
      <c r="B1484" s="5">
        <f>BDP(A1484&amp;" US Equity","CUR_MKT_CAP")</f>
        <v/>
      </c>
      <c r="C1484">
        <f>BDP(A1484&amp;" US Equity","EXCH_CODE")</f>
        <v/>
      </c>
      <c r="D1484" s="5">
        <f>BDP(A1484&amp;" US Equity","VOLUME_AVG_20D")</f>
        <v/>
      </c>
      <c r="E1484" s="6">
        <f>BDP(A1484&amp;" US Equity","PX_LAST")</f>
        <v/>
      </c>
      <c r="F1484" s="5">
        <f>D1484*E1484</f>
        <v/>
      </c>
      <c r="G1484">
        <f>AND(B1484&gt;=50,B1484&lt;=10000)</f>
        <v/>
      </c>
      <c r="H1484">
        <f>OR(C1484="NAS",C1484="NYS",C1484="ASE")</f>
        <v/>
      </c>
      <c r="I1484">
        <f>F1484&gt;=500000</f>
        <v/>
      </c>
      <c r="J1484">
        <f>E1484&gt;=2</f>
        <v/>
      </c>
      <c r="K1484">
        <f>AND(G1484,H1484,I1484,J1484)</f>
        <v/>
      </c>
    </row>
    <row r="1485">
      <c r="B1485" s="5">
        <f>BDP(A1485&amp;" US Equity","CUR_MKT_CAP")</f>
        <v/>
      </c>
      <c r="C1485">
        <f>BDP(A1485&amp;" US Equity","EXCH_CODE")</f>
        <v/>
      </c>
      <c r="D1485" s="5">
        <f>BDP(A1485&amp;" US Equity","VOLUME_AVG_20D")</f>
        <v/>
      </c>
      <c r="E1485" s="6">
        <f>BDP(A1485&amp;" US Equity","PX_LAST")</f>
        <v/>
      </c>
      <c r="F1485" s="5">
        <f>D1485*E1485</f>
        <v/>
      </c>
      <c r="G1485">
        <f>AND(B1485&gt;=50,B1485&lt;=10000)</f>
        <v/>
      </c>
      <c r="H1485">
        <f>OR(C1485="NAS",C1485="NYS",C1485="ASE")</f>
        <v/>
      </c>
      <c r="I1485">
        <f>F1485&gt;=500000</f>
        <v/>
      </c>
      <c r="J1485">
        <f>E1485&gt;=2</f>
        <v/>
      </c>
      <c r="K1485">
        <f>AND(G1485,H1485,I1485,J1485)</f>
        <v/>
      </c>
    </row>
    <row r="1486">
      <c r="B1486" s="5">
        <f>BDP(A1486&amp;" US Equity","CUR_MKT_CAP")</f>
        <v/>
      </c>
      <c r="C1486">
        <f>BDP(A1486&amp;" US Equity","EXCH_CODE")</f>
        <v/>
      </c>
      <c r="D1486" s="5">
        <f>BDP(A1486&amp;" US Equity","VOLUME_AVG_20D")</f>
        <v/>
      </c>
      <c r="E1486" s="6">
        <f>BDP(A1486&amp;" US Equity","PX_LAST")</f>
        <v/>
      </c>
      <c r="F1486" s="5">
        <f>D1486*E1486</f>
        <v/>
      </c>
      <c r="G1486">
        <f>AND(B1486&gt;=50,B1486&lt;=10000)</f>
        <v/>
      </c>
      <c r="H1486">
        <f>OR(C1486="NAS",C1486="NYS",C1486="ASE")</f>
        <v/>
      </c>
      <c r="I1486">
        <f>F1486&gt;=500000</f>
        <v/>
      </c>
      <c r="J1486">
        <f>E1486&gt;=2</f>
        <v/>
      </c>
      <c r="K1486">
        <f>AND(G1486,H1486,I1486,J1486)</f>
        <v/>
      </c>
    </row>
    <row r="1487">
      <c r="B1487" s="5">
        <f>BDP(A1487&amp;" US Equity","CUR_MKT_CAP")</f>
        <v/>
      </c>
      <c r="C1487">
        <f>BDP(A1487&amp;" US Equity","EXCH_CODE")</f>
        <v/>
      </c>
      <c r="D1487" s="5">
        <f>BDP(A1487&amp;" US Equity","VOLUME_AVG_20D")</f>
        <v/>
      </c>
      <c r="E1487" s="6">
        <f>BDP(A1487&amp;" US Equity","PX_LAST")</f>
        <v/>
      </c>
      <c r="F1487" s="5">
        <f>D1487*E1487</f>
        <v/>
      </c>
      <c r="G1487">
        <f>AND(B1487&gt;=50,B1487&lt;=10000)</f>
        <v/>
      </c>
      <c r="H1487">
        <f>OR(C1487="NAS",C1487="NYS",C1487="ASE")</f>
        <v/>
      </c>
      <c r="I1487">
        <f>F1487&gt;=500000</f>
        <v/>
      </c>
      <c r="J1487">
        <f>E1487&gt;=2</f>
        <v/>
      </c>
      <c r="K1487">
        <f>AND(G1487,H1487,I1487,J1487)</f>
        <v/>
      </c>
    </row>
    <row r="1488">
      <c r="B1488" s="5">
        <f>BDP(A1488&amp;" US Equity","CUR_MKT_CAP")</f>
        <v/>
      </c>
      <c r="C1488">
        <f>BDP(A1488&amp;" US Equity","EXCH_CODE")</f>
        <v/>
      </c>
      <c r="D1488" s="5">
        <f>BDP(A1488&amp;" US Equity","VOLUME_AVG_20D")</f>
        <v/>
      </c>
      <c r="E1488" s="6">
        <f>BDP(A1488&amp;" US Equity","PX_LAST")</f>
        <v/>
      </c>
      <c r="F1488" s="5">
        <f>D1488*E1488</f>
        <v/>
      </c>
      <c r="G1488">
        <f>AND(B1488&gt;=50,B1488&lt;=10000)</f>
        <v/>
      </c>
      <c r="H1488">
        <f>OR(C1488="NAS",C1488="NYS",C1488="ASE")</f>
        <v/>
      </c>
      <c r="I1488">
        <f>F1488&gt;=500000</f>
        <v/>
      </c>
      <c r="J1488">
        <f>E1488&gt;=2</f>
        <v/>
      </c>
      <c r="K1488">
        <f>AND(G1488,H1488,I1488,J1488)</f>
        <v/>
      </c>
    </row>
    <row r="1489">
      <c r="B1489" s="5">
        <f>BDP(A1489&amp;" US Equity","CUR_MKT_CAP")</f>
        <v/>
      </c>
      <c r="C1489">
        <f>BDP(A1489&amp;" US Equity","EXCH_CODE")</f>
        <v/>
      </c>
      <c r="D1489" s="5">
        <f>BDP(A1489&amp;" US Equity","VOLUME_AVG_20D")</f>
        <v/>
      </c>
      <c r="E1489" s="6">
        <f>BDP(A1489&amp;" US Equity","PX_LAST")</f>
        <v/>
      </c>
      <c r="F1489" s="5">
        <f>D1489*E1489</f>
        <v/>
      </c>
      <c r="G1489">
        <f>AND(B1489&gt;=50,B1489&lt;=10000)</f>
        <v/>
      </c>
      <c r="H1489">
        <f>OR(C1489="NAS",C1489="NYS",C1489="ASE")</f>
        <v/>
      </c>
      <c r="I1489">
        <f>F1489&gt;=500000</f>
        <v/>
      </c>
      <c r="J1489">
        <f>E1489&gt;=2</f>
        <v/>
      </c>
      <c r="K1489">
        <f>AND(G1489,H1489,I1489,J1489)</f>
        <v/>
      </c>
    </row>
    <row r="1490">
      <c r="B1490" s="5">
        <f>BDP(A1490&amp;" US Equity","CUR_MKT_CAP")</f>
        <v/>
      </c>
      <c r="C1490">
        <f>BDP(A1490&amp;" US Equity","EXCH_CODE")</f>
        <v/>
      </c>
      <c r="D1490" s="5">
        <f>BDP(A1490&amp;" US Equity","VOLUME_AVG_20D")</f>
        <v/>
      </c>
      <c r="E1490" s="6">
        <f>BDP(A1490&amp;" US Equity","PX_LAST")</f>
        <v/>
      </c>
      <c r="F1490" s="5">
        <f>D1490*E1490</f>
        <v/>
      </c>
      <c r="G1490">
        <f>AND(B1490&gt;=50,B1490&lt;=10000)</f>
        <v/>
      </c>
      <c r="H1490">
        <f>OR(C1490="NAS",C1490="NYS",C1490="ASE")</f>
        <v/>
      </c>
      <c r="I1490">
        <f>F1490&gt;=500000</f>
        <v/>
      </c>
      <c r="J1490">
        <f>E1490&gt;=2</f>
        <v/>
      </c>
      <c r="K1490">
        <f>AND(G1490,H1490,I1490,J1490)</f>
        <v/>
      </c>
    </row>
    <row r="1491">
      <c r="B1491" s="5">
        <f>BDP(A1491&amp;" US Equity","CUR_MKT_CAP")</f>
        <v/>
      </c>
      <c r="C1491">
        <f>BDP(A1491&amp;" US Equity","EXCH_CODE")</f>
        <v/>
      </c>
      <c r="D1491" s="5">
        <f>BDP(A1491&amp;" US Equity","VOLUME_AVG_20D")</f>
        <v/>
      </c>
      <c r="E1491" s="6">
        <f>BDP(A1491&amp;" US Equity","PX_LAST")</f>
        <v/>
      </c>
      <c r="F1491" s="5">
        <f>D1491*E1491</f>
        <v/>
      </c>
      <c r="G1491">
        <f>AND(B1491&gt;=50,B1491&lt;=10000)</f>
        <v/>
      </c>
      <c r="H1491">
        <f>OR(C1491="NAS",C1491="NYS",C1491="ASE")</f>
        <v/>
      </c>
      <c r="I1491">
        <f>F1491&gt;=500000</f>
        <v/>
      </c>
      <c r="J1491">
        <f>E1491&gt;=2</f>
        <v/>
      </c>
      <c r="K1491">
        <f>AND(G1491,H1491,I1491,J1491)</f>
        <v/>
      </c>
    </row>
    <row r="1492">
      <c r="B1492" s="5">
        <f>BDP(A1492&amp;" US Equity","CUR_MKT_CAP")</f>
        <v/>
      </c>
      <c r="C1492">
        <f>BDP(A1492&amp;" US Equity","EXCH_CODE")</f>
        <v/>
      </c>
      <c r="D1492" s="5">
        <f>BDP(A1492&amp;" US Equity","VOLUME_AVG_20D")</f>
        <v/>
      </c>
      <c r="E1492" s="6">
        <f>BDP(A1492&amp;" US Equity","PX_LAST")</f>
        <v/>
      </c>
      <c r="F1492" s="5">
        <f>D1492*E1492</f>
        <v/>
      </c>
      <c r="G1492">
        <f>AND(B1492&gt;=50,B1492&lt;=10000)</f>
        <v/>
      </c>
      <c r="H1492">
        <f>OR(C1492="NAS",C1492="NYS",C1492="ASE")</f>
        <v/>
      </c>
      <c r="I1492">
        <f>F1492&gt;=500000</f>
        <v/>
      </c>
      <c r="J1492">
        <f>E1492&gt;=2</f>
        <v/>
      </c>
      <c r="K1492">
        <f>AND(G1492,H1492,I1492,J1492)</f>
        <v/>
      </c>
    </row>
    <row r="1493">
      <c r="B1493" s="5">
        <f>BDP(A1493&amp;" US Equity","CUR_MKT_CAP")</f>
        <v/>
      </c>
      <c r="C1493">
        <f>BDP(A1493&amp;" US Equity","EXCH_CODE")</f>
        <v/>
      </c>
      <c r="D1493" s="5">
        <f>BDP(A1493&amp;" US Equity","VOLUME_AVG_20D")</f>
        <v/>
      </c>
      <c r="E1493" s="6">
        <f>BDP(A1493&amp;" US Equity","PX_LAST")</f>
        <v/>
      </c>
      <c r="F1493" s="5">
        <f>D1493*E1493</f>
        <v/>
      </c>
      <c r="G1493">
        <f>AND(B1493&gt;=50,B1493&lt;=10000)</f>
        <v/>
      </c>
      <c r="H1493">
        <f>OR(C1493="NAS",C1493="NYS",C1493="ASE")</f>
        <v/>
      </c>
      <c r="I1493">
        <f>F1493&gt;=500000</f>
        <v/>
      </c>
      <c r="J1493">
        <f>E1493&gt;=2</f>
        <v/>
      </c>
      <c r="K1493">
        <f>AND(G1493,H1493,I1493,J1493)</f>
        <v/>
      </c>
    </row>
    <row r="1494">
      <c r="B1494" s="5">
        <f>BDP(A1494&amp;" US Equity","CUR_MKT_CAP")</f>
        <v/>
      </c>
      <c r="C1494">
        <f>BDP(A1494&amp;" US Equity","EXCH_CODE")</f>
        <v/>
      </c>
      <c r="D1494" s="5">
        <f>BDP(A1494&amp;" US Equity","VOLUME_AVG_20D")</f>
        <v/>
      </c>
      <c r="E1494" s="6">
        <f>BDP(A1494&amp;" US Equity","PX_LAST")</f>
        <v/>
      </c>
      <c r="F1494" s="5">
        <f>D1494*E1494</f>
        <v/>
      </c>
      <c r="G1494">
        <f>AND(B1494&gt;=50,B1494&lt;=10000)</f>
        <v/>
      </c>
      <c r="H1494">
        <f>OR(C1494="NAS",C1494="NYS",C1494="ASE")</f>
        <v/>
      </c>
      <c r="I1494">
        <f>F1494&gt;=500000</f>
        <v/>
      </c>
      <c r="J1494">
        <f>E1494&gt;=2</f>
        <v/>
      </c>
      <c r="K1494">
        <f>AND(G1494,H1494,I1494,J1494)</f>
        <v/>
      </c>
    </row>
    <row r="1495">
      <c r="B1495" s="5">
        <f>BDP(A1495&amp;" US Equity","CUR_MKT_CAP")</f>
        <v/>
      </c>
      <c r="C1495">
        <f>BDP(A1495&amp;" US Equity","EXCH_CODE")</f>
        <v/>
      </c>
      <c r="D1495" s="5">
        <f>BDP(A1495&amp;" US Equity","VOLUME_AVG_20D")</f>
        <v/>
      </c>
      <c r="E1495" s="6">
        <f>BDP(A1495&amp;" US Equity","PX_LAST")</f>
        <v/>
      </c>
      <c r="F1495" s="5">
        <f>D1495*E1495</f>
        <v/>
      </c>
      <c r="G1495">
        <f>AND(B1495&gt;=50,B1495&lt;=10000)</f>
        <v/>
      </c>
      <c r="H1495">
        <f>OR(C1495="NAS",C1495="NYS",C1495="ASE")</f>
        <v/>
      </c>
      <c r="I1495">
        <f>F1495&gt;=500000</f>
        <v/>
      </c>
      <c r="J1495">
        <f>E1495&gt;=2</f>
        <v/>
      </c>
      <c r="K1495">
        <f>AND(G1495,H1495,I1495,J1495)</f>
        <v/>
      </c>
    </row>
    <row r="1496">
      <c r="B1496" s="5">
        <f>BDP(A1496&amp;" US Equity","CUR_MKT_CAP")</f>
        <v/>
      </c>
      <c r="C1496">
        <f>BDP(A1496&amp;" US Equity","EXCH_CODE")</f>
        <v/>
      </c>
      <c r="D1496" s="5">
        <f>BDP(A1496&amp;" US Equity","VOLUME_AVG_20D")</f>
        <v/>
      </c>
      <c r="E1496" s="6">
        <f>BDP(A1496&amp;" US Equity","PX_LAST")</f>
        <v/>
      </c>
      <c r="F1496" s="5">
        <f>D1496*E1496</f>
        <v/>
      </c>
      <c r="G1496">
        <f>AND(B1496&gt;=50,B1496&lt;=10000)</f>
        <v/>
      </c>
      <c r="H1496">
        <f>OR(C1496="NAS",C1496="NYS",C1496="ASE")</f>
        <v/>
      </c>
      <c r="I1496">
        <f>F1496&gt;=500000</f>
        <v/>
      </c>
      <c r="J1496">
        <f>E1496&gt;=2</f>
        <v/>
      </c>
      <c r="K1496">
        <f>AND(G1496,H1496,I1496,J1496)</f>
        <v/>
      </c>
    </row>
    <row r="1497">
      <c r="B1497" s="5">
        <f>BDP(A1497&amp;" US Equity","CUR_MKT_CAP")</f>
        <v/>
      </c>
      <c r="C1497">
        <f>BDP(A1497&amp;" US Equity","EXCH_CODE")</f>
        <v/>
      </c>
      <c r="D1497" s="5">
        <f>BDP(A1497&amp;" US Equity","VOLUME_AVG_20D")</f>
        <v/>
      </c>
      <c r="E1497" s="6">
        <f>BDP(A1497&amp;" US Equity","PX_LAST")</f>
        <v/>
      </c>
      <c r="F1497" s="5">
        <f>D1497*E1497</f>
        <v/>
      </c>
      <c r="G1497">
        <f>AND(B1497&gt;=50,B1497&lt;=10000)</f>
        <v/>
      </c>
      <c r="H1497">
        <f>OR(C1497="NAS",C1497="NYS",C1497="ASE")</f>
        <v/>
      </c>
      <c r="I1497">
        <f>F1497&gt;=500000</f>
        <v/>
      </c>
      <c r="J1497">
        <f>E1497&gt;=2</f>
        <v/>
      </c>
      <c r="K1497">
        <f>AND(G1497,H1497,I1497,J1497)</f>
        <v/>
      </c>
    </row>
    <row r="1498">
      <c r="B1498" s="5">
        <f>BDP(A1498&amp;" US Equity","CUR_MKT_CAP")</f>
        <v/>
      </c>
      <c r="C1498">
        <f>BDP(A1498&amp;" US Equity","EXCH_CODE")</f>
        <v/>
      </c>
      <c r="D1498" s="5">
        <f>BDP(A1498&amp;" US Equity","VOLUME_AVG_20D")</f>
        <v/>
      </c>
      <c r="E1498" s="6">
        <f>BDP(A1498&amp;" US Equity","PX_LAST")</f>
        <v/>
      </c>
      <c r="F1498" s="5">
        <f>D1498*E1498</f>
        <v/>
      </c>
      <c r="G1498">
        <f>AND(B1498&gt;=50,B1498&lt;=10000)</f>
        <v/>
      </c>
      <c r="H1498">
        <f>OR(C1498="NAS",C1498="NYS",C1498="ASE")</f>
        <v/>
      </c>
      <c r="I1498">
        <f>F1498&gt;=500000</f>
        <v/>
      </c>
      <c r="J1498">
        <f>E1498&gt;=2</f>
        <v/>
      </c>
      <c r="K1498">
        <f>AND(G1498,H1498,I1498,J1498)</f>
        <v/>
      </c>
    </row>
    <row r="1499">
      <c r="B1499" s="5">
        <f>BDP(A1499&amp;" US Equity","CUR_MKT_CAP")</f>
        <v/>
      </c>
      <c r="C1499">
        <f>BDP(A1499&amp;" US Equity","EXCH_CODE")</f>
        <v/>
      </c>
      <c r="D1499" s="5">
        <f>BDP(A1499&amp;" US Equity","VOLUME_AVG_20D")</f>
        <v/>
      </c>
      <c r="E1499" s="6">
        <f>BDP(A1499&amp;" US Equity","PX_LAST")</f>
        <v/>
      </c>
      <c r="F1499" s="5">
        <f>D1499*E1499</f>
        <v/>
      </c>
      <c r="G1499">
        <f>AND(B1499&gt;=50,B1499&lt;=10000)</f>
        <v/>
      </c>
      <c r="H1499">
        <f>OR(C1499="NAS",C1499="NYS",C1499="ASE")</f>
        <v/>
      </c>
      <c r="I1499">
        <f>F1499&gt;=500000</f>
        <v/>
      </c>
      <c r="J1499">
        <f>E1499&gt;=2</f>
        <v/>
      </c>
      <c r="K1499">
        <f>AND(G1499,H1499,I1499,J1499)</f>
        <v/>
      </c>
    </row>
    <row r="1500">
      <c r="B1500" s="5">
        <f>BDP(A1500&amp;" US Equity","CUR_MKT_CAP")</f>
        <v/>
      </c>
      <c r="C1500">
        <f>BDP(A1500&amp;" US Equity","EXCH_CODE")</f>
        <v/>
      </c>
      <c r="D1500" s="5">
        <f>BDP(A1500&amp;" US Equity","VOLUME_AVG_20D")</f>
        <v/>
      </c>
      <c r="E1500" s="6">
        <f>BDP(A1500&amp;" US Equity","PX_LAST")</f>
        <v/>
      </c>
      <c r="F1500" s="5">
        <f>D1500*E1500</f>
        <v/>
      </c>
      <c r="G1500">
        <f>AND(B1500&gt;=50,B1500&lt;=10000)</f>
        <v/>
      </c>
      <c r="H1500">
        <f>OR(C1500="NAS",C1500="NYS",C1500="ASE")</f>
        <v/>
      </c>
      <c r="I1500">
        <f>F1500&gt;=500000</f>
        <v/>
      </c>
      <c r="J1500">
        <f>E1500&gt;=2</f>
        <v/>
      </c>
      <c r="K1500">
        <f>AND(G1500,H1500,I1500,J1500)</f>
        <v/>
      </c>
    </row>
    <row r="1501">
      <c r="B1501" s="5">
        <f>BDP(A1501&amp;" US Equity","CUR_MKT_CAP")</f>
        <v/>
      </c>
      <c r="C1501">
        <f>BDP(A1501&amp;" US Equity","EXCH_CODE")</f>
        <v/>
      </c>
      <c r="D1501" s="5">
        <f>BDP(A1501&amp;" US Equity","VOLUME_AVG_20D")</f>
        <v/>
      </c>
      <c r="E1501" s="6">
        <f>BDP(A1501&amp;" US Equity","PX_LAST")</f>
        <v/>
      </c>
      <c r="F1501" s="5">
        <f>D1501*E1501</f>
        <v/>
      </c>
      <c r="G1501">
        <f>AND(B1501&gt;=50,B1501&lt;=10000)</f>
        <v/>
      </c>
      <c r="H1501">
        <f>OR(C1501="NAS",C1501="NYS",C1501="ASE")</f>
        <v/>
      </c>
      <c r="I1501">
        <f>F1501&gt;=500000</f>
        <v/>
      </c>
      <c r="J1501">
        <f>E1501&gt;=2</f>
        <v/>
      </c>
      <c r="K1501">
        <f>AND(G1501,H1501,I1501,J1501)</f>
        <v/>
      </c>
    </row>
    <row r="1502">
      <c r="B1502" s="5">
        <f>BDP(A1502&amp;" US Equity","CUR_MKT_CAP")</f>
        <v/>
      </c>
      <c r="C1502">
        <f>BDP(A1502&amp;" US Equity","EXCH_CODE")</f>
        <v/>
      </c>
      <c r="D1502" s="5">
        <f>BDP(A1502&amp;" US Equity","VOLUME_AVG_20D")</f>
        <v/>
      </c>
      <c r="E1502" s="6">
        <f>BDP(A1502&amp;" US Equity","PX_LAST")</f>
        <v/>
      </c>
      <c r="F1502" s="5">
        <f>D1502*E1502</f>
        <v/>
      </c>
      <c r="G1502">
        <f>AND(B1502&gt;=50,B1502&lt;=10000)</f>
        <v/>
      </c>
      <c r="H1502">
        <f>OR(C1502="NAS",C1502="NYS",C1502="ASE")</f>
        <v/>
      </c>
      <c r="I1502">
        <f>F1502&gt;=500000</f>
        <v/>
      </c>
      <c r="J1502">
        <f>E1502&gt;=2</f>
        <v/>
      </c>
      <c r="K1502">
        <f>AND(G1502,H1502,I1502,J1502)</f>
        <v/>
      </c>
    </row>
    <row r="1503">
      <c r="B1503" s="5">
        <f>BDP(A1503&amp;" US Equity","CUR_MKT_CAP")</f>
        <v/>
      </c>
      <c r="C1503">
        <f>BDP(A1503&amp;" US Equity","EXCH_CODE")</f>
        <v/>
      </c>
      <c r="D1503" s="5">
        <f>BDP(A1503&amp;" US Equity","VOLUME_AVG_20D")</f>
        <v/>
      </c>
      <c r="E1503" s="6">
        <f>BDP(A1503&amp;" US Equity","PX_LAST")</f>
        <v/>
      </c>
      <c r="F1503" s="5">
        <f>D1503*E1503</f>
        <v/>
      </c>
      <c r="G1503">
        <f>AND(B1503&gt;=50,B1503&lt;=10000)</f>
        <v/>
      </c>
      <c r="H1503">
        <f>OR(C1503="NAS",C1503="NYS",C1503="ASE")</f>
        <v/>
      </c>
      <c r="I1503">
        <f>F1503&gt;=500000</f>
        <v/>
      </c>
      <c r="J1503">
        <f>E1503&gt;=2</f>
        <v/>
      </c>
      <c r="K1503">
        <f>AND(G1503,H1503,I1503,J1503)</f>
        <v/>
      </c>
    </row>
    <row r="1504">
      <c r="B1504" s="5">
        <f>BDP(A1504&amp;" US Equity","CUR_MKT_CAP")</f>
        <v/>
      </c>
      <c r="C1504">
        <f>BDP(A1504&amp;" US Equity","EXCH_CODE")</f>
        <v/>
      </c>
      <c r="D1504" s="5">
        <f>BDP(A1504&amp;" US Equity","VOLUME_AVG_20D")</f>
        <v/>
      </c>
      <c r="E1504" s="6">
        <f>BDP(A1504&amp;" US Equity","PX_LAST")</f>
        <v/>
      </c>
      <c r="F1504" s="5">
        <f>D1504*E1504</f>
        <v/>
      </c>
      <c r="G1504">
        <f>AND(B1504&gt;=50,B1504&lt;=10000)</f>
        <v/>
      </c>
      <c r="H1504">
        <f>OR(C1504="NAS",C1504="NYS",C1504="ASE")</f>
        <v/>
      </c>
      <c r="I1504">
        <f>F1504&gt;=500000</f>
        <v/>
      </c>
      <c r="J1504">
        <f>E1504&gt;=2</f>
        <v/>
      </c>
      <c r="K1504">
        <f>AND(G1504,H1504,I1504,J1504)</f>
        <v/>
      </c>
    </row>
    <row r="1505">
      <c r="B1505" s="5">
        <f>BDP(A1505&amp;" US Equity","CUR_MKT_CAP")</f>
        <v/>
      </c>
      <c r="C1505">
        <f>BDP(A1505&amp;" US Equity","EXCH_CODE")</f>
        <v/>
      </c>
      <c r="D1505" s="5">
        <f>BDP(A1505&amp;" US Equity","VOLUME_AVG_20D")</f>
        <v/>
      </c>
      <c r="E1505" s="6">
        <f>BDP(A1505&amp;" US Equity","PX_LAST")</f>
        <v/>
      </c>
      <c r="F1505" s="5">
        <f>D1505*E1505</f>
        <v/>
      </c>
      <c r="G1505">
        <f>AND(B1505&gt;=50,B1505&lt;=10000)</f>
        <v/>
      </c>
      <c r="H1505">
        <f>OR(C1505="NAS",C1505="NYS",C1505="ASE")</f>
        <v/>
      </c>
      <c r="I1505">
        <f>F1505&gt;=500000</f>
        <v/>
      </c>
      <c r="J1505">
        <f>E1505&gt;=2</f>
        <v/>
      </c>
      <c r="K1505">
        <f>AND(G1505,H1505,I1505,J1505)</f>
        <v/>
      </c>
    </row>
    <row r="1506">
      <c r="B1506" s="5">
        <f>BDP(A1506&amp;" US Equity","CUR_MKT_CAP")</f>
        <v/>
      </c>
      <c r="C1506">
        <f>BDP(A1506&amp;" US Equity","EXCH_CODE")</f>
        <v/>
      </c>
      <c r="D1506" s="5">
        <f>BDP(A1506&amp;" US Equity","VOLUME_AVG_20D")</f>
        <v/>
      </c>
      <c r="E1506" s="6">
        <f>BDP(A1506&amp;" US Equity","PX_LAST")</f>
        <v/>
      </c>
      <c r="F1506" s="5">
        <f>D1506*E1506</f>
        <v/>
      </c>
      <c r="G1506">
        <f>AND(B1506&gt;=50,B1506&lt;=10000)</f>
        <v/>
      </c>
      <c r="H1506">
        <f>OR(C1506="NAS",C1506="NYS",C1506="ASE")</f>
        <v/>
      </c>
      <c r="I1506">
        <f>F1506&gt;=500000</f>
        <v/>
      </c>
      <c r="J1506">
        <f>E1506&gt;=2</f>
        <v/>
      </c>
      <c r="K1506">
        <f>AND(G1506,H1506,I1506,J1506)</f>
        <v/>
      </c>
    </row>
    <row r="1507">
      <c r="B1507" s="5">
        <f>BDP(A1507&amp;" US Equity","CUR_MKT_CAP")</f>
        <v/>
      </c>
      <c r="C1507">
        <f>BDP(A1507&amp;" US Equity","EXCH_CODE")</f>
        <v/>
      </c>
      <c r="D1507" s="5">
        <f>BDP(A1507&amp;" US Equity","VOLUME_AVG_20D")</f>
        <v/>
      </c>
      <c r="E1507" s="6">
        <f>BDP(A1507&amp;" US Equity","PX_LAST")</f>
        <v/>
      </c>
      <c r="F1507" s="5">
        <f>D1507*E1507</f>
        <v/>
      </c>
      <c r="G1507">
        <f>AND(B1507&gt;=50,B1507&lt;=10000)</f>
        <v/>
      </c>
      <c r="H1507">
        <f>OR(C1507="NAS",C1507="NYS",C1507="ASE")</f>
        <v/>
      </c>
      <c r="I1507">
        <f>F1507&gt;=500000</f>
        <v/>
      </c>
      <c r="J1507">
        <f>E1507&gt;=2</f>
        <v/>
      </c>
      <c r="K1507">
        <f>AND(G1507,H1507,I1507,J1507)</f>
        <v/>
      </c>
    </row>
    <row r="1508">
      <c r="B1508" s="5">
        <f>BDP(A1508&amp;" US Equity","CUR_MKT_CAP")</f>
        <v/>
      </c>
      <c r="C1508">
        <f>BDP(A1508&amp;" US Equity","EXCH_CODE")</f>
        <v/>
      </c>
      <c r="D1508" s="5">
        <f>BDP(A1508&amp;" US Equity","VOLUME_AVG_20D")</f>
        <v/>
      </c>
      <c r="E1508" s="6">
        <f>BDP(A1508&amp;" US Equity","PX_LAST")</f>
        <v/>
      </c>
      <c r="F1508" s="5">
        <f>D1508*E1508</f>
        <v/>
      </c>
      <c r="G1508">
        <f>AND(B1508&gt;=50,B1508&lt;=10000)</f>
        <v/>
      </c>
      <c r="H1508">
        <f>OR(C1508="NAS",C1508="NYS",C1508="ASE")</f>
        <v/>
      </c>
      <c r="I1508">
        <f>F1508&gt;=500000</f>
        <v/>
      </c>
      <c r="J1508">
        <f>E1508&gt;=2</f>
        <v/>
      </c>
      <c r="K1508">
        <f>AND(G1508,H1508,I1508,J1508)</f>
        <v/>
      </c>
    </row>
    <row r="1509">
      <c r="B1509" s="5">
        <f>BDP(A1509&amp;" US Equity","CUR_MKT_CAP")</f>
        <v/>
      </c>
      <c r="C1509">
        <f>BDP(A1509&amp;" US Equity","EXCH_CODE")</f>
        <v/>
      </c>
      <c r="D1509" s="5">
        <f>BDP(A1509&amp;" US Equity","VOLUME_AVG_20D")</f>
        <v/>
      </c>
      <c r="E1509" s="6">
        <f>BDP(A1509&amp;" US Equity","PX_LAST")</f>
        <v/>
      </c>
      <c r="F1509" s="5">
        <f>D1509*E1509</f>
        <v/>
      </c>
      <c r="G1509">
        <f>AND(B1509&gt;=50,B1509&lt;=10000)</f>
        <v/>
      </c>
      <c r="H1509">
        <f>OR(C1509="NAS",C1509="NYS",C1509="ASE")</f>
        <v/>
      </c>
      <c r="I1509">
        <f>F1509&gt;=500000</f>
        <v/>
      </c>
      <c r="J1509">
        <f>E1509&gt;=2</f>
        <v/>
      </c>
      <c r="K1509">
        <f>AND(G1509,H1509,I1509,J1509)</f>
        <v/>
      </c>
    </row>
    <row r="1510">
      <c r="B1510" s="5">
        <f>BDP(A1510&amp;" US Equity","CUR_MKT_CAP")</f>
        <v/>
      </c>
      <c r="C1510">
        <f>BDP(A1510&amp;" US Equity","EXCH_CODE")</f>
        <v/>
      </c>
      <c r="D1510" s="5">
        <f>BDP(A1510&amp;" US Equity","VOLUME_AVG_20D")</f>
        <v/>
      </c>
      <c r="E1510" s="6">
        <f>BDP(A1510&amp;" US Equity","PX_LAST")</f>
        <v/>
      </c>
      <c r="F1510" s="5">
        <f>D1510*E1510</f>
        <v/>
      </c>
      <c r="G1510">
        <f>AND(B1510&gt;=50,B1510&lt;=10000)</f>
        <v/>
      </c>
      <c r="H1510">
        <f>OR(C1510="NAS",C1510="NYS",C1510="ASE")</f>
        <v/>
      </c>
      <c r="I1510">
        <f>F1510&gt;=500000</f>
        <v/>
      </c>
      <c r="J1510">
        <f>E1510&gt;=2</f>
        <v/>
      </c>
      <c r="K1510">
        <f>AND(G1510,H1510,I1510,J1510)</f>
        <v/>
      </c>
    </row>
    <row r="1511">
      <c r="B1511" s="5">
        <f>BDP(A1511&amp;" US Equity","CUR_MKT_CAP")</f>
        <v/>
      </c>
      <c r="C1511">
        <f>BDP(A1511&amp;" US Equity","EXCH_CODE")</f>
        <v/>
      </c>
      <c r="D1511" s="5">
        <f>BDP(A1511&amp;" US Equity","VOLUME_AVG_20D")</f>
        <v/>
      </c>
      <c r="E1511" s="6">
        <f>BDP(A1511&amp;" US Equity","PX_LAST")</f>
        <v/>
      </c>
      <c r="F1511" s="5">
        <f>D1511*E1511</f>
        <v/>
      </c>
      <c r="G1511">
        <f>AND(B1511&gt;=50,B1511&lt;=10000)</f>
        <v/>
      </c>
      <c r="H1511">
        <f>OR(C1511="NAS",C1511="NYS",C1511="ASE")</f>
        <v/>
      </c>
      <c r="I1511">
        <f>F1511&gt;=500000</f>
        <v/>
      </c>
      <c r="J1511">
        <f>E1511&gt;=2</f>
        <v/>
      </c>
      <c r="K1511">
        <f>AND(G1511,H1511,I1511,J1511)</f>
        <v/>
      </c>
    </row>
    <row r="1512">
      <c r="B1512" s="5">
        <f>BDP(A1512&amp;" US Equity","CUR_MKT_CAP")</f>
        <v/>
      </c>
      <c r="C1512">
        <f>BDP(A1512&amp;" US Equity","EXCH_CODE")</f>
        <v/>
      </c>
      <c r="D1512" s="5">
        <f>BDP(A1512&amp;" US Equity","VOLUME_AVG_20D")</f>
        <v/>
      </c>
      <c r="E1512" s="6">
        <f>BDP(A1512&amp;" US Equity","PX_LAST")</f>
        <v/>
      </c>
      <c r="F1512" s="5">
        <f>D1512*E1512</f>
        <v/>
      </c>
      <c r="G1512">
        <f>AND(B1512&gt;=50,B1512&lt;=10000)</f>
        <v/>
      </c>
      <c r="H1512">
        <f>OR(C1512="NAS",C1512="NYS",C1512="ASE")</f>
        <v/>
      </c>
      <c r="I1512">
        <f>F1512&gt;=500000</f>
        <v/>
      </c>
      <c r="J1512">
        <f>E1512&gt;=2</f>
        <v/>
      </c>
      <c r="K1512">
        <f>AND(G1512,H1512,I1512,J1512)</f>
        <v/>
      </c>
    </row>
    <row r="1513">
      <c r="B1513" s="5">
        <f>BDP(A1513&amp;" US Equity","CUR_MKT_CAP")</f>
        <v/>
      </c>
      <c r="C1513">
        <f>BDP(A1513&amp;" US Equity","EXCH_CODE")</f>
        <v/>
      </c>
      <c r="D1513" s="5">
        <f>BDP(A1513&amp;" US Equity","VOLUME_AVG_20D")</f>
        <v/>
      </c>
      <c r="E1513" s="6">
        <f>BDP(A1513&amp;" US Equity","PX_LAST")</f>
        <v/>
      </c>
      <c r="F1513" s="5">
        <f>D1513*E1513</f>
        <v/>
      </c>
      <c r="G1513">
        <f>AND(B1513&gt;=50,B1513&lt;=10000)</f>
        <v/>
      </c>
      <c r="H1513">
        <f>OR(C1513="NAS",C1513="NYS",C1513="ASE")</f>
        <v/>
      </c>
      <c r="I1513">
        <f>F1513&gt;=500000</f>
        <v/>
      </c>
      <c r="J1513">
        <f>E1513&gt;=2</f>
        <v/>
      </c>
      <c r="K1513">
        <f>AND(G1513,H1513,I1513,J1513)</f>
        <v/>
      </c>
    </row>
    <row r="1514">
      <c r="B1514" s="5">
        <f>BDP(A1514&amp;" US Equity","CUR_MKT_CAP")</f>
        <v/>
      </c>
      <c r="C1514">
        <f>BDP(A1514&amp;" US Equity","EXCH_CODE")</f>
        <v/>
      </c>
      <c r="D1514" s="5">
        <f>BDP(A1514&amp;" US Equity","VOLUME_AVG_20D")</f>
        <v/>
      </c>
      <c r="E1514" s="6">
        <f>BDP(A1514&amp;" US Equity","PX_LAST")</f>
        <v/>
      </c>
      <c r="F1514" s="5">
        <f>D1514*E1514</f>
        <v/>
      </c>
      <c r="G1514">
        <f>AND(B1514&gt;=50,B1514&lt;=10000)</f>
        <v/>
      </c>
      <c r="H1514">
        <f>OR(C1514="NAS",C1514="NYS",C1514="ASE")</f>
        <v/>
      </c>
      <c r="I1514">
        <f>F1514&gt;=500000</f>
        <v/>
      </c>
      <c r="J1514">
        <f>E1514&gt;=2</f>
        <v/>
      </c>
      <c r="K1514">
        <f>AND(G1514,H1514,I1514,J1514)</f>
        <v/>
      </c>
    </row>
    <row r="1515">
      <c r="B1515" s="5">
        <f>BDP(A1515&amp;" US Equity","CUR_MKT_CAP")</f>
        <v/>
      </c>
      <c r="C1515">
        <f>BDP(A1515&amp;" US Equity","EXCH_CODE")</f>
        <v/>
      </c>
      <c r="D1515" s="5">
        <f>BDP(A1515&amp;" US Equity","VOLUME_AVG_20D")</f>
        <v/>
      </c>
      <c r="E1515" s="6">
        <f>BDP(A1515&amp;" US Equity","PX_LAST")</f>
        <v/>
      </c>
      <c r="F1515" s="5">
        <f>D1515*E1515</f>
        <v/>
      </c>
      <c r="G1515">
        <f>AND(B1515&gt;=50,B1515&lt;=10000)</f>
        <v/>
      </c>
      <c r="H1515">
        <f>OR(C1515="NAS",C1515="NYS",C1515="ASE")</f>
        <v/>
      </c>
      <c r="I1515">
        <f>F1515&gt;=500000</f>
        <v/>
      </c>
      <c r="J1515">
        <f>E1515&gt;=2</f>
        <v/>
      </c>
      <c r="K1515">
        <f>AND(G1515,H1515,I1515,J1515)</f>
        <v/>
      </c>
    </row>
    <row r="1516">
      <c r="B1516" s="5">
        <f>BDP(A1516&amp;" US Equity","CUR_MKT_CAP")</f>
        <v/>
      </c>
      <c r="C1516">
        <f>BDP(A1516&amp;" US Equity","EXCH_CODE")</f>
        <v/>
      </c>
      <c r="D1516" s="5">
        <f>BDP(A1516&amp;" US Equity","VOLUME_AVG_20D")</f>
        <v/>
      </c>
      <c r="E1516" s="6">
        <f>BDP(A1516&amp;" US Equity","PX_LAST")</f>
        <v/>
      </c>
      <c r="F1516" s="5">
        <f>D1516*E1516</f>
        <v/>
      </c>
      <c r="G1516">
        <f>AND(B1516&gt;=50,B1516&lt;=10000)</f>
        <v/>
      </c>
      <c r="H1516">
        <f>OR(C1516="NAS",C1516="NYS",C1516="ASE")</f>
        <v/>
      </c>
      <c r="I1516">
        <f>F1516&gt;=500000</f>
        <v/>
      </c>
      <c r="J1516">
        <f>E1516&gt;=2</f>
        <v/>
      </c>
      <c r="K1516">
        <f>AND(G1516,H1516,I1516,J1516)</f>
        <v/>
      </c>
    </row>
    <row r="1517">
      <c r="B1517" s="5">
        <f>BDP(A1517&amp;" US Equity","CUR_MKT_CAP")</f>
        <v/>
      </c>
      <c r="C1517">
        <f>BDP(A1517&amp;" US Equity","EXCH_CODE")</f>
        <v/>
      </c>
      <c r="D1517" s="5">
        <f>BDP(A1517&amp;" US Equity","VOLUME_AVG_20D")</f>
        <v/>
      </c>
      <c r="E1517" s="6">
        <f>BDP(A1517&amp;" US Equity","PX_LAST")</f>
        <v/>
      </c>
      <c r="F1517" s="5">
        <f>D1517*E1517</f>
        <v/>
      </c>
      <c r="G1517">
        <f>AND(B1517&gt;=50,B1517&lt;=10000)</f>
        <v/>
      </c>
      <c r="H1517">
        <f>OR(C1517="NAS",C1517="NYS",C1517="ASE")</f>
        <v/>
      </c>
      <c r="I1517">
        <f>F1517&gt;=500000</f>
        <v/>
      </c>
      <c r="J1517">
        <f>E1517&gt;=2</f>
        <v/>
      </c>
      <c r="K1517">
        <f>AND(G1517,H1517,I1517,J1517)</f>
        <v/>
      </c>
    </row>
    <row r="1518">
      <c r="B1518" s="5">
        <f>BDP(A1518&amp;" US Equity","CUR_MKT_CAP")</f>
        <v/>
      </c>
      <c r="C1518">
        <f>BDP(A1518&amp;" US Equity","EXCH_CODE")</f>
        <v/>
      </c>
      <c r="D1518" s="5">
        <f>BDP(A1518&amp;" US Equity","VOLUME_AVG_20D")</f>
        <v/>
      </c>
      <c r="E1518" s="6">
        <f>BDP(A1518&amp;" US Equity","PX_LAST")</f>
        <v/>
      </c>
      <c r="F1518" s="5">
        <f>D1518*E1518</f>
        <v/>
      </c>
      <c r="G1518">
        <f>AND(B1518&gt;=50,B1518&lt;=10000)</f>
        <v/>
      </c>
      <c r="H1518">
        <f>OR(C1518="NAS",C1518="NYS",C1518="ASE")</f>
        <v/>
      </c>
      <c r="I1518">
        <f>F1518&gt;=500000</f>
        <v/>
      </c>
      <c r="J1518">
        <f>E1518&gt;=2</f>
        <v/>
      </c>
      <c r="K1518">
        <f>AND(G1518,H1518,I1518,J1518)</f>
        <v/>
      </c>
    </row>
    <row r="1519">
      <c r="B1519" s="5">
        <f>BDP(A1519&amp;" US Equity","CUR_MKT_CAP")</f>
        <v/>
      </c>
      <c r="C1519">
        <f>BDP(A1519&amp;" US Equity","EXCH_CODE")</f>
        <v/>
      </c>
      <c r="D1519" s="5">
        <f>BDP(A1519&amp;" US Equity","VOLUME_AVG_20D")</f>
        <v/>
      </c>
      <c r="E1519" s="6">
        <f>BDP(A1519&amp;" US Equity","PX_LAST")</f>
        <v/>
      </c>
      <c r="F1519" s="5">
        <f>D1519*E1519</f>
        <v/>
      </c>
      <c r="G1519">
        <f>AND(B1519&gt;=50,B1519&lt;=10000)</f>
        <v/>
      </c>
      <c r="H1519">
        <f>OR(C1519="NAS",C1519="NYS",C1519="ASE")</f>
        <v/>
      </c>
      <c r="I1519">
        <f>F1519&gt;=500000</f>
        <v/>
      </c>
      <c r="J1519">
        <f>E1519&gt;=2</f>
        <v/>
      </c>
      <c r="K1519">
        <f>AND(G1519,H1519,I1519,J1519)</f>
        <v/>
      </c>
    </row>
    <row r="1520">
      <c r="B1520" s="5">
        <f>BDP(A1520&amp;" US Equity","CUR_MKT_CAP")</f>
        <v/>
      </c>
      <c r="C1520">
        <f>BDP(A1520&amp;" US Equity","EXCH_CODE")</f>
        <v/>
      </c>
      <c r="D1520" s="5">
        <f>BDP(A1520&amp;" US Equity","VOLUME_AVG_20D")</f>
        <v/>
      </c>
      <c r="E1520" s="6">
        <f>BDP(A1520&amp;" US Equity","PX_LAST")</f>
        <v/>
      </c>
      <c r="F1520" s="5">
        <f>D1520*E1520</f>
        <v/>
      </c>
      <c r="G1520">
        <f>AND(B1520&gt;=50,B1520&lt;=10000)</f>
        <v/>
      </c>
      <c r="H1520">
        <f>OR(C1520="NAS",C1520="NYS",C1520="ASE")</f>
        <v/>
      </c>
      <c r="I1520">
        <f>F1520&gt;=500000</f>
        <v/>
      </c>
      <c r="J1520">
        <f>E1520&gt;=2</f>
        <v/>
      </c>
      <c r="K1520">
        <f>AND(G1520,H1520,I1520,J1520)</f>
        <v/>
      </c>
    </row>
    <row r="1521">
      <c r="B1521" s="5">
        <f>BDP(A1521&amp;" US Equity","CUR_MKT_CAP")</f>
        <v/>
      </c>
      <c r="C1521">
        <f>BDP(A1521&amp;" US Equity","EXCH_CODE")</f>
        <v/>
      </c>
      <c r="D1521" s="5">
        <f>BDP(A1521&amp;" US Equity","VOLUME_AVG_20D")</f>
        <v/>
      </c>
      <c r="E1521" s="6">
        <f>BDP(A1521&amp;" US Equity","PX_LAST")</f>
        <v/>
      </c>
      <c r="F1521" s="5">
        <f>D1521*E1521</f>
        <v/>
      </c>
      <c r="G1521">
        <f>AND(B1521&gt;=50,B1521&lt;=10000)</f>
        <v/>
      </c>
      <c r="H1521">
        <f>OR(C1521="NAS",C1521="NYS",C1521="ASE")</f>
        <v/>
      </c>
      <c r="I1521">
        <f>F1521&gt;=500000</f>
        <v/>
      </c>
      <c r="J1521">
        <f>E1521&gt;=2</f>
        <v/>
      </c>
      <c r="K1521">
        <f>AND(G1521,H1521,I1521,J1521)</f>
        <v/>
      </c>
    </row>
    <row r="1522">
      <c r="B1522" s="5">
        <f>BDP(A1522&amp;" US Equity","CUR_MKT_CAP")</f>
        <v/>
      </c>
      <c r="C1522">
        <f>BDP(A1522&amp;" US Equity","EXCH_CODE")</f>
        <v/>
      </c>
      <c r="D1522" s="5">
        <f>BDP(A1522&amp;" US Equity","VOLUME_AVG_20D")</f>
        <v/>
      </c>
      <c r="E1522" s="6">
        <f>BDP(A1522&amp;" US Equity","PX_LAST")</f>
        <v/>
      </c>
      <c r="F1522" s="5">
        <f>D1522*E1522</f>
        <v/>
      </c>
      <c r="G1522">
        <f>AND(B1522&gt;=50,B1522&lt;=10000)</f>
        <v/>
      </c>
      <c r="H1522">
        <f>OR(C1522="NAS",C1522="NYS",C1522="ASE")</f>
        <v/>
      </c>
      <c r="I1522">
        <f>F1522&gt;=500000</f>
        <v/>
      </c>
      <c r="J1522">
        <f>E1522&gt;=2</f>
        <v/>
      </c>
      <c r="K1522">
        <f>AND(G1522,H1522,I1522,J1522)</f>
        <v/>
      </c>
    </row>
    <row r="1523">
      <c r="B1523" s="5">
        <f>BDP(A1523&amp;" US Equity","CUR_MKT_CAP")</f>
        <v/>
      </c>
      <c r="C1523">
        <f>BDP(A1523&amp;" US Equity","EXCH_CODE")</f>
        <v/>
      </c>
      <c r="D1523" s="5">
        <f>BDP(A1523&amp;" US Equity","VOLUME_AVG_20D")</f>
        <v/>
      </c>
      <c r="E1523" s="6">
        <f>BDP(A1523&amp;" US Equity","PX_LAST")</f>
        <v/>
      </c>
      <c r="F1523" s="5">
        <f>D1523*E1523</f>
        <v/>
      </c>
      <c r="G1523">
        <f>AND(B1523&gt;=50,B1523&lt;=10000)</f>
        <v/>
      </c>
      <c r="H1523">
        <f>OR(C1523="NAS",C1523="NYS",C1523="ASE")</f>
        <v/>
      </c>
      <c r="I1523">
        <f>F1523&gt;=500000</f>
        <v/>
      </c>
      <c r="J1523">
        <f>E1523&gt;=2</f>
        <v/>
      </c>
      <c r="K1523">
        <f>AND(G1523,H1523,I1523,J1523)</f>
        <v/>
      </c>
    </row>
    <row r="1524">
      <c r="B1524" s="5">
        <f>BDP(A1524&amp;" US Equity","CUR_MKT_CAP")</f>
        <v/>
      </c>
      <c r="C1524">
        <f>BDP(A1524&amp;" US Equity","EXCH_CODE")</f>
        <v/>
      </c>
      <c r="D1524" s="5">
        <f>BDP(A1524&amp;" US Equity","VOLUME_AVG_20D")</f>
        <v/>
      </c>
      <c r="E1524" s="6">
        <f>BDP(A1524&amp;" US Equity","PX_LAST")</f>
        <v/>
      </c>
      <c r="F1524" s="5">
        <f>D1524*E1524</f>
        <v/>
      </c>
      <c r="G1524">
        <f>AND(B1524&gt;=50,B1524&lt;=10000)</f>
        <v/>
      </c>
      <c r="H1524">
        <f>OR(C1524="NAS",C1524="NYS",C1524="ASE")</f>
        <v/>
      </c>
      <c r="I1524">
        <f>F1524&gt;=500000</f>
        <v/>
      </c>
      <c r="J1524">
        <f>E1524&gt;=2</f>
        <v/>
      </c>
      <c r="K1524">
        <f>AND(G1524,H1524,I1524,J1524)</f>
        <v/>
      </c>
    </row>
    <row r="1525">
      <c r="B1525" s="5">
        <f>BDP(A1525&amp;" US Equity","CUR_MKT_CAP")</f>
        <v/>
      </c>
      <c r="C1525">
        <f>BDP(A1525&amp;" US Equity","EXCH_CODE")</f>
        <v/>
      </c>
      <c r="D1525" s="5">
        <f>BDP(A1525&amp;" US Equity","VOLUME_AVG_20D")</f>
        <v/>
      </c>
      <c r="E1525" s="6">
        <f>BDP(A1525&amp;" US Equity","PX_LAST")</f>
        <v/>
      </c>
      <c r="F1525" s="5">
        <f>D1525*E1525</f>
        <v/>
      </c>
      <c r="G1525">
        <f>AND(B1525&gt;=50,B1525&lt;=10000)</f>
        <v/>
      </c>
      <c r="H1525">
        <f>OR(C1525="NAS",C1525="NYS",C1525="ASE")</f>
        <v/>
      </c>
      <c r="I1525">
        <f>F1525&gt;=500000</f>
        <v/>
      </c>
      <c r="J1525">
        <f>E1525&gt;=2</f>
        <v/>
      </c>
      <c r="K1525">
        <f>AND(G1525,H1525,I1525,J1525)</f>
        <v/>
      </c>
    </row>
    <row r="1526">
      <c r="B1526" s="5">
        <f>BDP(A1526&amp;" US Equity","CUR_MKT_CAP")</f>
        <v/>
      </c>
      <c r="C1526">
        <f>BDP(A1526&amp;" US Equity","EXCH_CODE")</f>
        <v/>
      </c>
      <c r="D1526" s="5">
        <f>BDP(A1526&amp;" US Equity","VOLUME_AVG_20D")</f>
        <v/>
      </c>
      <c r="E1526" s="6">
        <f>BDP(A1526&amp;" US Equity","PX_LAST")</f>
        <v/>
      </c>
      <c r="F1526" s="5">
        <f>D1526*E1526</f>
        <v/>
      </c>
      <c r="G1526">
        <f>AND(B1526&gt;=50,B1526&lt;=10000)</f>
        <v/>
      </c>
      <c r="H1526">
        <f>OR(C1526="NAS",C1526="NYS",C1526="ASE")</f>
        <v/>
      </c>
      <c r="I1526">
        <f>F1526&gt;=500000</f>
        <v/>
      </c>
      <c r="J1526">
        <f>E1526&gt;=2</f>
        <v/>
      </c>
      <c r="K1526">
        <f>AND(G1526,H1526,I1526,J1526)</f>
        <v/>
      </c>
    </row>
    <row r="1527">
      <c r="B1527" s="5">
        <f>BDP(A1527&amp;" US Equity","CUR_MKT_CAP")</f>
        <v/>
      </c>
      <c r="C1527">
        <f>BDP(A1527&amp;" US Equity","EXCH_CODE")</f>
        <v/>
      </c>
      <c r="D1527" s="5">
        <f>BDP(A1527&amp;" US Equity","VOLUME_AVG_20D")</f>
        <v/>
      </c>
      <c r="E1527" s="6">
        <f>BDP(A1527&amp;" US Equity","PX_LAST")</f>
        <v/>
      </c>
      <c r="F1527" s="5">
        <f>D1527*E1527</f>
        <v/>
      </c>
      <c r="G1527">
        <f>AND(B1527&gt;=50,B1527&lt;=10000)</f>
        <v/>
      </c>
      <c r="H1527">
        <f>OR(C1527="NAS",C1527="NYS",C1527="ASE")</f>
        <v/>
      </c>
      <c r="I1527">
        <f>F1527&gt;=500000</f>
        <v/>
      </c>
      <c r="J1527">
        <f>E1527&gt;=2</f>
        <v/>
      </c>
      <c r="K1527">
        <f>AND(G1527,H1527,I1527,J1527)</f>
        <v/>
      </c>
    </row>
    <row r="1528">
      <c r="B1528" s="5">
        <f>BDP(A1528&amp;" US Equity","CUR_MKT_CAP")</f>
        <v/>
      </c>
      <c r="C1528">
        <f>BDP(A1528&amp;" US Equity","EXCH_CODE")</f>
        <v/>
      </c>
      <c r="D1528" s="5">
        <f>BDP(A1528&amp;" US Equity","VOLUME_AVG_20D")</f>
        <v/>
      </c>
      <c r="E1528" s="6">
        <f>BDP(A1528&amp;" US Equity","PX_LAST")</f>
        <v/>
      </c>
      <c r="F1528" s="5">
        <f>D1528*E1528</f>
        <v/>
      </c>
      <c r="G1528">
        <f>AND(B1528&gt;=50,B1528&lt;=10000)</f>
        <v/>
      </c>
      <c r="H1528">
        <f>OR(C1528="NAS",C1528="NYS",C1528="ASE")</f>
        <v/>
      </c>
      <c r="I1528">
        <f>F1528&gt;=500000</f>
        <v/>
      </c>
      <c r="J1528">
        <f>E1528&gt;=2</f>
        <v/>
      </c>
      <c r="K1528">
        <f>AND(G1528,H1528,I1528,J1528)</f>
        <v/>
      </c>
    </row>
    <row r="1529">
      <c r="B1529" s="5">
        <f>BDP(A1529&amp;" US Equity","CUR_MKT_CAP")</f>
        <v/>
      </c>
      <c r="C1529">
        <f>BDP(A1529&amp;" US Equity","EXCH_CODE")</f>
        <v/>
      </c>
      <c r="D1529" s="5">
        <f>BDP(A1529&amp;" US Equity","VOLUME_AVG_20D")</f>
        <v/>
      </c>
      <c r="E1529" s="6">
        <f>BDP(A1529&amp;" US Equity","PX_LAST")</f>
        <v/>
      </c>
      <c r="F1529" s="5">
        <f>D1529*E1529</f>
        <v/>
      </c>
      <c r="G1529">
        <f>AND(B1529&gt;=50,B1529&lt;=10000)</f>
        <v/>
      </c>
      <c r="H1529">
        <f>OR(C1529="NAS",C1529="NYS",C1529="ASE")</f>
        <v/>
      </c>
      <c r="I1529">
        <f>F1529&gt;=500000</f>
        <v/>
      </c>
      <c r="J1529">
        <f>E1529&gt;=2</f>
        <v/>
      </c>
      <c r="K1529">
        <f>AND(G1529,H1529,I1529,J1529)</f>
        <v/>
      </c>
    </row>
    <row r="1530">
      <c r="B1530" s="5">
        <f>BDP(A1530&amp;" US Equity","CUR_MKT_CAP")</f>
        <v/>
      </c>
      <c r="C1530">
        <f>BDP(A1530&amp;" US Equity","EXCH_CODE")</f>
        <v/>
      </c>
      <c r="D1530" s="5">
        <f>BDP(A1530&amp;" US Equity","VOLUME_AVG_20D")</f>
        <v/>
      </c>
      <c r="E1530" s="6">
        <f>BDP(A1530&amp;" US Equity","PX_LAST")</f>
        <v/>
      </c>
      <c r="F1530" s="5">
        <f>D1530*E1530</f>
        <v/>
      </c>
      <c r="G1530">
        <f>AND(B1530&gt;=50,B1530&lt;=10000)</f>
        <v/>
      </c>
      <c r="H1530">
        <f>OR(C1530="NAS",C1530="NYS",C1530="ASE")</f>
        <v/>
      </c>
      <c r="I1530">
        <f>F1530&gt;=500000</f>
        <v/>
      </c>
      <c r="J1530">
        <f>E1530&gt;=2</f>
        <v/>
      </c>
      <c r="K1530">
        <f>AND(G1530,H1530,I1530,J1530)</f>
        <v/>
      </c>
    </row>
    <row r="1531">
      <c r="B1531" s="5">
        <f>BDP(A1531&amp;" US Equity","CUR_MKT_CAP")</f>
        <v/>
      </c>
      <c r="C1531">
        <f>BDP(A1531&amp;" US Equity","EXCH_CODE")</f>
        <v/>
      </c>
      <c r="D1531" s="5">
        <f>BDP(A1531&amp;" US Equity","VOLUME_AVG_20D")</f>
        <v/>
      </c>
      <c r="E1531" s="6">
        <f>BDP(A1531&amp;" US Equity","PX_LAST")</f>
        <v/>
      </c>
      <c r="F1531" s="5">
        <f>D1531*E1531</f>
        <v/>
      </c>
      <c r="G1531">
        <f>AND(B1531&gt;=50,B1531&lt;=10000)</f>
        <v/>
      </c>
      <c r="H1531">
        <f>OR(C1531="NAS",C1531="NYS",C1531="ASE")</f>
        <v/>
      </c>
      <c r="I1531">
        <f>F1531&gt;=500000</f>
        <v/>
      </c>
      <c r="J1531">
        <f>E1531&gt;=2</f>
        <v/>
      </c>
      <c r="K1531">
        <f>AND(G1531,H1531,I1531,J1531)</f>
        <v/>
      </c>
    </row>
    <row r="1532">
      <c r="B1532" s="5">
        <f>BDP(A1532&amp;" US Equity","CUR_MKT_CAP")</f>
        <v/>
      </c>
      <c r="C1532">
        <f>BDP(A1532&amp;" US Equity","EXCH_CODE")</f>
        <v/>
      </c>
      <c r="D1532" s="5">
        <f>BDP(A1532&amp;" US Equity","VOLUME_AVG_20D")</f>
        <v/>
      </c>
      <c r="E1532" s="6">
        <f>BDP(A1532&amp;" US Equity","PX_LAST")</f>
        <v/>
      </c>
      <c r="F1532" s="5">
        <f>D1532*E1532</f>
        <v/>
      </c>
      <c r="G1532">
        <f>AND(B1532&gt;=50,B1532&lt;=10000)</f>
        <v/>
      </c>
      <c r="H1532">
        <f>OR(C1532="NAS",C1532="NYS",C1532="ASE")</f>
        <v/>
      </c>
      <c r="I1532">
        <f>F1532&gt;=500000</f>
        <v/>
      </c>
      <c r="J1532">
        <f>E1532&gt;=2</f>
        <v/>
      </c>
      <c r="K1532">
        <f>AND(G1532,H1532,I1532,J1532)</f>
        <v/>
      </c>
    </row>
    <row r="1533">
      <c r="B1533" s="5">
        <f>BDP(A1533&amp;" US Equity","CUR_MKT_CAP")</f>
        <v/>
      </c>
      <c r="C1533">
        <f>BDP(A1533&amp;" US Equity","EXCH_CODE")</f>
        <v/>
      </c>
      <c r="D1533" s="5">
        <f>BDP(A1533&amp;" US Equity","VOLUME_AVG_20D")</f>
        <v/>
      </c>
      <c r="E1533" s="6">
        <f>BDP(A1533&amp;" US Equity","PX_LAST")</f>
        <v/>
      </c>
      <c r="F1533" s="5">
        <f>D1533*E1533</f>
        <v/>
      </c>
      <c r="G1533">
        <f>AND(B1533&gt;=50,B1533&lt;=10000)</f>
        <v/>
      </c>
      <c r="H1533">
        <f>OR(C1533="NAS",C1533="NYS",C1533="ASE")</f>
        <v/>
      </c>
      <c r="I1533">
        <f>F1533&gt;=500000</f>
        <v/>
      </c>
      <c r="J1533">
        <f>E1533&gt;=2</f>
        <v/>
      </c>
      <c r="K1533">
        <f>AND(G1533,H1533,I1533,J1533)</f>
        <v/>
      </c>
    </row>
    <row r="1534">
      <c r="B1534" s="5">
        <f>BDP(A1534&amp;" US Equity","CUR_MKT_CAP")</f>
        <v/>
      </c>
      <c r="C1534">
        <f>BDP(A1534&amp;" US Equity","EXCH_CODE")</f>
        <v/>
      </c>
      <c r="D1534" s="5">
        <f>BDP(A1534&amp;" US Equity","VOLUME_AVG_20D")</f>
        <v/>
      </c>
      <c r="E1534" s="6">
        <f>BDP(A1534&amp;" US Equity","PX_LAST")</f>
        <v/>
      </c>
      <c r="F1534" s="5">
        <f>D1534*E1534</f>
        <v/>
      </c>
      <c r="G1534">
        <f>AND(B1534&gt;=50,B1534&lt;=10000)</f>
        <v/>
      </c>
      <c r="H1534">
        <f>OR(C1534="NAS",C1534="NYS",C1534="ASE")</f>
        <v/>
      </c>
      <c r="I1534">
        <f>F1534&gt;=500000</f>
        <v/>
      </c>
      <c r="J1534">
        <f>E1534&gt;=2</f>
        <v/>
      </c>
      <c r="K1534">
        <f>AND(G1534,H1534,I1534,J1534)</f>
        <v/>
      </c>
    </row>
    <row r="1535">
      <c r="B1535" s="5">
        <f>BDP(A1535&amp;" US Equity","CUR_MKT_CAP")</f>
        <v/>
      </c>
      <c r="C1535">
        <f>BDP(A1535&amp;" US Equity","EXCH_CODE")</f>
        <v/>
      </c>
      <c r="D1535" s="5">
        <f>BDP(A1535&amp;" US Equity","VOLUME_AVG_20D")</f>
        <v/>
      </c>
      <c r="E1535" s="6">
        <f>BDP(A1535&amp;" US Equity","PX_LAST")</f>
        <v/>
      </c>
      <c r="F1535" s="5">
        <f>D1535*E1535</f>
        <v/>
      </c>
      <c r="G1535">
        <f>AND(B1535&gt;=50,B1535&lt;=10000)</f>
        <v/>
      </c>
      <c r="H1535">
        <f>OR(C1535="NAS",C1535="NYS",C1535="ASE")</f>
        <v/>
      </c>
      <c r="I1535">
        <f>F1535&gt;=500000</f>
        <v/>
      </c>
      <c r="J1535">
        <f>E1535&gt;=2</f>
        <v/>
      </c>
      <c r="K1535">
        <f>AND(G1535,H1535,I1535,J1535)</f>
        <v/>
      </c>
    </row>
    <row r="1536">
      <c r="B1536" s="5">
        <f>BDP(A1536&amp;" US Equity","CUR_MKT_CAP")</f>
        <v/>
      </c>
      <c r="C1536">
        <f>BDP(A1536&amp;" US Equity","EXCH_CODE")</f>
        <v/>
      </c>
      <c r="D1536" s="5">
        <f>BDP(A1536&amp;" US Equity","VOLUME_AVG_20D")</f>
        <v/>
      </c>
      <c r="E1536" s="6">
        <f>BDP(A1536&amp;" US Equity","PX_LAST")</f>
        <v/>
      </c>
      <c r="F1536" s="5">
        <f>D1536*E1536</f>
        <v/>
      </c>
      <c r="G1536">
        <f>AND(B1536&gt;=50,B1536&lt;=10000)</f>
        <v/>
      </c>
      <c r="H1536">
        <f>OR(C1536="NAS",C1536="NYS",C1536="ASE")</f>
        <v/>
      </c>
      <c r="I1536">
        <f>F1536&gt;=500000</f>
        <v/>
      </c>
      <c r="J1536">
        <f>E1536&gt;=2</f>
        <v/>
      </c>
      <c r="K1536">
        <f>AND(G1536,H1536,I1536,J1536)</f>
        <v/>
      </c>
    </row>
    <row r="1537">
      <c r="B1537" s="5">
        <f>BDP(A1537&amp;" US Equity","CUR_MKT_CAP")</f>
        <v/>
      </c>
      <c r="C1537">
        <f>BDP(A1537&amp;" US Equity","EXCH_CODE")</f>
        <v/>
      </c>
      <c r="D1537" s="5">
        <f>BDP(A1537&amp;" US Equity","VOLUME_AVG_20D")</f>
        <v/>
      </c>
      <c r="E1537" s="6">
        <f>BDP(A1537&amp;" US Equity","PX_LAST")</f>
        <v/>
      </c>
      <c r="F1537" s="5">
        <f>D1537*E1537</f>
        <v/>
      </c>
      <c r="G1537">
        <f>AND(B1537&gt;=50,B1537&lt;=10000)</f>
        <v/>
      </c>
      <c r="H1537">
        <f>OR(C1537="NAS",C1537="NYS",C1537="ASE")</f>
        <v/>
      </c>
      <c r="I1537">
        <f>F1537&gt;=500000</f>
        <v/>
      </c>
      <c r="J1537">
        <f>E1537&gt;=2</f>
        <v/>
      </c>
      <c r="K1537">
        <f>AND(G1537,H1537,I1537,J1537)</f>
        <v/>
      </c>
    </row>
    <row r="1538">
      <c r="B1538" s="5">
        <f>BDP(A1538&amp;" US Equity","CUR_MKT_CAP")</f>
        <v/>
      </c>
      <c r="C1538">
        <f>BDP(A1538&amp;" US Equity","EXCH_CODE")</f>
        <v/>
      </c>
      <c r="D1538" s="5">
        <f>BDP(A1538&amp;" US Equity","VOLUME_AVG_20D")</f>
        <v/>
      </c>
      <c r="E1538" s="6">
        <f>BDP(A1538&amp;" US Equity","PX_LAST")</f>
        <v/>
      </c>
      <c r="F1538" s="5">
        <f>D1538*E1538</f>
        <v/>
      </c>
      <c r="G1538">
        <f>AND(B1538&gt;=50,B1538&lt;=10000)</f>
        <v/>
      </c>
      <c r="H1538">
        <f>OR(C1538="NAS",C1538="NYS",C1538="ASE")</f>
        <v/>
      </c>
      <c r="I1538">
        <f>F1538&gt;=500000</f>
        <v/>
      </c>
      <c r="J1538">
        <f>E1538&gt;=2</f>
        <v/>
      </c>
      <c r="K1538">
        <f>AND(G1538,H1538,I1538,J1538)</f>
        <v/>
      </c>
    </row>
    <row r="1539">
      <c r="B1539" s="5">
        <f>BDP(A1539&amp;" US Equity","CUR_MKT_CAP")</f>
        <v/>
      </c>
      <c r="C1539">
        <f>BDP(A1539&amp;" US Equity","EXCH_CODE")</f>
        <v/>
      </c>
      <c r="D1539" s="5">
        <f>BDP(A1539&amp;" US Equity","VOLUME_AVG_20D")</f>
        <v/>
      </c>
      <c r="E1539" s="6">
        <f>BDP(A1539&amp;" US Equity","PX_LAST")</f>
        <v/>
      </c>
      <c r="F1539" s="5">
        <f>D1539*E1539</f>
        <v/>
      </c>
      <c r="G1539">
        <f>AND(B1539&gt;=50,B1539&lt;=10000)</f>
        <v/>
      </c>
      <c r="H1539">
        <f>OR(C1539="NAS",C1539="NYS",C1539="ASE")</f>
        <v/>
      </c>
      <c r="I1539">
        <f>F1539&gt;=500000</f>
        <v/>
      </c>
      <c r="J1539">
        <f>E1539&gt;=2</f>
        <v/>
      </c>
      <c r="K1539">
        <f>AND(G1539,H1539,I1539,J1539)</f>
        <v/>
      </c>
    </row>
    <row r="1540">
      <c r="B1540" s="5">
        <f>BDP(A1540&amp;" US Equity","CUR_MKT_CAP")</f>
        <v/>
      </c>
      <c r="C1540">
        <f>BDP(A1540&amp;" US Equity","EXCH_CODE")</f>
        <v/>
      </c>
      <c r="D1540" s="5">
        <f>BDP(A1540&amp;" US Equity","VOLUME_AVG_20D")</f>
        <v/>
      </c>
      <c r="E1540" s="6">
        <f>BDP(A1540&amp;" US Equity","PX_LAST")</f>
        <v/>
      </c>
      <c r="F1540" s="5">
        <f>D1540*E1540</f>
        <v/>
      </c>
      <c r="G1540">
        <f>AND(B1540&gt;=50,B1540&lt;=10000)</f>
        <v/>
      </c>
      <c r="H1540">
        <f>OR(C1540="NAS",C1540="NYS",C1540="ASE")</f>
        <v/>
      </c>
      <c r="I1540">
        <f>F1540&gt;=500000</f>
        <v/>
      </c>
      <c r="J1540">
        <f>E1540&gt;=2</f>
        <v/>
      </c>
      <c r="K1540">
        <f>AND(G1540,H1540,I1540,J1540)</f>
        <v/>
      </c>
    </row>
    <row r="1541">
      <c r="B1541" s="5">
        <f>BDP(A1541&amp;" US Equity","CUR_MKT_CAP")</f>
        <v/>
      </c>
      <c r="C1541">
        <f>BDP(A1541&amp;" US Equity","EXCH_CODE")</f>
        <v/>
      </c>
      <c r="D1541" s="5">
        <f>BDP(A1541&amp;" US Equity","VOLUME_AVG_20D")</f>
        <v/>
      </c>
      <c r="E1541" s="6">
        <f>BDP(A1541&amp;" US Equity","PX_LAST")</f>
        <v/>
      </c>
      <c r="F1541" s="5">
        <f>D1541*E1541</f>
        <v/>
      </c>
      <c r="G1541">
        <f>AND(B1541&gt;=50,B1541&lt;=10000)</f>
        <v/>
      </c>
      <c r="H1541">
        <f>OR(C1541="NAS",C1541="NYS",C1541="ASE")</f>
        <v/>
      </c>
      <c r="I1541">
        <f>F1541&gt;=500000</f>
        <v/>
      </c>
      <c r="J1541">
        <f>E1541&gt;=2</f>
        <v/>
      </c>
      <c r="K1541">
        <f>AND(G1541,H1541,I1541,J1541)</f>
        <v/>
      </c>
    </row>
    <row r="1542">
      <c r="B1542" s="5">
        <f>BDP(A1542&amp;" US Equity","CUR_MKT_CAP")</f>
        <v/>
      </c>
      <c r="C1542">
        <f>BDP(A1542&amp;" US Equity","EXCH_CODE")</f>
        <v/>
      </c>
      <c r="D1542" s="5">
        <f>BDP(A1542&amp;" US Equity","VOLUME_AVG_20D")</f>
        <v/>
      </c>
      <c r="E1542" s="6">
        <f>BDP(A1542&amp;" US Equity","PX_LAST")</f>
        <v/>
      </c>
      <c r="F1542" s="5">
        <f>D1542*E1542</f>
        <v/>
      </c>
      <c r="G1542">
        <f>AND(B1542&gt;=50,B1542&lt;=10000)</f>
        <v/>
      </c>
      <c r="H1542">
        <f>OR(C1542="NAS",C1542="NYS",C1542="ASE")</f>
        <v/>
      </c>
      <c r="I1542">
        <f>F1542&gt;=500000</f>
        <v/>
      </c>
      <c r="J1542">
        <f>E1542&gt;=2</f>
        <v/>
      </c>
      <c r="K1542">
        <f>AND(G1542,H1542,I1542,J1542)</f>
        <v/>
      </c>
    </row>
    <row r="1543">
      <c r="B1543" s="5">
        <f>BDP(A1543&amp;" US Equity","CUR_MKT_CAP")</f>
        <v/>
      </c>
      <c r="C1543">
        <f>BDP(A1543&amp;" US Equity","EXCH_CODE")</f>
        <v/>
      </c>
      <c r="D1543" s="5">
        <f>BDP(A1543&amp;" US Equity","VOLUME_AVG_20D")</f>
        <v/>
      </c>
      <c r="E1543" s="6">
        <f>BDP(A1543&amp;" US Equity","PX_LAST")</f>
        <v/>
      </c>
      <c r="F1543" s="5">
        <f>D1543*E1543</f>
        <v/>
      </c>
      <c r="G1543">
        <f>AND(B1543&gt;=50,B1543&lt;=10000)</f>
        <v/>
      </c>
      <c r="H1543">
        <f>OR(C1543="NAS",C1543="NYS",C1543="ASE")</f>
        <v/>
      </c>
      <c r="I1543">
        <f>F1543&gt;=500000</f>
        <v/>
      </c>
      <c r="J1543">
        <f>E1543&gt;=2</f>
        <v/>
      </c>
      <c r="K1543">
        <f>AND(G1543,H1543,I1543,J1543)</f>
        <v/>
      </c>
    </row>
    <row r="1544">
      <c r="B1544" s="5">
        <f>BDP(A1544&amp;" US Equity","CUR_MKT_CAP")</f>
        <v/>
      </c>
      <c r="C1544">
        <f>BDP(A1544&amp;" US Equity","EXCH_CODE")</f>
        <v/>
      </c>
      <c r="D1544" s="5">
        <f>BDP(A1544&amp;" US Equity","VOLUME_AVG_20D")</f>
        <v/>
      </c>
      <c r="E1544" s="6">
        <f>BDP(A1544&amp;" US Equity","PX_LAST")</f>
        <v/>
      </c>
      <c r="F1544" s="5">
        <f>D1544*E1544</f>
        <v/>
      </c>
      <c r="G1544">
        <f>AND(B1544&gt;=50,B1544&lt;=10000)</f>
        <v/>
      </c>
      <c r="H1544">
        <f>OR(C1544="NAS",C1544="NYS",C1544="ASE")</f>
        <v/>
      </c>
      <c r="I1544">
        <f>F1544&gt;=500000</f>
        <v/>
      </c>
      <c r="J1544">
        <f>E1544&gt;=2</f>
        <v/>
      </c>
      <c r="K1544">
        <f>AND(G1544,H1544,I1544,J1544)</f>
        <v/>
      </c>
    </row>
    <row r="1545">
      <c r="B1545" s="5">
        <f>BDP(A1545&amp;" US Equity","CUR_MKT_CAP")</f>
        <v/>
      </c>
      <c r="C1545">
        <f>BDP(A1545&amp;" US Equity","EXCH_CODE")</f>
        <v/>
      </c>
      <c r="D1545" s="5">
        <f>BDP(A1545&amp;" US Equity","VOLUME_AVG_20D")</f>
        <v/>
      </c>
      <c r="E1545" s="6">
        <f>BDP(A1545&amp;" US Equity","PX_LAST")</f>
        <v/>
      </c>
      <c r="F1545" s="5">
        <f>D1545*E1545</f>
        <v/>
      </c>
      <c r="G1545">
        <f>AND(B1545&gt;=50,B1545&lt;=10000)</f>
        <v/>
      </c>
      <c r="H1545">
        <f>OR(C1545="NAS",C1545="NYS",C1545="ASE")</f>
        <v/>
      </c>
      <c r="I1545">
        <f>F1545&gt;=500000</f>
        <v/>
      </c>
      <c r="J1545">
        <f>E1545&gt;=2</f>
        <v/>
      </c>
      <c r="K1545">
        <f>AND(G1545,H1545,I1545,J1545)</f>
        <v/>
      </c>
    </row>
    <row r="1546">
      <c r="B1546" s="5">
        <f>BDP(A1546&amp;" US Equity","CUR_MKT_CAP")</f>
        <v/>
      </c>
      <c r="C1546">
        <f>BDP(A1546&amp;" US Equity","EXCH_CODE")</f>
        <v/>
      </c>
      <c r="D1546" s="5">
        <f>BDP(A1546&amp;" US Equity","VOLUME_AVG_20D")</f>
        <v/>
      </c>
      <c r="E1546" s="6">
        <f>BDP(A1546&amp;" US Equity","PX_LAST")</f>
        <v/>
      </c>
      <c r="F1546" s="5">
        <f>D1546*E1546</f>
        <v/>
      </c>
      <c r="G1546">
        <f>AND(B1546&gt;=50,B1546&lt;=10000)</f>
        <v/>
      </c>
      <c r="H1546">
        <f>OR(C1546="NAS",C1546="NYS",C1546="ASE")</f>
        <v/>
      </c>
      <c r="I1546">
        <f>F1546&gt;=500000</f>
        <v/>
      </c>
      <c r="J1546">
        <f>E1546&gt;=2</f>
        <v/>
      </c>
      <c r="K1546">
        <f>AND(G1546,H1546,I1546,J1546)</f>
        <v/>
      </c>
    </row>
    <row r="1547">
      <c r="B1547" s="5">
        <f>BDP(A1547&amp;" US Equity","CUR_MKT_CAP")</f>
        <v/>
      </c>
      <c r="C1547">
        <f>BDP(A1547&amp;" US Equity","EXCH_CODE")</f>
        <v/>
      </c>
      <c r="D1547" s="5">
        <f>BDP(A1547&amp;" US Equity","VOLUME_AVG_20D")</f>
        <v/>
      </c>
      <c r="E1547" s="6">
        <f>BDP(A1547&amp;" US Equity","PX_LAST")</f>
        <v/>
      </c>
      <c r="F1547" s="5">
        <f>D1547*E1547</f>
        <v/>
      </c>
      <c r="G1547">
        <f>AND(B1547&gt;=50,B1547&lt;=10000)</f>
        <v/>
      </c>
      <c r="H1547">
        <f>OR(C1547="NAS",C1547="NYS",C1547="ASE")</f>
        <v/>
      </c>
      <c r="I1547">
        <f>F1547&gt;=500000</f>
        <v/>
      </c>
      <c r="J1547">
        <f>E1547&gt;=2</f>
        <v/>
      </c>
      <c r="K1547">
        <f>AND(G1547,H1547,I1547,J1547)</f>
        <v/>
      </c>
    </row>
    <row r="1548">
      <c r="B1548" s="5">
        <f>BDP(A1548&amp;" US Equity","CUR_MKT_CAP")</f>
        <v/>
      </c>
      <c r="C1548">
        <f>BDP(A1548&amp;" US Equity","EXCH_CODE")</f>
        <v/>
      </c>
      <c r="D1548" s="5">
        <f>BDP(A1548&amp;" US Equity","VOLUME_AVG_20D")</f>
        <v/>
      </c>
      <c r="E1548" s="6">
        <f>BDP(A1548&amp;" US Equity","PX_LAST")</f>
        <v/>
      </c>
      <c r="F1548" s="5">
        <f>D1548*E1548</f>
        <v/>
      </c>
      <c r="G1548">
        <f>AND(B1548&gt;=50,B1548&lt;=10000)</f>
        <v/>
      </c>
      <c r="H1548">
        <f>OR(C1548="NAS",C1548="NYS",C1548="ASE")</f>
        <v/>
      </c>
      <c r="I1548">
        <f>F1548&gt;=500000</f>
        <v/>
      </c>
      <c r="J1548">
        <f>E1548&gt;=2</f>
        <v/>
      </c>
      <c r="K1548">
        <f>AND(G1548,H1548,I1548,J1548)</f>
        <v/>
      </c>
    </row>
    <row r="1549">
      <c r="B1549" s="5">
        <f>BDP(A1549&amp;" US Equity","CUR_MKT_CAP")</f>
        <v/>
      </c>
      <c r="C1549">
        <f>BDP(A1549&amp;" US Equity","EXCH_CODE")</f>
        <v/>
      </c>
      <c r="D1549" s="5">
        <f>BDP(A1549&amp;" US Equity","VOLUME_AVG_20D")</f>
        <v/>
      </c>
      <c r="E1549" s="6">
        <f>BDP(A1549&amp;" US Equity","PX_LAST")</f>
        <v/>
      </c>
      <c r="F1549" s="5">
        <f>D1549*E1549</f>
        <v/>
      </c>
      <c r="G1549">
        <f>AND(B1549&gt;=50,B1549&lt;=10000)</f>
        <v/>
      </c>
      <c r="H1549">
        <f>OR(C1549="NAS",C1549="NYS",C1549="ASE")</f>
        <v/>
      </c>
      <c r="I1549">
        <f>F1549&gt;=500000</f>
        <v/>
      </c>
      <c r="J1549">
        <f>E1549&gt;=2</f>
        <v/>
      </c>
      <c r="K1549">
        <f>AND(G1549,H1549,I1549,J1549)</f>
        <v/>
      </c>
    </row>
    <row r="1550">
      <c r="B1550" s="5">
        <f>BDP(A1550&amp;" US Equity","CUR_MKT_CAP")</f>
        <v/>
      </c>
      <c r="C1550">
        <f>BDP(A1550&amp;" US Equity","EXCH_CODE")</f>
        <v/>
      </c>
      <c r="D1550" s="5">
        <f>BDP(A1550&amp;" US Equity","VOLUME_AVG_20D")</f>
        <v/>
      </c>
      <c r="E1550" s="6">
        <f>BDP(A1550&amp;" US Equity","PX_LAST")</f>
        <v/>
      </c>
      <c r="F1550" s="5">
        <f>D1550*E1550</f>
        <v/>
      </c>
      <c r="G1550">
        <f>AND(B1550&gt;=50,B1550&lt;=10000)</f>
        <v/>
      </c>
      <c r="H1550">
        <f>OR(C1550="NAS",C1550="NYS",C1550="ASE")</f>
        <v/>
      </c>
      <c r="I1550">
        <f>F1550&gt;=500000</f>
        <v/>
      </c>
      <c r="J1550">
        <f>E1550&gt;=2</f>
        <v/>
      </c>
      <c r="K1550">
        <f>AND(G1550,H1550,I1550,J1550)</f>
        <v/>
      </c>
    </row>
    <row r="1551">
      <c r="B1551" s="5">
        <f>BDP(A1551&amp;" US Equity","CUR_MKT_CAP")</f>
        <v/>
      </c>
      <c r="C1551">
        <f>BDP(A1551&amp;" US Equity","EXCH_CODE")</f>
        <v/>
      </c>
      <c r="D1551" s="5">
        <f>BDP(A1551&amp;" US Equity","VOLUME_AVG_20D")</f>
        <v/>
      </c>
      <c r="E1551" s="6">
        <f>BDP(A1551&amp;" US Equity","PX_LAST")</f>
        <v/>
      </c>
      <c r="F1551" s="5">
        <f>D1551*E1551</f>
        <v/>
      </c>
      <c r="G1551">
        <f>AND(B1551&gt;=50,B1551&lt;=10000)</f>
        <v/>
      </c>
      <c r="H1551">
        <f>OR(C1551="NAS",C1551="NYS",C1551="ASE")</f>
        <v/>
      </c>
      <c r="I1551">
        <f>F1551&gt;=500000</f>
        <v/>
      </c>
      <c r="J1551">
        <f>E1551&gt;=2</f>
        <v/>
      </c>
      <c r="K1551">
        <f>AND(G1551,H1551,I1551,J1551)</f>
        <v/>
      </c>
    </row>
    <row r="1552">
      <c r="B1552" s="5">
        <f>BDP(A1552&amp;" US Equity","CUR_MKT_CAP")</f>
        <v/>
      </c>
      <c r="C1552">
        <f>BDP(A1552&amp;" US Equity","EXCH_CODE")</f>
        <v/>
      </c>
      <c r="D1552" s="5">
        <f>BDP(A1552&amp;" US Equity","VOLUME_AVG_20D")</f>
        <v/>
      </c>
      <c r="E1552" s="6">
        <f>BDP(A1552&amp;" US Equity","PX_LAST")</f>
        <v/>
      </c>
      <c r="F1552" s="5">
        <f>D1552*E1552</f>
        <v/>
      </c>
      <c r="G1552">
        <f>AND(B1552&gt;=50,B1552&lt;=10000)</f>
        <v/>
      </c>
      <c r="H1552">
        <f>OR(C1552="NAS",C1552="NYS",C1552="ASE")</f>
        <v/>
      </c>
      <c r="I1552">
        <f>F1552&gt;=500000</f>
        <v/>
      </c>
      <c r="J1552">
        <f>E1552&gt;=2</f>
        <v/>
      </c>
      <c r="K1552">
        <f>AND(G1552,H1552,I1552,J1552)</f>
        <v/>
      </c>
    </row>
    <row r="1553">
      <c r="B1553" s="5">
        <f>BDP(A1553&amp;" US Equity","CUR_MKT_CAP")</f>
        <v/>
      </c>
      <c r="C1553">
        <f>BDP(A1553&amp;" US Equity","EXCH_CODE")</f>
        <v/>
      </c>
      <c r="D1553" s="5">
        <f>BDP(A1553&amp;" US Equity","VOLUME_AVG_20D")</f>
        <v/>
      </c>
      <c r="E1553" s="6">
        <f>BDP(A1553&amp;" US Equity","PX_LAST")</f>
        <v/>
      </c>
      <c r="F1553" s="5">
        <f>D1553*E1553</f>
        <v/>
      </c>
      <c r="G1553">
        <f>AND(B1553&gt;=50,B1553&lt;=10000)</f>
        <v/>
      </c>
      <c r="H1553">
        <f>OR(C1553="NAS",C1553="NYS",C1553="ASE")</f>
        <v/>
      </c>
      <c r="I1553">
        <f>F1553&gt;=500000</f>
        <v/>
      </c>
      <c r="J1553">
        <f>E1553&gt;=2</f>
        <v/>
      </c>
      <c r="K1553">
        <f>AND(G1553,H1553,I1553,J1553)</f>
        <v/>
      </c>
    </row>
    <row r="1554">
      <c r="B1554" s="5">
        <f>BDP(A1554&amp;" US Equity","CUR_MKT_CAP")</f>
        <v/>
      </c>
      <c r="C1554">
        <f>BDP(A1554&amp;" US Equity","EXCH_CODE")</f>
        <v/>
      </c>
      <c r="D1554" s="5">
        <f>BDP(A1554&amp;" US Equity","VOLUME_AVG_20D")</f>
        <v/>
      </c>
      <c r="E1554" s="6">
        <f>BDP(A1554&amp;" US Equity","PX_LAST")</f>
        <v/>
      </c>
      <c r="F1554" s="5">
        <f>D1554*E1554</f>
        <v/>
      </c>
      <c r="G1554">
        <f>AND(B1554&gt;=50,B1554&lt;=10000)</f>
        <v/>
      </c>
      <c r="H1554">
        <f>OR(C1554="NAS",C1554="NYS",C1554="ASE")</f>
        <v/>
      </c>
      <c r="I1554">
        <f>F1554&gt;=500000</f>
        <v/>
      </c>
      <c r="J1554">
        <f>E1554&gt;=2</f>
        <v/>
      </c>
      <c r="K1554">
        <f>AND(G1554,H1554,I1554,J1554)</f>
        <v/>
      </c>
    </row>
    <row r="1555">
      <c r="B1555" s="5">
        <f>BDP(A1555&amp;" US Equity","CUR_MKT_CAP")</f>
        <v/>
      </c>
      <c r="C1555">
        <f>BDP(A1555&amp;" US Equity","EXCH_CODE")</f>
        <v/>
      </c>
      <c r="D1555" s="5">
        <f>BDP(A1555&amp;" US Equity","VOLUME_AVG_20D")</f>
        <v/>
      </c>
      <c r="E1555" s="6">
        <f>BDP(A1555&amp;" US Equity","PX_LAST")</f>
        <v/>
      </c>
      <c r="F1555" s="5">
        <f>D1555*E1555</f>
        <v/>
      </c>
      <c r="G1555">
        <f>AND(B1555&gt;=50,B1555&lt;=10000)</f>
        <v/>
      </c>
      <c r="H1555">
        <f>OR(C1555="NAS",C1555="NYS",C1555="ASE")</f>
        <v/>
      </c>
      <c r="I1555">
        <f>F1555&gt;=500000</f>
        <v/>
      </c>
      <c r="J1555">
        <f>E1555&gt;=2</f>
        <v/>
      </c>
      <c r="K1555">
        <f>AND(G1555,H1555,I1555,J1555)</f>
        <v/>
      </c>
    </row>
    <row r="1556">
      <c r="B1556" s="5">
        <f>BDP(A1556&amp;" US Equity","CUR_MKT_CAP")</f>
        <v/>
      </c>
      <c r="C1556">
        <f>BDP(A1556&amp;" US Equity","EXCH_CODE")</f>
        <v/>
      </c>
      <c r="D1556" s="5">
        <f>BDP(A1556&amp;" US Equity","VOLUME_AVG_20D")</f>
        <v/>
      </c>
      <c r="E1556" s="6">
        <f>BDP(A1556&amp;" US Equity","PX_LAST")</f>
        <v/>
      </c>
      <c r="F1556" s="5">
        <f>D1556*E1556</f>
        <v/>
      </c>
      <c r="G1556">
        <f>AND(B1556&gt;=50,B1556&lt;=10000)</f>
        <v/>
      </c>
      <c r="H1556">
        <f>OR(C1556="NAS",C1556="NYS",C1556="ASE")</f>
        <v/>
      </c>
      <c r="I1556">
        <f>F1556&gt;=500000</f>
        <v/>
      </c>
      <c r="J1556">
        <f>E1556&gt;=2</f>
        <v/>
      </c>
      <c r="K1556">
        <f>AND(G1556,H1556,I1556,J1556)</f>
        <v/>
      </c>
    </row>
    <row r="1557">
      <c r="B1557" s="5">
        <f>BDP(A1557&amp;" US Equity","CUR_MKT_CAP")</f>
        <v/>
      </c>
      <c r="C1557">
        <f>BDP(A1557&amp;" US Equity","EXCH_CODE")</f>
        <v/>
      </c>
      <c r="D1557" s="5">
        <f>BDP(A1557&amp;" US Equity","VOLUME_AVG_20D")</f>
        <v/>
      </c>
      <c r="E1557" s="6">
        <f>BDP(A1557&amp;" US Equity","PX_LAST")</f>
        <v/>
      </c>
      <c r="F1557" s="5">
        <f>D1557*E1557</f>
        <v/>
      </c>
      <c r="G1557">
        <f>AND(B1557&gt;=50,B1557&lt;=10000)</f>
        <v/>
      </c>
      <c r="H1557">
        <f>OR(C1557="NAS",C1557="NYS",C1557="ASE")</f>
        <v/>
      </c>
      <c r="I1557">
        <f>F1557&gt;=500000</f>
        <v/>
      </c>
      <c r="J1557">
        <f>E1557&gt;=2</f>
        <v/>
      </c>
      <c r="K1557">
        <f>AND(G1557,H1557,I1557,J1557)</f>
        <v/>
      </c>
    </row>
    <row r="1558">
      <c r="B1558" s="5">
        <f>BDP(A1558&amp;" US Equity","CUR_MKT_CAP")</f>
        <v/>
      </c>
      <c r="C1558">
        <f>BDP(A1558&amp;" US Equity","EXCH_CODE")</f>
        <v/>
      </c>
      <c r="D1558" s="5">
        <f>BDP(A1558&amp;" US Equity","VOLUME_AVG_20D")</f>
        <v/>
      </c>
      <c r="E1558" s="6">
        <f>BDP(A1558&amp;" US Equity","PX_LAST")</f>
        <v/>
      </c>
      <c r="F1558" s="5">
        <f>D1558*E1558</f>
        <v/>
      </c>
      <c r="G1558">
        <f>AND(B1558&gt;=50,B1558&lt;=10000)</f>
        <v/>
      </c>
      <c r="H1558">
        <f>OR(C1558="NAS",C1558="NYS",C1558="ASE")</f>
        <v/>
      </c>
      <c r="I1558">
        <f>F1558&gt;=500000</f>
        <v/>
      </c>
      <c r="J1558">
        <f>E1558&gt;=2</f>
        <v/>
      </c>
      <c r="K1558">
        <f>AND(G1558,H1558,I1558,J1558)</f>
        <v/>
      </c>
    </row>
    <row r="1559">
      <c r="B1559" s="5">
        <f>BDP(A1559&amp;" US Equity","CUR_MKT_CAP")</f>
        <v/>
      </c>
      <c r="C1559">
        <f>BDP(A1559&amp;" US Equity","EXCH_CODE")</f>
        <v/>
      </c>
      <c r="D1559" s="5">
        <f>BDP(A1559&amp;" US Equity","VOLUME_AVG_20D")</f>
        <v/>
      </c>
      <c r="E1559" s="6">
        <f>BDP(A1559&amp;" US Equity","PX_LAST")</f>
        <v/>
      </c>
      <c r="F1559" s="5">
        <f>D1559*E1559</f>
        <v/>
      </c>
      <c r="G1559">
        <f>AND(B1559&gt;=50,B1559&lt;=10000)</f>
        <v/>
      </c>
      <c r="H1559">
        <f>OR(C1559="NAS",C1559="NYS",C1559="ASE")</f>
        <v/>
      </c>
      <c r="I1559">
        <f>F1559&gt;=500000</f>
        <v/>
      </c>
      <c r="J1559">
        <f>E1559&gt;=2</f>
        <v/>
      </c>
      <c r="K1559">
        <f>AND(G1559,H1559,I1559,J1559)</f>
        <v/>
      </c>
    </row>
    <row r="1560">
      <c r="B1560" s="5">
        <f>BDP(A1560&amp;" US Equity","CUR_MKT_CAP")</f>
        <v/>
      </c>
      <c r="C1560">
        <f>BDP(A1560&amp;" US Equity","EXCH_CODE")</f>
        <v/>
      </c>
      <c r="D1560" s="5">
        <f>BDP(A1560&amp;" US Equity","VOLUME_AVG_20D")</f>
        <v/>
      </c>
      <c r="E1560" s="6">
        <f>BDP(A1560&amp;" US Equity","PX_LAST")</f>
        <v/>
      </c>
      <c r="F1560" s="5">
        <f>D1560*E1560</f>
        <v/>
      </c>
      <c r="G1560">
        <f>AND(B1560&gt;=50,B1560&lt;=10000)</f>
        <v/>
      </c>
      <c r="H1560">
        <f>OR(C1560="NAS",C1560="NYS",C1560="ASE")</f>
        <v/>
      </c>
      <c r="I1560">
        <f>F1560&gt;=500000</f>
        <v/>
      </c>
      <c r="J1560">
        <f>E1560&gt;=2</f>
        <v/>
      </c>
      <c r="K1560">
        <f>AND(G1560,H1560,I1560,J1560)</f>
        <v/>
      </c>
    </row>
    <row r="1561">
      <c r="B1561" s="5">
        <f>BDP(A1561&amp;" US Equity","CUR_MKT_CAP")</f>
        <v/>
      </c>
      <c r="C1561">
        <f>BDP(A1561&amp;" US Equity","EXCH_CODE")</f>
        <v/>
      </c>
      <c r="D1561" s="5">
        <f>BDP(A1561&amp;" US Equity","VOLUME_AVG_20D")</f>
        <v/>
      </c>
      <c r="E1561" s="6">
        <f>BDP(A1561&amp;" US Equity","PX_LAST")</f>
        <v/>
      </c>
      <c r="F1561" s="5">
        <f>D1561*E1561</f>
        <v/>
      </c>
      <c r="G1561">
        <f>AND(B1561&gt;=50,B1561&lt;=10000)</f>
        <v/>
      </c>
      <c r="H1561">
        <f>OR(C1561="NAS",C1561="NYS",C1561="ASE")</f>
        <v/>
      </c>
      <c r="I1561">
        <f>F1561&gt;=500000</f>
        <v/>
      </c>
      <c r="J1561">
        <f>E1561&gt;=2</f>
        <v/>
      </c>
      <c r="K1561">
        <f>AND(G1561,H1561,I1561,J1561)</f>
        <v/>
      </c>
    </row>
    <row r="1562">
      <c r="B1562" s="5">
        <f>BDP(A1562&amp;" US Equity","CUR_MKT_CAP")</f>
        <v/>
      </c>
      <c r="C1562">
        <f>BDP(A1562&amp;" US Equity","EXCH_CODE")</f>
        <v/>
      </c>
      <c r="D1562" s="5">
        <f>BDP(A1562&amp;" US Equity","VOLUME_AVG_20D")</f>
        <v/>
      </c>
      <c r="E1562" s="6">
        <f>BDP(A1562&amp;" US Equity","PX_LAST")</f>
        <v/>
      </c>
      <c r="F1562" s="5">
        <f>D1562*E1562</f>
        <v/>
      </c>
      <c r="G1562">
        <f>AND(B1562&gt;=50,B1562&lt;=10000)</f>
        <v/>
      </c>
      <c r="H1562">
        <f>OR(C1562="NAS",C1562="NYS",C1562="ASE")</f>
        <v/>
      </c>
      <c r="I1562">
        <f>F1562&gt;=500000</f>
        <v/>
      </c>
      <c r="J1562">
        <f>E1562&gt;=2</f>
        <v/>
      </c>
      <c r="K1562">
        <f>AND(G1562,H1562,I1562,J1562)</f>
        <v/>
      </c>
    </row>
    <row r="1563">
      <c r="B1563" s="5">
        <f>BDP(A1563&amp;" US Equity","CUR_MKT_CAP")</f>
        <v/>
      </c>
      <c r="C1563">
        <f>BDP(A1563&amp;" US Equity","EXCH_CODE")</f>
        <v/>
      </c>
      <c r="D1563" s="5">
        <f>BDP(A1563&amp;" US Equity","VOLUME_AVG_20D")</f>
        <v/>
      </c>
      <c r="E1563" s="6">
        <f>BDP(A1563&amp;" US Equity","PX_LAST")</f>
        <v/>
      </c>
      <c r="F1563" s="5">
        <f>D1563*E1563</f>
        <v/>
      </c>
      <c r="G1563">
        <f>AND(B1563&gt;=50,B1563&lt;=10000)</f>
        <v/>
      </c>
      <c r="H1563">
        <f>OR(C1563="NAS",C1563="NYS",C1563="ASE")</f>
        <v/>
      </c>
      <c r="I1563">
        <f>F1563&gt;=500000</f>
        <v/>
      </c>
      <c r="J1563">
        <f>E1563&gt;=2</f>
        <v/>
      </c>
      <c r="K1563">
        <f>AND(G1563,H1563,I1563,J1563)</f>
        <v/>
      </c>
    </row>
    <row r="1564">
      <c r="B1564" s="5">
        <f>BDP(A1564&amp;" US Equity","CUR_MKT_CAP")</f>
        <v/>
      </c>
      <c r="C1564">
        <f>BDP(A1564&amp;" US Equity","EXCH_CODE")</f>
        <v/>
      </c>
      <c r="D1564" s="5">
        <f>BDP(A1564&amp;" US Equity","VOLUME_AVG_20D")</f>
        <v/>
      </c>
      <c r="E1564" s="6">
        <f>BDP(A1564&amp;" US Equity","PX_LAST")</f>
        <v/>
      </c>
      <c r="F1564" s="5">
        <f>D1564*E1564</f>
        <v/>
      </c>
      <c r="G1564">
        <f>AND(B1564&gt;=50,B1564&lt;=10000)</f>
        <v/>
      </c>
      <c r="H1564">
        <f>OR(C1564="NAS",C1564="NYS",C1564="ASE")</f>
        <v/>
      </c>
      <c r="I1564">
        <f>F1564&gt;=500000</f>
        <v/>
      </c>
      <c r="J1564">
        <f>E1564&gt;=2</f>
        <v/>
      </c>
      <c r="K1564">
        <f>AND(G1564,H1564,I1564,J1564)</f>
        <v/>
      </c>
    </row>
    <row r="1565">
      <c r="B1565" s="5">
        <f>BDP(A1565&amp;" US Equity","CUR_MKT_CAP")</f>
        <v/>
      </c>
      <c r="C1565">
        <f>BDP(A1565&amp;" US Equity","EXCH_CODE")</f>
        <v/>
      </c>
      <c r="D1565" s="5">
        <f>BDP(A1565&amp;" US Equity","VOLUME_AVG_20D")</f>
        <v/>
      </c>
      <c r="E1565" s="6">
        <f>BDP(A1565&amp;" US Equity","PX_LAST")</f>
        <v/>
      </c>
      <c r="F1565" s="5">
        <f>D1565*E1565</f>
        <v/>
      </c>
      <c r="G1565">
        <f>AND(B1565&gt;=50,B1565&lt;=10000)</f>
        <v/>
      </c>
      <c r="H1565">
        <f>OR(C1565="NAS",C1565="NYS",C1565="ASE")</f>
        <v/>
      </c>
      <c r="I1565">
        <f>F1565&gt;=500000</f>
        <v/>
      </c>
      <c r="J1565">
        <f>E1565&gt;=2</f>
        <v/>
      </c>
      <c r="K1565">
        <f>AND(G1565,H1565,I1565,J1565)</f>
        <v/>
      </c>
    </row>
    <row r="1566">
      <c r="B1566" s="5">
        <f>BDP(A1566&amp;" US Equity","CUR_MKT_CAP")</f>
        <v/>
      </c>
      <c r="C1566">
        <f>BDP(A1566&amp;" US Equity","EXCH_CODE")</f>
        <v/>
      </c>
      <c r="D1566" s="5">
        <f>BDP(A1566&amp;" US Equity","VOLUME_AVG_20D")</f>
        <v/>
      </c>
      <c r="E1566" s="6">
        <f>BDP(A1566&amp;" US Equity","PX_LAST")</f>
        <v/>
      </c>
      <c r="F1566" s="5">
        <f>D1566*E1566</f>
        <v/>
      </c>
      <c r="G1566">
        <f>AND(B1566&gt;=50,B1566&lt;=10000)</f>
        <v/>
      </c>
      <c r="H1566">
        <f>OR(C1566="NAS",C1566="NYS",C1566="ASE")</f>
        <v/>
      </c>
      <c r="I1566">
        <f>F1566&gt;=500000</f>
        <v/>
      </c>
      <c r="J1566">
        <f>E1566&gt;=2</f>
        <v/>
      </c>
      <c r="K1566">
        <f>AND(G1566,H1566,I1566,J1566)</f>
        <v/>
      </c>
    </row>
    <row r="1567">
      <c r="B1567" s="5">
        <f>BDP(A1567&amp;" US Equity","CUR_MKT_CAP")</f>
        <v/>
      </c>
      <c r="C1567">
        <f>BDP(A1567&amp;" US Equity","EXCH_CODE")</f>
        <v/>
      </c>
      <c r="D1567" s="5">
        <f>BDP(A1567&amp;" US Equity","VOLUME_AVG_20D")</f>
        <v/>
      </c>
      <c r="E1567" s="6">
        <f>BDP(A1567&amp;" US Equity","PX_LAST")</f>
        <v/>
      </c>
      <c r="F1567" s="5">
        <f>D1567*E1567</f>
        <v/>
      </c>
      <c r="G1567">
        <f>AND(B1567&gt;=50,B1567&lt;=10000)</f>
        <v/>
      </c>
      <c r="H1567">
        <f>OR(C1567="NAS",C1567="NYS",C1567="ASE")</f>
        <v/>
      </c>
      <c r="I1567">
        <f>F1567&gt;=500000</f>
        <v/>
      </c>
      <c r="J1567">
        <f>E1567&gt;=2</f>
        <v/>
      </c>
      <c r="K1567">
        <f>AND(G1567,H1567,I1567,J1567)</f>
        <v/>
      </c>
    </row>
    <row r="1568">
      <c r="B1568" s="5">
        <f>BDP(A1568&amp;" US Equity","CUR_MKT_CAP")</f>
        <v/>
      </c>
      <c r="C1568">
        <f>BDP(A1568&amp;" US Equity","EXCH_CODE")</f>
        <v/>
      </c>
      <c r="D1568" s="5">
        <f>BDP(A1568&amp;" US Equity","VOLUME_AVG_20D")</f>
        <v/>
      </c>
      <c r="E1568" s="6">
        <f>BDP(A1568&amp;" US Equity","PX_LAST")</f>
        <v/>
      </c>
      <c r="F1568" s="5">
        <f>D1568*E1568</f>
        <v/>
      </c>
      <c r="G1568">
        <f>AND(B1568&gt;=50,B1568&lt;=10000)</f>
        <v/>
      </c>
      <c r="H1568">
        <f>OR(C1568="NAS",C1568="NYS",C1568="ASE")</f>
        <v/>
      </c>
      <c r="I1568">
        <f>F1568&gt;=500000</f>
        <v/>
      </c>
      <c r="J1568">
        <f>E1568&gt;=2</f>
        <v/>
      </c>
      <c r="K1568">
        <f>AND(G1568,H1568,I1568,J1568)</f>
        <v/>
      </c>
    </row>
    <row r="1569">
      <c r="B1569" s="5">
        <f>BDP(A1569&amp;" US Equity","CUR_MKT_CAP")</f>
        <v/>
      </c>
      <c r="C1569">
        <f>BDP(A1569&amp;" US Equity","EXCH_CODE")</f>
        <v/>
      </c>
      <c r="D1569" s="5">
        <f>BDP(A1569&amp;" US Equity","VOLUME_AVG_20D")</f>
        <v/>
      </c>
      <c r="E1569" s="6">
        <f>BDP(A1569&amp;" US Equity","PX_LAST")</f>
        <v/>
      </c>
      <c r="F1569" s="5">
        <f>D1569*E1569</f>
        <v/>
      </c>
      <c r="G1569">
        <f>AND(B1569&gt;=50,B1569&lt;=10000)</f>
        <v/>
      </c>
      <c r="H1569">
        <f>OR(C1569="NAS",C1569="NYS",C1569="ASE")</f>
        <v/>
      </c>
      <c r="I1569">
        <f>F1569&gt;=500000</f>
        <v/>
      </c>
      <c r="J1569">
        <f>E1569&gt;=2</f>
        <v/>
      </c>
      <c r="K1569">
        <f>AND(G1569,H1569,I1569,J1569)</f>
        <v/>
      </c>
    </row>
    <row r="1570">
      <c r="B1570" s="5">
        <f>BDP(A1570&amp;" US Equity","CUR_MKT_CAP")</f>
        <v/>
      </c>
      <c r="C1570">
        <f>BDP(A1570&amp;" US Equity","EXCH_CODE")</f>
        <v/>
      </c>
      <c r="D1570" s="5">
        <f>BDP(A1570&amp;" US Equity","VOLUME_AVG_20D")</f>
        <v/>
      </c>
      <c r="E1570" s="6">
        <f>BDP(A1570&amp;" US Equity","PX_LAST")</f>
        <v/>
      </c>
      <c r="F1570" s="5">
        <f>D1570*E1570</f>
        <v/>
      </c>
      <c r="G1570">
        <f>AND(B1570&gt;=50,B1570&lt;=10000)</f>
        <v/>
      </c>
      <c r="H1570">
        <f>OR(C1570="NAS",C1570="NYS",C1570="ASE")</f>
        <v/>
      </c>
      <c r="I1570">
        <f>F1570&gt;=500000</f>
        <v/>
      </c>
      <c r="J1570">
        <f>E1570&gt;=2</f>
        <v/>
      </c>
      <c r="K1570">
        <f>AND(G1570,H1570,I1570,J1570)</f>
        <v/>
      </c>
    </row>
    <row r="1571">
      <c r="B1571" s="5">
        <f>BDP(A1571&amp;" US Equity","CUR_MKT_CAP")</f>
        <v/>
      </c>
      <c r="C1571">
        <f>BDP(A1571&amp;" US Equity","EXCH_CODE")</f>
        <v/>
      </c>
      <c r="D1571" s="5">
        <f>BDP(A1571&amp;" US Equity","VOLUME_AVG_20D")</f>
        <v/>
      </c>
      <c r="E1571" s="6">
        <f>BDP(A1571&amp;" US Equity","PX_LAST")</f>
        <v/>
      </c>
      <c r="F1571" s="5">
        <f>D1571*E1571</f>
        <v/>
      </c>
      <c r="G1571">
        <f>AND(B1571&gt;=50,B1571&lt;=10000)</f>
        <v/>
      </c>
      <c r="H1571">
        <f>OR(C1571="NAS",C1571="NYS",C1571="ASE")</f>
        <v/>
      </c>
      <c r="I1571">
        <f>F1571&gt;=500000</f>
        <v/>
      </c>
      <c r="J1571">
        <f>E1571&gt;=2</f>
        <v/>
      </c>
      <c r="K1571">
        <f>AND(G1571,H1571,I1571,J1571)</f>
        <v/>
      </c>
    </row>
    <row r="1572">
      <c r="B1572" s="5">
        <f>BDP(A1572&amp;" US Equity","CUR_MKT_CAP")</f>
        <v/>
      </c>
      <c r="C1572">
        <f>BDP(A1572&amp;" US Equity","EXCH_CODE")</f>
        <v/>
      </c>
      <c r="D1572" s="5">
        <f>BDP(A1572&amp;" US Equity","VOLUME_AVG_20D")</f>
        <v/>
      </c>
      <c r="E1572" s="6">
        <f>BDP(A1572&amp;" US Equity","PX_LAST")</f>
        <v/>
      </c>
      <c r="F1572" s="5">
        <f>D1572*E1572</f>
        <v/>
      </c>
      <c r="G1572">
        <f>AND(B1572&gt;=50,B1572&lt;=10000)</f>
        <v/>
      </c>
      <c r="H1572">
        <f>OR(C1572="NAS",C1572="NYS",C1572="ASE")</f>
        <v/>
      </c>
      <c r="I1572">
        <f>F1572&gt;=500000</f>
        <v/>
      </c>
      <c r="J1572">
        <f>E1572&gt;=2</f>
        <v/>
      </c>
      <c r="K1572">
        <f>AND(G1572,H1572,I1572,J1572)</f>
        <v/>
      </c>
    </row>
    <row r="1573">
      <c r="B1573" s="5">
        <f>BDP(A1573&amp;" US Equity","CUR_MKT_CAP")</f>
        <v/>
      </c>
      <c r="C1573">
        <f>BDP(A1573&amp;" US Equity","EXCH_CODE")</f>
        <v/>
      </c>
      <c r="D1573" s="5">
        <f>BDP(A1573&amp;" US Equity","VOLUME_AVG_20D")</f>
        <v/>
      </c>
      <c r="E1573" s="6">
        <f>BDP(A1573&amp;" US Equity","PX_LAST")</f>
        <v/>
      </c>
      <c r="F1573" s="5">
        <f>D1573*E1573</f>
        <v/>
      </c>
      <c r="G1573">
        <f>AND(B1573&gt;=50,B1573&lt;=10000)</f>
        <v/>
      </c>
      <c r="H1573">
        <f>OR(C1573="NAS",C1573="NYS",C1573="ASE")</f>
        <v/>
      </c>
      <c r="I1573">
        <f>F1573&gt;=500000</f>
        <v/>
      </c>
      <c r="J1573">
        <f>E1573&gt;=2</f>
        <v/>
      </c>
      <c r="K1573">
        <f>AND(G1573,H1573,I1573,J1573)</f>
        <v/>
      </c>
    </row>
    <row r="1574">
      <c r="B1574" s="5">
        <f>BDP(A1574&amp;" US Equity","CUR_MKT_CAP")</f>
        <v/>
      </c>
      <c r="C1574">
        <f>BDP(A1574&amp;" US Equity","EXCH_CODE")</f>
        <v/>
      </c>
      <c r="D1574" s="5">
        <f>BDP(A1574&amp;" US Equity","VOLUME_AVG_20D")</f>
        <v/>
      </c>
      <c r="E1574" s="6">
        <f>BDP(A1574&amp;" US Equity","PX_LAST")</f>
        <v/>
      </c>
      <c r="F1574" s="5">
        <f>D1574*E1574</f>
        <v/>
      </c>
      <c r="G1574">
        <f>AND(B1574&gt;=50,B1574&lt;=10000)</f>
        <v/>
      </c>
      <c r="H1574">
        <f>OR(C1574="NAS",C1574="NYS",C1574="ASE")</f>
        <v/>
      </c>
      <c r="I1574">
        <f>F1574&gt;=500000</f>
        <v/>
      </c>
      <c r="J1574">
        <f>E1574&gt;=2</f>
        <v/>
      </c>
      <c r="K1574">
        <f>AND(G1574,H1574,I1574,J1574)</f>
        <v/>
      </c>
    </row>
    <row r="1575">
      <c r="B1575" s="5">
        <f>BDP(A1575&amp;" US Equity","CUR_MKT_CAP")</f>
        <v/>
      </c>
      <c r="C1575">
        <f>BDP(A1575&amp;" US Equity","EXCH_CODE")</f>
        <v/>
      </c>
      <c r="D1575" s="5">
        <f>BDP(A1575&amp;" US Equity","VOLUME_AVG_20D")</f>
        <v/>
      </c>
      <c r="E1575" s="6">
        <f>BDP(A1575&amp;" US Equity","PX_LAST")</f>
        <v/>
      </c>
      <c r="F1575" s="5">
        <f>D1575*E1575</f>
        <v/>
      </c>
      <c r="G1575">
        <f>AND(B1575&gt;=50,B1575&lt;=10000)</f>
        <v/>
      </c>
      <c r="H1575">
        <f>OR(C1575="NAS",C1575="NYS",C1575="ASE")</f>
        <v/>
      </c>
      <c r="I1575">
        <f>F1575&gt;=500000</f>
        <v/>
      </c>
      <c r="J1575">
        <f>E1575&gt;=2</f>
        <v/>
      </c>
      <c r="K1575">
        <f>AND(G1575,H1575,I1575,J1575)</f>
        <v/>
      </c>
    </row>
    <row r="1576">
      <c r="B1576" s="5">
        <f>BDP(A1576&amp;" US Equity","CUR_MKT_CAP")</f>
        <v/>
      </c>
      <c r="C1576">
        <f>BDP(A1576&amp;" US Equity","EXCH_CODE")</f>
        <v/>
      </c>
      <c r="D1576" s="5">
        <f>BDP(A1576&amp;" US Equity","VOLUME_AVG_20D")</f>
        <v/>
      </c>
      <c r="E1576" s="6">
        <f>BDP(A1576&amp;" US Equity","PX_LAST")</f>
        <v/>
      </c>
      <c r="F1576" s="5">
        <f>D1576*E1576</f>
        <v/>
      </c>
      <c r="G1576">
        <f>AND(B1576&gt;=50,B1576&lt;=10000)</f>
        <v/>
      </c>
      <c r="H1576">
        <f>OR(C1576="NAS",C1576="NYS",C1576="ASE")</f>
        <v/>
      </c>
      <c r="I1576">
        <f>F1576&gt;=500000</f>
        <v/>
      </c>
      <c r="J1576">
        <f>E1576&gt;=2</f>
        <v/>
      </c>
      <c r="K1576">
        <f>AND(G1576,H1576,I1576,J1576)</f>
        <v/>
      </c>
    </row>
    <row r="1577">
      <c r="B1577" s="5">
        <f>BDP(A1577&amp;" US Equity","CUR_MKT_CAP")</f>
        <v/>
      </c>
      <c r="C1577">
        <f>BDP(A1577&amp;" US Equity","EXCH_CODE")</f>
        <v/>
      </c>
      <c r="D1577" s="5">
        <f>BDP(A1577&amp;" US Equity","VOLUME_AVG_20D")</f>
        <v/>
      </c>
      <c r="E1577" s="6">
        <f>BDP(A1577&amp;" US Equity","PX_LAST")</f>
        <v/>
      </c>
      <c r="F1577" s="5">
        <f>D1577*E1577</f>
        <v/>
      </c>
      <c r="G1577">
        <f>AND(B1577&gt;=50,B1577&lt;=10000)</f>
        <v/>
      </c>
      <c r="H1577">
        <f>OR(C1577="NAS",C1577="NYS",C1577="ASE")</f>
        <v/>
      </c>
      <c r="I1577">
        <f>F1577&gt;=500000</f>
        <v/>
      </c>
      <c r="J1577">
        <f>E1577&gt;=2</f>
        <v/>
      </c>
      <c r="K1577">
        <f>AND(G1577,H1577,I1577,J1577)</f>
        <v/>
      </c>
    </row>
    <row r="1578">
      <c r="B1578" s="5">
        <f>BDP(A1578&amp;" US Equity","CUR_MKT_CAP")</f>
        <v/>
      </c>
      <c r="C1578">
        <f>BDP(A1578&amp;" US Equity","EXCH_CODE")</f>
        <v/>
      </c>
      <c r="D1578" s="5">
        <f>BDP(A1578&amp;" US Equity","VOLUME_AVG_20D")</f>
        <v/>
      </c>
      <c r="E1578" s="6">
        <f>BDP(A1578&amp;" US Equity","PX_LAST")</f>
        <v/>
      </c>
      <c r="F1578" s="5">
        <f>D1578*E1578</f>
        <v/>
      </c>
      <c r="G1578">
        <f>AND(B1578&gt;=50,B1578&lt;=10000)</f>
        <v/>
      </c>
      <c r="H1578">
        <f>OR(C1578="NAS",C1578="NYS",C1578="ASE")</f>
        <v/>
      </c>
      <c r="I1578">
        <f>F1578&gt;=500000</f>
        <v/>
      </c>
      <c r="J1578">
        <f>E1578&gt;=2</f>
        <v/>
      </c>
      <c r="K1578">
        <f>AND(G1578,H1578,I1578,J1578)</f>
        <v/>
      </c>
    </row>
    <row r="1579">
      <c r="B1579" s="5">
        <f>BDP(A1579&amp;" US Equity","CUR_MKT_CAP")</f>
        <v/>
      </c>
      <c r="C1579">
        <f>BDP(A1579&amp;" US Equity","EXCH_CODE")</f>
        <v/>
      </c>
      <c r="D1579" s="5">
        <f>BDP(A1579&amp;" US Equity","VOLUME_AVG_20D")</f>
        <v/>
      </c>
      <c r="E1579" s="6">
        <f>BDP(A1579&amp;" US Equity","PX_LAST")</f>
        <v/>
      </c>
      <c r="F1579" s="5">
        <f>D1579*E1579</f>
        <v/>
      </c>
      <c r="G1579">
        <f>AND(B1579&gt;=50,B1579&lt;=10000)</f>
        <v/>
      </c>
      <c r="H1579">
        <f>OR(C1579="NAS",C1579="NYS",C1579="ASE")</f>
        <v/>
      </c>
      <c r="I1579">
        <f>F1579&gt;=500000</f>
        <v/>
      </c>
      <c r="J1579">
        <f>E1579&gt;=2</f>
        <v/>
      </c>
      <c r="K1579">
        <f>AND(G1579,H1579,I1579,J1579)</f>
        <v/>
      </c>
    </row>
    <row r="1580">
      <c r="B1580" s="5">
        <f>BDP(A1580&amp;" US Equity","CUR_MKT_CAP")</f>
        <v/>
      </c>
      <c r="C1580">
        <f>BDP(A1580&amp;" US Equity","EXCH_CODE")</f>
        <v/>
      </c>
      <c r="D1580" s="5">
        <f>BDP(A1580&amp;" US Equity","VOLUME_AVG_20D")</f>
        <v/>
      </c>
      <c r="E1580" s="6">
        <f>BDP(A1580&amp;" US Equity","PX_LAST")</f>
        <v/>
      </c>
      <c r="F1580" s="5">
        <f>D1580*E1580</f>
        <v/>
      </c>
      <c r="G1580">
        <f>AND(B1580&gt;=50,B1580&lt;=10000)</f>
        <v/>
      </c>
      <c r="H1580">
        <f>OR(C1580="NAS",C1580="NYS",C1580="ASE")</f>
        <v/>
      </c>
      <c r="I1580">
        <f>F1580&gt;=500000</f>
        <v/>
      </c>
      <c r="J1580">
        <f>E1580&gt;=2</f>
        <v/>
      </c>
      <c r="K1580">
        <f>AND(G1580,H1580,I1580,J1580)</f>
        <v/>
      </c>
    </row>
    <row r="1581">
      <c r="B1581" s="5">
        <f>BDP(A1581&amp;" US Equity","CUR_MKT_CAP")</f>
        <v/>
      </c>
      <c r="C1581">
        <f>BDP(A1581&amp;" US Equity","EXCH_CODE")</f>
        <v/>
      </c>
      <c r="D1581" s="5">
        <f>BDP(A1581&amp;" US Equity","VOLUME_AVG_20D")</f>
        <v/>
      </c>
      <c r="E1581" s="6">
        <f>BDP(A1581&amp;" US Equity","PX_LAST")</f>
        <v/>
      </c>
      <c r="F1581" s="5">
        <f>D1581*E1581</f>
        <v/>
      </c>
      <c r="G1581">
        <f>AND(B1581&gt;=50,B1581&lt;=10000)</f>
        <v/>
      </c>
      <c r="H1581">
        <f>OR(C1581="NAS",C1581="NYS",C1581="ASE")</f>
        <v/>
      </c>
      <c r="I1581">
        <f>F1581&gt;=500000</f>
        <v/>
      </c>
      <c r="J1581">
        <f>E1581&gt;=2</f>
        <v/>
      </c>
      <c r="K1581">
        <f>AND(G1581,H1581,I1581,J1581)</f>
        <v/>
      </c>
    </row>
    <row r="1582">
      <c r="B1582" s="5">
        <f>BDP(A1582&amp;" US Equity","CUR_MKT_CAP")</f>
        <v/>
      </c>
      <c r="C1582">
        <f>BDP(A1582&amp;" US Equity","EXCH_CODE")</f>
        <v/>
      </c>
      <c r="D1582" s="5">
        <f>BDP(A1582&amp;" US Equity","VOLUME_AVG_20D")</f>
        <v/>
      </c>
      <c r="E1582" s="6">
        <f>BDP(A1582&amp;" US Equity","PX_LAST")</f>
        <v/>
      </c>
      <c r="F1582" s="5">
        <f>D1582*E1582</f>
        <v/>
      </c>
      <c r="G1582">
        <f>AND(B1582&gt;=50,B1582&lt;=10000)</f>
        <v/>
      </c>
      <c r="H1582">
        <f>OR(C1582="NAS",C1582="NYS",C1582="ASE")</f>
        <v/>
      </c>
      <c r="I1582">
        <f>F1582&gt;=500000</f>
        <v/>
      </c>
      <c r="J1582">
        <f>E1582&gt;=2</f>
        <v/>
      </c>
      <c r="K1582">
        <f>AND(G1582,H1582,I1582,J1582)</f>
        <v/>
      </c>
    </row>
    <row r="1583">
      <c r="B1583" s="5">
        <f>BDP(A1583&amp;" US Equity","CUR_MKT_CAP")</f>
        <v/>
      </c>
      <c r="C1583">
        <f>BDP(A1583&amp;" US Equity","EXCH_CODE")</f>
        <v/>
      </c>
      <c r="D1583" s="5">
        <f>BDP(A1583&amp;" US Equity","VOLUME_AVG_20D")</f>
        <v/>
      </c>
      <c r="E1583" s="6">
        <f>BDP(A1583&amp;" US Equity","PX_LAST")</f>
        <v/>
      </c>
      <c r="F1583" s="5">
        <f>D1583*E1583</f>
        <v/>
      </c>
      <c r="G1583">
        <f>AND(B1583&gt;=50,B1583&lt;=10000)</f>
        <v/>
      </c>
      <c r="H1583">
        <f>OR(C1583="NAS",C1583="NYS",C1583="ASE")</f>
        <v/>
      </c>
      <c r="I1583">
        <f>F1583&gt;=500000</f>
        <v/>
      </c>
      <c r="J1583">
        <f>E1583&gt;=2</f>
        <v/>
      </c>
      <c r="K1583">
        <f>AND(G1583,H1583,I1583,J1583)</f>
        <v/>
      </c>
    </row>
    <row r="1584">
      <c r="B1584" s="5">
        <f>BDP(A1584&amp;" US Equity","CUR_MKT_CAP")</f>
        <v/>
      </c>
      <c r="C1584">
        <f>BDP(A1584&amp;" US Equity","EXCH_CODE")</f>
        <v/>
      </c>
      <c r="D1584" s="5">
        <f>BDP(A1584&amp;" US Equity","VOLUME_AVG_20D")</f>
        <v/>
      </c>
      <c r="E1584" s="6">
        <f>BDP(A1584&amp;" US Equity","PX_LAST")</f>
        <v/>
      </c>
      <c r="F1584" s="5">
        <f>D1584*E1584</f>
        <v/>
      </c>
      <c r="G1584">
        <f>AND(B1584&gt;=50,B1584&lt;=10000)</f>
        <v/>
      </c>
      <c r="H1584">
        <f>OR(C1584="NAS",C1584="NYS",C1584="ASE")</f>
        <v/>
      </c>
      <c r="I1584">
        <f>F1584&gt;=500000</f>
        <v/>
      </c>
      <c r="J1584">
        <f>E1584&gt;=2</f>
        <v/>
      </c>
      <c r="K1584">
        <f>AND(G1584,H1584,I1584,J1584)</f>
        <v/>
      </c>
    </row>
    <row r="1585">
      <c r="B1585" s="5">
        <f>BDP(A1585&amp;" US Equity","CUR_MKT_CAP")</f>
        <v/>
      </c>
      <c r="C1585">
        <f>BDP(A1585&amp;" US Equity","EXCH_CODE")</f>
        <v/>
      </c>
      <c r="D1585" s="5">
        <f>BDP(A1585&amp;" US Equity","VOLUME_AVG_20D")</f>
        <v/>
      </c>
      <c r="E1585" s="6">
        <f>BDP(A1585&amp;" US Equity","PX_LAST")</f>
        <v/>
      </c>
      <c r="F1585" s="5">
        <f>D1585*E1585</f>
        <v/>
      </c>
      <c r="G1585">
        <f>AND(B1585&gt;=50,B1585&lt;=10000)</f>
        <v/>
      </c>
      <c r="H1585">
        <f>OR(C1585="NAS",C1585="NYS",C1585="ASE")</f>
        <v/>
      </c>
      <c r="I1585">
        <f>F1585&gt;=500000</f>
        <v/>
      </c>
      <c r="J1585">
        <f>E1585&gt;=2</f>
        <v/>
      </c>
      <c r="K1585">
        <f>AND(G1585,H1585,I1585,J1585)</f>
        <v/>
      </c>
    </row>
    <row r="1586">
      <c r="B1586" s="5">
        <f>BDP(A1586&amp;" US Equity","CUR_MKT_CAP")</f>
        <v/>
      </c>
      <c r="C1586">
        <f>BDP(A1586&amp;" US Equity","EXCH_CODE")</f>
        <v/>
      </c>
      <c r="D1586" s="5">
        <f>BDP(A1586&amp;" US Equity","VOLUME_AVG_20D")</f>
        <v/>
      </c>
      <c r="E1586" s="6">
        <f>BDP(A1586&amp;" US Equity","PX_LAST")</f>
        <v/>
      </c>
      <c r="F1586" s="5">
        <f>D1586*E1586</f>
        <v/>
      </c>
      <c r="G1586">
        <f>AND(B1586&gt;=50,B1586&lt;=10000)</f>
        <v/>
      </c>
      <c r="H1586">
        <f>OR(C1586="NAS",C1586="NYS",C1586="ASE")</f>
        <v/>
      </c>
      <c r="I1586">
        <f>F1586&gt;=500000</f>
        <v/>
      </c>
      <c r="J1586">
        <f>E1586&gt;=2</f>
        <v/>
      </c>
      <c r="K1586">
        <f>AND(G1586,H1586,I1586,J1586)</f>
        <v/>
      </c>
    </row>
    <row r="1587">
      <c r="B1587" s="5">
        <f>BDP(A1587&amp;" US Equity","CUR_MKT_CAP")</f>
        <v/>
      </c>
      <c r="C1587">
        <f>BDP(A1587&amp;" US Equity","EXCH_CODE")</f>
        <v/>
      </c>
      <c r="D1587" s="5">
        <f>BDP(A1587&amp;" US Equity","VOLUME_AVG_20D")</f>
        <v/>
      </c>
      <c r="E1587" s="6">
        <f>BDP(A1587&amp;" US Equity","PX_LAST")</f>
        <v/>
      </c>
      <c r="F1587" s="5">
        <f>D1587*E1587</f>
        <v/>
      </c>
      <c r="G1587">
        <f>AND(B1587&gt;=50,B1587&lt;=10000)</f>
        <v/>
      </c>
      <c r="H1587">
        <f>OR(C1587="NAS",C1587="NYS",C1587="ASE")</f>
        <v/>
      </c>
      <c r="I1587">
        <f>F1587&gt;=500000</f>
        <v/>
      </c>
      <c r="J1587">
        <f>E1587&gt;=2</f>
        <v/>
      </c>
      <c r="K1587">
        <f>AND(G1587,H1587,I1587,J1587)</f>
        <v/>
      </c>
    </row>
    <row r="1588">
      <c r="B1588" s="5">
        <f>BDP(A1588&amp;" US Equity","CUR_MKT_CAP")</f>
        <v/>
      </c>
      <c r="C1588">
        <f>BDP(A1588&amp;" US Equity","EXCH_CODE")</f>
        <v/>
      </c>
      <c r="D1588" s="5">
        <f>BDP(A1588&amp;" US Equity","VOLUME_AVG_20D")</f>
        <v/>
      </c>
      <c r="E1588" s="6">
        <f>BDP(A1588&amp;" US Equity","PX_LAST")</f>
        <v/>
      </c>
      <c r="F1588" s="5">
        <f>D1588*E1588</f>
        <v/>
      </c>
      <c r="G1588">
        <f>AND(B1588&gt;=50,B1588&lt;=10000)</f>
        <v/>
      </c>
      <c r="H1588">
        <f>OR(C1588="NAS",C1588="NYS",C1588="ASE")</f>
        <v/>
      </c>
      <c r="I1588">
        <f>F1588&gt;=500000</f>
        <v/>
      </c>
      <c r="J1588">
        <f>E1588&gt;=2</f>
        <v/>
      </c>
      <c r="K1588">
        <f>AND(G1588,H1588,I1588,J1588)</f>
        <v/>
      </c>
    </row>
    <row r="1589">
      <c r="B1589" s="5">
        <f>BDP(A1589&amp;" US Equity","CUR_MKT_CAP")</f>
        <v/>
      </c>
      <c r="C1589">
        <f>BDP(A1589&amp;" US Equity","EXCH_CODE")</f>
        <v/>
      </c>
      <c r="D1589" s="5">
        <f>BDP(A1589&amp;" US Equity","VOLUME_AVG_20D")</f>
        <v/>
      </c>
      <c r="E1589" s="6">
        <f>BDP(A1589&amp;" US Equity","PX_LAST")</f>
        <v/>
      </c>
      <c r="F1589" s="5">
        <f>D1589*E1589</f>
        <v/>
      </c>
      <c r="G1589">
        <f>AND(B1589&gt;=50,B1589&lt;=10000)</f>
        <v/>
      </c>
      <c r="H1589">
        <f>OR(C1589="NAS",C1589="NYS",C1589="ASE")</f>
        <v/>
      </c>
      <c r="I1589">
        <f>F1589&gt;=500000</f>
        <v/>
      </c>
      <c r="J1589">
        <f>E1589&gt;=2</f>
        <v/>
      </c>
      <c r="K1589">
        <f>AND(G1589,H1589,I1589,J1589)</f>
        <v/>
      </c>
    </row>
    <row r="1590">
      <c r="B1590" s="5">
        <f>BDP(A1590&amp;" US Equity","CUR_MKT_CAP")</f>
        <v/>
      </c>
      <c r="C1590">
        <f>BDP(A1590&amp;" US Equity","EXCH_CODE")</f>
        <v/>
      </c>
      <c r="D1590" s="5">
        <f>BDP(A1590&amp;" US Equity","VOLUME_AVG_20D")</f>
        <v/>
      </c>
      <c r="E1590" s="6">
        <f>BDP(A1590&amp;" US Equity","PX_LAST")</f>
        <v/>
      </c>
      <c r="F1590" s="5">
        <f>D1590*E1590</f>
        <v/>
      </c>
      <c r="G1590">
        <f>AND(B1590&gt;=50,B1590&lt;=10000)</f>
        <v/>
      </c>
      <c r="H1590">
        <f>OR(C1590="NAS",C1590="NYS",C1590="ASE")</f>
        <v/>
      </c>
      <c r="I1590">
        <f>F1590&gt;=500000</f>
        <v/>
      </c>
      <c r="J1590">
        <f>E1590&gt;=2</f>
        <v/>
      </c>
      <c r="K1590">
        <f>AND(G1590,H1590,I1590,J1590)</f>
        <v/>
      </c>
    </row>
    <row r="1591">
      <c r="B1591" s="5">
        <f>BDP(A1591&amp;" US Equity","CUR_MKT_CAP")</f>
        <v/>
      </c>
      <c r="C1591">
        <f>BDP(A1591&amp;" US Equity","EXCH_CODE")</f>
        <v/>
      </c>
      <c r="D1591" s="5">
        <f>BDP(A1591&amp;" US Equity","VOLUME_AVG_20D")</f>
        <v/>
      </c>
      <c r="E1591" s="6">
        <f>BDP(A1591&amp;" US Equity","PX_LAST")</f>
        <v/>
      </c>
      <c r="F1591" s="5">
        <f>D1591*E1591</f>
        <v/>
      </c>
      <c r="G1591">
        <f>AND(B1591&gt;=50,B1591&lt;=10000)</f>
        <v/>
      </c>
      <c r="H1591">
        <f>OR(C1591="NAS",C1591="NYS",C1591="ASE")</f>
        <v/>
      </c>
      <c r="I1591">
        <f>F1591&gt;=500000</f>
        <v/>
      </c>
      <c r="J1591">
        <f>E1591&gt;=2</f>
        <v/>
      </c>
      <c r="K1591">
        <f>AND(G1591,H1591,I1591,J1591)</f>
        <v/>
      </c>
    </row>
    <row r="1592">
      <c r="B1592" s="5">
        <f>BDP(A1592&amp;" US Equity","CUR_MKT_CAP")</f>
        <v/>
      </c>
      <c r="C1592">
        <f>BDP(A1592&amp;" US Equity","EXCH_CODE")</f>
        <v/>
      </c>
      <c r="D1592" s="5">
        <f>BDP(A1592&amp;" US Equity","VOLUME_AVG_20D")</f>
        <v/>
      </c>
      <c r="E1592" s="6">
        <f>BDP(A1592&amp;" US Equity","PX_LAST")</f>
        <v/>
      </c>
      <c r="F1592" s="5">
        <f>D1592*E1592</f>
        <v/>
      </c>
      <c r="G1592">
        <f>AND(B1592&gt;=50,B1592&lt;=10000)</f>
        <v/>
      </c>
      <c r="H1592">
        <f>OR(C1592="NAS",C1592="NYS",C1592="ASE")</f>
        <v/>
      </c>
      <c r="I1592">
        <f>F1592&gt;=500000</f>
        <v/>
      </c>
      <c r="J1592">
        <f>E1592&gt;=2</f>
        <v/>
      </c>
      <c r="K1592">
        <f>AND(G1592,H1592,I1592,J1592)</f>
        <v/>
      </c>
    </row>
    <row r="1593">
      <c r="B1593" s="5">
        <f>BDP(A1593&amp;" US Equity","CUR_MKT_CAP")</f>
        <v/>
      </c>
      <c r="C1593">
        <f>BDP(A1593&amp;" US Equity","EXCH_CODE")</f>
        <v/>
      </c>
      <c r="D1593" s="5">
        <f>BDP(A1593&amp;" US Equity","VOLUME_AVG_20D")</f>
        <v/>
      </c>
      <c r="E1593" s="6">
        <f>BDP(A1593&amp;" US Equity","PX_LAST")</f>
        <v/>
      </c>
      <c r="F1593" s="5">
        <f>D1593*E1593</f>
        <v/>
      </c>
      <c r="G1593">
        <f>AND(B1593&gt;=50,B1593&lt;=10000)</f>
        <v/>
      </c>
      <c r="H1593">
        <f>OR(C1593="NAS",C1593="NYS",C1593="ASE")</f>
        <v/>
      </c>
      <c r="I1593">
        <f>F1593&gt;=500000</f>
        <v/>
      </c>
      <c r="J1593">
        <f>E1593&gt;=2</f>
        <v/>
      </c>
      <c r="K1593">
        <f>AND(G1593,H1593,I1593,J1593)</f>
        <v/>
      </c>
    </row>
    <row r="1594">
      <c r="B1594" s="5">
        <f>BDP(A1594&amp;" US Equity","CUR_MKT_CAP")</f>
        <v/>
      </c>
      <c r="C1594">
        <f>BDP(A1594&amp;" US Equity","EXCH_CODE")</f>
        <v/>
      </c>
      <c r="D1594" s="5">
        <f>BDP(A1594&amp;" US Equity","VOLUME_AVG_20D")</f>
        <v/>
      </c>
      <c r="E1594" s="6">
        <f>BDP(A1594&amp;" US Equity","PX_LAST")</f>
        <v/>
      </c>
      <c r="F1594" s="5">
        <f>D1594*E1594</f>
        <v/>
      </c>
      <c r="G1594">
        <f>AND(B1594&gt;=50,B1594&lt;=10000)</f>
        <v/>
      </c>
      <c r="H1594">
        <f>OR(C1594="NAS",C1594="NYS",C1594="ASE")</f>
        <v/>
      </c>
      <c r="I1594">
        <f>F1594&gt;=500000</f>
        <v/>
      </c>
      <c r="J1594">
        <f>E1594&gt;=2</f>
        <v/>
      </c>
      <c r="K1594">
        <f>AND(G1594,H1594,I1594,J1594)</f>
        <v/>
      </c>
    </row>
    <row r="1595">
      <c r="B1595" s="5">
        <f>BDP(A1595&amp;" US Equity","CUR_MKT_CAP")</f>
        <v/>
      </c>
      <c r="C1595">
        <f>BDP(A1595&amp;" US Equity","EXCH_CODE")</f>
        <v/>
      </c>
      <c r="D1595" s="5">
        <f>BDP(A1595&amp;" US Equity","VOLUME_AVG_20D")</f>
        <v/>
      </c>
      <c r="E1595" s="6">
        <f>BDP(A1595&amp;" US Equity","PX_LAST")</f>
        <v/>
      </c>
      <c r="F1595" s="5">
        <f>D1595*E1595</f>
        <v/>
      </c>
      <c r="G1595">
        <f>AND(B1595&gt;=50,B1595&lt;=10000)</f>
        <v/>
      </c>
      <c r="H1595">
        <f>OR(C1595="NAS",C1595="NYS",C1595="ASE")</f>
        <v/>
      </c>
      <c r="I1595">
        <f>F1595&gt;=500000</f>
        <v/>
      </c>
      <c r="J1595">
        <f>E1595&gt;=2</f>
        <v/>
      </c>
      <c r="K1595">
        <f>AND(G1595,H1595,I1595,J1595)</f>
        <v/>
      </c>
    </row>
    <row r="1596">
      <c r="B1596" s="5">
        <f>BDP(A1596&amp;" US Equity","CUR_MKT_CAP")</f>
        <v/>
      </c>
      <c r="C1596">
        <f>BDP(A1596&amp;" US Equity","EXCH_CODE")</f>
        <v/>
      </c>
      <c r="D1596" s="5">
        <f>BDP(A1596&amp;" US Equity","VOLUME_AVG_20D")</f>
        <v/>
      </c>
      <c r="E1596" s="6">
        <f>BDP(A1596&amp;" US Equity","PX_LAST")</f>
        <v/>
      </c>
      <c r="F1596" s="5">
        <f>D1596*E1596</f>
        <v/>
      </c>
      <c r="G1596">
        <f>AND(B1596&gt;=50,B1596&lt;=10000)</f>
        <v/>
      </c>
      <c r="H1596">
        <f>OR(C1596="NAS",C1596="NYS",C1596="ASE")</f>
        <v/>
      </c>
      <c r="I1596">
        <f>F1596&gt;=500000</f>
        <v/>
      </c>
      <c r="J1596">
        <f>E1596&gt;=2</f>
        <v/>
      </c>
      <c r="K1596">
        <f>AND(G1596,H1596,I1596,J1596)</f>
        <v/>
      </c>
    </row>
    <row r="1597">
      <c r="B1597" s="5">
        <f>BDP(A1597&amp;" US Equity","CUR_MKT_CAP")</f>
        <v/>
      </c>
      <c r="C1597">
        <f>BDP(A1597&amp;" US Equity","EXCH_CODE")</f>
        <v/>
      </c>
      <c r="D1597" s="5">
        <f>BDP(A1597&amp;" US Equity","VOLUME_AVG_20D")</f>
        <v/>
      </c>
      <c r="E1597" s="6">
        <f>BDP(A1597&amp;" US Equity","PX_LAST")</f>
        <v/>
      </c>
      <c r="F1597" s="5">
        <f>D1597*E1597</f>
        <v/>
      </c>
      <c r="G1597">
        <f>AND(B1597&gt;=50,B1597&lt;=10000)</f>
        <v/>
      </c>
      <c r="H1597">
        <f>OR(C1597="NAS",C1597="NYS",C1597="ASE")</f>
        <v/>
      </c>
      <c r="I1597">
        <f>F1597&gt;=500000</f>
        <v/>
      </c>
      <c r="J1597">
        <f>E1597&gt;=2</f>
        <v/>
      </c>
      <c r="K1597">
        <f>AND(G1597,H1597,I1597,J1597)</f>
        <v/>
      </c>
    </row>
    <row r="1598">
      <c r="B1598" s="5">
        <f>BDP(A1598&amp;" US Equity","CUR_MKT_CAP")</f>
        <v/>
      </c>
      <c r="C1598">
        <f>BDP(A1598&amp;" US Equity","EXCH_CODE")</f>
        <v/>
      </c>
      <c r="D1598" s="5">
        <f>BDP(A1598&amp;" US Equity","VOLUME_AVG_20D")</f>
        <v/>
      </c>
      <c r="E1598" s="6">
        <f>BDP(A1598&amp;" US Equity","PX_LAST")</f>
        <v/>
      </c>
      <c r="F1598" s="5">
        <f>D1598*E1598</f>
        <v/>
      </c>
      <c r="G1598">
        <f>AND(B1598&gt;=50,B1598&lt;=10000)</f>
        <v/>
      </c>
      <c r="H1598">
        <f>OR(C1598="NAS",C1598="NYS",C1598="ASE")</f>
        <v/>
      </c>
      <c r="I1598">
        <f>F1598&gt;=500000</f>
        <v/>
      </c>
      <c r="J1598">
        <f>E1598&gt;=2</f>
        <v/>
      </c>
      <c r="K1598">
        <f>AND(G1598,H1598,I1598,J1598)</f>
        <v/>
      </c>
    </row>
    <row r="1599">
      <c r="B1599" s="5">
        <f>BDP(A1599&amp;" US Equity","CUR_MKT_CAP")</f>
        <v/>
      </c>
      <c r="C1599">
        <f>BDP(A1599&amp;" US Equity","EXCH_CODE")</f>
        <v/>
      </c>
      <c r="D1599" s="5">
        <f>BDP(A1599&amp;" US Equity","VOLUME_AVG_20D")</f>
        <v/>
      </c>
      <c r="E1599" s="6">
        <f>BDP(A1599&amp;" US Equity","PX_LAST")</f>
        <v/>
      </c>
      <c r="F1599" s="5">
        <f>D1599*E1599</f>
        <v/>
      </c>
      <c r="G1599">
        <f>AND(B1599&gt;=50,B1599&lt;=10000)</f>
        <v/>
      </c>
      <c r="H1599">
        <f>OR(C1599="NAS",C1599="NYS",C1599="ASE")</f>
        <v/>
      </c>
      <c r="I1599">
        <f>F1599&gt;=500000</f>
        <v/>
      </c>
      <c r="J1599">
        <f>E1599&gt;=2</f>
        <v/>
      </c>
      <c r="K1599">
        <f>AND(G1599,H1599,I1599,J1599)</f>
        <v/>
      </c>
    </row>
    <row r="1600">
      <c r="B1600" s="5">
        <f>BDP(A1600&amp;" US Equity","CUR_MKT_CAP")</f>
        <v/>
      </c>
      <c r="C1600">
        <f>BDP(A1600&amp;" US Equity","EXCH_CODE")</f>
        <v/>
      </c>
      <c r="D1600" s="5">
        <f>BDP(A1600&amp;" US Equity","VOLUME_AVG_20D")</f>
        <v/>
      </c>
      <c r="E1600" s="6">
        <f>BDP(A1600&amp;" US Equity","PX_LAST")</f>
        <v/>
      </c>
      <c r="F1600" s="5">
        <f>D1600*E1600</f>
        <v/>
      </c>
      <c r="G1600">
        <f>AND(B1600&gt;=50,B1600&lt;=10000)</f>
        <v/>
      </c>
      <c r="H1600">
        <f>OR(C1600="NAS",C1600="NYS",C1600="ASE")</f>
        <v/>
      </c>
      <c r="I1600">
        <f>F1600&gt;=500000</f>
        <v/>
      </c>
      <c r="J1600">
        <f>E1600&gt;=2</f>
        <v/>
      </c>
      <c r="K1600">
        <f>AND(G1600,H1600,I1600,J1600)</f>
        <v/>
      </c>
    </row>
    <row r="1601">
      <c r="B1601" s="5">
        <f>BDP(A1601&amp;" US Equity","CUR_MKT_CAP")</f>
        <v/>
      </c>
      <c r="C1601">
        <f>BDP(A1601&amp;" US Equity","EXCH_CODE")</f>
        <v/>
      </c>
      <c r="D1601" s="5">
        <f>BDP(A1601&amp;" US Equity","VOLUME_AVG_20D")</f>
        <v/>
      </c>
      <c r="E1601" s="6">
        <f>BDP(A1601&amp;" US Equity","PX_LAST")</f>
        <v/>
      </c>
      <c r="F1601" s="5">
        <f>D1601*E1601</f>
        <v/>
      </c>
      <c r="G1601">
        <f>AND(B1601&gt;=50,B1601&lt;=10000)</f>
        <v/>
      </c>
      <c r="H1601">
        <f>OR(C1601="NAS",C1601="NYS",C1601="ASE")</f>
        <v/>
      </c>
      <c r="I1601">
        <f>F1601&gt;=500000</f>
        <v/>
      </c>
      <c r="J1601">
        <f>E1601&gt;=2</f>
        <v/>
      </c>
      <c r="K1601">
        <f>AND(G1601,H1601,I1601,J1601)</f>
        <v/>
      </c>
    </row>
    <row r="1602">
      <c r="B1602" s="5">
        <f>BDP(A1602&amp;" US Equity","CUR_MKT_CAP")</f>
        <v/>
      </c>
      <c r="C1602">
        <f>BDP(A1602&amp;" US Equity","EXCH_CODE")</f>
        <v/>
      </c>
      <c r="D1602" s="5">
        <f>BDP(A1602&amp;" US Equity","VOLUME_AVG_20D")</f>
        <v/>
      </c>
      <c r="E1602" s="6">
        <f>BDP(A1602&amp;" US Equity","PX_LAST")</f>
        <v/>
      </c>
      <c r="F1602" s="5">
        <f>D1602*E1602</f>
        <v/>
      </c>
      <c r="G1602">
        <f>AND(B1602&gt;=50,B1602&lt;=10000)</f>
        <v/>
      </c>
      <c r="H1602">
        <f>OR(C1602="NAS",C1602="NYS",C1602="ASE")</f>
        <v/>
      </c>
      <c r="I1602">
        <f>F1602&gt;=500000</f>
        <v/>
      </c>
      <c r="J1602">
        <f>E1602&gt;=2</f>
        <v/>
      </c>
      <c r="K1602">
        <f>AND(G1602,H1602,I1602,J1602)</f>
        <v/>
      </c>
    </row>
    <row r="1603">
      <c r="B1603" s="5">
        <f>BDP(A1603&amp;" US Equity","CUR_MKT_CAP")</f>
        <v/>
      </c>
      <c r="C1603">
        <f>BDP(A1603&amp;" US Equity","EXCH_CODE")</f>
        <v/>
      </c>
      <c r="D1603" s="5">
        <f>BDP(A1603&amp;" US Equity","VOLUME_AVG_20D")</f>
        <v/>
      </c>
      <c r="E1603" s="6">
        <f>BDP(A1603&amp;" US Equity","PX_LAST")</f>
        <v/>
      </c>
      <c r="F1603" s="5">
        <f>D1603*E1603</f>
        <v/>
      </c>
      <c r="G1603">
        <f>AND(B1603&gt;=50,B1603&lt;=10000)</f>
        <v/>
      </c>
      <c r="H1603">
        <f>OR(C1603="NAS",C1603="NYS",C1603="ASE")</f>
        <v/>
      </c>
      <c r="I1603">
        <f>F1603&gt;=500000</f>
        <v/>
      </c>
      <c r="J1603">
        <f>E1603&gt;=2</f>
        <v/>
      </c>
      <c r="K1603">
        <f>AND(G1603,H1603,I1603,J1603)</f>
        <v/>
      </c>
    </row>
    <row r="1604">
      <c r="B1604" s="5">
        <f>BDP(A1604&amp;" US Equity","CUR_MKT_CAP")</f>
        <v/>
      </c>
      <c r="C1604">
        <f>BDP(A1604&amp;" US Equity","EXCH_CODE")</f>
        <v/>
      </c>
      <c r="D1604" s="5">
        <f>BDP(A1604&amp;" US Equity","VOLUME_AVG_20D")</f>
        <v/>
      </c>
      <c r="E1604" s="6">
        <f>BDP(A1604&amp;" US Equity","PX_LAST")</f>
        <v/>
      </c>
      <c r="F1604" s="5">
        <f>D1604*E1604</f>
        <v/>
      </c>
      <c r="G1604">
        <f>AND(B1604&gt;=50,B1604&lt;=10000)</f>
        <v/>
      </c>
      <c r="H1604">
        <f>OR(C1604="NAS",C1604="NYS",C1604="ASE")</f>
        <v/>
      </c>
      <c r="I1604">
        <f>F1604&gt;=500000</f>
        <v/>
      </c>
      <c r="J1604">
        <f>E1604&gt;=2</f>
        <v/>
      </c>
      <c r="K1604">
        <f>AND(G1604,H1604,I1604,J1604)</f>
        <v/>
      </c>
    </row>
    <row r="1605">
      <c r="B1605" s="5">
        <f>BDP(A1605&amp;" US Equity","CUR_MKT_CAP")</f>
        <v/>
      </c>
      <c r="C1605">
        <f>BDP(A1605&amp;" US Equity","EXCH_CODE")</f>
        <v/>
      </c>
      <c r="D1605" s="5">
        <f>BDP(A1605&amp;" US Equity","VOLUME_AVG_20D")</f>
        <v/>
      </c>
      <c r="E1605" s="6">
        <f>BDP(A1605&amp;" US Equity","PX_LAST")</f>
        <v/>
      </c>
      <c r="F1605" s="5">
        <f>D1605*E1605</f>
        <v/>
      </c>
      <c r="G1605">
        <f>AND(B1605&gt;=50,B1605&lt;=10000)</f>
        <v/>
      </c>
      <c r="H1605">
        <f>OR(C1605="NAS",C1605="NYS",C1605="ASE")</f>
        <v/>
      </c>
      <c r="I1605">
        <f>F1605&gt;=500000</f>
        <v/>
      </c>
      <c r="J1605">
        <f>E1605&gt;=2</f>
        <v/>
      </c>
      <c r="K1605">
        <f>AND(G1605,H1605,I1605,J1605)</f>
        <v/>
      </c>
    </row>
    <row r="1606">
      <c r="B1606" s="5">
        <f>BDP(A1606&amp;" US Equity","CUR_MKT_CAP")</f>
        <v/>
      </c>
      <c r="C1606">
        <f>BDP(A1606&amp;" US Equity","EXCH_CODE")</f>
        <v/>
      </c>
      <c r="D1606" s="5">
        <f>BDP(A1606&amp;" US Equity","VOLUME_AVG_20D")</f>
        <v/>
      </c>
      <c r="E1606" s="6">
        <f>BDP(A1606&amp;" US Equity","PX_LAST")</f>
        <v/>
      </c>
      <c r="F1606" s="5">
        <f>D1606*E1606</f>
        <v/>
      </c>
      <c r="G1606">
        <f>AND(B1606&gt;=50,B1606&lt;=10000)</f>
        <v/>
      </c>
      <c r="H1606">
        <f>OR(C1606="NAS",C1606="NYS",C1606="ASE")</f>
        <v/>
      </c>
      <c r="I1606">
        <f>F1606&gt;=500000</f>
        <v/>
      </c>
      <c r="J1606">
        <f>E1606&gt;=2</f>
        <v/>
      </c>
      <c r="K1606">
        <f>AND(G1606,H1606,I1606,J1606)</f>
        <v/>
      </c>
    </row>
    <row r="1607">
      <c r="B1607" s="5">
        <f>BDP(A1607&amp;" US Equity","CUR_MKT_CAP")</f>
        <v/>
      </c>
      <c r="C1607">
        <f>BDP(A1607&amp;" US Equity","EXCH_CODE")</f>
        <v/>
      </c>
      <c r="D1607" s="5">
        <f>BDP(A1607&amp;" US Equity","VOLUME_AVG_20D")</f>
        <v/>
      </c>
      <c r="E1607" s="6">
        <f>BDP(A1607&amp;" US Equity","PX_LAST")</f>
        <v/>
      </c>
      <c r="F1607" s="5">
        <f>D1607*E1607</f>
        <v/>
      </c>
      <c r="G1607">
        <f>AND(B1607&gt;=50,B1607&lt;=10000)</f>
        <v/>
      </c>
      <c r="H1607">
        <f>OR(C1607="NAS",C1607="NYS",C1607="ASE")</f>
        <v/>
      </c>
      <c r="I1607">
        <f>F1607&gt;=500000</f>
        <v/>
      </c>
      <c r="J1607">
        <f>E1607&gt;=2</f>
        <v/>
      </c>
      <c r="K1607">
        <f>AND(G1607,H1607,I1607,J1607)</f>
        <v/>
      </c>
    </row>
    <row r="1608">
      <c r="B1608" s="5">
        <f>BDP(A1608&amp;" US Equity","CUR_MKT_CAP")</f>
        <v/>
      </c>
      <c r="C1608">
        <f>BDP(A1608&amp;" US Equity","EXCH_CODE")</f>
        <v/>
      </c>
      <c r="D1608" s="5">
        <f>BDP(A1608&amp;" US Equity","VOLUME_AVG_20D")</f>
        <v/>
      </c>
      <c r="E1608" s="6">
        <f>BDP(A1608&amp;" US Equity","PX_LAST")</f>
        <v/>
      </c>
      <c r="F1608" s="5">
        <f>D1608*E1608</f>
        <v/>
      </c>
      <c r="G1608">
        <f>AND(B1608&gt;=50,B1608&lt;=10000)</f>
        <v/>
      </c>
      <c r="H1608">
        <f>OR(C1608="NAS",C1608="NYS",C1608="ASE")</f>
        <v/>
      </c>
      <c r="I1608">
        <f>F1608&gt;=500000</f>
        <v/>
      </c>
      <c r="J1608">
        <f>E1608&gt;=2</f>
        <v/>
      </c>
      <c r="K1608">
        <f>AND(G1608,H1608,I1608,J1608)</f>
        <v/>
      </c>
    </row>
    <row r="1609">
      <c r="B1609" s="5">
        <f>BDP(A1609&amp;" US Equity","CUR_MKT_CAP")</f>
        <v/>
      </c>
      <c r="C1609">
        <f>BDP(A1609&amp;" US Equity","EXCH_CODE")</f>
        <v/>
      </c>
      <c r="D1609" s="5">
        <f>BDP(A1609&amp;" US Equity","VOLUME_AVG_20D")</f>
        <v/>
      </c>
      <c r="E1609" s="6">
        <f>BDP(A1609&amp;" US Equity","PX_LAST")</f>
        <v/>
      </c>
      <c r="F1609" s="5">
        <f>D1609*E1609</f>
        <v/>
      </c>
      <c r="G1609">
        <f>AND(B1609&gt;=50,B1609&lt;=10000)</f>
        <v/>
      </c>
      <c r="H1609">
        <f>OR(C1609="NAS",C1609="NYS",C1609="ASE")</f>
        <v/>
      </c>
      <c r="I1609">
        <f>F1609&gt;=500000</f>
        <v/>
      </c>
      <c r="J1609">
        <f>E1609&gt;=2</f>
        <v/>
      </c>
      <c r="K1609">
        <f>AND(G1609,H1609,I1609,J1609)</f>
        <v/>
      </c>
    </row>
    <row r="1610">
      <c r="B1610" s="5">
        <f>BDP(A1610&amp;" US Equity","CUR_MKT_CAP")</f>
        <v/>
      </c>
      <c r="C1610">
        <f>BDP(A1610&amp;" US Equity","EXCH_CODE")</f>
        <v/>
      </c>
      <c r="D1610" s="5">
        <f>BDP(A1610&amp;" US Equity","VOLUME_AVG_20D")</f>
        <v/>
      </c>
      <c r="E1610" s="6">
        <f>BDP(A1610&amp;" US Equity","PX_LAST")</f>
        <v/>
      </c>
      <c r="F1610" s="5">
        <f>D1610*E1610</f>
        <v/>
      </c>
      <c r="G1610">
        <f>AND(B1610&gt;=50,B1610&lt;=10000)</f>
        <v/>
      </c>
      <c r="H1610">
        <f>OR(C1610="NAS",C1610="NYS",C1610="ASE")</f>
        <v/>
      </c>
      <c r="I1610">
        <f>F1610&gt;=500000</f>
        <v/>
      </c>
      <c r="J1610">
        <f>E1610&gt;=2</f>
        <v/>
      </c>
      <c r="K1610">
        <f>AND(G1610,H1610,I1610,J1610)</f>
        <v/>
      </c>
    </row>
    <row r="1611">
      <c r="B1611" s="5">
        <f>BDP(A1611&amp;" US Equity","CUR_MKT_CAP")</f>
        <v/>
      </c>
      <c r="C1611">
        <f>BDP(A1611&amp;" US Equity","EXCH_CODE")</f>
        <v/>
      </c>
      <c r="D1611" s="5">
        <f>BDP(A1611&amp;" US Equity","VOLUME_AVG_20D")</f>
        <v/>
      </c>
      <c r="E1611" s="6">
        <f>BDP(A1611&amp;" US Equity","PX_LAST")</f>
        <v/>
      </c>
      <c r="F1611" s="5">
        <f>D1611*E1611</f>
        <v/>
      </c>
      <c r="G1611">
        <f>AND(B1611&gt;=50,B1611&lt;=10000)</f>
        <v/>
      </c>
      <c r="H1611">
        <f>OR(C1611="NAS",C1611="NYS",C1611="ASE")</f>
        <v/>
      </c>
      <c r="I1611">
        <f>F1611&gt;=500000</f>
        <v/>
      </c>
      <c r="J1611">
        <f>E1611&gt;=2</f>
        <v/>
      </c>
      <c r="K1611">
        <f>AND(G1611,H1611,I1611,J1611)</f>
        <v/>
      </c>
    </row>
    <row r="1612">
      <c r="B1612" s="5">
        <f>BDP(A1612&amp;" US Equity","CUR_MKT_CAP")</f>
        <v/>
      </c>
      <c r="C1612">
        <f>BDP(A1612&amp;" US Equity","EXCH_CODE")</f>
        <v/>
      </c>
      <c r="D1612" s="5">
        <f>BDP(A1612&amp;" US Equity","VOLUME_AVG_20D")</f>
        <v/>
      </c>
      <c r="E1612" s="6">
        <f>BDP(A1612&amp;" US Equity","PX_LAST")</f>
        <v/>
      </c>
      <c r="F1612" s="5">
        <f>D1612*E1612</f>
        <v/>
      </c>
      <c r="G1612">
        <f>AND(B1612&gt;=50,B1612&lt;=10000)</f>
        <v/>
      </c>
      <c r="H1612">
        <f>OR(C1612="NAS",C1612="NYS",C1612="ASE")</f>
        <v/>
      </c>
      <c r="I1612">
        <f>F1612&gt;=500000</f>
        <v/>
      </c>
      <c r="J1612">
        <f>E1612&gt;=2</f>
        <v/>
      </c>
      <c r="K1612">
        <f>AND(G1612,H1612,I1612,J1612)</f>
        <v/>
      </c>
    </row>
    <row r="1613">
      <c r="B1613" s="5">
        <f>BDP(A1613&amp;" US Equity","CUR_MKT_CAP")</f>
        <v/>
      </c>
      <c r="C1613">
        <f>BDP(A1613&amp;" US Equity","EXCH_CODE")</f>
        <v/>
      </c>
      <c r="D1613" s="5">
        <f>BDP(A1613&amp;" US Equity","VOLUME_AVG_20D")</f>
        <v/>
      </c>
      <c r="E1613" s="6">
        <f>BDP(A1613&amp;" US Equity","PX_LAST")</f>
        <v/>
      </c>
      <c r="F1613" s="5">
        <f>D1613*E1613</f>
        <v/>
      </c>
      <c r="G1613">
        <f>AND(B1613&gt;=50,B1613&lt;=10000)</f>
        <v/>
      </c>
      <c r="H1613">
        <f>OR(C1613="NAS",C1613="NYS",C1613="ASE")</f>
        <v/>
      </c>
      <c r="I1613">
        <f>F1613&gt;=500000</f>
        <v/>
      </c>
      <c r="J1613">
        <f>E1613&gt;=2</f>
        <v/>
      </c>
      <c r="K1613">
        <f>AND(G1613,H1613,I1613,J1613)</f>
        <v/>
      </c>
    </row>
    <row r="1614">
      <c r="B1614" s="5">
        <f>BDP(A1614&amp;" US Equity","CUR_MKT_CAP")</f>
        <v/>
      </c>
      <c r="C1614">
        <f>BDP(A1614&amp;" US Equity","EXCH_CODE")</f>
        <v/>
      </c>
      <c r="D1614" s="5">
        <f>BDP(A1614&amp;" US Equity","VOLUME_AVG_20D")</f>
        <v/>
      </c>
      <c r="E1614" s="6">
        <f>BDP(A1614&amp;" US Equity","PX_LAST")</f>
        <v/>
      </c>
      <c r="F1614" s="5">
        <f>D1614*E1614</f>
        <v/>
      </c>
      <c r="G1614">
        <f>AND(B1614&gt;=50,B1614&lt;=10000)</f>
        <v/>
      </c>
      <c r="H1614">
        <f>OR(C1614="NAS",C1614="NYS",C1614="ASE")</f>
        <v/>
      </c>
      <c r="I1614">
        <f>F1614&gt;=500000</f>
        <v/>
      </c>
      <c r="J1614">
        <f>E1614&gt;=2</f>
        <v/>
      </c>
      <c r="K1614">
        <f>AND(G1614,H1614,I1614,J1614)</f>
        <v/>
      </c>
    </row>
    <row r="1615">
      <c r="B1615" s="5">
        <f>BDP(A1615&amp;" US Equity","CUR_MKT_CAP")</f>
        <v/>
      </c>
      <c r="C1615">
        <f>BDP(A1615&amp;" US Equity","EXCH_CODE")</f>
        <v/>
      </c>
      <c r="D1615" s="5">
        <f>BDP(A1615&amp;" US Equity","VOLUME_AVG_20D")</f>
        <v/>
      </c>
      <c r="E1615" s="6">
        <f>BDP(A1615&amp;" US Equity","PX_LAST")</f>
        <v/>
      </c>
      <c r="F1615" s="5">
        <f>D1615*E1615</f>
        <v/>
      </c>
      <c r="G1615">
        <f>AND(B1615&gt;=50,B1615&lt;=10000)</f>
        <v/>
      </c>
      <c r="H1615">
        <f>OR(C1615="NAS",C1615="NYS",C1615="ASE")</f>
        <v/>
      </c>
      <c r="I1615">
        <f>F1615&gt;=500000</f>
        <v/>
      </c>
      <c r="J1615">
        <f>E1615&gt;=2</f>
        <v/>
      </c>
      <c r="K1615">
        <f>AND(G1615,H1615,I1615,J1615)</f>
        <v/>
      </c>
    </row>
    <row r="1616">
      <c r="B1616" s="5">
        <f>BDP(A1616&amp;" US Equity","CUR_MKT_CAP")</f>
        <v/>
      </c>
      <c r="C1616">
        <f>BDP(A1616&amp;" US Equity","EXCH_CODE")</f>
        <v/>
      </c>
      <c r="D1616" s="5">
        <f>BDP(A1616&amp;" US Equity","VOLUME_AVG_20D")</f>
        <v/>
      </c>
      <c r="E1616" s="6">
        <f>BDP(A1616&amp;" US Equity","PX_LAST")</f>
        <v/>
      </c>
      <c r="F1616" s="5">
        <f>D1616*E1616</f>
        <v/>
      </c>
      <c r="G1616">
        <f>AND(B1616&gt;=50,B1616&lt;=10000)</f>
        <v/>
      </c>
      <c r="H1616">
        <f>OR(C1616="NAS",C1616="NYS",C1616="ASE")</f>
        <v/>
      </c>
      <c r="I1616">
        <f>F1616&gt;=500000</f>
        <v/>
      </c>
      <c r="J1616">
        <f>E1616&gt;=2</f>
        <v/>
      </c>
      <c r="K1616">
        <f>AND(G1616,H1616,I1616,J1616)</f>
        <v/>
      </c>
    </row>
    <row r="1617">
      <c r="B1617" s="5">
        <f>BDP(A1617&amp;" US Equity","CUR_MKT_CAP")</f>
        <v/>
      </c>
      <c r="C1617">
        <f>BDP(A1617&amp;" US Equity","EXCH_CODE")</f>
        <v/>
      </c>
      <c r="D1617" s="5">
        <f>BDP(A1617&amp;" US Equity","VOLUME_AVG_20D")</f>
        <v/>
      </c>
      <c r="E1617" s="6">
        <f>BDP(A1617&amp;" US Equity","PX_LAST")</f>
        <v/>
      </c>
      <c r="F1617" s="5">
        <f>D1617*E1617</f>
        <v/>
      </c>
      <c r="G1617">
        <f>AND(B1617&gt;=50,B1617&lt;=10000)</f>
        <v/>
      </c>
      <c r="H1617">
        <f>OR(C1617="NAS",C1617="NYS",C1617="ASE")</f>
        <v/>
      </c>
      <c r="I1617">
        <f>F1617&gt;=500000</f>
        <v/>
      </c>
      <c r="J1617">
        <f>E1617&gt;=2</f>
        <v/>
      </c>
      <c r="K1617">
        <f>AND(G1617,H1617,I1617,J1617)</f>
        <v/>
      </c>
    </row>
    <row r="1618">
      <c r="B1618" s="5">
        <f>BDP(A1618&amp;" US Equity","CUR_MKT_CAP")</f>
        <v/>
      </c>
      <c r="C1618">
        <f>BDP(A1618&amp;" US Equity","EXCH_CODE")</f>
        <v/>
      </c>
      <c r="D1618" s="5">
        <f>BDP(A1618&amp;" US Equity","VOLUME_AVG_20D")</f>
        <v/>
      </c>
      <c r="E1618" s="6">
        <f>BDP(A1618&amp;" US Equity","PX_LAST")</f>
        <v/>
      </c>
      <c r="F1618" s="5">
        <f>D1618*E1618</f>
        <v/>
      </c>
      <c r="G1618">
        <f>AND(B1618&gt;=50,B1618&lt;=10000)</f>
        <v/>
      </c>
      <c r="H1618">
        <f>OR(C1618="NAS",C1618="NYS",C1618="ASE")</f>
        <v/>
      </c>
      <c r="I1618">
        <f>F1618&gt;=500000</f>
        <v/>
      </c>
      <c r="J1618">
        <f>E1618&gt;=2</f>
        <v/>
      </c>
      <c r="K1618">
        <f>AND(G1618,H1618,I1618,J1618)</f>
        <v/>
      </c>
    </row>
    <row r="1619">
      <c r="B1619" s="5">
        <f>BDP(A1619&amp;" US Equity","CUR_MKT_CAP")</f>
        <v/>
      </c>
      <c r="C1619">
        <f>BDP(A1619&amp;" US Equity","EXCH_CODE")</f>
        <v/>
      </c>
      <c r="D1619" s="5">
        <f>BDP(A1619&amp;" US Equity","VOLUME_AVG_20D")</f>
        <v/>
      </c>
      <c r="E1619" s="6">
        <f>BDP(A1619&amp;" US Equity","PX_LAST")</f>
        <v/>
      </c>
      <c r="F1619" s="5">
        <f>D1619*E1619</f>
        <v/>
      </c>
      <c r="G1619">
        <f>AND(B1619&gt;=50,B1619&lt;=10000)</f>
        <v/>
      </c>
      <c r="H1619">
        <f>OR(C1619="NAS",C1619="NYS",C1619="ASE")</f>
        <v/>
      </c>
      <c r="I1619">
        <f>F1619&gt;=500000</f>
        <v/>
      </c>
      <c r="J1619">
        <f>E1619&gt;=2</f>
        <v/>
      </c>
      <c r="K1619">
        <f>AND(G1619,H1619,I1619,J1619)</f>
        <v/>
      </c>
    </row>
    <row r="1620">
      <c r="B1620" s="5">
        <f>BDP(A1620&amp;" US Equity","CUR_MKT_CAP")</f>
        <v/>
      </c>
      <c r="C1620">
        <f>BDP(A1620&amp;" US Equity","EXCH_CODE")</f>
        <v/>
      </c>
      <c r="D1620" s="5">
        <f>BDP(A1620&amp;" US Equity","VOLUME_AVG_20D")</f>
        <v/>
      </c>
      <c r="E1620" s="6">
        <f>BDP(A1620&amp;" US Equity","PX_LAST")</f>
        <v/>
      </c>
      <c r="F1620" s="5">
        <f>D1620*E1620</f>
        <v/>
      </c>
      <c r="G1620">
        <f>AND(B1620&gt;=50,B1620&lt;=10000)</f>
        <v/>
      </c>
      <c r="H1620">
        <f>OR(C1620="NAS",C1620="NYS",C1620="ASE")</f>
        <v/>
      </c>
      <c r="I1620">
        <f>F1620&gt;=500000</f>
        <v/>
      </c>
      <c r="J1620">
        <f>E1620&gt;=2</f>
        <v/>
      </c>
      <c r="K1620">
        <f>AND(G1620,H1620,I1620,J1620)</f>
        <v/>
      </c>
    </row>
    <row r="1621">
      <c r="B1621" s="5">
        <f>BDP(A1621&amp;" US Equity","CUR_MKT_CAP")</f>
        <v/>
      </c>
      <c r="C1621">
        <f>BDP(A1621&amp;" US Equity","EXCH_CODE")</f>
        <v/>
      </c>
      <c r="D1621" s="5">
        <f>BDP(A1621&amp;" US Equity","VOLUME_AVG_20D")</f>
        <v/>
      </c>
      <c r="E1621" s="6">
        <f>BDP(A1621&amp;" US Equity","PX_LAST")</f>
        <v/>
      </c>
      <c r="F1621" s="5">
        <f>D1621*E1621</f>
        <v/>
      </c>
      <c r="G1621">
        <f>AND(B1621&gt;=50,B1621&lt;=10000)</f>
        <v/>
      </c>
      <c r="H1621">
        <f>OR(C1621="NAS",C1621="NYS",C1621="ASE")</f>
        <v/>
      </c>
      <c r="I1621">
        <f>F1621&gt;=500000</f>
        <v/>
      </c>
      <c r="J1621">
        <f>E1621&gt;=2</f>
        <v/>
      </c>
      <c r="K1621">
        <f>AND(G1621,H1621,I1621,J1621)</f>
        <v/>
      </c>
    </row>
    <row r="1622">
      <c r="B1622" s="5">
        <f>BDP(A1622&amp;" US Equity","CUR_MKT_CAP")</f>
        <v/>
      </c>
      <c r="C1622">
        <f>BDP(A1622&amp;" US Equity","EXCH_CODE")</f>
        <v/>
      </c>
      <c r="D1622" s="5">
        <f>BDP(A1622&amp;" US Equity","VOLUME_AVG_20D")</f>
        <v/>
      </c>
      <c r="E1622" s="6">
        <f>BDP(A1622&amp;" US Equity","PX_LAST")</f>
        <v/>
      </c>
      <c r="F1622" s="5">
        <f>D1622*E1622</f>
        <v/>
      </c>
      <c r="G1622">
        <f>AND(B1622&gt;=50,B1622&lt;=10000)</f>
        <v/>
      </c>
      <c r="H1622">
        <f>OR(C1622="NAS",C1622="NYS",C1622="ASE")</f>
        <v/>
      </c>
      <c r="I1622">
        <f>F1622&gt;=500000</f>
        <v/>
      </c>
      <c r="J1622">
        <f>E1622&gt;=2</f>
        <v/>
      </c>
      <c r="K1622">
        <f>AND(G1622,H1622,I1622,J1622)</f>
        <v/>
      </c>
    </row>
    <row r="1623">
      <c r="B1623" s="5">
        <f>BDP(A1623&amp;" US Equity","CUR_MKT_CAP")</f>
        <v/>
      </c>
      <c r="C1623">
        <f>BDP(A1623&amp;" US Equity","EXCH_CODE")</f>
        <v/>
      </c>
      <c r="D1623" s="5">
        <f>BDP(A1623&amp;" US Equity","VOLUME_AVG_20D")</f>
        <v/>
      </c>
      <c r="E1623" s="6">
        <f>BDP(A1623&amp;" US Equity","PX_LAST")</f>
        <v/>
      </c>
      <c r="F1623" s="5">
        <f>D1623*E1623</f>
        <v/>
      </c>
      <c r="G1623">
        <f>AND(B1623&gt;=50,B1623&lt;=10000)</f>
        <v/>
      </c>
      <c r="H1623">
        <f>OR(C1623="NAS",C1623="NYS",C1623="ASE")</f>
        <v/>
      </c>
      <c r="I1623">
        <f>F1623&gt;=500000</f>
        <v/>
      </c>
      <c r="J1623">
        <f>E1623&gt;=2</f>
        <v/>
      </c>
      <c r="K1623">
        <f>AND(G1623,H1623,I1623,J1623)</f>
        <v/>
      </c>
    </row>
    <row r="1624">
      <c r="B1624" s="5">
        <f>BDP(A1624&amp;" US Equity","CUR_MKT_CAP")</f>
        <v/>
      </c>
      <c r="C1624">
        <f>BDP(A1624&amp;" US Equity","EXCH_CODE")</f>
        <v/>
      </c>
      <c r="D1624" s="5">
        <f>BDP(A1624&amp;" US Equity","VOLUME_AVG_20D")</f>
        <v/>
      </c>
      <c r="E1624" s="6">
        <f>BDP(A1624&amp;" US Equity","PX_LAST")</f>
        <v/>
      </c>
      <c r="F1624" s="5">
        <f>D1624*E1624</f>
        <v/>
      </c>
      <c r="G1624">
        <f>AND(B1624&gt;=50,B1624&lt;=10000)</f>
        <v/>
      </c>
      <c r="H1624">
        <f>OR(C1624="NAS",C1624="NYS",C1624="ASE")</f>
        <v/>
      </c>
      <c r="I1624">
        <f>F1624&gt;=500000</f>
        <v/>
      </c>
      <c r="J1624">
        <f>E1624&gt;=2</f>
        <v/>
      </c>
      <c r="K1624">
        <f>AND(G1624,H1624,I1624,J1624)</f>
        <v/>
      </c>
    </row>
    <row r="1625">
      <c r="B1625" s="5">
        <f>BDP(A1625&amp;" US Equity","CUR_MKT_CAP")</f>
        <v/>
      </c>
      <c r="C1625">
        <f>BDP(A1625&amp;" US Equity","EXCH_CODE")</f>
        <v/>
      </c>
      <c r="D1625" s="5">
        <f>BDP(A1625&amp;" US Equity","VOLUME_AVG_20D")</f>
        <v/>
      </c>
      <c r="E1625" s="6">
        <f>BDP(A1625&amp;" US Equity","PX_LAST")</f>
        <v/>
      </c>
      <c r="F1625" s="5">
        <f>D1625*E1625</f>
        <v/>
      </c>
      <c r="G1625">
        <f>AND(B1625&gt;=50,B1625&lt;=10000)</f>
        <v/>
      </c>
      <c r="H1625">
        <f>OR(C1625="NAS",C1625="NYS",C1625="ASE")</f>
        <v/>
      </c>
      <c r="I1625">
        <f>F1625&gt;=500000</f>
        <v/>
      </c>
      <c r="J1625">
        <f>E1625&gt;=2</f>
        <v/>
      </c>
      <c r="K1625">
        <f>AND(G1625,H1625,I1625,J1625)</f>
        <v/>
      </c>
    </row>
    <row r="1626">
      <c r="B1626" s="5">
        <f>BDP(A1626&amp;" US Equity","CUR_MKT_CAP")</f>
        <v/>
      </c>
      <c r="C1626">
        <f>BDP(A1626&amp;" US Equity","EXCH_CODE")</f>
        <v/>
      </c>
      <c r="D1626" s="5">
        <f>BDP(A1626&amp;" US Equity","VOLUME_AVG_20D")</f>
        <v/>
      </c>
      <c r="E1626" s="6">
        <f>BDP(A1626&amp;" US Equity","PX_LAST")</f>
        <v/>
      </c>
      <c r="F1626" s="5">
        <f>D1626*E1626</f>
        <v/>
      </c>
      <c r="G1626">
        <f>AND(B1626&gt;=50,B1626&lt;=10000)</f>
        <v/>
      </c>
      <c r="H1626">
        <f>OR(C1626="NAS",C1626="NYS",C1626="ASE")</f>
        <v/>
      </c>
      <c r="I1626">
        <f>F1626&gt;=500000</f>
        <v/>
      </c>
      <c r="J1626">
        <f>E1626&gt;=2</f>
        <v/>
      </c>
      <c r="K1626">
        <f>AND(G1626,H1626,I1626,J1626)</f>
        <v/>
      </c>
    </row>
    <row r="1627">
      <c r="B1627" s="5">
        <f>BDP(A1627&amp;" US Equity","CUR_MKT_CAP")</f>
        <v/>
      </c>
      <c r="C1627">
        <f>BDP(A1627&amp;" US Equity","EXCH_CODE")</f>
        <v/>
      </c>
      <c r="D1627" s="5">
        <f>BDP(A1627&amp;" US Equity","VOLUME_AVG_20D")</f>
        <v/>
      </c>
      <c r="E1627" s="6">
        <f>BDP(A1627&amp;" US Equity","PX_LAST")</f>
        <v/>
      </c>
      <c r="F1627" s="5">
        <f>D1627*E1627</f>
        <v/>
      </c>
      <c r="G1627">
        <f>AND(B1627&gt;=50,B1627&lt;=10000)</f>
        <v/>
      </c>
      <c r="H1627">
        <f>OR(C1627="NAS",C1627="NYS",C1627="ASE")</f>
        <v/>
      </c>
      <c r="I1627">
        <f>F1627&gt;=500000</f>
        <v/>
      </c>
      <c r="J1627">
        <f>E1627&gt;=2</f>
        <v/>
      </c>
      <c r="K1627">
        <f>AND(G1627,H1627,I1627,J1627)</f>
        <v/>
      </c>
    </row>
    <row r="1628">
      <c r="B1628" s="5">
        <f>BDP(A1628&amp;" US Equity","CUR_MKT_CAP")</f>
        <v/>
      </c>
      <c r="C1628">
        <f>BDP(A1628&amp;" US Equity","EXCH_CODE")</f>
        <v/>
      </c>
      <c r="D1628" s="5">
        <f>BDP(A1628&amp;" US Equity","VOLUME_AVG_20D")</f>
        <v/>
      </c>
      <c r="E1628" s="6">
        <f>BDP(A1628&amp;" US Equity","PX_LAST")</f>
        <v/>
      </c>
      <c r="F1628" s="5">
        <f>D1628*E1628</f>
        <v/>
      </c>
      <c r="G1628">
        <f>AND(B1628&gt;=50,B1628&lt;=10000)</f>
        <v/>
      </c>
      <c r="H1628">
        <f>OR(C1628="NAS",C1628="NYS",C1628="ASE")</f>
        <v/>
      </c>
      <c r="I1628">
        <f>F1628&gt;=500000</f>
        <v/>
      </c>
      <c r="J1628">
        <f>E1628&gt;=2</f>
        <v/>
      </c>
      <c r="K1628">
        <f>AND(G1628,H1628,I1628,J1628)</f>
        <v/>
      </c>
    </row>
    <row r="1629">
      <c r="B1629" s="5">
        <f>BDP(A1629&amp;" US Equity","CUR_MKT_CAP")</f>
        <v/>
      </c>
      <c r="C1629">
        <f>BDP(A1629&amp;" US Equity","EXCH_CODE")</f>
        <v/>
      </c>
      <c r="D1629" s="5">
        <f>BDP(A1629&amp;" US Equity","VOLUME_AVG_20D")</f>
        <v/>
      </c>
      <c r="E1629" s="6">
        <f>BDP(A1629&amp;" US Equity","PX_LAST")</f>
        <v/>
      </c>
      <c r="F1629" s="5">
        <f>D1629*E1629</f>
        <v/>
      </c>
      <c r="G1629">
        <f>AND(B1629&gt;=50,B1629&lt;=10000)</f>
        <v/>
      </c>
      <c r="H1629">
        <f>OR(C1629="NAS",C1629="NYS",C1629="ASE")</f>
        <v/>
      </c>
      <c r="I1629">
        <f>F1629&gt;=500000</f>
        <v/>
      </c>
      <c r="J1629">
        <f>E1629&gt;=2</f>
        <v/>
      </c>
      <c r="K1629">
        <f>AND(G1629,H1629,I1629,J1629)</f>
        <v/>
      </c>
    </row>
    <row r="1630">
      <c r="B1630" s="5">
        <f>BDP(A1630&amp;" US Equity","CUR_MKT_CAP")</f>
        <v/>
      </c>
      <c r="C1630">
        <f>BDP(A1630&amp;" US Equity","EXCH_CODE")</f>
        <v/>
      </c>
      <c r="D1630" s="5">
        <f>BDP(A1630&amp;" US Equity","VOLUME_AVG_20D")</f>
        <v/>
      </c>
      <c r="E1630" s="6">
        <f>BDP(A1630&amp;" US Equity","PX_LAST")</f>
        <v/>
      </c>
      <c r="F1630" s="5">
        <f>D1630*E1630</f>
        <v/>
      </c>
      <c r="G1630">
        <f>AND(B1630&gt;=50,B1630&lt;=10000)</f>
        <v/>
      </c>
      <c r="H1630">
        <f>OR(C1630="NAS",C1630="NYS",C1630="ASE")</f>
        <v/>
      </c>
      <c r="I1630">
        <f>F1630&gt;=500000</f>
        <v/>
      </c>
      <c r="J1630">
        <f>E1630&gt;=2</f>
        <v/>
      </c>
      <c r="K1630">
        <f>AND(G1630,H1630,I1630,J1630)</f>
        <v/>
      </c>
    </row>
    <row r="1631">
      <c r="B1631" s="5">
        <f>BDP(A1631&amp;" US Equity","CUR_MKT_CAP")</f>
        <v/>
      </c>
      <c r="C1631">
        <f>BDP(A1631&amp;" US Equity","EXCH_CODE")</f>
        <v/>
      </c>
      <c r="D1631" s="5">
        <f>BDP(A1631&amp;" US Equity","VOLUME_AVG_20D")</f>
        <v/>
      </c>
      <c r="E1631" s="6">
        <f>BDP(A1631&amp;" US Equity","PX_LAST")</f>
        <v/>
      </c>
      <c r="F1631" s="5">
        <f>D1631*E1631</f>
        <v/>
      </c>
      <c r="G1631">
        <f>AND(B1631&gt;=50,B1631&lt;=10000)</f>
        <v/>
      </c>
      <c r="H1631">
        <f>OR(C1631="NAS",C1631="NYS",C1631="ASE")</f>
        <v/>
      </c>
      <c r="I1631">
        <f>F1631&gt;=500000</f>
        <v/>
      </c>
      <c r="J1631">
        <f>E1631&gt;=2</f>
        <v/>
      </c>
      <c r="K1631">
        <f>AND(G1631,H1631,I1631,J1631)</f>
        <v/>
      </c>
    </row>
    <row r="1632">
      <c r="B1632" s="5">
        <f>BDP(A1632&amp;" US Equity","CUR_MKT_CAP")</f>
        <v/>
      </c>
      <c r="C1632">
        <f>BDP(A1632&amp;" US Equity","EXCH_CODE")</f>
        <v/>
      </c>
      <c r="D1632" s="5">
        <f>BDP(A1632&amp;" US Equity","VOLUME_AVG_20D")</f>
        <v/>
      </c>
      <c r="E1632" s="6">
        <f>BDP(A1632&amp;" US Equity","PX_LAST")</f>
        <v/>
      </c>
      <c r="F1632" s="5">
        <f>D1632*E1632</f>
        <v/>
      </c>
      <c r="G1632">
        <f>AND(B1632&gt;=50,B1632&lt;=10000)</f>
        <v/>
      </c>
      <c r="H1632">
        <f>OR(C1632="NAS",C1632="NYS",C1632="ASE")</f>
        <v/>
      </c>
      <c r="I1632">
        <f>F1632&gt;=500000</f>
        <v/>
      </c>
      <c r="J1632">
        <f>E1632&gt;=2</f>
        <v/>
      </c>
      <c r="K1632">
        <f>AND(G1632,H1632,I1632,J1632)</f>
        <v/>
      </c>
    </row>
    <row r="1633">
      <c r="B1633" s="5">
        <f>BDP(A1633&amp;" US Equity","CUR_MKT_CAP")</f>
        <v/>
      </c>
      <c r="C1633">
        <f>BDP(A1633&amp;" US Equity","EXCH_CODE")</f>
        <v/>
      </c>
      <c r="D1633" s="5">
        <f>BDP(A1633&amp;" US Equity","VOLUME_AVG_20D")</f>
        <v/>
      </c>
      <c r="E1633" s="6">
        <f>BDP(A1633&amp;" US Equity","PX_LAST")</f>
        <v/>
      </c>
      <c r="F1633" s="5">
        <f>D1633*E1633</f>
        <v/>
      </c>
      <c r="G1633">
        <f>AND(B1633&gt;=50,B1633&lt;=10000)</f>
        <v/>
      </c>
      <c r="H1633">
        <f>OR(C1633="NAS",C1633="NYS",C1633="ASE")</f>
        <v/>
      </c>
      <c r="I1633">
        <f>F1633&gt;=500000</f>
        <v/>
      </c>
      <c r="J1633">
        <f>E1633&gt;=2</f>
        <v/>
      </c>
      <c r="K1633">
        <f>AND(G1633,H1633,I1633,J1633)</f>
        <v/>
      </c>
    </row>
    <row r="1634">
      <c r="B1634" s="5">
        <f>BDP(A1634&amp;" US Equity","CUR_MKT_CAP")</f>
        <v/>
      </c>
      <c r="C1634">
        <f>BDP(A1634&amp;" US Equity","EXCH_CODE")</f>
        <v/>
      </c>
      <c r="D1634" s="5">
        <f>BDP(A1634&amp;" US Equity","VOLUME_AVG_20D")</f>
        <v/>
      </c>
      <c r="E1634" s="6">
        <f>BDP(A1634&amp;" US Equity","PX_LAST")</f>
        <v/>
      </c>
      <c r="F1634" s="5">
        <f>D1634*E1634</f>
        <v/>
      </c>
      <c r="G1634">
        <f>AND(B1634&gt;=50,B1634&lt;=10000)</f>
        <v/>
      </c>
      <c r="H1634">
        <f>OR(C1634="NAS",C1634="NYS",C1634="ASE")</f>
        <v/>
      </c>
      <c r="I1634">
        <f>F1634&gt;=500000</f>
        <v/>
      </c>
      <c r="J1634">
        <f>E1634&gt;=2</f>
        <v/>
      </c>
      <c r="K1634">
        <f>AND(G1634,H1634,I1634,J1634)</f>
        <v/>
      </c>
    </row>
    <row r="1635">
      <c r="B1635" s="5">
        <f>BDP(A1635&amp;" US Equity","CUR_MKT_CAP")</f>
        <v/>
      </c>
      <c r="C1635">
        <f>BDP(A1635&amp;" US Equity","EXCH_CODE")</f>
        <v/>
      </c>
      <c r="D1635" s="5">
        <f>BDP(A1635&amp;" US Equity","VOLUME_AVG_20D")</f>
        <v/>
      </c>
      <c r="E1635" s="6">
        <f>BDP(A1635&amp;" US Equity","PX_LAST")</f>
        <v/>
      </c>
      <c r="F1635" s="5">
        <f>D1635*E1635</f>
        <v/>
      </c>
      <c r="G1635">
        <f>AND(B1635&gt;=50,B1635&lt;=10000)</f>
        <v/>
      </c>
      <c r="H1635">
        <f>OR(C1635="NAS",C1635="NYS",C1635="ASE")</f>
        <v/>
      </c>
      <c r="I1635">
        <f>F1635&gt;=500000</f>
        <v/>
      </c>
      <c r="J1635">
        <f>E1635&gt;=2</f>
        <v/>
      </c>
      <c r="K1635">
        <f>AND(G1635,H1635,I1635,J1635)</f>
        <v/>
      </c>
    </row>
    <row r="1636">
      <c r="B1636" s="5">
        <f>BDP(A1636&amp;" US Equity","CUR_MKT_CAP")</f>
        <v/>
      </c>
      <c r="C1636">
        <f>BDP(A1636&amp;" US Equity","EXCH_CODE")</f>
        <v/>
      </c>
      <c r="D1636" s="5">
        <f>BDP(A1636&amp;" US Equity","VOLUME_AVG_20D")</f>
        <v/>
      </c>
      <c r="E1636" s="6">
        <f>BDP(A1636&amp;" US Equity","PX_LAST")</f>
        <v/>
      </c>
      <c r="F1636" s="5">
        <f>D1636*E1636</f>
        <v/>
      </c>
      <c r="G1636">
        <f>AND(B1636&gt;=50,B1636&lt;=10000)</f>
        <v/>
      </c>
      <c r="H1636">
        <f>OR(C1636="NAS",C1636="NYS",C1636="ASE")</f>
        <v/>
      </c>
      <c r="I1636">
        <f>F1636&gt;=500000</f>
        <v/>
      </c>
      <c r="J1636">
        <f>E1636&gt;=2</f>
        <v/>
      </c>
      <c r="K1636">
        <f>AND(G1636,H1636,I1636,J1636)</f>
        <v/>
      </c>
    </row>
    <row r="1637">
      <c r="B1637" s="5">
        <f>BDP(A1637&amp;" US Equity","CUR_MKT_CAP")</f>
        <v/>
      </c>
      <c r="C1637">
        <f>BDP(A1637&amp;" US Equity","EXCH_CODE")</f>
        <v/>
      </c>
      <c r="D1637" s="5">
        <f>BDP(A1637&amp;" US Equity","VOLUME_AVG_20D")</f>
        <v/>
      </c>
      <c r="E1637" s="6">
        <f>BDP(A1637&amp;" US Equity","PX_LAST")</f>
        <v/>
      </c>
      <c r="F1637" s="5">
        <f>D1637*E1637</f>
        <v/>
      </c>
      <c r="G1637">
        <f>AND(B1637&gt;=50,B1637&lt;=10000)</f>
        <v/>
      </c>
      <c r="H1637">
        <f>OR(C1637="NAS",C1637="NYS",C1637="ASE")</f>
        <v/>
      </c>
      <c r="I1637">
        <f>F1637&gt;=500000</f>
        <v/>
      </c>
      <c r="J1637">
        <f>E1637&gt;=2</f>
        <v/>
      </c>
      <c r="K1637">
        <f>AND(G1637,H1637,I1637,J1637)</f>
        <v/>
      </c>
    </row>
    <row r="1638">
      <c r="B1638" s="5">
        <f>BDP(A1638&amp;" US Equity","CUR_MKT_CAP")</f>
        <v/>
      </c>
      <c r="C1638">
        <f>BDP(A1638&amp;" US Equity","EXCH_CODE")</f>
        <v/>
      </c>
      <c r="D1638" s="5">
        <f>BDP(A1638&amp;" US Equity","VOLUME_AVG_20D")</f>
        <v/>
      </c>
      <c r="E1638" s="6">
        <f>BDP(A1638&amp;" US Equity","PX_LAST")</f>
        <v/>
      </c>
      <c r="F1638" s="5">
        <f>D1638*E1638</f>
        <v/>
      </c>
      <c r="G1638">
        <f>AND(B1638&gt;=50,B1638&lt;=10000)</f>
        <v/>
      </c>
      <c r="H1638">
        <f>OR(C1638="NAS",C1638="NYS",C1638="ASE")</f>
        <v/>
      </c>
      <c r="I1638">
        <f>F1638&gt;=500000</f>
        <v/>
      </c>
      <c r="J1638">
        <f>E1638&gt;=2</f>
        <v/>
      </c>
      <c r="K1638">
        <f>AND(G1638,H1638,I1638,J1638)</f>
        <v/>
      </c>
    </row>
    <row r="1639">
      <c r="B1639" s="5">
        <f>BDP(A1639&amp;" US Equity","CUR_MKT_CAP")</f>
        <v/>
      </c>
      <c r="C1639">
        <f>BDP(A1639&amp;" US Equity","EXCH_CODE")</f>
        <v/>
      </c>
      <c r="D1639" s="5">
        <f>BDP(A1639&amp;" US Equity","VOLUME_AVG_20D")</f>
        <v/>
      </c>
      <c r="E1639" s="6">
        <f>BDP(A1639&amp;" US Equity","PX_LAST")</f>
        <v/>
      </c>
      <c r="F1639" s="5">
        <f>D1639*E1639</f>
        <v/>
      </c>
      <c r="G1639">
        <f>AND(B1639&gt;=50,B1639&lt;=10000)</f>
        <v/>
      </c>
      <c r="H1639">
        <f>OR(C1639="NAS",C1639="NYS",C1639="ASE")</f>
        <v/>
      </c>
      <c r="I1639">
        <f>F1639&gt;=500000</f>
        <v/>
      </c>
      <c r="J1639">
        <f>E1639&gt;=2</f>
        <v/>
      </c>
      <c r="K1639">
        <f>AND(G1639,H1639,I1639,J1639)</f>
        <v/>
      </c>
    </row>
    <row r="1640">
      <c r="B1640" s="5">
        <f>BDP(A1640&amp;" US Equity","CUR_MKT_CAP")</f>
        <v/>
      </c>
      <c r="C1640">
        <f>BDP(A1640&amp;" US Equity","EXCH_CODE")</f>
        <v/>
      </c>
      <c r="D1640" s="5">
        <f>BDP(A1640&amp;" US Equity","VOLUME_AVG_20D")</f>
        <v/>
      </c>
      <c r="E1640" s="6">
        <f>BDP(A1640&amp;" US Equity","PX_LAST")</f>
        <v/>
      </c>
      <c r="F1640" s="5">
        <f>D1640*E1640</f>
        <v/>
      </c>
      <c r="G1640">
        <f>AND(B1640&gt;=50,B1640&lt;=10000)</f>
        <v/>
      </c>
      <c r="H1640">
        <f>OR(C1640="NAS",C1640="NYS",C1640="ASE")</f>
        <v/>
      </c>
      <c r="I1640">
        <f>F1640&gt;=500000</f>
        <v/>
      </c>
      <c r="J1640">
        <f>E1640&gt;=2</f>
        <v/>
      </c>
      <c r="K1640">
        <f>AND(G1640,H1640,I1640,J1640)</f>
        <v/>
      </c>
    </row>
    <row r="1641">
      <c r="B1641" s="5">
        <f>BDP(A1641&amp;" US Equity","CUR_MKT_CAP")</f>
        <v/>
      </c>
      <c r="C1641">
        <f>BDP(A1641&amp;" US Equity","EXCH_CODE")</f>
        <v/>
      </c>
      <c r="D1641" s="5">
        <f>BDP(A1641&amp;" US Equity","VOLUME_AVG_20D")</f>
        <v/>
      </c>
      <c r="E1641" s="6">
        <f>BDP(A1641&amp;" US Equity","PX_LAST")</f>
        <v/>
      </c>
      <c r="F1641" s="5">
        <f>D1641*E1641</f>
        <v/>
      </c>
      <c r="G1641">
        <f>AND(B1641&gt;=50,B1641&lt;=10000)</f>
        <v/>
      </c>
      <c r="H1641">
        <f>OR(C1641="NAS",C1641="NYS",C1641="ASE")</f>
        <v/>
      </c>
      <c r="I1641">
        <f>F1641&gt;=500000</f>
        <v/>
      </c>
      <c r="J1641">
        <f>E1641&gt;=2</f>
        <v/>
      </c>
      <c r="K1641">
        <f>AND(G1641,H1641,I1641,J1641)</f>
        <v/>
      </c>
    </row>
    <row r="1642">
      <c r="B1642" s="5">
        <f>BDP(A1642&amp;" US Equity","CUR_MKT_CAP")</f>
        <v/>
      </c>
      <c r="C1642">
        <f>BDP(A1642&amp;" US Equity","EXCH_CODE")</f>
        <v/>
      </c>
      <c r="D1642" s="5">
        <f>BDP(A1642&amp;" US Equity","VOLUME_AVG_20D")</f>
        <v/>
      </c>
      <c r="E1642" s="6">
        <f>BDP(A1642&amp;" US Equity","PX_LAST")</f>
        <v/>
      </c>
      <c r="F1642" s="5">
        <f>D1642*E1642</f>
        <v/>
      </c>
      <c r="G1642">
        <f>AND(B1642&gt;=50,B1642&lt;=10000)</f>
        <v/>
      </c>
      <c r="H1642">
        <f>OR(C1642="NAS",C1642="NYS",C1642="ASE")</f>
        <v/>
      </c>
      <c r="I1642">
        <f>F1642&gt;=500000</f>
        <v/>
      </c>
      <c r="J1642">
        <f>E1642&gt;=2</f>
        <v/>
      </c>
      <c r="K1642">
        <f>AND(G1642,H1642,I1642,J1642)</f>
        <v/>
      </c>
    </row>
    <row r="1643">
      <c r="B1643" s="5">
        <f>BDP(A1643&amp;" US Equity","CUR_MKT_CAP")</f>
        <v/>
      </c>
      <c r="C1643">
        <f>BDP(A1643&amp;" US Equity","EXCH_CODE")</f>
        <v/>
      </c>
      <c r="D1643" s="5">
        <f>BDP(A1643&amp;" US Equity","VOLUME_AVG_20D")</f>
        <v/>
      </c>
      <c r="E1643" s="6">
        <f>BDP(A1643&amp;" US Equity","PX_LAST")</f>
        <v/>
      </c>
      <c r="F1643" s="5">
        <f>D1643*E1643</f>
        <v/>
      </c>
      <c r="G1643">
        <f>AND(B1643&gt;=50,B1643&lt;=10000)</f>
        <v/>
      </c>
      <c r="H1643">
        <f>OR(C1643="NAS",C1643="NYS",C1643="ASE")</f>
        <v/>
      </c>
      <c r="I1643">
        <f>F1643&gt;=500000</f>
        <v/>
      </c>
      <c r="J1643">
        <f>E1643&gt;=2</f>
        <v/>
      </c>
      <c r="K1643">
        <f>AND(G1643,H1643,I1643,J1643)</f>
        <v/>
      </c>
    </row>
    <row r="1644">
      <c r="B1644" s="5">
        <f>BDP(A1644&amp;" US Equity","CUR_MKT_CAP")</f>
        <v/>
      </c>
      <c r="C1644">
        <f>BDP(A1644&amp;" US Equity","EXCH_CODE")</f>
        <v/>
      </c>
      <c r="D1644" s="5">
        <f>BDP(A1644&amp;" US Equity","VOLUME_AVG_20D")</f>
        <v/>
      </c>
      <c r="E1644" s="6">
        <f>BDP(A1644&amp;" US Equity","PX_LAST")</f>
        <v/>
      </c>
      <c r="F1644" s="5">
        <f>D1644*E1644</f>
        <v/>
      </c>
      <c r="G1644">
        <f>AND(B1644&gt;=50,B1644&lt;=10000)</f>
        <v/>
      </c>
      <c r="H1644">
        <f>OR(C1644="NAS",C1644="NYS",C1644="ASE")</f>
        <v/>
      </c>
      <c r="I1644">
        <f>F1644&gt;=500000</f>
        <v/>
      </c>
      <c r="J1644">
        <f>E1644&gt;=2</f>
        <v/>
      </c>
      <c r="K1644">
        <f>AND(G1644,H1644,I1644,J1644)</f>
        <v/>
      </c>
    </row>
    <row r="1645">
      <c r="B1645" s="5">
        <f>BDP(A1645&amp;" US Equity","CUR_MKT_CAP")</f>
        <v/>
      </c>
      <c r="C1645">
        <f>BDP(A1645&amp;" US Equity","EXCH_CODE")</f>
        <v/>
      </c>
      <c r="D1645" s="5">
        <f>BDP(A1645&amp;" US Equity","VOLUME_AVG_20D")</f>
        <v/>
      </c>
      <c r="E1645" s="6">
        <f>BDP(A1645&amp;" US Equity","PX_LAST")</f>
        <v/>
      </c>
      <c r="F1645" s="5">
        <f>D1645*E1645</f>
        <v/>
      </c>
      <c r="G1645">
        <f>AND(B1645&gt;=50,B1645&lt;=10000)</f>
        <v/>
      </c>
      <c r="H1645">
        <f>OR(C1645="NAS",C1645="NYS",C1645="ASE")</f>
        <v/>
      </c>
      <c r="I1645">
        <f>F1645&gt;=500000</f>
        <v/>
      </c>
      <c r="J1645">
        <f>E1645&gt;=2</f>
        <v/>
      </c>
      <c r="K1645">
        <f>AND(G1645,H1645,I1645,J1645)</f>
        <v/>
      </c>
    </row>
    <row r="1646">
      <c r="B1646" s="5">
        <f>BDP(A1646&amp;" US Equity","CUR_MKT_CAP")</f>
        <v/>
      </c>
      <c r="C1646">
        <f>BDP(A1646&amp;" US Equity","EXCH_CODE")</f>
        <v/>
      </c>
      <c r="D1646" s="5">
        <f>BDP(A1646&amp;" US Equity","VOLUME_AVG_20D")</f>
        <v/>
      </c>
      <c r="E1646" s="6">
        <f>BDP(A1646&amp;" US Equity","PX_LAST")</f>
        <v/>
      </c>
      <c r="F1646" s="5">
        <f>D1646*E1646</f>
        <v/>
      </c>
      <c r="G1646">
        <f>AND(B1646&gt;=50,B1646&lt;=10000)</f>
        <v/>
      </c>
      <c r="H1646">
        <f>OR(C1646="NAS",C1646="NYS",C1646="ASE")</f>
        <v/>
      </c>
      <c r="I1646">
        <f>F1646&gt;=500000</f>
        <v/>
      </c>
      <c r="J1646">
        <f>E1646&gt;=2</f>
        <v/>
      </c>
      <c r="K1646">
        <f>AND(G1646,H1646,I1646,J1646)</f>
        <v/>
      </c>
    </row>
    <row r="1647">
      <c r="B1647" s="5">
        <f>BDP(A1647&amp;" US Equity","CUR_MKT_CAP")</f>
        <v/>
      </c>
      <c r="C1647">
        <f>BDP(A1647&amp;" US Equity","EXCH_CODE")</f>
        <v/>
      </c>
      <c r="D1647" s="5">
        <f>BDP(A1647&amp;" US Equity","VOLUME_AVG_20D")</f>
        <v/>
      </c>
      <c r="E1647" s="6">
        <f>BDP(A1647&amp;" US Equity","PX_LAST")</f>
        <v/>
      </c>
      <c r="F1647" s="5">
        <f>D1647*E1647</f>
        <v/>
      </c>
      <c r="G1647">
        <f>AND(B1647&gt;=50,B1647&lt;=10000)</f>
        <v/>
      </c>
      <c r="H1647">
        <f>OR(C1647="NAS",C1647="NYS",C1647="ASE")</f>
        <v/>
      </c>
      <c r="I1647">
        <f>F1647&gt;=500000</f>
        <v/>
      </c>
      <c r="J1647">
        <f>E1647&gt;=2</f>
        <v/>
      </c>
      <c r="K1647">
        <f>AND(G1647,H1647,I1647,J1647)</f>
        <v/>
      </c>
    </row>
    <row r="1648">
      <c r="B1648" s="5">
        <f>BDP(A1648&amp;" US Equity","CUR_MKT_CAP")</f>
        <v/>
      </c>
      <c r="C1648">
        <f>BDP(A1648&amp;" US Equity","EXCH_CODE")</f>
        <v/>
      </c>
      <c r="D1648" s="5">
        <f>BDP(A1648&amp;" US Equity","VOLUME_AVG_20D")</f>
        <v/>
      </c>
      <c r="E1648" s="6">
        <f>BDP(A1648&amp;" US Equity","PX_LAST")</f>
        <v/>
      </c>
      <c r="F1648" s="5">
        <f>D1648*E1648</f>
        <v/>
      </c>
      <c r="G1648">
        <f>AND(B1648&gt;=50,B1648&lt;=10000)</f>
        <v/>
      </c>
      <c r="H1648">
        <f>OR(C1648="NAS",C1648="NYS",C1648="ASE")</f>
        <v/>
      </c>
      <c r="I1648">
        <f>F1648&gt;=500000</f>
        <v/>
      </c>
      <c r="J1648">
        <f>E1648&gt;=2</f>
        <v/>
      </c>
      <c r="K1648">
        <f>AND(G1648,H1648,I1648,J1648)</f>
        <v/>
      </c>
    </row>
    <row r="1649">
      <c r="B1649" s="5">
        <f>BDP(A1649&amp;" US Equity","CUR_MKT_CAP")</f>
        <v/>
      </c>
      <c r="C1649">
        <f>BDP(A1649&amp;" US Equity","EXCH_CODE")</f>
        <v/>
      </c>
      <c r="D1649" s="5">
        <f>BDP(A1649&amp;" US Equity","VOLUME_AVG_20D")</f>
        <v/>
      </c>
      <c r="E1649" s="6">
        <f>BDP(A1649&amp;" US Equity","PX_LAST")</f>
        <v/>
      </c>
      <c r="F1649" s="5">
        <f>D1649*E1649</f>
        <v/>
      </c>
      <c r="G1649">
        <f>AND(B1649&gt;=50,B1649&lt;=10000)</f>
        <v/>
      </c>
      <c r="H1649">
        <f>OR(C1649="NAS",C1649="NYS",C1649="ASE")</f>
        <v/>
      </c>
      <c r="I1649">
        <f>F1649&gt;=500000</f>
        <v/>
      </c>
      <c r="J1649">
        <f>E1649&gt;=2</f>
        <v/>
      </c>
      <c r="K1649">
        <f>AND(G1649,H1649,I1649,J1649)</f>
        <v/>
      </c>
    </row>
    <row r="1650">
      <c r="B1650" s="5">
        <f>BDP(A1650&amp;" US Equity","CUR_MKT_CAP")</f>
        <v/>
      </c>
      <c r="C1650">
        <f>BDP(A1650&amp;" US Equity","EXCH_CODE")</f>
        <v/>
      </c>
      <c r="D1650" s="5">
        <f>BDP(A1650&amp;" US Equity","VOLUME_AVG_20D")</f>
        <v/>
      </c>
      <c r="E1650" s="6">
        <f>BDP(A1650&amp;" US Equity","PX_LAST")</f>
        <v/>
      </c>
      <c r="F1650" s="5">
        <f>D1650*E1650</f>
        <v/>
      </c>
      <c r="G1650">
        <f>AND(B1650&gt;=50,B1650&lt;=10000)</f>
        <v/>
      </c>
      <c r="H1650">
        <f>OR(C1650="NAS",C1650="NYS",C1650="ASE")</f>
        <v/>
      </c>
      <c r="I1650">
        <f>F1650&gt;=500000</f>
        <v/>
      </c>
      <c r="J1650">
        <f>E1650&gt;=2</f>
        <v/>
      </c>
      <c r="K1650">
        <f>AND(G1650,H1650,I1650,J1650)</f>
        <v/>
      </c>
    </row>
    <row r="1651">
      <c r="B1651" s="5">
        <f>BDP(A1651&amp;" US Equity","CUR_MKT_CAP")</f>
        <v/>
      </c>
      <c r="C1651">
        <f>BDP(A1651&amp;" US Equity","EXCH_CODE")</f>
        <v/>
      </c>
      <c r="D1651" s="5">
        <f>BDP(A1651&amp;" US Equity","VOLUME_AVG_20D")</f>
        <v/>
      </c>
      <c r="E1651" s="6">
        <f>BDP(A1651&amp;" US Equity","PX_LAST")</f>
        <v/>
      </c>
      <c r="F1651" s="5">
        <f>D1651*E1651</f>
        <v/>
      </c>
      <c r="G1651">
        <f>AND(B1651&gt;=50,B1651&lt;=10000)</f>
        <v/>
      </c>
      <c r="H1651">
        <f>OR(C1651="NAS",C1651="NYS",C1651="ASE")</f>
        <v/>
      </c>
      <c r="I1651">
        <f>F1651&gt;=500000</f>
        <v/>
      </c>
      <c r="J1651">
        <f>E1651&gt;=2</f>
        <v/>
      </c>
      <c r="K1651">
        <f>AND(G1651,H1651,I1651,J1651)</f>
        <v/>
      </c>
    </row>
    <row r="1652">
      <c r="B1652" s="5">
        <f>BDP(A1652&amp;" US Equity","CUR_MKT_CAP")</f>
        <v/>
      </c>
      <c r="C1652">
        <f>BDP(A1652&amp;" US Equity","EXCH_CODE")</f>
        <v/>
      </c>
      <c r="D1652" s="5">
        <f>BDP(A1652&amp;" US Equity","VOLUME_AVG_20D")</f>
        <v/>
      </c>
      <c r="E1652" s="6">
        <f>BDP(A1652&amp;" US Equity","PX_LAST")</f>
        <v/>
      </c>
      <c r="F1652" s="5">
        <f>D1652*E1652</f>
        <v/>
      </c>
      <c r="G1652">
        <f>AND(B1652&gt;=50,B1652&lt;=10000)</f>
        <v/>
      </c>
      <c r="H1652">
        <f>OR(C1652="NAS",C1652="NYS",C1652="ASE")</f>
        <v/>
      </c>
      <c r="I1652">
        <f>F1652&gt;=500000</f>
        <v/>
      </c>
      <c r="J1652">
        <f>E1652&gt;=2</f>
        <v/>
      </c>
      <c r="K1652">
        <f>AND(G1652,H1652,I1652,J1652)</f>
        <v/>
      </c>
    </row>
    <row r="1653">
      <c r="B1653" s="5">
        <f>BDP(A1653&amp;" US Equity","CUR_MKT_CAP")</f>
        <v/>
      </c>
      <c r="C1653">
        <f>BDP(A1653&amp;" US Equity","EXCH_CODE")</f>
        <v/>
      </c>
      <c r="D1653" s="5">
        <f>BDP(A1653&amp;" US Equity","VOLUME_AVG_20D")</f>
        <v/>
      </c>
      <c r="E1653" s="6">
        <f>BDP(A1653&amp;" US Equity","PX_LAST")</f>
        <v/>
      </c>
      <c r="F1653" s="5">
        <f>D1653*E1653</f>
        <v/>
      </c>
      <c r="G1653">
        <f>AND(B1653&gt;=50,B1653&lt;=10000)</f>
        <v/>
      </c>
      <c r="H1653">
        <f>OR(C1653="NAS",C1653="NYS",C1653="ASE")</f>
        <v/>
      </c>
      <c r="I1653">
        <f>F1653&gt;=500000</f>
        <v/>
      </c>
      <c r="J1653">
        <f>E1653&gt;=2</f>
        <v/>
      </c>
      <c r="K1653">
        <f>AND(G1653,H1653,I1653,J1653)</f>
        <v/>
      </c>
    </row>
    <row r="1654">
      <c r="B1654" s="5">
        <f>BDP(A1654&amp;" US Equity","CUR_MKT_CAP")</f>
        <v/>
      </c>
      <c r="C1654">
        <f>BDP(A1654&amp;" US Equity","EXCH_CODE")</f>
        <v/>
      </c>
      <c r="D1654" s="5">
        <f>BDP(A1654&amp;" US Equity","VOLUME_AVG_20D")</f>
        <v/>
      </c>
      <c r="E1654" s="6">
        <f>BDP(A1654&amp;" US Equity","PX_LAST")</f>
        <v/>
      </c>
      <c r="F1654" s="5">
        <f>D1654*E1654</f>
        <v/>
      </c>
      <c r="G1654">
        <f>AND(B1654&gt;=50,B1654&lt;=10000)</f>
        <v/>
      </c>
      <c r="H1654">
        <f>OR(C1654="NAS",C1654="NYS",C1654="ASE")</f>
        <v/>
      </c>
      <c r="I1654">
        <f>F1654&gt;=500000</f>
        <v/>
      </c>
      <c r="J1654">
        <f>E1654&gt;=2</f>
        <v/>
      </c>
      <c r="K1654">
        <f>AND(G1654,H1654,I1654,J1654)</f>
        <v/>
      </c>
    </row>
    <row r="1655">
      <c r="B1655" s="5">
        <f>BDP(A1655&amp;" US Equity","CUR_MKT_CAP")</f>
        <v/>
      </c>
      <c r="C1655">
        <f>BDP(A1655&amp;" US Equity","EXCH_CODE")</f>
        <v/>
      </c>
      <c r="D1655" s="5">
        <f>BDP(A1655&amp;" US Equity","VOLUME_AVG_20D")</f>
        <v/>
      </c>
      <c r="E1655" s="6">
        <f>BDP(A1655&amp;" US Equity","PX_LAST")</f>
        <v/>
      </c>
      <c r="F1655" s="5">
        <f>D1655*E1655</f>
        <v/>
      </c>
      <c r="G1655">
        <f>AND(B1655&gt;=50,B1655&lt;=10000)</f>
        <v/>
      </c>
      <c r="H1655">
        <f>OR(C1655="NAS",C1655="NYS",C1655="ASE")</f>
        <v/>
      </c>
      <c r="I1655">
        <f>F1655&gt;=500000</f>
        <v/>
      </c>
      <c r="J1655">
        <f>E1655&gt;=2</f>
        <v/>
      </c>
      <c r="K1655">
        <f>AND(G1655,H1655,I1655,J1655)</f>
        <v/>
      </c>
    </row>
    <row r="1656">
      <c r="B1656" s="5">
        <f>BDP(A1656&amp;" US Equity","CUR_MKT_CAP")</f>
        <v/>
      </c>
      <c r="C1656">
        <f>BDP(A1656&amp;" US Equity","EXCH_CODE")</f>
        <v/>
      </c>
      <c r="D1656" s="5">
        <f>BDP(A1656&amp;" US Equity","VOLUME_AVG_20D")</f>
        <v/>
      </c>
      <c r="E1656" s="6">
        <f>BDP(A1656&amp;" US Equity","PX_LAST")</f>
        <v/>
      </c>
      <c r="F1656" s="5">
        <f>D1656*E1656</f>
        <v/>
      </c>
      <c r="G1656">
        <f>AND(B1656&gt;=50,B1656&lt;=10000)</f>
        <v/>
      </c>
      <c r="H1656">
        <f>OR(C1656="NAS",C1656="NYS",C1656="ASE")</f>
        <v/>
      </c>
      <c r="I1656">
        <f>F1656&gt;=500000</f>
        <v/>
      </c>
      <c r="J1656">
        <f>E1656&gt;=2</f>
        <v/>
      </c>
      <c r="K1656">
        <f>AND(G1656,H1656,I1656,J1656)</f>
        <v/>
      </c>
    </row>
    <row r="1657">
      <c r="B1657" s="5">
        <f>BDP(A1657&amp;" US Equity","CUR_MKT_CAP")</f>
        <v/>
      </c>
      <c r="C1657">
        <f>BDP(A1657&amp;" US Equity","EXCH_CODE")</f>
        <v/>
      </c>
      <c r="D1657" s="5">
        <f>BDP(A1657&amp;" US Equity","VOLUME_AVG_20D")</f>
        <v/>
      </c>
      <c r="E1657" s="6">
        <f>BDP(A1657&amp;" US Equity","PX_LAST")</f>
        <v/>
      </c>
      <c r="F1657" s="5">
        <f>D1657*E1657</f>
        <v/>
      </c>
      <c r="G1657">
        <f>AND(B1657&gt;=50,B1657&lt;=10000)</f>
        <v/>
      </c>
      <c r="H1657">
        <f>OR(C1657="NAS",C1657="NYS",C1657="ASE")</f>
        <v/>
      </c>
      <c r="I1657">
        <f>F1657&gt;=500000</f>
        <v/>
      </c>
      <c r="J1657">
        <f>E1657&gt;=2</f>
        <v/>
      </c>
      <c r="K1657">
        <f>AND(G1657,H1657,I1657,J1657)</f>
        <v/>
      </c>
    </row>
    <row r="1658">
      <c r="B1658" s="5">
        <f>BDP(A1658&amp;" US Equity","CUR_MKT_CAP")</f>
        <v/>
      </c>
      <c r="C1658">
        <f>BDP(A1658&amp;" US Equity","EXCH_CODE")</f>
        <v/>
      </c>
      <c r="D1658" s="5">
        <f>BDP(A1658&amp;" US Equity","VOLUME_AVG_20D")</f>
        <v/>
      </c>
      <c r="E1658" s="6">
        <f>BDP(A1658&amp;" US Equity","PX_LAST")</f>
        <v/>
      </c>
      <c r="F1658" s="5">
        <f>D1658*E1658</f>
        <v/>
      </c>
      <c r="G1658">
        <f>AND(B1658&gt;=50,B1658&lt;=10000)</f>
        <v/>
      </c>
      <c r="H1658">
        <f>OR(C1658="NAS",C1658="NYS",C1658="ASE")</f>
        <v/>
      </c>
      <c r="I1658">
        <f>F1658&gt;=500000</f>
        <v/>
      </c>
      <c r="J1658">
        <f>E1658&gt;=2</f>
        <v/>
      </c>
      <c r="K1658">
        <f>AND(G1658,H1658,I1658,J1658)</f>
        <v/>
      </c>
    </row>
    <row r="1659">
      <c r="B1659" s="5">
        <f>BDP(A1659&amp;" US Equity","CUR_MKT_CAP")</f>
        <v/>
      </c>
      <c r="C1659">
        <f>BDP(A1659&amp;" US Equity","EXCH_CODE")</f>
        <v/>
      </c>
      <c r="D1659" s="5">
        <f>BDP(A1659&amp;" US Equity","VOLUME_AVG_20D")</f>
        <v/>
      </c>
      <c r="E1659" s="6">
        <f>BDP(A1659&amp;" US Equity","PX_LAST")</f>
        <v/>
      </c>
      <c r="F1659" s="5">
        <f>D1659*E1659</f>
        <v/>
      </c>
      <c r="G1659">
        <f>AND(B1659&gt;=50,B1659&lt;=10000)</f>
        <v/>
      </c>
      <c r="H1659">
        <f>OR(C1659="NAS",C1659="NYS",C1659="ASE")</f>
        <v/>
      </c>
      <c r="I1659">
        <f>F1659&gt;=500000</f>
        <v/>
      </c>
      <c r="J1659">
        <f>E1659&gt;=2</f>
        <v/>
      </c>
      <c r="K1659">
        <f>AND(G1659,H1659,I1659,J1659)</f>
        <v/>
      </c>
    </row>
    <row r="1660">
      <c r="B1660" s="5">
        <f>BDP(A1660&amp;" US Equity","CUR_MKT_CAP")</f>
        <v/>
      </c>
      <c r="C1660">
        <f>BDP(A1660&amp;" US Equity","EXCH_CODE")</f>
        <v/>
      </c>
      <c r="D1660" s="5">
        <f>BDP(A1660&amp;" US Equity","VOLUME_AVG_20D")</f>
        <v/>
      </c>
      <c r="E1660" s="6">
        <f>BDP(A1660&amp;" US Equity","PX_LAST")</f>
        <v/>
      </c>
      <c r="F1660" s="5">
        <f>D1660*E1660</f>
        <v/>
      </c>
      <c r="G1660">
        <f>AND(B1660&gt;=50,B1660&lt;=10000)</f>
        <v/>
      </c>
      <c r="H1660">
        <f>OR(C1660="NAS",C1660="NYS",C1660="ASE")</f>
        <v/>
      </c>
      <c r="I1660">
        <f>F1660&gt;=500000</f>
        <v/>
      </c>
      <c r="J1660">
        <f>E1660&gt;=2</f>
        <v/>
      </c>
      <c r="K1660">
        <f>AND(G1660,H1660,I1660,J1660)</f>
        <v/>
      </c>
    </row>
    <row r="1661">
      <c r="B1661" s="5">
        <f>BDP(A1661&amp;" US Equity","CUR_MKT_CAP")</f>
        <v/>
      </c>
      <c r="C1661">
        <f>BDP(A1661&amp;" US Equity","EXCH_CODE")</f>
        <v/>
      </c>
      <c r="D1661" s="5">
        <f>BDP(A1661&amp;" US Equity","VOLUME_AVG_20D")</f>
        <v/>
      </c>
      <c r="E1661" s="6">
        <f>BDP(A1661&amp;" US Equity","PX_LAST")</f>
        <v/>
      </c>
      <c r="F1661" s="5">
        <f>D1661*E1661</f>
        <v/>
      </c>
      <c r="G1661">
        <f>AND(B1661&gt;=50,B1661&lt;=10000)</f>
        <v/>
      </c>
      <c r="H1661">
        <f>OR(C1661="NAS",C1661="NYS",C1661="ASE")</f>
        <v/>
      </c>
      <c r="I1661">
        <f>F1661&gt;=500000</f>
        <v/>
      </c>
      <c r="J1661">
        <f>E1661&gt;=2</f>
        <v/>
      </c>
      <c r="K1661">
        <f>AND(G1661,H1661,I1661,J1661)</f>
        <v/>
      </c>
    </row>
    <row r="1662">
      <c r="B1662" s="5">
        <f>BDP(A1662&amp;" US Equity","CUR_MKT_CAP")</f>
        <v/>
      </c>
      <c r="C1662">
        <f>BDP(A1662&amp;" US Equity","EXCH_CODE")</f>
        <v/>
      </c>
      <c r="D1662" s="5">
        <f>BDP(A1662&amp;" US Equity","VOLUME_AVG_20D")</f>
        <v/>
      </c>
      <c r="E1662" s="6">
        <f>BDP(A1662&amp;" US Equity","PX_LAST")</f>
        <v/>
      </c>
      <c r="F1662" s="5">
        <f>D1662*E1662</f>
        <v/>
      </c>
      <c r="G1662">
        <f>AND(B1662&gt;=50,B1662&lt;=10000)</f>
        <v/>
      </c>
      <c r="H1662">
        <f>OR(C1662="NAS",C1662="NYS",C1662="ASE")</f>
        <v/>
      </c>
      <c r="I1662">
        <f>F1662&gt;=500000</f>
        <v/>
      </c>
      <c r="J1662">
        <f>E1662&gt;=2</f>
        <v/>
      </c>
      <c r="K1662">
        <f>AND(G1662,H1662,I1662,J1662)</f>
        <v/>
      </c>
    </row>
    <row r="1663">
      <c r="B1663" s="5">
        <f>BDP(A1663&amp;" US Equity","CUR_MKT_CAP")</f>
        <v/>
      </c>
      <c r="C1663">
        <f>BDP(A1663&amp;" US Equity","EXCH_CODE")</f>
        <v/>
      </c>
      <c r="D1663" s="5">
        <f>BDP(A1663&amp;" US Equity","VOLUME_AVG_20D")</f>
        <v/>
      </c>
      <c r="E1663" s="6">
        <f>BDP(A1663&amp;" US Equity","PX_LAST")</f>
        <v/>
      </c>
      <c r="F1663" s="5">
        <f>D1663*E1663</f>
        <v/>
      </c>
      <c r="G1663">
        <f>AND(B1663&gt;=50,B1663&lt;=10000)</f>
        <v/>
      </c>
      <c r="H1663">
        <f>OR(C1663="NAS",C1663="NYS",C1663="ASE")</f>
        <v/>
      </c>
      <c r="I1663">
        <f>F1663&gt;=500000</f>
        <v/>
      </c>
      <c r="J1663">
        <f>E1663&gt;=2</f>
        <v/>
      </c>
      <c r="K1663">
        <f>AND(G1663,H1663,I1663,J1663)</f>
        <v/>
      </c>
    </row>
    <row r="1664">
      <c r="B1664" s="5">
        <f>BDP(A1664&amp;" US Equity","CUR_MKT_CAP")</f>
        <v/>
      </c>
      <c r="C1664">
        <f>BDP(A1664&amp;" US Equity","EXCH_CODE")</f>
        <v/>
      </c>
      <c r="D1664" s="5">
        <f>BDP(A1664&amp;" US Equity","VOLUME_AVG_20D")</f>
        <v/>
      </c>
      <c r="E1664" s="6">
        <f>BDP(A1664&amp;" US Equity","PX_LAST")</f>
        <v/>
      </c>
      <c r="F1664" s="5">
        <f>D1664*E1664</f>
        <v/>
      </c>
      <c r="G1664">
        <f>AND(B1664&gt;=50,B1664&lt;=10000)</f>
        <v/>
      </c>
      <c r="H1664">
        <f>OR(C1664="NAS",C1664="NYS",C1664="ASE")</f>
        <v/>
      </c>
      <c r="I1664">
        <f>F1664&gt;=500000</f>
        <v/>
      </c>
      <c r="J1664">
        <f>E1664&gt;=2</f>
        <v/>
      </c>
      <c r="K1664">
        <f>AND(G1664,H1664,I1664,J1664)</f>
        <v/>
      </c>
    </row>
    <row r="1665">
      <c r="B1665" s="5">
        <f>BDP(A1665&amp;" US Equity","CUR_MKT_CAP")</f>
        <v/>
      </c>
      <c r="C1665">
        <f>BDP(A1665&amp;" US Equity","EXCH_CODE")</f>
        <v/>
      </c>
      <c r="D1665" s="5">
        <f>BDP(A1665&amp;" US Equity","VOLUME_AVG_20D")</f>
        <v/>
      </c>
      <c r="E1665" s="6">
        <f>BDP(A1665&amp;" US Equity","PX_LAST")</f>
        <v/>
      </c>
      <c r="F1665" s="5">
        <f>D1665*E1665</f>
        <v/>
      </c>
      <c r="G1665">
        <f>AND(B1665&gt;=50,B1665&lt;=10000)</f>
        <v/>
      </c>
      <c r="H1665">
        <f>OR(C1665="NAS",C1665="NYS",C1665="ASE")</f>
        <v/>
      </c>
      <c r="I1665">
        <f>F1665&gt;=500000</f>
        <v/>
      </c>
      <c r="J1665">
        <f>E1665&gt;=2</f>
        <v/>
      </c>
      <c r="K1665">
        <f>AND(G1665,H1665,I1665,J1665)</f>
        <v/>
      </c>
    </row>
    <row r="1666">
      <c r="B1666" s="5">
        <f>BDP(A1666&amp;" US Equity","CUR_MKT_CAP")</f>
        <v/>
      </c>
      <c r="C1666">
        <f>BDP(A1666&amp;" US Equity","EXCH_CODE")</f>
        <v/>
      </c>
      <c r="D1666" s="5">
        <f>BDP(A1666&amp;" US Equity","VOLUME_AVG_20D")</f>
        <v/>
      </c>
      <c r="E1666" s="6">
        <f>BDP(A1666&amp;" US Equity","PX_LAST")</f>
        <v/>
      </c>
      <c r="F1666" s="5">
        <f>D1666*E1666</f>
        <v/>
      </c>
      <c r="G1666">
        <f>AND(B1666&gt;=50,B1666&lt;=10000)</f>
        <v/>
      </c>
      <c r="H1666">
        <f>OR(C1666="NAS",C1666="NYS",C1666="ASE")</f>
        <v/>
      </c>
      <c r="I1666">
        <f>F1666&gt;=500000</f>
        <v/>
      </c>
      <c r="J1666">
        <f>E1666&gt;=2</f>
        <v/>
      </c>
      <c r="K1666">
        <f>AND(G1666,H1666,I1666,J1666)</f>
        <v/>
      </c>
    </row>
    <row r="1667">
      <c r="B1667" s="5">
        <f>BDP(A1667&amp;" US Equity","CUR_MKT_CAP")</f>
        <v/>
      </c>
      <c r="C1667">
        <f>BDP(A1667&amp;" US Equity","EXCH_CODE")</f>
        <v/>
      </c>
      <c r="D1667" s="5">
        <f>BDP(A1667&amp;" US Equity","VOLUME_AVG_20D")</f>
        <v/>
      </c>
      <c r="E1667" s="6">
        <f>BDP(A1667&amp;" US Equity","PX_LAST")</f>
        <v/>
      </c>
      <c r="F1667" s="5">
        <f>D1667*E1667</f>
        <v/>
      </c>
      <c r="G1667">
        <f>AND(B1667&gt;=50,B1667&lt;=10000)</f>
        <v/>
      </c>
      <c r="H1667">
        <f>OR(C1667="NAS",C1667="NYS",C1667="ASE")</f>
        <v/>
      </c>
      <c r="I1667">
        <f>F1667&gt;=500000</f>
        <v/>
      </c>
      <c r="J1667">
        <f>E1667&gt;=2</f>
        <v/>
      </c>
      <c r="K1667">
        <f>AND(G1667,H1667,I1667,J1667)</f>
        <v/>
      </c>
    </row>
    <row r="1668">
      <c r="B1668" s="5">
        <f>BDP(A1668&amp;" US Equity","CUR_MKT_CAP")</f>
        <v/>
      </c>
      <c r="C1668">
        <f>BDP(A1668&amp;" US Equity","EXCH_CODE")</f>
        <v/>
      </c>
      <c r="D1668" s="5">
        <f>BDP(A1668&amp;" US Equity","VOLUME_AVG_20D")</f>
        <v/>
      </c>
      <c r="E1668" s="6">
        <f>BDP(A1668&amp;" US Equity","PX_LAST")</f>
        <v/>
      </c>
      <c r="F1668" s="5">
        <f>D1668*E1668</f>
        <v/>
      </c>
      <c r="G1668">
        <f>AND(B1668&gt;=50,B1668&lt;=10000)</f>
        <v/>
      </c>
      <c r="H1668">
        <f>OR(C1668="NAS",C1668="NYS",C1668="ASE")</f>
        <v/>
      </c>
      <c r="I1668">
        <f>F1668&gt;=500000</f>
        <v/>
      </c>
      <c r="J1668">
        <f>E1668&gt;=2</f>
        <v/>
      </c>
      <c r="K1668">
        <f>AND(G1668,H1668,I1668,J1668)</f>
        <v/>
      </c>
    </row>
    <row r="1669">
      <c r="B1669" s="5">
        <f>BDP(A1669&amp;" US Equity","CUR_MKT_CAP")</f>
        <v/>
      </c>
      <c r="C1669">
        <f>BDP(A1669&amp;" US Equity","EXCH_CODE")</f>
        <v/>
      </c>
      <c r="D1669" s="5">
        <f>BDP(A1669&amp;" US Equity","VOLUME_AVG_20D")</f>
        <v/>
      </c>
      <c r="E1669" s="6">
        <f>BDP(A1669&amp;" US Equity","PX_LAST")</f>
        <v/>
      </c>
      <c r="F1669" s="5">
        <f>D1669*E1669</f>
        <v/>
      </c>
      <c r="G1669">
        <f>AND(B1669&gt;=50,B1669&lt;=10000)</f>
        <v/>
      </c>
      <c r="H1669">
        <f>OR(C1669="NAS",C1669="NYS",C1669="ASE")</f>
        <v/>
      </c>
      <c r="I1669">
        <f>F1669&gt;=500000</f>
        <v/>
      </c>
      <c r="J1669">
        <f>E1669&gt;=2</f>
        <v/>
      </c>
      <c r="K1669">
        <f>AND(G1669,H1669,I1669,J1669)</f>
        <v/>
      </c>
    </row>
    <row r="1670">
      <c r="B1670" s="5">
        <f>BDP(A1670&amp;" US Equity","CUR_MKT_CAP")</f>
        <v/>
      </c>
      <c r="C1670">
        <f>BDP(A1670&amp;" US Equity","EXCH_CODE")</f>
        <v/>
      </c>
      <c r="D1670" s="5">
        <f>BDP(A1670&amp;" US Equity","VOLUME_AVG_20D")</f>
        <v/>
      </c>
      <c r="E1670" s="6">
        <f>BDP(A1670&amp;" US Equity","PX_LAST")</f>
        <v/>
      </c>
      <c r="F1670" s="5">
        <f>D1670*E1670</f>
        <v/>
      </c>
      <c r="G1670">
        <f>AND(B1670&gt;=50,B1670&lt;=10000)</f>
        <v/>
      </c>
      <c r="H1670">
        <f>OR(C1670="NAS",C1670="NYS",C1670="ASE")</f>
        <v/>
      </c>
      <c r="I1670">
        <f>F1670&gt;=500000</f>
        <v/>
      </c>
      <c r="J1670">
        <f>E1670&gt;=2</f>
        <v/>
      </c>
      <c r="K1670">
        <f>AND(G1670,H1670,I1670,J1670)</f>
        <v/>
      </c>
    </row>
    <row r="1671">
      <c r="B1671" s="5">
        <f>BDP(A1671&amp;" US Equity","CUR_MKT_CAP")</f>
        <v/>
      </c>
      <c r="C1671">
        <f>BDP(A1671&amp;" US Equity","EXCH_CODE")</f>
        <v/>
      </c>
      <c r="D1671" s="5">
        <f>BDP(A1671&amp;" US Equity","VOLUME_AVG_20D")</f>
        <v/>
      </c>
      <c r="E1671" s="6">
        <f>BDP(A1671&amp;" US Equity","PX_LAST")</f>
        <v/>
      </c>
      <c r="F1671" s="5">
        <f>D1671*E1671</f>
        <v/>
      </c>
      <c r="G1671">
        <f>AND(B1671&gt;=50,B1671&lt;=10000)</f>
        <v/>
      </c>
      <c r="H1671">
        <f>OR(C1671="NAS",C1671="NYS",C1671="ASE")</f>
        <v/>
      </c>
      <c r="I1671">
        <f>F1671&gt;=500000</f>
        <v/>
      </c>
      <c r="J1671">
        <f>E1671&gt;=2</f>
        <v/>
      </c>
      <c r="K1671">
        <f>AND(G1671,H1671,I1671,J1671)</f>
        <v/>
      </c>
    </row>
    <row r="1672">
      <c r="B1672" s="5">
        <f>BDP(A1672&amp;" US Equity","CUR_MKT_CAP")</f>
        <v/>
      </c>
      <c r="C1672">
        <f>BDP(A1672&amp;" US Equity","EXCH_CODE")</f>
        <v/>
      </c>
      <c r="D1672" s="5">
        <f>BDP(A1672&amp;" US Equity","VOLUME_AVG_20D")</f>
        <v/>
      </c>
      <c r="E1672" s="6">
        <f>BDP(A1672&amp;" US Equity","PX_LAST")</f>
        <v/>
      </c>
      <c r="F1672" s="5">
        <f>D1672*E1672</f>
        <v/>
      </c>
      <c r="G1672">
        <f>AND(B1672&gt;=50,B1672&lt;=10000)</f>
        <v/>
      </c>
      <c r="H1672">
        <f>OR(C1672="NAS",C1672="NYS",C1672="ASE")</f>
        <v/>
      </c>
      <c r="I1672">
        <f>F1672&gt;=500000</f>
        <v/>
      </c>
      <c r="J1672">
        <f>E1672&gt;=2</f>
        <v/>
      </c>
      <c r="K1672">
        <f>AND(G1672,H1672,I1672,J1672)</f>
        <v/>
      </c>
    </row>
    <row r="1673">
      <c r="B1673" s="5">
        <f>BDP(A1673&amp;" US Equity","CUR_MKT_CAP")</f>
        <v/>
      </c>
      <c r="C1673">
        <f>BDP(A1673&amp;" US Equity","EXCH_CODE")</f>
        <v/>
      </c>
      <c r="D1673" s="5">
        <f>BDP(A1673&amp;" US Equity","VOLUME_AVG_20D")</f>
        <v/>
      </c>
      <c r="E1673" s="6">
        <f>BDP(A1673&amp;" US Equity","PX_LAST")</f>
        <v/>
      </c>
      <c r="F1673" s="5">
        <f>D1673*E1673</f>
        <v/>
      </c>
      <c r="G1673">
        <f>AND(B1673&gt;=50,B1673&lt;=10000)</f>
        <v/>
      </c>
      <c r="H1673">
        <f>OR(C1673="NAS",C1673="NYS",C1673="ASE")</f>
        <v/>
      </c>
      <c r="I1673">
        <f>F1673&gt;=500000</f>
        <v/>
      </c>
      <c r="J1673">
        <f>E1673&gt;=2</f>
        <v/>
      </c>
      <c r="K1673">
        <f>AND(G1673,H1673,I1673,J1673)</f>
        <v/>
      </c>
    </row>
    <row r="1674">
      <c r="B1674" s="5">
        <f>BDP(A1674&amp;" US Equity","CUR_MKT_CAP")</f>
        <v/>
      </c>
      <c r="C1674">
        <f>BDP(A1674&amp;" US Equity","EXCH_CODE")</f>
        <v/>
      </c>
      <c r="D1674" s="5">
        <f>BDP(A1674&amp;" US Equity","VOLUME_AVG_20D")</f>
        <v/>
      </c>
      <c r="E1674" s="6">
        <f>BDP(A1674&amp;" US Equity","PX_LAST")</f>
        <v/>
      </c>
      <c r="F1674" s="5">
        <f>D1674*E1674</f>
        <v/>
      </c>
      <c r="G1674">
        <f>AND(B1674&gt;=50,B1674&lt;=10000)</f>
        <v/>
      </c>
      <c r="H1674">
        <f>OR(C1674="NAS",C1674="NYS",C1674="ASE")</f>
        <v/>
      </c>
      <c r="I1674">
        <f>F1674&gt;=500000</f>
        <v/>
      </c>
      <c r="J1674">
        <f>E1674&gt;=2</f>
        <v/>
      </c>
      <c r="K1674">
        <f>AND(G1674,H1674,I1674,J1674)</f>
        <v/>
      </c>
    </row>
    <row r="1675">
      <c r="B1675" s="5">
        <f>BDP(A1675&amp;" US Equity","CUR_MKT_CAP")</f>
        <v/>
      </c>
      <c r="C1675">
        <f>BDP(A1675&amp;" US Equity","EXCH_CODE")</f>
        <v/>
      </c>
      <c r="D1675" s="5">
        <f>BDP(A1675&amp;" US Equity","VOLUME_AVG_20D")</f>
        <v/>
      </c>
      <c r="E1675" s="6">
        <f>BDP(A1675&amp;" US Equity","PX_LAST")</f>
        <v/>
      </c>
      <c r="F1675" s="5">
        <f>D1675*E1675</f>
        <v/>
      </c>
      <c r="G1675">
        <f>AND(B1675&gt;=50,B1675&lt;=10000)</f>
        <v/>
      </c>
      <c r="H1675">
        <f>OR(C1675="NAS",C1675="NYS",C1675="ASE")</f>
        <v/>
      </c>
      <c r="I1675">
        <f>F1675&gt;=500000</f>
        <v/>
      </c>
      <c r="J1675">
        <f>E1675&gt;=2</f>
        <v/>
      </c>
      <c r="K1675">
        <f>AND(G1675,H1675,I1675,J1675)</f>
        <v/>
      </c>
    </row>
    <row r="1676">
      <c r="B1676" s="5">
        <f>BDP(A1676&amp;" US Equity","CUR_MKT_CAP")</f>
        <v/>
      </c>
      <c r="C1676">
        <f>BDP(A1676&amp;" US Equity","EXCH_CODE")</f>
        <v/>
      </c>
      <c r="D1676" s="5">
        <f>BDP(A1676&amp;" US Equity","VOLUME_AVG_20D")</f>
        <v/>
      </c>
      <c r="E1676" s="6">
        <f>BDP(A1676&amp;" US Equity","PX_LAST")</f>
        <v/>
      </c>
      <c r="F1676" s="5">
        <f>D1676*E1676</f>
        <v/>
      </c>
      <c r="G1676">
        <f>AND(B1676&gt;=50,B1676&lt;=10000)</f>
        <v/>
      </c>
      <c r="H1676">
        <f>OR(C1676="NAS",C1676="NYS",C1676="ASE")</f>
        <v/>
      </c>
      <c r="I1676">
        <f>F1676&gt;=500000</f>
        <v/>
      </c>
      <c r="J1676">
        <f>E1676&gt;=2</f>
        <v/>
      </c>
      <c r="K1676">
        <f>AND(G1676,H1676,I1676,J1676)</f>
        <v/>
      </c>
    </row>
    <row r="1677">
      <c r="B1677" s="5">
        <f>BDP(A1677&amp;" US Equity","CUR_MKT_CAP")</f>
        <v/>
      </c>
      <c r="C1677">
        <f>BDP(A1677&amp;" US Equity","EXCH_CODE")</f>
        <v/>
      </c>
      <c r="D1677" s="5">
        <f>BDP(A1677&amp;" US Equity","VOLUME_AVG_20D")</f>
        <v/>
      </c>
      <c r="E1677" s="6">
        <f>BDP(A1677&amp;" US Equity","PX_LAST")</f>
        <v/>
      </c>
      <c r="F1677" s="5">
        <f>D1677*E1677</f>
        <v/>
      </c>
      <c r="G1677">
        <f>AND(B1677&gt;=50,B1677&lt;=10000)</f>
        <v/>
      </c>
      <c r="H1677">
        <f>OR(C1677="NAS",C1677="NYS",C1677="ASE")</f>
        <v/>
      </c>
      <c r="I1677">
        <f>F1677&gt;=500000</f>
        <v/>
      </c>
      <c r="J1677">
        <f>E1677&gt;=2</f>
        <v/>
      </c>
      <c r="K1677">
        <f>AND(G1677,H1677,I1677,J1677)</f>
        <v/>
      </c>
    </row>
    <row r="1678">
      <c r="B1678" s="5">
        <f>BDP(A1678&amp;" US Equity","CUR_MKT_CAP")</f>
        <v/>
      </c>
      <c r="C1678">
        <f>BDP(A1678&amp;" US Equity","EXCH_CODE")</f>
        <v/>
      </c>
      <c r="D1678" s="5">
        <f>BDP(A1678&amp;" US Equity","VOLUME_AVG_20D")</f>
        <v/>
      </c>
      <c r="E1678" s="6">
        <f>BDP(A1678&amp;" US Equity","PX_LAST")</f>
        <v/>
      </c>
      <c r="F1678" s="5">
        <f>D1678*E1678</f>
        <v/>
      </c>
      <c r="G1678">
        <f>AND(B1678&gt;=50,B1678&lt;=10000)</f>
        <v/>
      </c>
      <c r="H1678">
        <f>OR(C1678="NAS",C1678="NYS",C1678="ASE")</f>
        <v/>
      </c>
      <c r="I1678">
        <f>F1678&gt;=500000</f>
        <v/>
      </c>
      <c r="J1678">
        <f>E1678&gt;=2</f>
        <v/>
      </c>
      <c r="K1678">
        <f>AND(G1678,H1678,I1678,J1678)</f>
        <v/>
      </c>
    </row>
    <row r="1679">
      <c r="B1679" s="5">
        <f>BDP(A1679&amp;" US Equity","CUR_MKT_CAP")</f>
        <v/>
      </c>
      <c r="C1679">
        <f>BDP(A1679&amp;" US Equity","EXCH_CODE")</f>
        <v/>
      </c>
      <c r="D1679" s="5">
        <f>BDP(A1679&amp;" US Equity","VOLUME_AVG_20D")</f>
        <v/>
      </c>
      <c r="E1679" s="6">
        <f>BDP(A1679&amp;" US Equity","PX_LAST")</f>
        <v/>
      </c>
      <c r="F1679" s="5">
        <f>D1679*E1679</f>
        <v/>
      </c>
      <c r="G1679">
        <f>AND(B1679&gt;=50,B1679&lt;=10000)</f>
        <v/>
      </c>
      <c r="H1679">
        <f>OR(C1679="NAS",C1679="NYS",C1679="ASE")</f>
        <v/>
      </c>
      <c r="I1679">
        <f>F1679&gt;=500000</f>
        <v/>
      </c>
      <c r="J1679">
        <f>E1679&gt;=2</f>
        <v/>
      </c>
      <c r="K1679">
        <f>AND(G1679,H1679,I1679,J1679)</f>
        <v/>
      </c>
    </row>
    <row r="1680">
      <c r="B1680" s="5">
        <f>BDP(A1680&amp;" US Equity","CUR_MKT_CAP")</f>
        <v/>
      </c>
      <c r="C1680">
        <f>BDP(A1680&amp;" US Equity","EXCH_CODE")</f>
        <v/>
      </c>
      <c r="D1680" s="5">
        <f>BDP(A1680&amp;" US Equity","VOLUME_AVG_20D")</f>
        <v/>
      </c>
      <c r="E1680" s="6">
        <f>BDP(A1680&amp;" US Equity","PX_LAST")</f>
        <v/>
      </c>
      <c r="F1680" s="5">
        <f>D1680*E1680</f>
        <v/>
      </c>
      <c r="G1680">
        <f>AND(B1680&gt;=50,B1680&lt;=10000)</f>
        <v/>
      </c>
      <c r="H1680">
        <f>OR(C1680="NAS",C1680="NYS",C1680="ASE")</f>
        <v/>
      </c>
      <c r="I1680">
        <f>F1680&gt;=500000</f>
        <v/>
      </c>
      <c r="J1680">
        <f>E1680&gt;=2</f>
        <v/>
      </c>
      <c r="K1680">
        <f>AND(G1680,H1680,I1680,J1680)</f>
        <v/>
      </c>
    </row>
    <row r="1681">
      <c r="B1681" s="5">
        <f>BDP(A1681&amp;" US Equity","CUR_MKT_CAP")</f>
        <v/>
      </c>
      <c r="C1681">
        <f>BDP(A1681&amp;" US Equity","EXCH_CODE")</f>
        <v/>
      </c>
      <c r="D1681" s="5">
        <f>BDP(A1681&amp;" US Equity","VOLUME_AVG_20D")</f>
        <v/>
      </c>
      <c r="E1681" s="6">
        <f>BDP(A1681&amp;" US Equity","PX_LAST")</f>
        <v/>
      </c>
      <c r="F1681" s="5">
        <f>D1681*E1681</f>
        <v/>
      </c>
      <c r="G1681">
        <f>AND(B1681&gt;=50,B1681&lt;=10000)</f>
        <v/>
      </c>
      <c r="H1681">
        <f>OR(C1681="NAS",C1681="NYS",C1681="ASE")</f>
        <v/>
      </c>
      <c r="I1681">
        <f>F1681&gt;=500000</f>
        <v/>
      </c>
      <c r="J1681">
        <f>E1681&gt;=2</f>
        <v/>
      </c>
      <c r="K1681">
        <f>AND(G1681,H1681,I1681,J1681)</f>
        <v/>
      </c>
    </row>
    <row r="1682">
      <c r="B1682" s="5">
        <f>BDP(A1682&amp;" US Equity","CUR_MKT_CAP")</f>
        <v/>
      </c>
      <c r="C1682">
        <f>BDP(A1682&amp;" US Equity","EXCH_CODE")</f>
        <v/>
      </c>
      <c r="D1682" s="5">
        <f>BDP(A1682&amp;" US Equity","VOLUME_AVG_20D")</f>
        <v/>
      </c>
      <c r="E1682" s="6">
        <f>BDP(A1682&amp;" US Equity","PX_LAST")</f>
        <v/>
      </c>
      <c r="F1682" s="5">
        <f>D1682*E1682</f>
        <v/>
      </c>
      <c r="G1682">
        <f>AND(B1682&gt;=50,B1682&lt;=10000)</f>
        <v/>
      </c>
      <c r="H1682">
        <f>OR(C1682="NAS",C1682="NYS",C1682="ASE")</f>
        <v/>
      </c>
      <c r="I1682">
        <f>F1682&gt;=500000</f>
        <v/>
      </c>
      <c r="J1682">
        <f>E1682&gt;=2</f>
        <v/>
      </c>
      <c r="K1682">
        <f>AND(G1682,H1682,I1682,J1682)</f>
        <v/>
      </c>
    </row>
    <row r="1683">
      <c r="B1683" s="5">
        <f>BDP(A1683&amp;" US Equity","CUR_MKT_CAP")</f>
        <v/>
      </c>
      <c r="C1683">
        <f>BDP(A1683&amp;" US Equity","EXCH_CODE")</f>
        <v/>
      </c>
      <c r="D1683" s="5">
        <f>BDP(A1683&amp;" US Equity","VOLUME_AVG_20D")</f>
        <v/>
      </c>
      <c r="E1683" s="6">
        <f>BDP(A1683&amp;" US Equity","PX_LAST")</f>
        <v/>
      </c>
      <c r="F1683" s="5">
        <f>D1683*E1683</f>
        <v/>
      </c>
      <c r="G1683">
        <f>AND(B1683&gt;=50,B1683&lt;=10000)</f>
        <v/>
      </c>
      <c r="H1683">
        <f>OR(C1683="NAS",C1683="NYS",C1683="ASE")</f>
        <v/>
      </c>
      <c r="I1683">
        <f>F1683&gt;=500000</f>
        <v/>
      </c>
      <c r="J1683">
        <f>E1683&gt;=2</f>
        <v/>
      </c>
      <c r="K1683">
        <f>AND(G1683,H1683,I1683,J1683)</f>
        <v/>
      </c>
    </row>
    <row r="1684">
      <c r="B1684" s="5">
        <f>BDP(A1684&amp;" US Equity","CUR_MKT_CAP")</f>
        <v/>
      </c>
      <c r="C1684">
        <f>BDP(A1684&amp;" US Equity","EXCH_CODE")</f>
        <v/>
      </c>
      <c r="D1684" s="5">
        <f>BDP(A1684&amp;" US Equity","VOLUME_AVG_20D")</f>
        <v/>
      </c>
      <c r="E1684" s="6">
        <f>BDP(A1684&amp;" US Equity","PX_LAST")</f>
        <v/>
      </c>
      <c r="F1684" s="5">
        <f>D1684*E1684</f>
        <v/>
      </c>
      <c r="G1684">
        <f>AND(B1684&gt;=50,B1684&lt;=10000)</f>
        <v/>
      </c>
      <c r="H1684">
        <f>OR(C1684="NAS",C1684="NYS",C1684="ASE")</f>
        <v/>
      </c>
      <c r="I1684">
        <f>F1684&gt;=500000</f>
        <v/>
      </c>
      <c r="J1684">
        <f>E1684&gt;=2</f>
        <v/>
      </c>
      <c r="K1684">
        <f>AND(G1684,H1684,I1684,J1684)</f>
        <v/>
      </c>
    </row>
    <row r="1685">
      <c r="B1685" s="5">
        <f>BDP(A1685&amp;" US Equity","CUR_MKT_CAP")</f>
        <v/>
      </c>
      <c r="C1685">
        <f>BDP(A1685&amp;" US Equity","EXCH_CODE")</f>
        <v/>
      </c>
      <c r="D1685" s="5">
        <f>BDP(A1685&amp;" US Equity","VOLUME_AVG_20D")</f>
        <v/>
      </c>
      <c r="E1685" s="6">
        <f>BDP(A1685&amp;" US Equity","PX_LAST")</f>
        <v/>
      </c>
      <c r="F1685" s="5">
        <f>D1685*E1685</f>
        <v/>
      </c>
      <c r="G1685">
        <f>AND(B1685&gt;=50,B1685&lt;=10000)</f>
        <v/>
      </c>
      <c r="H1685">
        <f>OR(C1685="NAS",C1685="NYS",C1685="ASE")</f>
        <v/>
      </c>
      <c r="I1685">
        <f>F1685&gt;=500000</f>
        <v/>
      </c>
      <c r="J1685">
        <f>E1685&gt;=2</f>
        <v/>
      </c>
      <c r="K1685">
        <f>AND(G1685,H1685,I1685,J1685)</f>
        <v/>
      </c>
    </row>
    <row r="1686">
      <c r="B1686" s="5">
        <f>BDP(A1686&amp;" US Equity","CUR_MKT_CAP")</f>
        <v/>
      </c>
      <c r="C1686">
        <f>BDP(A1686&amp;" US Equity","EXCH_CODE")</f>
        <v/>
      </c>
      <c r="D1686" s="5">
        <f>BDP(A1686&amp;" US Equity","VOLUME_AVG_20D")</f>
        <v/>
      </c>
      <c r="E1686" s="6">
        <f>BDP(A1686&amp;" US Equity","PX_LAST")</f>
        <v/>
      </c>
      <c r="F1686" s="5">
        <f>D1686*E1686</f>
        <v/>
      </c>
      <c r="G1686">
        <f>AND(B1686&gt;=50,B1686&lt;=10000)</f>
        <v/>
      </c>
      <c r="H1686">
        <f>OR(C1686="NAS",C1686="NYS",C1686="ASE")</f>
        <v/>
      </c>
      <c r="I1686">
        <f>F1686&gt;=500000</f>
        <v/>
      </c>
      <c r="J1686">
        <f>E1686&gt;=2</f>
        <v/>
      </c>
      <c r="K1686">
        <f>AND(G1686,H1686,I1686,J1686)</f>
        <v/>
      </c>
    </row>
    <row r="1687">
      <c r="B1687" s="5">
        <f>BDP(A1687&amp;" US Equity","CUR_MKT_CAP")</f>
        <v/>
      </c>
      <c r="C1687">
        <f>BDP(A1687&amp;" US Equity","EXCH_CODE")</f>
        <v/>
      </c>
      <c r="D1687" s="5">
        <f>BDP(A1687&amp;" US Equity","VOLUME_AVG_20D")</f>
        <v/>
      </c>
      <c r="E1687" s="6">
        <f>BDP(A1687&amp;" US Equity","PX_LAST")</f>
        <v/>
      </c>
      <c r="F1687" s="5">
        <f>D1687*E1687</f>
        <v/>
      </c>
      <c r="G1687">
        <f>AND(B1687&gt;=50,B1687&lt;=10000)</f>
        <v/>
      </c>
      <c r="H1687">
        <f>OR(C1687="NAS",C1687="NYS",C1687="ASE")</f>
        <v/>
      </c>
      <c r="I1687">
        <f>F1687&gt;=500000</f>
        <v/>
      </c>
      <c r="J1687">
        <f>E1687&gt;=2</f>
        <v/>
      </c>
      <c r="K1687">
        <f>AND(G1687,H1687,I1687,J1687)</f>
        <v/>
      </c>
    </row>
    <row r="1688">
      <c r="B1688" s="5">
        <f>BDP(A1688&amp;" US Equity","CUR_MKT_CAP")</f>
        <v/>
      </c>
      <c r="C1688">
        <f>BDP(A1688&amp;" US Equity","EXCH_CODE")</f>
        <v/>
      </c>
      <c r="D1688" s="5">
        <f>BDP(A1688&amp;" US Equity","VOLUME_AVG_20D")</f>
        <v/>
      </c>
      <c r="E1688" s="6">
        <f>BDP(A1688&amp;" US Equity","PX_LAST")</f>
        <v/>
      </c>
      <c r="F1688" s="5">
        <f>D1688*E1688</f>
        <v/>
      </c>
      <c r="G1688">
        <f>AND(B1688&gt;=50,B1688&lt;=10000)</f>
        <v/>
      </c>
      <c r="H1688">
        <f>OR(C1688="NAS",C1688="NYS",C1688="ASE")</f>
        <v/>
      </c>
      <c r="I1688">
        <f>F1688&gt;=500000</f>
        <v/>
      </c>
      <c r="J1688">
        <f>E1688&gt;=2</f>
        <v/>
      </c>
      <c r="K1688">
        <f>AND(G1688,H1688,I1688,J1688)</f>
        <v/>
      </c>
    </row>
    <row r="1689">
      <c r="B1689" s="5">
        <f>BDP(A1689&amp;" US Equity","CUR_MKT_CAP")</f>
        <v/>
      </c>
      <c r="C1689">
        <f>BDP(A1689&amp;" US Equity","EXCH_CODE")</f>
        <v/>
      </c>
      <c r="D1689" s="5">
        <f>BDP(A1689&amp;" US Equity","VOLUME_AVG_20D")</f>
        <v/>
      </c>
      <c r="E1689" s="6">
        <f>BDP(A1689&amp;" US Equity","PX_LAST")</f>
        <v/>
      </c>
      <c r="F1689" s="5">
        <f>D1689*E1689</f>
        <v/>
      </c>
      <c r="G1689">
        <f>AND(B1689&gt;=50,B1689&lt;=10000)</f>
        <v/>
      </c>
      <c r="H1689">
        <f>OR(C1689="NAS",C1689="NYS",C1689="ASE")</f>
        <v/>
      </c>
      <c r="I1689">
        <f>F1689&gt;=500000</f>
        <v/>
      </c>
      <c r="J1689">
        <f>E1689&gt;=2</f>
        <v/>
      </c>
      <c r="K1689">
        <f>AND(G1689,H1689,I1689,J1689)</f>
        <v/>
      </c>
    </row>
    <row r="1690">
      <c r="B1690" s="5">
        <f>BDP(A1690&amp;" US Equity","CUR_MKT_CAP")</f>
        <v/>
      </c>
      <c r="C1690">
        <f>BDP(A1690&amp;" US Equity","EXCH_CODE")</f>
        <v/>
      </c>
      <c r="D1690" s="5">
        <f>BDP(A1690&amp;" US Equity","VOLUME_AVG_20D")</f>
        <v/>
      </c>
      <c r="E1690" s="6">
        <f>BDP(A1690&amp;" US Equity","PX_LAST")</f>
        <v/>
      </c>
      <c r="F1690" s="5">
        <f>D1690*E1690</f>
        <v/>
      </c>
      <c r="G1690">
        <f>AND(B1690&gt;=50,B1690&lt;=10000)</f>
        <v/>
      </c>
      <c r="H1690">
        <f>OR(C1690="NAS",C1690="NYS",C1690="ASE")</f>
        <v/>
      </c>
      <c r="I1690">
        <f>F1690&gt;=500000</f>
        <v/>
      </c>
      <c r="J1690">
        <f>E1690&gt;=2</f>
        <v/>
      </c>
      <c r="K1690">
        <f>AND(G1690,H1690,I1690,J1690)</f>
        <v/>
      </c>
    </row>
    <row r="1691">
      <c r="B1691" s="5">
        <f>BDP(A1691&amp;" US Equity","CUR_MKT_CAP")</f>
        <v/>
      </c>
      <c r="C1691">
        <f>BDP(A1691&amp;" US Equity","EXCH_CODE")</f>
        <v/>
      </c>
      <c r="D1691" s="5">
        <f>BDP(A1691&amp;" US Equity","VOLUME_AVG_20D")</f>
        <v/>
      </c>
      <c r="E1691" s="6">
        <f>BDP(A1691&amp;" US Equity","PX_LAST")</f>
        <v/>
      </c>
      <c r="F1691" s="5">
        <f>D1691*E1691</f>
        <v/>
      </c>
      <c r="G1691">
        <f>AND(B1691&gt;=50,B1691&lt;=10000)</f>
        <v/>
      </c>
      <c r="H1691">
        <f>OR(C1691="NAS",C1691="NYS",C1691="ASE")</f>
        <v/>
      </c>
      <c r="I1691">
        <f>F1691&gt;=500000</f>
        <v/>
      </c>
      <c r="J1691">
        <f>E1691&gt;=2</f>
        <v/>
      </c>
      <c r="K1691">
        <f>AND(G1691,H1691,I1691,J1691)</f>
        <v/>
      </c>
    </row>
    <row r="1692">
      <c r="B1692" s="5">
        <f>BDP(A1692&amp;" US Equity","CUR_MKT_CAP")</f>
        <v/>
      </c>
      <c r="C1692">
        <f>BDP(A1692&amp;" US Equity","EXCH_CODE")</f>
        <v/>
      </c>
      <c r="D1692" s="5">
        <f>BDP(A1692&amp;" US Equity","VOLUME_AVG_20D")</f>
        <v/>
      </c>
      <c r="E1692" s="6">
        <f>BDP(A1692&amp;" US Equity","PX_LAST")</f>
        <v/>
      </c>
      <c r="F1692" s="5">
        <f>D1692*E1692</f>
        <v/>
      </c>
      <c r="G1692">
        <f>AND(B1692&gt;=50,B1692&lt;=10000)</f>
        <v/>
      </c>
      <c r="H1692">
        <f>OR(C1692="NAS",C1692="NYS",C1692="ASE")</f>
        <v/>
      </c>
      <c r="I1692">
        <f>F1692&gt;=500000</f>
        <v/>
      </c>
      <c r="J1692">
        <f>E1692&gt;=2</f>
        <v/>
      </c>
      <c r="K1692">
        <f>AND(G1692,H1692,I1692,J1692)</f>
        <v/>
      </c>
    </row>
    <row r="1693">
      <c r="B1693" s="5">
        <f>BDP(A1693&amp;" US Equity","CUR_MKT_CAP")</f>
        <v/>
      </c>
      <c r="C1693">
        <f>BDP(A1693&amp;" US Equity","EXCH_CODE")</f>
        <v/>
      </c>
      <c r="D1693" s="5">
        <f>BDP(A1693&amp;" US Equity","VOLUME_AVG_20D")</f>
        <v/>
      </c>
      <c r="E1693" s="6">
        <f>BDP(A1693&amp;" US Equity","PX_LAST")</f>
        <v/>
      </c>
      <c r="F1693" s="5">
        <f>D1693*E1693</f>
        <v/>
      </c>
      <c r="G1693">
        <f>AND(B1693&gt;=50,B1693&lt;=10000)</f>
        <v/>
      </c>
      <c r="H1693">
        <f>OR(C1693="NAS",C1693="NYS",C1693="ASE")</f>
        <v/>
      </c>
      <c r="I1693">
        <f>F1693&gt;=500000</f>
        <v/>
      </c>
      <c r="J1693">
        <f>E1693&gt;=2</f>
        <v/>
      </c>
      <c r="K1693">
        <f>AND(G1693,H1693,I1693,J1693)</f>
        <v/>
      </c>
    </row>
    <row r="1694">
      <c r="B1694" s="5">
        <f>BDP(A1694&amp;" US Equity","CUR_MKT_CAP")</f>
        <v/>
      </c>
      <c r="C1694">
        <f>BDP(A1694&amp;" US Equity","EXCH_CODE")</f>
        <v/>
      </c>
      <c r="D1694" s="5">
        <f>BDP(A1694&amp;" US Equity","VOLUME_AVG_20D")</f>
        <v/>
      </c>
      <c r="E1694" s="6">
        <f>BDP(A1694&amp;" US Equity","PX_LAST")</f>
        <v/>
      </c>
      <c r="F1694" s="5">
        <f>D1694*E1694</f>
        <v/>
      </c>
      <c r="G1694">
        <f>AND(B1694&gt;=50,B1694&lt;=10000)</f>
        <v/>
      </c>
      <c r="H1694">
        <f>OR(C1694="NAS",C1694="NYS",C1694="ASE")</f>
        <v/>
      </c>
      <c r="I1694">
        <f>F1694&gt;=500000</f>
        <v/>
      </c>
      <c r="J1694">
        <f>E1694&gt;=2</f>
        <v/>
      </c>
      <c r="K1694">
        <f>AND(G1694,H1694,I1694,J1694)</f>
        <v/>
      </c>
    </row>
    <row r="1695">
      <c r="B1695" s="5">
        <f>BDP(A1695&amp;" US Equity","CUR_MKT_CAP")</f>
        <v/>
      </c>
      <c r="C1695">
        <f>BDP(A1695&amp;" US Equity","EXCH_CODE")</f>
        <v/>
      </c>
      <c r="D1695" s="5">
        <f>BDP(A1695&amp;" US Equity","VOLUME_AVG_20D")</f>
        <v/>
      </c>
      <c r="E1695" s="6">
        <f>BDP(A1695&amp;" US Equity","PX_LAST")</f>
        <v/>
      </c>
      <c r="F1695" s="5">
        <f>D1695*E1695</f>
        <v/>
      </c>
      <c r="G1695">
        <f>AND(B1695&gt;=50,B1695&lt;=10000)</f>
        <v/>
      </c>
      <c r="H1695">
        <f>OR(C1695="NAS",C1695="NYS",C1695="ASE")</f>
        <v/>
      </c>
      <c r="I1695">
        <f>F1695&gt;=500000</f>
        <v/>
      </c>
      <c r="J1695">
        <f>E1695&gt;=2</f>
        <v/>
      </c>
      <c r="K1695">
        <f>AND(G1695,H1695,I1695,J1695)</f>
        <v/>
      </c>
    </row>
    <row r="1696">
      <c r="B1696" s="5">
        <f>BDP(A1696&amp;" US Equity","CUR_MKT_CAP")</f>
        <v/>
      </c>
      <c r="C1696">
        <f>BDP(A1696&amp;" US Equity","EXCH_CODE")</f>
        <v/>
      </c>
      <c r="D1696" s="5">
        <f>BDP(A1696&amp;" US Equity","VOLUME_AVG_20D")</f>
        <v/>
      </c>
      <c r="E1696" s="6">
        <f>BDP(A1696&amp;" US Equity","PX_LAST")</f>
        <v/>
      </c>
      <c r="F1696" s="5">
        <f>D1696*E1696</f>
        <v/>
      </c>
      <c r="G1696">
        <f>AND(B1696&gt;=50,B1696&lt;=10000)</f>
        <v/>
      </c>
      <c r="H1696">
        <f>OR(C1696="NAS",C1696="NYS",C1696="ASE")</f>
        <v/>
      </c>
      <c r="I1696">
        <f>F1696&gt;=500000</f>
        <v/>
      </c>
      <c r="J1696">
        <f>E1696&gt;=2</f>
        <v/>
      </c>
      <c r="K1696">
        <f>AND(G1696,H1696,I1696,J1696)</f>
        <v/>
      </c>
    </row>
    <row r="1697">
      <c r="B1697" s="5">
        <f>BDP(A1697&amp;" US Equity","CUR_MKT_CAP")</f>
        <v/>
      </c>
      <c r="C1697">
        <f>BDP(A1697&amp;" US Equity","EXCH_CODE")</f>
        <v/>
      </c>
      <c r="D1697" s="5">
        <f>BDP(A1697&amp;" US Equity","VOLUME_AVG_20D")</f>
        <v/>
      </c>
      <c r="E1697" s="6">
        <f>BDP(A1697&amp;" US Equity","PX_LAST")</f>
        <v/>
      </c>
      <c r="F1697" s="5">
        <f>D1697*E1697</f>
        <v/>
      </c>
      <c r="G1697">
        <f>AND(B1697&gt;=50,B1697&lt;=10000)</f>
        <v/>
      </c>
      <c r="H1697">
        <f>OR(C1697="NAS",C1697="NYS",C1697="ASE")</f>
        <v/>
      </c>
      <c r="I1697">
        <f>F1697&gt;=500000</f>
        <v/>
      </c>
      <c r="J1697">
        <f>E1697&gt;=2</f>
        <v/>
      </c>
      <c r="K1697">
        <f>AND(G1697,H1697,I1697,J1697)</f>
        <v/>
      </c>
    </row>
    <row r="1698">
      <c r="B1698" s="5">
        <f>BDP(A1698&amp;" US Equity","CUR_MKT_CAP")</f>
        <v/>
      </c>
      <c r="C1698">
        <f>BDP(A1698&amp;" US Equity","EXCH_CODE")</f>
        <v/>
      </c>
      <c r="D1698" s="5">
        <f>BDP(A1698&amp;" US Equity","VOLUME_AVG_20D")</f>
        <v/>
      </c>
      <c r="E1698" s="6">
        <f>BDP(A1698&amp;" US Equity","PX_LAST")</f>
        <v/>
      </c>
      <c r="F1698" s="5">
        <f>D1698*E1698</f>
        <v/>
      </c>
      <c r="G1698">
        <f>AND(B1698&gt;=50,B1698&lt;=10000)</f>
        <v/>
      </c>
      <c r="H1698">
        <f>OR(C1698="NAS",C1698="NYS",C1698="ASE")</f>
        <v/>
      </c>
      <c r="I1698">
        <f>F1698&gt;=500000</f>
        <v/>
      </c>
      <c r="J1698">
        <f>E1698&gt;=2</f>
        <v/>
      </c>
      <c r="K1698">
        <f>AND(G1698,H1698,I1698,J1698)</f>
        <v/>
      </c>
    </row>
    <row r="1699">
      <c r="B1699" s="5">
        <f>BDP(A1699&amp;" US Equity","CUR_MKT_CAP")</f>
        <v/>
      </c>
      <c r="C1699">
        <f>BDP(A1699&amp;" US Equity","EXCH_CODE")</f>
        <v/>
      </c>
      <c r="D1699" s="5">
        <f>BDP(A1699&amp;" US Equity","VOLUME_AVG_20D")</f>
        <v/>
      </c>
      <c r="E1699" s="6">
        <f>BDP(A1699&amp;" US Equity","PX_LAST")</f>
        <v/>
      </c>
      <c r="F1699" s="5">
        <f>D1699*E1699</f>
        <v/>
      </c>
      <c r="G1699">
        <f>AND(B1699&gt;=50,B1699&lt;=10000)</f>
        <v/>
      </c>
      <c r="H1699">
        <f>OR(C1699="NAS",C1699="NYS",C1699="ASE")</f>
        <v/>
      </c>
      <c r="I1699">
        <f>F1699&gt;=500000</f>
        <v/>
      </c>
      <c r="J1699">
        <f>E1699&gt;=2</f>
        <v/>
      </c>
      <c r="K1699">
        <f>AND(G1699,H1699,I1699,J1699)</f>
        <v/>
      </c>
    </row>
    <row r="1700">
      <c r="B1700" s="5">
        <f>BDP(A1700&amp;" US Equity","CUR_MKT_CAP")</f>
        <v/>
      </c>
      <c r="C1700">
        <f>BDP(A1700&amp;" US Equity","EXCH_CODE")</f>
        <v/>
      </c>
      <c r="D1700" s="5">
        <f>BDP(A1700&amp;" US Equity","VOLUME_AVG_20D")</f>
        <v/>
      </c>
      <c r="E1700" s="6">
        <f>BDP(A1700&amp;" US Equity","PX_LAST")</f>
        <v/>
      </c>
      <c r="F1700" s="5">
        <f>D1700*E1700</f>
        <v/>
      </c>
      <c r="G1700">
        <f>AND(B1700&gt;=50,B1700&lt;=10000)</f>
        <v/>
      </c>
      <c r="H1700">
        <f>OR(C1700="NAS",C1700="NYS",C1700="ASE")</f>
        <v/>
      </c>
      <c r="I1700">
        <f>F1700&gt;=500000</f>
        <v/>
      </c>
      <c r="J1700">
        <f>E1700&gt;=2</f>
        <v/>
      </c>
      <c r="K1700">
        <f>AND(G1700,H1700,I1700,J1700)</f>
        <v/>
      </c>
    </row>
    <row r="1701">
      <c r="B1701" s="5">
        <f>BDP(A1701&amp;" US Equity","CUR_MKT_CAP")</f>
        <v/>
      </c>
      <c r="C1701">
        <f>BDP(A1701&amp;" US Equity","EXCH_CODE")</f>
        <v/>
      </c>
      <c r="D1701" s="5">
        <f>BDP(A1701&amp;" US Equity","VOLUME_AVG_20D")</f>
        <v/>
      </c>
      <c r="E1701" s="6">
        <f>BDP(A1701&amp;" US Equity","PX_LAST")</f>
        <v/>
      </c>
      <c r="F1701" s="5">
        <f>D1701*E1701</f>
        <v/>
      </c>
      <c r="G1701">
        <f>AND(B1701&gt;=50,B1701&lt;=10000)</f>
        <v/>
      </c>
      <c r="H1701">
        <f>OR(C1701="NAS",C1701="NYS",C1701="ASE")</f>
        <v/>
      </c>
      <c r="I1701">
        <f>F1701&gt;=500000</f>
        <v/>
      </c>
      <c r="J1701">
        <f>E1701&gt;=2</f>
        <v/>
      </c>
      <c r="K1701">
        <f>AND(G1701,H1701,I1701,J1701)</f>
        <v/>
      </c>
    </row>
    <row r="1702">
      <c r="B1702" s="5">
        <f>BDP(A1702&amp;" US Equity","CUR_MKT_CAP")</f>
        <v/>
      </c>
      <c r="C1702">
        <f>BDP(A1702&amp;" US Equity","EXCH_CODE")</f>
        <v/>
      </c>
      <c r="D1702" s="5">
        <f>BDP(A1702&amp;" US Equity","VOLUME_AVG_20D")</f>
        <v/>
      </c>
      <c r="E1702" s="6">
        <f>BDP(A1702&amp;" US Equity","PX_LAST")</f>
        <v/>
      </c>
      <c r="F1702" s="5">
        <f>D1702*E1702</f>
        <v/>
      </c>
      <c r="G1702">
        <f>AND(B1702&gt;=50,B1702&lt;=10000)</f>
        <v/>
      </c>
      <c r="H1702">
        <f>OR(C1702="NAS",C1702="NYS",C1702="ASE")</f>
        <v/>
      </c>
      <c r="I1702">
        <f>F1702&gt;=500000</f>
        <v/>
      </c>
      <c r="J1702">
        <f>E1702&gt;=2</f>
        <v/>
      </c>
      <c r="K1702">
        <f>AND(G1702,H1702,I1702,J1702)</f>
        <v/>
      </c>
    </row>
    <row r="1703">
      <c r="B1703" s="5">
        <f>BDP(A1703&amp;" US Equity","CUR_MKT_CAP")</f>
        <v/>
      </c>
      <c r="C1703">
        <f>BDP(A1703&amp;" US Equity","EXCH_CODE")</f>
        <v/>
      </c>
      <c r="D1703" s="5">
        <f>BDP(A1703&amp;" US Equity","VOLUME_AVG_20D")</f>
        <v/>
      </c>
      <c r="E1703" s="6">
        <f>BDP(A1703&amp;" US Equity","PX_LAST")</f>
        <v/>
      </c>
      <c r="F1703" s="5">
        <f>D1703*E1703</f>
        <v/>
      </c>
      <c r="G1703">
        <f>AND(B1703&gt;=50,B1703&lt;=10000)</f>
        <v/>
      </c>
      <c r="H1703">
        <f>OR(C1703="NAS",C1703="NYS",C1703="ASE")</f>
        <v/>
      </c>
      <c r="I1703">
        <f>F1703&gt;=500000</f>
        <v/>
      </c>
      <c r="J1703">
        <f>E1703&gt;=2</f>
        <v/>
      </c>
      <c r="K1703">
        <f>AND(G1703,H1703,I1703,J1703)</f>
        <v/>
      </c>
    </row>
    <row r="1704">
      <c r="B1704" s="5">
        <f>BDP(A1704&amp;" US Equity","CUR_MKT_CAP")</f>
        <v/>
      </c>
      <c r="C1704">
        <f>BDP(A1704&amp;" US Equity","EXCH_CODE")</f>
        <v/>
      </c>
      <c r="D1704" s="5">
        <f>BDP(A1704&amp;" US Equity","VOLUME_AVG_20D")</f>
        <v/>
      </c>
      <c r="E1704" s="6">
        <f>BDP(A1704&amp;" US Equity","PX_LAST")</f>
        <v/>
      </c>
      <c r="F1704" s="5">
        <f>D1704*E1704</f>
        <v/>
      </c>
      <c r="G1704">
        <f>AND(B1704&gt;=50,B1704&lt;=10000)</f>
        <v/>
      </c>
      <c r="H1704">
        <f>OR(C1704="NAS",C1704="NYS",C1704="ASE")</f>
        <v/>
      </c>
      <c r="I1704">
        <f>F1704&gt;=500000</f>
        <v/>
      </c>
      <c r="J1704">
        <f>E1704&gt;=2</f>
        <v/>
      </c>
      <c r="K1704">
        <f>AND(G1704,H1704,I1704,J1704)</f>
        <v/>
      </c>
    </row>
    <row r="1705">
      <c r="B1705" s="5">
        <f>BDP(A1705&amp;" US Equity","CUR_MKT_CAP")</f>
        <v/>
      </c>
      <c r="C1705">
        <f>BDP(A1705&amp;" US Equity","EXCH_CODE")</f>
        <v/>
      </c>
      <c r="D1705" s="5">
        <f>BDP(A1705&amp;" US Equity","VOLUME_AVG_20D")</f>
        <v/>
      </c>
      <c r="E1705" s="6">
        <f>BDP(A1705&amp;" US Equity","PX_LAST")</f>
        <v/>
      </c>
      <c r="F1705" s="5">
        <f>D1705*E1705</f>
        <v/>
      </c>
      <c r="G1705">
        <f>AND(B1705&gt;=50,B1705&lt;=10000)</f>
        <v/>
      </c>
      <c r="H1705">
        <f>OR(C1705="NAS",C1705="NYS",C1705="ASE")</f>
        <v/>
      </c>
      <c r="I1705">
        <f>F1705&gt;=500000</f>
        <v/>
      </c>
      <c r="J1705">
        <f>E1705&gt;=2</f>
        <v/>
      </c>
      <c r="K1705">
        <f>AND(G1705,H1705,I1705,J1705)</f>
        <v/>
      </c>
    </row>
    <row r="1706">
      <c r="B1706" s="5">
        <f>BDP(A1706&amp;" US Equity","CUR_MKT_CAP")</f>
        <v/>
      </c>
      <c r="C1706">
        <f>BDP(A1706&amp;" US Equity","EXCH_CODE")</f>
        <v/>
      </c>
      <c r="D1706" s="5">
        <f>BDP(A1706&amp;" US Equity","VOLUME_AVG_20D")</f>
        <v/>
      </c>
      <c r="E1706" s="6">
        <f>BDP(A1706&amp;" US Equity","PX_LAST")</f>
        <v/>
      </c>
      <c r="F1706" s="5">
        <f>D1706*E1706</f>
        <v/>
      </c>
      <c r="G1706">
        <f>AND(B1706&gt;=50,B1706&lt;=10000)</f>
        <v/>
      </c>
      <c r="H1706">
        <f>OR(C1706="NAS",C1706="NYS",C1706="ASE")</f>
        <v/>
      </c>
      <c r="I1706">
        <f>F1706&gt;=500000</f>
        <v/>
      </c>
      <c r="J1706">
        <f>E1706&gt;=2</f>
        <v/>
      </c>
      <c r="K1706">
        <f>AND(G1706,H1706,I1706,J1706)</f>
        <v/>
      </c>
    </row>
    <row r="1707">
      <c r="B1707" s="5">
        <f>BDP(A1707&amp;" US Equity","CUR_MKT_CAP")</f>
        <v/>
      </c>
      <c r="C1707">
        <f>BDP(A1707&amp;" US Equity","EXCH_CODE")</f>
        <v/>
      </c>
      <c r="D1707" s="5">
        <f>BDP(A1707&amp;" US Equity","VOLUME_AVG_20D")</f>
        <v/>
      </c>
      <c r="E1707" s="6">
        <f>BDP(A1707&amp;" US Equity","PX_LAST")</f>
        <v/>
      </c>
      <c r="F1707" s="5">
        <f>D1707*E1707</f>
        <v/>
      </c>
      <c r="G1707">
        <f>AND(B1707&gt;=50,B1707&lt;=10000)</f>
        <v/>
      </c>
      <c r="H1707">
        <f>OR(C1707="NAS",C1707="NYS",C1707="ASE")</f>
        <v/>
      </c>
      <c r="I1707">
        <f>F1707&gt;=500000</f>
        <v/>
      </c>
      <c r="J1707">
        <f>E1707&gt;=2</f>
        <v/>
      </c>
      <c r="K1707">
        <f>AND(G1707,H1707,I1707,J1707)</f>
        <v/>
      </c>
    </row>
    <row r="1708">
      <c r="B1708" s="5">
        <f>BDP(A1708&amp;" US Equity","CUR_MKT_CAP")</f>
        <v/>
      </c>
      <c r="C1708">
        <f>BDP(A1708&amp;" US Equity","EXCH_CODE")</f>
        <v/>
      </c>
      <c r="D1708" s="5">
        <f>BDP(A1708&amp;" US Equity","VOLUME_AVG_20D")</f>
        <v/>
      </c>
      <c r="E1708" s="6">
        <f>BDP(A1708&amp;" US Equity","PX_LAST")</f>
        <v/>
      </c>
      <c r="F1708" s="5">
        <f>D1708*E1708</f>
        <v/>
      </c>
      <c r="G1708">
        <f>AND(B1708&gt;=50,B1708&lt;=10000)</f>
        <v/>
      </c>
      <c r="H1708">
        <f>OR(C1708="NAS",C1708="NYS",C1708="ASE")</f>
        <v/>
      </c>
      <c r="I1708">
        <f>F1708&gt;=500000</f>
        <v/>
      </c>
      <c r="J1708">
        <f>E1708&gt;=2</f>
        <v/>
      </c>
      <c r="K1708">
        <f>AND(G1708,H1708,I1708,J1708)</f>
        <v/>
      </c>
    </row>
    <row r="1709">
      <c r="B1709" s="5">
        <f>BDP(A1709&amp;" US Equity","CUR_MKT_CAP")</f>
        <v/>
      </c>
      <c r="C1709">
        <f>BDP(A1709&amp;" US Equity","EXCH_CODE")</f>
        <v/>
      </c>
      <c r="D1709" s="5">
        <f>BDP(A1709&amp;" US Equity","VOLUME_AVG_20D")</f>
        <v/>
      </c>
      <c r="E1709" s="6">
        <f>BDP(A1709&amp;" US Equity","PX_LAST")</f>
        <v/>
      </c>
      <c r="F1709" s="5">
        <f>D1709*E1709</f>
        <v/>
      </c>
      <c r="G1709">
        <f>AND(B1709&gt;=50,B1709&lt;=10000)</f>
        <v/>
      </c>
      <c r="H1709">
        <f>OR(C1709="NAS",C1709="NYS",C1709="ASE")</f>
        <v/>
      </c>
      <c r="I1709">
        <f>F1709&gt;=500000</f>
        <v/>
      </c>
      <c r="J1709">
        <f>E1709&gt;=2</f>
        <v/>
      </c>
      <c r="K1709">
        <f>AND(G1709,H1709,I1709,J1709)</f>
        <v/>
      </c>
    </row>
    <row r="1710">
      <c r="B1710" s="5">
        <f>BDP(A1710&amp;" US Equity","CUR_MKT_CAP")</f>
        <v/>
      </c>
      <c r="C1710">
        <f>BDP(A1710&amp;" US Equity","EXCH_CODE")</f>
        <v/>
      </c>
      <c r="D1710" s="5">
        <f>BDP(A1710&amp;" US Equity","VOLUME_AVG_20D")</f>
        <v/>
      </c>
      <c r="E1710" s="6">
        <f>BDP(A1710&amp;" US Equity","PX_LAST")</f>
        <v/>
      </c>
      <c r="F1710" s="5">
        <f>D1710*E1710</f>
        <v/>
      </c>
      <c r="G1710">
        <f>AND(B1710&gt;=50,B1710&lt;=10000)</f>
        <v/>
      </c>
      <c r="H1710">
        <f>OR(C1710="NAS",C1710="NYS",C1710="ASE")</f>
        <v/>
      </c>
      <c r="I1710">
        <f>F1710&gt;=500000</f>
        <v/>
      </c>
      <c r="J1710">
        <f>E1710&gt;=2</f>
        <v/>
      </c>
      <c r="K1710">
        <f>AND(G1710,H1710,I1710,J1710)</f>
        <v/>
      </c>
    </row>
    <row r="1711">
      <c r="B1711" s="5">
        <f>BDP(A1711&amp;" US Equity","CUR_MKT_CAP")</f>
        <v/>
      </c>
      <c r="C1711">
        <f>BDP(A1711&amp;" US Equity","EXCH_CODE")</f>
        <v/>
      </c>
      <c r="D1711" s="5">
        <f>BDP(A1711&amp;" US Equity","VOLUME_AVG_20D")</f>
        <v/>
      </c>
      <c r="E1711" s="6">
        <f>BDP(A1711&amp;" US Equity","PX_LAST")</f>
        <v/>
      </c>
      <c r="F1711" s="5">
        <f>D1711*E1711</f>
        <v/>
      </c>
      <c r="G1711">
        <f>AND(B1711&gt;=50,B1711&lt;=10000)</f>
        <v/>
      </c>
      <c r="H1711">
        <f>OR(C1711="NAS",C1711="NYS",C1711="ASE")</f>
        <v/>
      </c>
      <c r="I1711">
        <f>F1711&gt;=500000</f>
        <v/>
      </c>
      <c r="J1711">
        <f>E1711&gt;=2</f>
        <v/>
      </c>
      <c r="K1711">
        <f>AND(G1711,H1711,I1711,J1711)</f>
        <v/>
      </c>
    </row>
    <row r="1712">
      <c r="B1712" s="5">
        <f>BDP(A1712&amp;" US Equity","CUR_MKT_CAP")</f>
        <v/>
      </c>
      <c r="C1712">
        <f>BDP(A1712&amp;" US Equity","EXCH_CODE")</f>
        <v/>
      </c>
      <c r="D1712" s="5">
        <f>BDP(A1712&amp;" US Equity","VOLUME_AVG_20D")</f>
        <v/>
      </c>
      <c r="E1712" s="6">
        <f>BDP(A1712&amp;" US Equity","PX_LAST")</f>
        <v/>
      </c>
      <c r="F1712" s="5">
        <f>D1712*E1712</f>
        <v/>
      </c>
      <c r="G1712">
        <f>AND(B1712&gt;=50,B1712&lt;=10000)</f>
        <v/>
      </c>
      <c r="H1712">
        <f>OR(C1712="NAS",C1712="NYS",C1712="ASE")</f>
        <v/>
      </c>
      <c r="I1712">
        <f>F1712&gt;=500000</f>
        <v/>
      </c>
      <c r="J1712">
        <f>E1712&gt;=2</f>
        <v/>
      </c>
      <c r="K1712">
        <f>AND(G1712,H1712,I1712,J1712)</f>
        <v/>
      </c>
    </row>
    <row r="1713">
      <c r="B1713" s="5">
        <f>BDP(A1713&amp;" US Equity","CUR_MKT_CAP")</f>
        <v/>
      </c>
      <c r="C1713">
        <f>BDP(A1713&amp;" US Equity","EXCH_CODE")</f>
        <v/>
      </c>
      <c r="D1713" s="5">
        <f>BDP(A1713&amp;" US Equity","VOLUME_AVG_20D")</f>
        <v/>
      </c>
      <c r="E1713" s="6">
        <f>BDP(A1713&amp;" US Equity","PX_LAST")</f>
        <v/>
      </c>
      <c r="F1713" s="5">
        <f>D1713*E1713</f>
        <v/>
      </c>
      <c r="G1713">
        <f>AND(B1713&gt;=50,B1713&lt;=10000)</f>
        <v/>
      </c>
      <c r="H1713">
        <f>OR(C1713="NAS",C1713="NYS",C1713="ASE")</f>
        <v/>
      </c>
      <c r="I1713">
        <f>F1713&gt;=500000</f>
        <v/>
      </c>
      <c r="J1713">
        <f>E1713&gt;=2</f>
        <v/>
      </c>
      <c r="K1713">
        <f>AND(G1713,H1713,I1713,J1713)</f>
        <v/>
      </c>
    </row>
    <row r="1714">
      <c r="B1714" s="5">
        <f>BDP(A1714&amp;" US Equity","CUR_MKT_CAP")</f>
        <v/>
      </c>
      <c r="C1714">
        <f>BDP(A1714&amp;" US Equity","EXCH_CODE")</f>
        <v/>
      </c>
      <c r="D1714" s="5">
        <f>BDP(A1714&amp;" US Equity","VOLUME_AVG_20D")</f>
        <v/>
      </c>
      <c r="E1714" s="6">
        <f>BDP(A1714&amp;" US Equity","PX_LAST")</f>
        <v/>
      </c>
      <c r="F1714" s="5">
        <f>D1714*E1714</f>
        <v/>
      </c>
      <c r="G1714">
        <f>AND(B1714&gt;=50,B1714&lt;=10000)</f>
        <v/>
      </c>
      <c r="H1714">
        <f>OR(C1714="NAS",C1714="NYS",C1714="ASE")</f>
        <v/>
      </c>
      <c r="I1714">
        <f>F1714&gt;=500000</f>
        <v/>
      </c>
      <c r="J1714">
        <f>E1714&gt;=2</f>
        <v/>
      </c>
      <c r="K1714">
        <f>AND(G1714,H1714,I1714,J1714)</f>
        <v/>
      </c>
    </row>
    <row r="1715">
      <c r="B1715" s="5">
        <f>BDP(A1715&amp;" US Equity","CUR_MKT_CAP")</f>
        <v/>
      </c>
      <c r="C1715">
        <f>BDP(A1715&amp;" US Equity","EXCH_CODE")</f>
        <v/>
      </c>
      <c r="D1715" s="5">
        <f>BDP(A1715&amp;" US Equity","VOLUME_AVG_20D")</f>
        <v/>
      </c>
      <c r="E1715" s="6">
        <f>BDP(A1715&amp;" US Equity","PX_LAST")</f>
        <v/>
      </c>
      <c r="F1715" s="5">
        <f>D1715*E1715</f>
        <v/>
      </c>
      <c r="G1715">
        <f>AND(B1715&gt;=50,B1715&lt;=10000)</f>
        <v/>
      </c>
      <c r="H1715">
        <f>OR(C1715="NAS",C1715="NYS",C1715="ASE")</f>
        <v/>
      </c>
      <c r="I1715">
        <f>F1715&gt;=500000</f>
        <v/>
      </c>
      <c r="J1715">
        <f>E1715&gt;=2</f>
        <v/>
      </c>
      <c r="K1715">
        <f>AND(G1715,H1715,I1715,J1715)</f>
        <v/>
      </c>
    </row>
    <row r="1716">
      <c r="B1716" s="5">
        <f>BDP(A1716&amp;" US Equity","CUR_MKT_CAP")</f>
        <v/>
      </c>
      <c r="C1716">
        <f>BDP(A1716&amp;" US Equity","EXCH_CODE")</f>
        <v/>
      </c>
      <c r="D1716" s="5">
        <f>BDP(A1716&amp;" US Equity","VOLUME_AVG_20D")</f>
        <v/>
      </c>
      <c r="E1716" s="6">
        <f>BDP(A1716&amp;" US Equity","PX_LAST")</f>
        <v/>
      </c>
      <c r="F1716" s="5">
        <f>D1716*E1716</f>
        <v/>
      </c>
      <c r="G1716">
        <f>AND(B1716&gt;=50,B1716&lt;=10000)</f>
        <v/>
      </c>
      <c r="H1716">
        <f>OR(C1716="NAS",C1716="NYS",C1716="ASE")</f>
        <v/>
      </c>
      <c r="I1716">
        <f>F1716&gt;=500000</f>
        <v/>
      </c>
      <c r="J1716">
        <f>E1716&gt;=2</f>
        <v/>
      </c>
      <c r="K1716">
        <f>AND(G1716,H1716,I1716,J1716)</f>
        <v/>
      </c>
    </row>
    <row r="1717">
      <c r="B1717" s="5">
        <f>BDP(A1717&amp;" US Equity","CUR_MKT_CAP")</f>
        <v/>
      </c>
      <c r="C1717">
        <f>BDP(A1717&amp;" US Equity","EXCH_CODE")</f>
        <v/>
      </c>
      <c r="D1717" s="5">
        <f>BDP(A1717&amp;" US Equity","VOLUME_AVG_20D")</f>
        <v/>
      </c>
      <c r="E1717" s="6">
        <f>BDP(A1717&amp;" US Equity","PX_LAST")</f>
        <v/>
      </c>
      <c r="F1717" s="5">
        <f>D1717*E1717</f>
        <v/>
      </c>
      <c r="G1717">
        <f>AND(B1717&gt;=50,B1717&lt;=10000)</f>
        <v/>
      </c>
      <c r="H1717">
        <f>OR(C1717="NAS",C1717="NYS",C1717="ASE")</f>
        <v/>
      </c>
      <c r="I1717">
        <f>F1717&gt;=500000</f>
        <v/>
      </c>
      <c r="J1717">
        <f>E1717&gt;=2</f>
        <v/>
      </c>
      <c r="K1717">
        <f>AND(G1717,H1717,I1717,J1717)</f>
        <v/>
      </c>
    </row>
    <row r="1718">
      <c r="B1718" s="5">
        <f>BDP(A1718&amp;" US Equity","CUR_MKT_CAP")</f>
        <v/>
      </c>
      <c r="C1718">
        <f>BDP(A1718&amp;" US Equity","EXCH_CODE")</f>
        <v/>
      </c>
      <c r="D1718" s="5">
        <f>BDP(A1718&amp;" US Equity","VOLUME_AVG_20D")</f>
        <v/>
      </c>
      <c r="E1718" s="6">
        <f>BDP(A1718&amp;" US Equity","PX_LAST")</f>
        <v/>
      </c>
      <c r="F1718" s="5">
        <f>D1718*E1718</f>
        <v/>
      </c>
      <c r="G1718">
        <f>AND(B1718&gt;=50,B1718&lt;=10000)</f>
        <v/>
      </c>
      <c r="H1718">
        <f>OR(C1718="NAS",C1718="NYS",C1718="ASE")</f>
        <v/>
      </c>
      <c r="I1718">
        <f>F1718&gt;=500000</f>
        <v/>
      </c>
      <c r="J1718">
        <f>E1718&gt;=2</f>
        <v/>
      </c>
      <c r="K1718">
        <f>AND(G1718,H1718,I1718,J1718)</f>
        <v/>
      </c>
    </row>
    <row r="1719">
      <c r="B1719" s="5">
        <f>BDP(A1719&amp;" US Equity","CUR_MKT_CAP")</f>
        <v/>
      </c>
      <c r="C1719">
        <f>BDP(A1719&amp;" US Equity","EXCH_CODE")</f>
        <v/>
      </c>
      <c r="D1719" s="5">
        <f>BDP(A1719&amp;" US Equity","VOLUME_AVG_20D")</f>
        <v/>
      </c>
      <c r="E1719" s="6">
        <f>BDP(A1719&amp;" US Equity","PX_LAST")</f>
        <v/>
      </c>
      <c r="F1719" s="5">
        <f>D1719*E1719</f>
        <v/>
      </c>
      <c r="G1719">
        <f>AND(B1719&gt;=50,B1719&lt;=10000)</f>
        <v/>
      </c>
      <c r="H1719">
        <f>OR(C1719="NAS",C1719="NYS",C1719="ASE")</f>
        <v/>
      </c>
      <c r="I1719">
        <f>F1719&gt;=500000</f>
        <v/>
      </c>
      <c r="J1719">
        <f>E1719&gt;=2</f>
        <v/>
      </c>
      <c r="K1719">
        <f>AND(G1719,H1719,I1719,J1719)</f>
        <v/>
      </c>
    </row>
    <row r="1720">
      <c r="B1720" s="5">
        <f>BDP(A1720&amp;" US Equity","CUR_MKT_CAP")</f>
        <v/>
      </c>
      <c r="C1720">
        <f>BDP(A1720&amp;" US Equity","EXCH_CODE")</f>
        <v/>
      </c>
      <c r="D1720" s="5">
        <f>BDP(A1720&amp;" US Equity","VOLUME_AVG_20D")</f>
        <v/>
      </c>
      <c r="E1720" s="6">
        <f>BDP(A1720&amp;" US Equity","PX_LAST")</f>
        <v/>
      </c>
      <c r="F1720" s="5">
        <f>D1720*E1720</f>
        <v/>
      </c>
      <c r="G1720">
        <f>AND(B1720&gt;=50,B1720&lt;=10000)</f>
        <v/>
      </c>
      <c r="H1720">
        <f>OR(C1720="NAS",C1720="NYS",C1720="ASE")</f>
        <v/>
      </c>
      <c r="I1720">
        <f>F1720&gt;=500000</f>
        <v/>
      </c>
      <c r="J1720">
        <f>E1720&gt;=2</f>
        <v/>
      </c>
      <c r="K1720">
        <f>AND(G1720,H1720,I1720,J1720)</f>
        <v/>
      </c>
    </row>
    <row r="1721">
      <c r="B1721" s="5">
        <f>BDP(A1721&amp;" US Equity","CUR_MKT_CAP")</f>
        <v/>
      </c>
      <c r="C1721">
        <f>BDP(A1721&amp;" US Equity","EXCH_CODE")</f>
        <v/>
      </c>
      <c r="D1721" s="5">
        <f>BDP(A1721&amp;" US Equity","VOLUME_AVG_20D")</f>
        <v/>
      </c>
      <c r="E1721" s="6">
        <f>BDP(A1721&amp;" US Equity","PX_LAST")</f>
        <v/>
      </c>
      <c r="F1721" s="5">
        <f>D1721*E1721</f>
        <v/>
      </c>
      <c r="G1721">
        <f>AND(B1721&gt;=50,B1721&lt;=10000)</f>
        <v/>
      </c>
      <c r="H1721">
        <f>OR(C1721="NAS",C1721="NYS",C1721="ASE")</f>
        <v/>
      </c>
      <c r="I1721">
        <f>F1721&gt;=500000</f>
        <v/>
      </c>
      <c r="J1721">
        <f>E1721&gt;=2</f>
        <v/>
      </c>
      <c r="K1721">
        <f>AND(G1721,H1721,I1721,J1721)</f>
        <v/>
      </c>
    </row>
    <row r="1722">
      <c r="B1722" s="5">
        <f>BDP(A1722&amp;" US Equity","CUR_MKT_CAP")</f>
        <v/>
      </c>
      <c r="C1722">
        <f>BDP(A1722&amp;" US Equity","EXCH_CODE")</f>
        <v/>
      </c>
      <c r="D1722" s="5">
        <f>BDP(A1722&amp;" US Equity","VOLUME_AVG_20D")</f>
        <v/>
      </c>
      <c r="E1722" s="6">
        <f>BDP(A1722&amp;" US Equity","PX_LAST")</f>
        <v/>
      </c>
      <c r="F1722" s="5">
        <f>D1722*E1722</f>
        <v/>
      </c>
      <c r="G1722">
        <f>AND(B1722&gt;=50,B1722&lt;=10000)</f>
        <v/>
      </c>
      <c r="H1722">
        <f>OR(C1722="NAS",C1722="NYS",C1722="ASE")</f>
        <v/>
      </c>
      <c r="I1722">
        <f>F1722&gt;=500000</f>
        <v/>
      </c>
      <c r="J1722">
        <f>E1722&gt;=2</f>
        <v/>
      </c>
      <c r="K1722">
        <f>AND(G1722,H1722,I1722,J1722)</f>
        <v/>
      </c>
    </row>
    <row r="1723">
      <c r="B1723" s="5">
        <f>BDP(A1723&amp;" US Equity","CUR_MKT_CAP")</f>
        <v/>
      </c>
      <c r="C1723">
        <f>BDP(A1723&amp;" US Equity","EXCH_CODE")</f>
        <v/>
      </c>
      <c r="D1723" s="5">
        <f>BDP(A1723&amp;" US Equity","VOLUME_AVG_20D")</f>
        <v/>
      </c>
      <c r="E1723" s="6">
        <f>BDP(A1723&amp;" US Equity","PX_LAST")</f>
        <v/>
      </c>
      <c r="F1723" s="5">
        <f>D1723*E1723</f>
        <v/>
      </c>
      <c r="G1723">
        <f>AND(B1723&gt;=50,B1723&lt;=10000)</f>
        <v/>
      </c>
      <c r="H1723">
        <f>OR(C1723="NAS",C1723="NYS",C1723="ASE")</f>
        <v/>
      </c>
      <c r="I1723">
        <f>F1723&gt;=500000</f>
        <v/>
      </c>
      <c r="J1723">
        <f>E1723&gt;=2</f>
        <v/>
      </c>
      <c r="K1723">
        <f>AND(G1723,H1723,I1723,J1723)</f>
        <v/>
      </c>
    </row>
    <row r="1724">
      <c r="B1724" s="5">
        <f>BDP(A1724&amp;" US Equity","CUR_MKT_CAP")</f>
        <v/>
      </c>
      <c r="C1724">
        <f>BDP(A1724&amp;" US Equity","EXCH_CODE")</f>
        <v/>
      </c>
      <c r="D1724" s="5">
        <f>BDP(A1724&amp;" US Equity","VOLUME_AVG_20D")</f>
        <v/>
      </c>
      <c r="E1724" s="6">
        <f>BDP(A1724&amp;" US Equity","PX_LAST")</f>
        <v/>
      </c>
      <c r="F1724" s="5">
        <f>D1724*E1724</f>
        <v/>
      </c>
      <c r="G1724">
        <f>AND(B1724&gt;=50,B1724&lt;=10000)</f>
        <v/>
      </c>
      <c r="H1724">
        <f>OR(C1724="NAS",C1724="NYS",C1724="ASE")</f>
        <v/>
      </c>
      <c r="I1724">
        <f>F1724&gt;=500000</f>
        <v/>
      </c>
      <c r="J1724">
        <f>E1724&gt;=2</f>
        <v/>
      </c>
      <c r="K1724">
        <f>AND(G1724,H1724,I1724,J1724)</f>
        <v/>
      </c>
    </row>
    <row r="1725">
      <c r="B1725" s="5">
        <f>BDP(A1725&amp;" US Equity","CUR_MKT_CAP")</f>
        <v/>
      </c>
      <c r="C1725">
        <f>BDP(A1725&amp;" US Equity","EXCH_CODE")</f>
        <v/>
      </c>
      <c r="D1725" s="5">
        <f>BDP(A1725&amp;" US Equity","VOLUME_AVG_20D")</f>
        <v/>
      </c>
      <c r="E1725" s="6">
        <f>BDP(A1725&amp;" US Equity","PX_LAST")</f>
        <v/>
      </c>
      <c r="F1725" s="5">
        <f>D1725*E1725</f>
        <v/>
      </c>
      <c r="G1725">
        <f>AND(B1725&gt;=50,B1725&lt;=10000)</f>
        <v/>
      </c>
      <c r="H1725">
        <f>OR(C1725="NAS",C1725="NYS",C1725="ASE")</f>
        <v/>
      </c>
      <c r="I1725">
        <f>F1725&gt;=500000</f>
        <v/>
      </c>
      <c r="J1725">
        <f>E1725&gt;=2</f>
        <v/>
      </c>
      <c r="K1725">
        <f>AND(G1725,H1725,I1725,J1725)</f>
        <v/>
      </c>
    </row>
    <row r="1726">
      <c r="B1726" s="5">
        <f>BDP(A1726&amp;" US Equity","CUR_MKT_CAP")</f>
        <v/>
      </c>
      <c r="C1726">
        <f>BDP(A1726&amp;" US Equity","EXCH_CODE")</f>
        <v/>
      </c>
      <c r="D1726" s="5">
        <f>BDP(A1726&amp;" US Equity","VOLUME_AVG_20D")</f>
        <v/>
      </c>
      <c r="E1726" s="6">
        <f>BDP(A1726&amp;" US Equity","PX_LAST")</f>
        <v/>
      </c>
      <c r="F1726" s="5">
        <f>D1726*E1726</f>
        <v/>
      </c>
      <c r="G1726">
        <f>AND(B1726&gt;=50,B1726&lt;=10000)</f>
        <v/>
      </c>
      <c r="H1726">
        <f>OR(C1726="NAS",C1726="NYS",C1726="ASE")</f>
        <v/>
      </c>
      <c r="I1726">
        <f>F1726&gt;=500000</f>
        <v/>
      </c>
      <c r="J1726">
        <f>E1726&gt;=2</f>
        <v/>
      </c>
      <c r="K1726">
        <f>AND(G1726,H1726,I1726,J1726)</f>
        <v/>
      </c>
    </row>
    <row r="1727">
      <c r="B1727" s="5">
        <f>BDP(A1727&amp;" US Equity","CUR_MKT_CAP")</f>
        <v/>
      </c>
      <c r="C1727">
        <f>BDP(A1727&amp;" US Equity","EXCH_CODE")</f>
        <v/>
      </c>
      <c r="D1727" s="5">
        <f>BDP(A1727&amp;" US Equity","VOLUME_AVG_20D")</f>
        <v/>
      </c>
      <c r="E1727" s="6">
        <f>BDP(A1727&amp;" US Equity","PX_LAST")</f>
        <v/>
      </c>
      <c r="F1727" s="5">
        <f>D1727*E1727</f>
        <v/>
      </c>
      <c r="G1727">
        <f>AND(B1727&gt;=50,B1727&lt;=10000)</f>
        <v/>
      </c>
      <c r="H1727">
        <f>OR(C1727="NAS",C1727="NYS",C1727="ASE")</f>
        <v/>
      </c>
      <c r="I1727">
        <f>F1727&gt;=500000</f>
        <v/>
      </c>
      <c r="J1727">
        <f>E1727&gt;=2</f>
        <v/>
      </c>
      <c r="K1727">
        <f>AND(G1727,H1727,I1727,J1727)</f>
        <v/>
      </c>
    </row>
    <row r="1728">
      <c r="B1728" s="5">
        <f>BDP(A1728&amp;" US Equity","CUR_MKT_CAP")</f>
        <v/>
      </c>
      <c r="C1728">
        <f>BDP(A1728&amp;" US Equity","EXCH_CODE")</f>
        <v/>
      </c>
      <c r="D1728" s="5">
        <f>BDP(A1728&amp;" US Equity","VOLUME_AVG_20D")</f>
        <v/>
      </c>
      <c r="E1728" s="6">
        <f>BDP(A1728&amp;" US Equity","PX_LAST")</f>
        <v/>
      </c>
      <c r="F1728" s="5">
        <f>D1728*E1728</f>
        <v/>
      </c>
      <c r="G1728">
        <f>AND(B1728&gt;=50,B1728&lt;=10000)</f>
        <v/>
      </c>
      <c r="H1728">
        <f>OR(C1728="NAS",C1728="NYS",C1728="ASE")</f>
        <v/>
      </c>
      <c r="I1728">
        <f>F1728&gt;=500000</f>
        <v/>
      </c>
      <c r="J1728">
        <f>E1728&gt;=2</f>
        <v/>
      </c>
      <c r="K1728">
        <f>AND(G1728,H1728,I1728,J1728)</f>
        <v/>
      </c>
    </row>
    <row r="1729">
      <c r="B1729" s="5">
        <f>BDP(A1729&amp;" US Equity","CUR_MKT_CAP")</f>
        <v/>
      </c>
      <c r="C1729">
        <f>BDP(A1729&amp;" US Equity","EXCH_CODE")</f>
        <v/>
      </c>
      <c r="D1729" s="5">
        <f>BDP(A1729&amp;" US Equity","VOLUME_AVG_20D")</f>
        <v/>
      </c>
      <c r="E1729" s="6">
        <f>BDP(A1729&amp;" US Equity","PX_LAST")</f>
        <v/>
      </c>
      <c r="F1729" s="5">
        <f>D1729*E1729</f>
        <v/>
      </c>
      <c r="G1729">
        <f>AND(B1729&gt;=50,B1729&lt;=10000)</f>
        <v/>
      </c>
      <c r="H1729">
        <f>OR(C1729="NAS",C1729="NYS",C1729="ASE")</f>
        <v/>
      </c>
      <c r="I1729">
        <f>F1729&gt;=500000</f>
        <v/>
      </c>
      <c r="J1729">
        <f>E1729&gt;=2</f>
        <v/>
      </c>
      <c r="K1729">
        <f>AND(G1729,H1729,I1729,J1729)</f>
        <v/>
      </c>
    </row>
    <row r="1730">
      <c r="B1730" s="5">
        <f>BDP(A1730&amp;" US Equity","CUR_MKT_CAP")</f>
        <v/>
      </c>
      <c r="C1730">
        <f>BDP(A1730&amp;" US Equity","EXCH_CODE")</f>
        <v/>
      </c>
      <c r="D1730" s="5">
        <f>BDP(A1730&amp;" US Equity","VOLUME_AVG_20D")</f>
        <v/>
      </c>
      <c r="E1730" s="6">
        <f>BDP(A1730&amp;" US Equity","PX_LAST")</f>
        <v/>
      </c>
      <c r="F1730" s="5">
        <f>D1730*E1730</f>
        <v/>
      </c>
      <c r="G1730">
        <f>AND(B1730&gt;=50,B1730&lt;=10000)</f>
        <v/>
      </c>
      <c r="H1730">
        <f>OR(C1730="NAS",C1730="NYS",C1730="ASE")</f>
        <v/>
      </c>
      <c r="I1730">
        <f>F1730&gt;=500000</f>
        <v/>
      </c>
      <c r="J1730">
        <f>E1730&gt;=2</f>
        <v/>
      </c>
      <c r="K1730">
        <f>AND(G1730,H1730,I1730,J1730)</f>
        <v/>
      </c>
    </row>
    <row r="1731">
      <c r="B1731" s="5">
        <f>BDP(A1731&amp;" US Equity","CUR_MKT_CAP")</f>
        <v/>
      </c>
      <c r="C1731">
        <f>BDP(A1731&amp;" US Equity","EXCH_CODE")</f>
        <v/>
      </c>
      <c r="D1731" s="5">
        <f>BDP(A1731&amp;" US Equity","VOLUME_AVG_20D")</f>
        <v/>
      </c>
      <c r="E1731" s="6">
        <f>BDP(A1731&amp;" US Equity","PX_LAST")</f>
        <v/>
      </c>
      <c r="F1731" s="5">
        <f>D1731*E1731</f>
        <v/>
      </c>
      <c r="G1731">
        <f>AND(B1731&gt;=50,B1731&lt;=10000)</f>
        <v/>
      </c>
      <c r="H1731">
        <f>OR(C1731="NAS",C1731="NYS",C1731="ASE")</f>
        <v/>
      </c>
      <c r="I1731">
        <f>F1731&gt;=500000</f>
        <v/>
      </c>
      <c r="J1731">
        <f>E1731&gt;=2</f>
        <v/>
      </c>
      <c r="K1731">
        <f>AND(G1731,H1731,I1731,J1731)</f>
        <v/>
      </c>
    </row>
    <row r="1732">
      <c r="B1732" s="5">
        <f>BDP(A1732&amp;" US Equity","CUR_MKT_CAP")</f>
        <v/>
      </c>
      <c r="C1732">
        <f>BDP(A1732&amp;" US Equity","EXCH_CODE")</f>
        <v/>
      </c>
      <c r="D1732" s="5">
        <f>BDP(A1732&amp;" US Equity","VOLUME_AVG_20D")</f>
        <v/>
      </c>
      <c r="E1732" s="6">
        <f>BDP(A1732&amp;" US Equity","PX_LAST")</f>
        <v/>
      </c>
      <c r="F1732" s="5">
        <f>D1732*E1732</f>
        <v/>
      </c>
      <c r="G1732">
        <f>AND(B1732&gt;=50,B1732&lt;=10000)</f>
        <v/>
      </c>
      <c r="H1732">
        <f>OR(C1732="NAS",C1732="NYS",C1732="ASE")</f>
        <v/>
      </c>
      <c r="I1732">
        <f>F1732&gt;=500000</f>
        <v/>
      </c>
      <c r="J1732">
        <f>E1732&gt;=2</f>
        <v/>
      </c>
      <c r="K1732">
        <f>AND(G1732,H1732,I1732,J1732)</f>
        <v/>
      </c>
    </row>
    <row r="1733">
      <c r="B1733" s="5">
        <f>BDP(A1733&amp;" US Equity","CUR_MKT_CAP")</f>
        <v/>
      </c>
      <c r="C1733">
        <f>BDP(A1733&amp;" US Equity","EXCH_CODE")</f>
        <v/>
      </c>
      <c r="D1733" s="5">
        <f>BDP(A1733&amp;" US Equity","VOLUME_AVG_20D")</f>
        <v/>
      </c>
      <c r="E1733" s="6">
        <f>BDP(A1733&amp;" US Equity","PX_LAST")</f>
        <v/>
      </c>
      <c r="F1733" s="5">
        <f>D1733*E1733</f>
        <v/>
      </c>
      <c r="G1733">
        <f>AND(B1733&gt;=50,B1733&lt;=10000)</f>
        <v/>
      </c>
      <c r="H1733">
        <f>OR(C1733="NAS",C1733="NYS",C1733="ASE")</f>
        <v/>
      </c>
      <c r="I1733">
        <f>F1733&gt;=500000</f>
        <v/>
      </c>
      <c r="J1733">
        <f>E1733&gt;=2</f>
        <v/>
      </c>
      <c r="K1733">
        <f>AND(G1733,H1733,I1733,J1733)</f>
        <v/>
      </c>
    </row>
    <row r="1734">
      <c r="B1734" s="5">
        <f>BDP(A1734&amp;" US Equity","CUR_MKT_CAP")</f>
        <v/>
      </c>
      <c r="C1734">
        <f>BDP(A1734&amp;" US Equity","EXCH_CODE")</f>
        <v/>
      </c>
      <c r="D1734" s="5">
        <f>BDP(A1734&amp;" US Equity","VOLUME_AVG_20D")</f>
        <v/>
      </c>
      <c r="E1734" s="6">
        <f>BDP(A1734&amp;" US Equity","PX_LAST")</f>
        <v/>
      </c>
      <c r="F1734" s="5">
        <f>D1734*E1734</f>
        <v/>
      </c>
      <c r="G1734">
        <f>AND(B1734&gt;=50,B1734&lt;=10000)</f>
        <v/>
      </c>
      <c r="H1734">
        <f>OR(C1734="NAS",C1734="NYS",C1734="ASE")</f>
        <v/>
      </c>
      <c r="I1734">
        <f>F1734&gt;=500000</f>
        <v/>
      </c>
      <c r="J1734">
        <f>E1734&gt;=2</f>
        <v/>
      </c>
      <c r="K1734">
        <f>AND(G1734,H1734,I1734,J1734)</f>
        <v/>
      </c>
    </row>
    <row r="1735">
      <c r="B1735" s="5">
        <f>BDP(A1735&amp;" US Equity","CUR_MKT_CAP")</f>
        <v/>
      </c>
      <c r="C1735">
        <f>BDP(A1735&amp;" US Equity","EXCH_CODE")</f>
        <v/>
      </c>
      <c r="D1735" s="5">
        <f>BDP(A1735&amp;" US Equity","VOLUME_AVG_20D")</f>
        <v/>
      </c>
      <c r="E1735" s="6">
        <f>BDP(A1735&amp;" US Equity","PX_LAST")</f>
        <v/>
      </c>
      <c r="F1735" s="5">
        <f>D1735*E1735</f>
        <v/>
      </c>
      <c r="G1735">
        <f>AND(B1735&gt;=50,B1735&lt;=10000)</f>
        <v/>
      </c>
      <c r="H1735">
        <f>OR(C1735="NAS",C1735="NYS",C1735="ASE")</f>
        <v/>
      </c>
      <c r="I1735">
        <f>F1735&gt;=500000</f>
        <v/>
      </c>
      <c r="J1735">
        <f>E1735&gt;=2</f>
        <v/>
      </c>
      <c r="K1735">
        <f>AND(G1735,H1735,I1735,J1735)</f>
        <v/>
      </c>
    </row>
    <row r="1736">
      <c r="B1736" s="5">
        <f>BDP(A1736&amp;" US Equity","CUR_MKT_CAP")</f>
        <v/>
      </c>
      <c r="C1736">
        <f>BDP(A1736&amp;" US Equity","EXCH_CODE")</f>
        <v/>
      </c>
      <c r="D1736" s="5">
        <f>BDP(A1736&amp;" US Equity","VOLUME_AVG_20D")</f>
        <v/>
      </c>
      <c r="E1736" s="6">
        <f>BDP(A1736&amp;" US Equity","PX_LAST")</f>
        <v/>
      </c>
      <c r="F1736" s="5">
        <f>D1736*E1736</f>
        <v/>
      </c>
      <c r="G1736">
        <f>AND(B1736&gt;=50,B1736&lt;=10000)</f>
        <v/>
      </c>
      <c r="H1736">
        <f>OR(C1736="NAS",C1736="NYS",C1736="ASE")</f>
        <v/>
      </c>
      <c r="I1736">
        <f>F1736&gt;=500000</f>
        <v/>
      </c>
      <c r="J1736">
        <f>E1736&gt;=2</f>
        <v/>
      </c>
      <c r="K1736">
        <f>AND(G1736,H1736,I1736,J1736)</f>
        <v/>
      </c>
    </row>
    <row r="1737">
      <c r="B1737" s="5">
        <f>BDP(A1737&amp;" US Equity","CUR_MKT_CAP")</f>
        <v/>
      </c>
      <c r="C1737">
        <f>BDP(A1737&amp;" US Equity","EXCH_CODE")</f>
        <v/>
      </c>
      <c r="D1737" s="5">
        <f>BDP(A1737&amp;" US Equity","VOLUME_AVG_20D")</f>
        <v/>
      </c>
      <c r="E1737" s="6">
        <f>BDP(A1737&amp;" US Equity","PX_LAST")</f>
        <v/>
      </c>
      <c r="F1737" s="5">
        <f>D1737*E1737</f>
        <v/>
      </c>
      <c r="G1737">
        <f>AND(B1737&gt;=50,B1737&lt;=10000)</f>
        <v/>
      </c>
      <c r="H1737">
        <f>OR(C1737="NAS",C1737="NYS",C1737="ASE")</f>
        <v/>
      </c>
      <c r="I1737">
        <f>F1737&gt;=500000</f>
        <v/>
      </c>
      <c r="J1737">
        <f>E1737&gt;=2</f>
        <v/>
      </c>
      <c r="K1737">
        <f>AND(G1737,H1737,I1737,J1737)</f>
        <v/>
      </c>
    </row>
    <row r="1738">
      <c r="B1738" s="5">
        <f>BDP(A1738&amp;" US Equity","CUR_MKT_CAP")</f>
        <v/>
      </c>
      <c r="C1738">
        <f>BDP(A1738&amp;" US Equity","EXCH_CODE")</f>
        <v/>
      </c>
      <c r="D1738" s="5">
        <f>BDP(A1738&amp;" US Equity","VOLUME_AVG_20D")</f>
        <v/>
      </c>
      <c r="E1738" s="6">
        <f>BDP(A1738&amp;" US Equity","PX_LAST")</f>
        <v/>
      </c>
      <c r="F1738" s="5">
        <f>D1738*E1738</f>
        <v/>
      </c>
      <c r="G1738">
        <f>AND(B1738&gt;=50,B1738&lt;=10000)</f>
        <v/>
      </c>
      <c r="H1738">
        <f>OR(C1738="NAS",C1738="NYS",C1738="ASE")</f>
        <v/>
      </c>
      <c r="I1738">
        <f>F1738&gt;=500000</f>
        <v/>
      </c>
      <c r="J1738">
        <f>E1738&gt;=2</f>
        <v/>
      </c>
      <c r="K1738">
        <f>AND(G1738,H1738,I1738,J1738)</f>
        <v/>
      </c>
    </row>
    <row r="1739">
      <c r="B1739" s="5">
        <f>BDP(A1739&amp;" US Equity","CUR_MKT_CAP")</f>
        <v/>
      </c>
      <c r="C1739">
        <f>BDP(A1739&amp;" US Equity","EXCH_CODE")</f>
        <v/>
      </c>
      <c r="D1739" s="5">
        <f>BDP(A1739&amp;" US Equity","VOLUME_AVG_20D")</f>
        <v/>
      </c>
      <c r="E1739" s="6">
        <f>BDP(A1739&amp;" US Equity","PX_LAST")</f>
        <v/>
      </c>
      <c r="F1739" s="5">
        <f>D1739*E1739</f>
        <v/>
      </c>
      <c r="G1739">
        <f>AND(B1739&gt;=50,B1739&lt;=10000)</f>
        <v/>
      </c>
      <c r="H1739">
        <f>OR(C1739="NAS",C1739="NYS",C1739="ASE")</f>
        <v/>
      </c>
      <c r="I1739">
        <f>F1739&gt;=500000</f>
        <v/>
      </c>
      <c r="J1739">
        <f>E1739&gt;=2</f>
        <v/>
      </c>
      <c r="K1739">
        <f>AND(G1739,H1739,I1739,J1739)</f>
        <v/>
      </c>
    </row>
    <row r="1740">
      <c r="B1740" s="5">
        <f>BDP(A1740&amp;" US Equity","CUR_MKT_CAP")</f>
        <v/>
      </c>
      <c r="C1740">
        <f>BDP(A1740&amp;" US Equity","EXCH_CODE")</f>
        <v/>
      </c>
      <c r="D1740" s="5">
        <f>BDP(A1740&amp;" US Equity","VOLUME_AVG_20D")</f>
        <v/>
      </c>
      <c r="E1740" s="6">
        <f>BDP(A1740&amp;" US Equity","PX_LAST")</f>
        <v/>
      </c>
      <c r="F1740" s="5">
        <f>D1740*E1740</f>
        <v/>
      </c>
      <c r="G1740">
        <f>AND(B1740&gt;=50,B1740&lt;=10000)</f>
        <v/>
      </c>
      <c r="H1740">
        <f>OR(C1740="NAS",C1740="NYS",C1740="ASE")</f>
        <v/>
      </c>
      <c r="I1740">
        <f>F1740&gt;=500000</f>
        <v/>
      </c>
      <c r="J1740">
        <f>E1740&gt;=2</f>
        <v/>
      </c>
      <c r="K1740">
        <f>AND(G1740,H1740,I1740,J1740)</f>
        <v/>
      </c>
    </row>
    <row r="1741">
      <c r="B1741" s="5">
        <f>BDP(A1741&amp;" US Equity","CUR_MKT_CAP")</f>
        <v/>
      </c>
      <c r="C1741">
        <f>BDP(A1741&amp;" US Equity","EXCH_CODE")</f>
        <v/>
      </c>
      <c r="D1741" s="5">
        <f>BDP(A1741&amp;" US Equity","VOLUME_AVG_20D")</f>
        <v/>
      </c>
      <c r="E1741" s="6">
        <f>BDP(A1741&amp;" US Equity","PX_LAST")</f>
        <v/>
      </c>
      <c r="F1741" s="5">
        <f>D1741*E1741</f>
        <v/>
      </c>
      <c r="G1741">
        <f>AND(B1741&gt;=50,B1741&lt;=10000)</f>
        <v/>
      </c>
      <c r="H1741">
        <f>OR(C1741="NAS",C1741="NYS",C1741="ASE")</f>
        <v/>
      </c>
      <c r="I1741">
        <f>F1741&gt;=500000</f>
        <v/>
      </c>
      <c r="J1741">
        <f>E1741&gt;=2</f>
        <v/>
      </c>
      <c r="K1741">
        <f>AND(G1741,H1741,I1741,J1741)</f>
        <v/>
      </c>
    </row>
    <row r="1742">
      <c r="B1742" s="5">
        <f>BDP(A1742&amp;" US Equity","CUR_MKT_CAP")</f>
        <v/>
      </c>
      <c r="C1742">
        <f>BDP(A1742&amp;" US Equity","EXCH_CODE")</f>
        <v/>
      </c>
      <c r="D1742" s="5">
        <f>BDP(A1742&amp;" US Equity","VOLUME_AVG_20D")</f>
        <v/>
      </c>
      <c r="E1742" s="6">
        <f>BDP(A1742&amp;" US Equity","PX_LAST")</f>
        <v/>
      </c>
      <c r="F1742" s="5">
        <f>D1742*E1742</f>
        <v/>
      </c>
      <c r="G1742">
        <f>AND(B1742&gt;=50,B1742&lt;=10000)</f>
        <v/>
      </c>
      <c r="H1742">
        <f>OR(C1742="NAS",C1742="NYS",C1742="ASE")</f>
        <v/>
      </c>
      <c r="I1742">
        <f>F1742&gt;=500000</f>
        <v/>
      </c>
      <c r="J1742">
        <f>E1742&gt;=2</f>
        <v/>
      </c>
      <c r="K1742">
        <f>AND(G1742,H1742,I1742,J1742)</f>
        <v/>
      </c>
    </row>
    <row r="1743">
      <c r="B1743" s="5">
        <f>BDP(A1743&amp;" US Equity","CUR_MKT_CAP")</f>
        <v/>
      </c>
      <c r="C1743">
        <f>BDP(A1743&amp;" US Equity","EXCH_CODE")</f>
        <v/>
      </c>
      <c r="D1743" s="5">
        <f>BDP(A1743&amp;" US Equity","VOLUME_AVG_20D")</f>
        <v/>
      </c>
      <c r="E1743" s="6">
        <f>BDP(A1743&amp;" US Equity","PX_LAST")</f>
        <v/>
      </c>
      <c r="F1743" s="5">
        <f>D1743*E1743</f>
        <v/>
      </c>
      <c r="G1743">
        <f>AND(B1743&gt;=50,B1743&lt;=10000)</f>
        <v/>
      </c>
      <c r="H1743">
        <f>OR(C1743="NAS",C1743="NYS",C1743="ASE")</f>
        <v/>
      </c>
      <c r="I1743">
        <f>F1743&gt;=500000</f>
        <v/>
      </c>
      <c r="J1743">
        <f>E1743&gt;=2</f>
        <v/>
      </c>
      <c r="K1743">
        <f>AND(G1743,H1743,I1743,J1743)</f>
        <v/>
      </c>
    </row>
    <row r="1744">
      <c r="B1744" s="5">
        <f>BDP(A1744&amp;" US Equity","CUR_MKT_CAP")</f>
        <v/>
      </c>
      <c r="C1744">
        <f>BDP(A1744&amp;" US Equity","EXCH_CODE")</f>
        <v/>
      </c>
      <c r="D1744" s="5">
        <f>BDP(A1744&amp;" US Equity","VOLUME_AVG_20D")</f>
        <v/>
      </c>
      <c r="E1744" s="6">
        <f>BDP(A1744&amp;" US Equity","PX_LAST")</f>
        <v/>
      </c>
      <c r="F1744" s="5">
        <f>D1744*E1744</f>
        <v/>
      </c>
      <c r="G1744">
        <f>AND(B1744&gt;=50,B1744&lt;=10000)</f>
        <v/>
      </c>
      <c r="H1744">
        <f>OR(C1744="NAS",C1744="NYS",C1744="ASE")</f>
        <v/>
      </c>
      <c r="I1744">
        <f>F1744&gt;=500000</f>
        <v/>
      </c>
      <c r="J1744">
        <f>E1744&gt;=2</f>
        <v/>
      </c>
      <c r="K1744">
        <f>AND(G1744,H1744,I1744,J1744)</f>
        <v/>
      </c>
    </row>
    <row r="1745">
      <c r="B1745" s="5">
        <f>BDP(A1745&amp;" US Equity","CUR_MKT_CAP")</f>
        <v/>
      </c>
      <c r="C1745">
        <f>BDP(A1745&amp;" US Equity","EXCH_CODE")</f>
        <v/>
      </c>
      <c r="D1745" s="5">
        <f>BDP(A1745&amp;" US Equity","VOLUME_AVG_20D")</f>
        <v/>
      </c>
      <c r="E1745" s="6">
        <f>BDP(A1745&amp;" US Equity","PX_LAST")</f>
        <v/>
      </c>
      <c r="F1745" s="5">
        <f>D1745*E1745</f>
        <v/>
      </c>
      <c r="G1745">
        <f>AND(B1745&gt;=50,B1745&lt;=10000)</f>
        <v/>
      </c>
      <c r="H1745">
        <f>OR(C1745="NAS",C1745="NYS",C1745="ASE")</f>
        <v/>
      </c>
      <c r="I1745">
        <f>F1745&gt;=500000</f>
        <v/>
      </c>
      <c r="J1745">
        <f>E1745&gt;=2</f>
        <v/>
      </c>
      <c r="K1745">
        <f>AND(G1745,H1745,I1745,J1745)</f>
        <v/>
      </c>
    </row>
    <row r="1746">
      <c r="B1746" s="5">
        <f>BDP(A1746&amp;" US Equity","CUR_MKT_CAP")</f>
        <v/>
      </c>
      <c r="C1746">
        <f>BDP(A1746&amp;" US Equity","EXCH_CODE")</f>
        <v/>
      </c>
      <c r="D1746" s="5">
        <f>BDP(A1746&amp;" US Equity","VOLUME_AVG_20D")</f>
        <v/>
      </c>
      <c r="E1746" s="6">
        <f>BDP(A1746&amp;" US Equity","PX_LAST")</f>
        <v/>
      </c>
      <c r="F1746" s="5">
        <f>D1746*E1746</f>
        <v/>
      </c>
      <c r="G1746">
        <f>AND(B1746&gt;=50,B1746&lt;=10000)</f>
        <v/>
      </c>
      <c r="H1746">
        <f>OR(C1746="NAS",C1746="NYS",C1746="ASE")</f>
        <v/>
      </c>
      <c r="I1746">
        <f>F1746&gt;=500000</f>
        <v/>
      </c>
      <c r="J1746">
        <f>E1746&gt;=2</f>
        <v/>
      </c>
      <c r="K1746">
        <f>AND(G1746,H1746,I1746,J1746)</f>
        <v/>
      </c>
    </row>
    <row r="1747">
      <c r="B1747" s="5">
        <f>BDP(A1747&amp;" US Equity","CUR_MKT_CAP")</f>
        <v/>
      </c>
      <c r="C1747">
        <f>BDP(A1747&amp;" US Equity","EXCH_CODE")</f>
        <v/>
      </c>
      <c r="D1747" s="5">
        <f>BDP(A1747&amp;" US Equity","VOLUME_AVG_20D")</f>
        <v/>
      </c>
      <c r="E1747" s="6">
        <f>BDP(A1747&amp;" US Equity","PX_LAST")</f>
        <v/>
      </c>
      <c r="F1747" s="5">
        <f>D1747*E1747</f>
        <v/>
      </c>
      <c r="G1747">
        <f>AND(B1747&gt;=50,B1747&lt;=10000)</f>
        <v/>
      </c>
      <c r="H1747">
        <f>OR(C1747="NAS",C1747="NYS",C1747="ASE")</f>
        <v/>
      </c>
      <c r="I1747">
        <f>F1747&gt;=500000</f>
        <v/>
      </c>
      <c r="J1747">
        <f>E1747&gt;=2</f>
        <v/>
      </c>
      <c r="K1747">
        <f>AND(G1747,H1747,I1747,J1747)</f>
        <v/>
      </c>
    </row>
    <row r="1748">
      <c r="B1748" s="5">
        <f>BDP(A1748&amp;" US Equity","CUR_MKT_CAP")</f>
        <v/>
      </c>
      <c r="C1748">
        <f>BDP(A1748&amp;" US Equity","EXCH_CODE")</f>
        <v/>
      </c>
      <c r="D1748" s="5">
        <f>BDP(A1748&amp;" US Equity","VOLUME_AVG_20D")</f>
        <v/>
      </c>
      <c r="E1748" s="6">
        <f>BDP(A1748&amp;" US Equity","PX_LAST")</f>
        <v/>
      </c>
      <c r="F1748" s="5">
        <f>D1748*E1748</f>
        <v/>
      </c>
      <c r="G1748">
        <f>AND(B1748&gt;=50,B1748&lt;=10000)</f>
        <v/>
      </c>
      <c r="H1748">
        <f>OR(C1748="NAS",C1748="NYS",C1748="ASE")</f>
        <v/>
      </c>
      <c r="I1748">
        <f>F1748&gt;=500000</f>
        <v/>
      </c>
      <c r="J1748">
        <f>E1748&gt;=2</f>
        <v/>
      </c>
      <c r="K1748">
        <f>AND(G1748,H1748,I1748,J1748)</f>
        <v/>
      </c>
    </row>
    <row r="1749">
      <c r="B1749" s="5">
        <f>BDP(A1749&amp;" US Equity","CUR_MKT_CAP")</f>
        <v/>
      </c>
      <c r="C1749">
        <f>BDP(A1749&amp;" US Equity","EXCH_CODE")</f>
        <v/>
      </c>
      <c r="D1749" s="5">
        <f>BDP(A1749&amp;" US Equity","VOLUME_AVG_20D")</f>
        <v/>
      </c>
      <c r="E1749" s="6">
        <f>BDP(A1749&amp;" US Equity","PX_LAST")</f>
        <v/>
      </c>
      <c r="F1749" s="5">
        <f>D1749*E1749</f>
        <v/>
      </c>
      <c r="G1749">
        <f>AND(B1749&gt;=50,B1749&lt;=10000)</f>
        <v/>
      </c>
      <c r="H1749">
        <f>OR(C1749="NAS",C1749="NYS",C1749="ASE")</f>
        <v/>
      </c>
      <c r="I1749">
        <f>F1749&gt;=500000</f>
        <v/>
      </c>
      <c r="J1749">
        <f>E1749&gt;=2</f>
        <v/>
      </c>
      <c r="K1749">
        <f>AND(G1749,H1749,I1749,J1749)</f>
        <v/>
      </c>
    </row>
    <row r="1750">
      <c r="B1750" s="5">
        <f>BDP(A1750&amp;" US Equity","CUR_MKT_CAP")</f>
        <v/>
      </c>
      <c r="C1750">
        <f>BDP(A1750&amp;" US Equity","EXCH_CODE")</f>
        <v/>
      </c>
      <c r="D1750" s="5">
        <f>BDP(A1750&amp;" US Equity","VOLUME_AVG_20D")</f>
        <v/>
      </c>
      <c r="E1750" s="6">
        <f>BDP(A1750&amp;" US Equity","PX_LAST")</f>
        <v/>
      </c>
      <c r="F1750" s="5">
        <f>D1750*E1750</f>
        <v/>
      </c>
      <c r="G1750">
        <f>AND(B1750&gt;=50,B1750&lt;=10000)</f>
        <v/>
      </c>
      <c r="H1750">
        <f>OR(C1750="NAS",C1750="NYS",C1750="ASE")</f>
        <v/>
      </c>
      <c r="I1750">
        <f>F1750&gt;=500000</f>
        <v/>
      </c>
      <c r="J1750">
        <f>E1750&gt;=2</f>
        <v/>
      </c>
      <c r="K1750">
        <f>AND(G1750,H1750,I1750,J1750)</f>
        <v/>
      </c>
    </row>
    <row r="1751">
      <c r="B1751" s="5">
        <f>BDP(A1751&amp;" US Equity","CUR_MKT_CAP")</f>
        <v/>
      </c>
      <c r="C1751">
        <f>BDP(A1751&amp;" US Equity","EXCH_CODE")</f>
        <v/>
      </c>
      <c r="D1751" s="5">
        <f>BDP(A1751&amp;" US Equity","VOLUME_AVG_20D")</f>
        <v/>
      </c>
      <c r="E1751" s="6">
        <f>BDP(A1751&amp;" US Equity","PX_LAST")</f>
        <v/>
      </c>
      <c r="F1751" s="5">
        <f>D1751*E1751</f>
        <v/>
      </c>
      <c r="G1751">
        <f>AND(B1751&gt;=50,B1751&lt;=10000)</f>
        <v/>
      </c>
      <c r="H1751">
        <f>OR(C1751="NAS",C1751="NYS",C1751="ASE")</f>
        <v/>
      </c>
      <c r="I1751">
        <f>F1751&gt;=500000</f>
        <v/>
      </c>
      <c r="J1751">
        <f>E1751&gt;=2</f>
        <v/>
      </c>
      <c r="K1751">
        <f>AND(G1751,H1751,I1751,J1751)</f>
        <v/>
      </c>
    </row>
    <row r="1752">
      <c r="B1752" s="5">
        <f>BDP(A1752&amp;" US Equity","CUR_MKT_CAP")</f>
        <v/>
      </c>
      <c r="C1752">
        <f>BDP(A1752&amp;" US Equity","EXCH_CODE")</f>
        <v/>
      </c>
      <c r="D1752" s="5">
        <f>BDP(A1752&amp;" US Equity","VOLUME_AVG_20D")</f>
        <v/>
      </c>
      <c r="E1752" s="6">
        <f>BDP(A1752&amp;" US Equity","PX_LAST")</f>
        <v/>
      </c>
      <c r="F1752" s="5">
        <f>D1752*E1752</f>
        <v/>
      </c>
      <c r="G1752">
        <f>AND(B1752&gt;=50,B1752&lt;=10000)</f>
        <v/>
      </c>
      <c r="H1752">
        <f>OR(C1752="NAS",C1752="NYS",C1752="ASE")</f>
        <v/>
      </c>
      <c r="I1752">
        <f>F1752&gt;=500000</f>
        <v/>
      </c>
      <c r="J1752">
        <f>E1752&gt;=2</f>
        <v/>
      </c>
      <c r="K1752">
        <f>AND(G1752,H1752,I1752,J1752)</f>
        <v/>
      </c>
    </row>
    <row r="1753">
      <c r="B1753" s="5">
        <f>BDP(A1753&amp;" US Equity","CUR_MKT_CAP")</f>
        <v/>
      </c>
      <c r="C1753">
        <f>BDP(A1753&amp;" US Equity","EXCH_CODE")</f>
        <v/>
      </c>
      <c r="D1753" s="5">
        <f>BDP(A1753&amp;" US Equity","VOLUME_AVG_20D")</f>
        <v/>
      </c>
      <c r="E1753" s="6">
        <f>BDP(A1753&amp;" US Equity","PX_LAST")</f>
        <v/>
      </c>
      <c r="F1753" s="5">
        <f>D1753*E1753</f>
        <v/>
      </c>
      <c r="G1753">
        <f>AND(B1753&gt;=50,B1753&lt;=10000)</f>
        <v/>
      </c>
      <c r="H1753">
        <f>OR(C1753="NAS",C1753="NYS",C1753="ASE")</f>
        <v/>
      </c>
      <c r="I1753">
        <f>F1753&gt;=500000</f>
        <v/>
      </c>
      <c r="J1753">
        <f>E1753&gt;=2</f>
        <v/>
      </c>
      <c r="K1753">
        <f>AND(G1753,H1753,I1753,J1753)</f>
        <v/>
      </c>
    </row>
    <row r="1754">
      <c r="B1754" s="5">
        <f>BDP(A1754&amp;" US Equity","CUR_MKT_CAP")</f>
        <v/>
      </c>
      <c r="C1754">
        <f>BDP(A1754&amp;" US Equity","EXCH_CODE")</f>
        <v/>
      </c>
      <c r="D1754" s="5">
        <f>BDP(A1754&amp;" US Equity","VOLUME_AVG_20D")</f>
        <v/>
      </c>
      <c r="E1754" s="6">
        <f>BDP(A1754&amp;" US Equity","PX_LAST")</f>
        <v/>
      </c>
      <c r="F1754" s="5">
        <f>D1754*E1754</f>
        <v/>
      </c>
      <c r="G1754">
        <f>AND(B1754&gt;=50,B1754&lt;=10000)</f>
        <v/>
      </c>
      <c r="H1754">
        <f>OR(C1754="NAS",C1754="NYS",C1754="ASE")</f>
        <v/>
      </c>
      <c r="I1754">
        <f>F1754&gt;=500000</f>
        <v/>
      </c>
      <c r="J1754">
        <f>E1754&gt;=2</f>
        <v/>
      </c>
      <c r="K1754">
        <f>AND(G1754,H1754,I1754,J1754)</f>
        <v/>
      </c>
    </row>
    <row r="1755">
      <c r="B1755" s="5">
        <f>BDP(A1755&amp;" US Equity","CUR_MKT_CAP")</f>
        <v/>
      </c>
      <c r="C1755">
        <f>BDP(A1755&amp;" US Equity","EXCH_CODE")</f>
        <v/>
      </c>
      <c r="D1755" s="5">
        <f>BDP(A1755&amp;" US Equity","VOLUME_AVG_20D")</f>
        <v/>
      </c>
      <c r="E1755" s="6">
        <f>BDP(A1755&amp;" US Equity","PX_LAST")</f>
        <v/>
      </c>
      <c r="F1755" s="5">
        <f>D1755*E1755</f>
        <v/>
      </c>
      <c r="G1755">
        <f>AND(B1755&gt;=50,B1755&lt;=10000)</f>
        <v/>
      </c>
      <c r="H1755">
        <f>OR(C1755="NAS",C1755="NYS",C1755="ASE")</f>
        <v/>
      </c>
      <c r="I1755">
        <f>F1755&gt;=500000</f>
        <v/>
      </c>
      <c r="J1755">
        <f>E1755&gt;=2</f>
        <v/>
      </c>
      <c r="K1755">
        <f>AND(G1755,H1755,I1755,J1755)</f>
        <v/>
      </c>
    </row>
    <row r="1756">
      <c r="B1756" s="5">
        <f>BDP(A1756&amp;" US Equity","CUR_MKT_CAP")</f>
        <v/>
      </c>
      <c r="C1756">
        <f>BDP(A1756&amp;" US Equity","EXCH_CODE")</f>
        <v/>
      </c>
      <c r="D1756" s="5">
        <f>BDP(A1756&amp;" US Equity","VOLUME_AVG_20D")</f>
        <v/>
      </c>
      <c r="E1756" s="6">
        <f>BDP(A1756&amp;" US Equity","PX_LAST")</f>
        <v/>
      </c>
      <c r="F1756" s="5">
        <f>D1756*E1756</f>
        <v/>
      </c>
      <c r="G1756">
        <f>AND(B1756&gt;=50,B1756&lt;=10000)</f>
        <v/>
      </c>
      <c r="H1756">
        <f>OR(C1756="NAS",C1756="NYS",C1756="ASE")</f>
        <v/>
      </c>
      <c r="I1756">
        <f>F1756&gt;=500000</f>
        <v/>
      </c>
      <c r="J1756">
        <f>E1756&gt;=2</f>
        <v/>
      </c>
      <c r="K1756">
        <f>AND(G1756,H1756,I1756,J1756)</f>
        <v/>
      </c>
    </row>
    <row r="1757">
      <c r="B1757" s="5">
        <f>BDP(A1757&amp;" US Equity","CUR_MKT_CAP")</f>
        <v/>
      </c>
      <c r="C1757">
        <f>BDP(A1757&amp;" US Equity","EXCH_CODE")</f>
        <v/>
      </c>
      <c r="D1757" s="5">
        <f>BDP(A1757&amp;" US Equity","VOLUME_AVG_20D")</f>
        <v/>
      </c>
      <c r="E1757" s="6">
        <f>BDP(A1757&amp;" US Equity","PX_LAST")</f>
        <v/>
      </c>
      <c r="F1757" s="5">
        <f>D1757*E1757</f>
        <v/>
      </c>
      <c r="G1757">
        <f>AND(B1757&gt;=50,B1757&lt;=10000)</f>
        <v/>
      </c>
      <c r="H1757">
        <f>OR(C1757="NAS",C1757="NYS",C1757="ASE")</f>
        <v/>
      </c>
      <c r="I1757">
        <f>F1757&gt;=500000</f>
        <v/>
      </c>
      <c r="J1757">
        <f>E1757&gt;=2</f>
        <v/>
      </c>
      <c r="K1757">
        <f>AND(G1757,H1757,I1757,J1757)</f>
        <v/>
      </c>
    </row>
    <row r="1758">
      <c r="B1758" s="5">
        <f>BDP(A1758&amp;" US Equity","CUR_MKT_CAP")</f>
        <v/>
      </c>
      <c r="C1758">
        <f>BDP(A1758&amp;" US Equity","EXCH_CODE")</f>
        <v/>
      </c>
      <c r="D1758" s="5">
        <f>BDP(A1758&amp;" US Equity","VOLUME_AVG_20D")</f>
        <v/>
      </c>
      <c r="E1758" s="6">
        <f>BDP(A1758&amp;" US Equity","PX_LAST")</f>
        <v/>
      </c>
      <c r="F1758" s="5">
        <f>D1758*E1758</f>
        <v/>
      </c>
      <c r="G1758">
        <f>AND(B1758&gt;=50,B1758&lt;=10000)</f>
        <v/>
      </c>
      <c r="H1758">
        <f>OR(C1758="NAS",C1758="NYS",C1758="ASE")</f>
        <v/>
      </c>
      <c r="I1758">
        <f>F1758&gt;=500000</f>
        <v/>
      </c>
      <c r="J1758">
        <f>E1758&gt;=2</f>
        <v/>
      </c>
      <c r="K1758">
        <f>AND(G1758,H1758,I1758,J1758)</f>
        <v/>
      </c>
    </row>
    <row r="1759">
      <c r="B1759" s="5">
        <f>BDP(A1759&amp;" US Equity","CUR_MKT_CAP")</f>
        <v/>
      </c>
      <c r="C1759">
        <f>BDP(A1759&amp;" US Equity","EXCH_CODE")</f>
        <v/>
      </c>
      <c r="D1759" s="5">
        <f>BDP(A1759&amp;" US Equity","VOLUME_AVG_20D")</f>
        <v/>
      </c>
      <c r="E1759" s="6">
        <f>BDP(A1759&amp;" US Equity","PX_LAST")</f>
        <v/>
      </c>
      <c r="F1759" s="5">
        <f>D1759*E1759</f>
        <v/>
      </c>
      <c r="G1759">
        <f>AND(B1759&gt;=50,B1759&lt;=10000)</f>
        <v/>
      </c>
      <c r="H1759">
        <f>OR(C1759="NAS",C1759="NYS",C1759="ASE")</f>
        <v/>
      </c>
      <c r="I1759">
        <f>F1759&gt;=500000</f>
        <v/>
      </c>
      <c r="J1759">
        <f>E1759&gt;=2</f>
        <v/>
      </c>
      <c r="K1759">
        <f>AND(G1759,H1759,I1759,J1759)</f>
        <v/>
      </c>
    </row>
    <row r="1760">
      <c r="B1760" s="5">
        <f>BDP(A1760&amp;" US Equity","CUR_MKT_CAP")</f>
        <v/>
      </c>
      <c r="C1760">
        <f>BDP(A1760&amp;" US Equity","EXCH_CODE")</f>
        <v/>
      </c>
      <c r="D1760" s="5">
        <f>BDP(A1760&amp;" US Equity","VOLUME_AVG_20D")</f>
        <v/>
      </c>
      <c r="E1760" s="6">
        <f>BDP(A1760&amp;" US Equity","PX_LAST")</f>
        <v/>
      </c>
      <c r="F1760" s="5">
        <f>D1760*E1760</f>
        <v/>
      </c>
      <c r="G1760">
        <f>AND(B1760&gt;=50,B1760&lt;=10000)</f>
        <v/>
      </c>
      <c r="H1760">
        <f>OR(C1760="NAS",C1760="NYS",C1760="ASE")</f>
        <v/>
      </c>
      <c r="I1760">
        <f>F1760&gt;=500000</f>
        <v/>
      </c>
      <c r="J1760">
        <f>E1760&gt;=2</f>
        <v/>
      </c>
      <c r="K1760">
        <f>AND(G1760,H1760,I1760,J1760)</f>
        <v/>
      </c>
    </row>
    <row r="1761">
      <c r="B1761" s="5">
        <f>BDP(A1761&amp;" US Equity","CUR_MKT_CAP")</f>
        <v/>
      </c>
      <c r="C1761">
        <f>BDP(A1761&amp;" US Equity","EXCH_CODE")</f>
        <v/>
      </c>
      <c r="D1761" s="5">
        <f>BDP(A1761&amp;" US Equity","VOLUME_AVG_20D")</f>
        <v/>
      </c>
      <c r="E1761" s="6">
        <f>BDP(A1761&amp;" US Equity","PX_LAST")</f>
        <v/>
      </c>
      <c r="F1761" s="5">
        <f>D1761*E1761</f>
        <v/>
      </c>
      <c r="G1761">
        <f>AND(B1761&gt;=50,B1761&lt;=10000)</f>
        <v/>
      </c>
      <c r="H1761">
        <f>OR(C1761="NAS",C1761="NYS",C1761="ASE")</f>
        <v/>
      </c>
      <c r="I1761">
        <f>F1761&gt;=500000</f>
        <v/>
      </c>
      <c r="J1761">
        <f>E1761&gt;=2</f>
        <v/>
      </c>
      <c r="K1761">
        <f>AND(G1761,H1761,I1761,J1761)</f>
        <v/>
      </c>
    </row>
    <row r="1762">
      <c r="B1762" s="5">
        <f>BDP(A1762&amp;" US Equity","CUR_MKT_CAP")</f>
        <v/>
      </c>
      <c r="C1762">
        <f>BDP(A1762&amp;" US Equity","EXCH_CODE")</f>
        <v/>
      </c>
      <c r="D1762" s="5">
        <f>BDP(A1762&amp;" US Equity","VOLUME_AVG_20D")</f>
        <v/>
      </c>
      <c r="E1762" s="6">
        <f>BDP(A1762&amp;" US Equity","PX_LAST")</f>
        <v/>
      </c>
      <c r="F1762" s="5">
        <f>D1762*E1762</f>
        <v/>
      </c>
      <c r="G1762">
        <f>AND(B1762&gt;=50,B1762&lt;=10000)</f>
        <v/>
      </c>
      <c r="H1762">
        <f>OR(C1762="NAS",C1762="NYS",C1762="ASE")</f>
        <v/>
      </c>
      <c r="I1762">
        <f>F1762&gt;=500000</f>
        <v/>
      </c>
      <c r="J1762">
        <f>E1762&gt;=2</f>
        <v/>
      </c>
      <c r="K1762">
        <f>AND(G1762,H1762,I1762,J1762)</f>
        <v/>
      </c>
    </row>
    <row r="1763">
      <c r="B1763" s="5">
        <f>BDP(A1763&amp;" US Equity","CUR_MKT_CAP")</f>
        <v/>
      </c>
      <c r="C1763">
        <f>BDP(A1763&amp;" US Equity","EXCH_CODE")</f>
        <v/>
      </c>
      <c r="D1763" s="5">
        <f>BDP(A1763&amp;" US Equity","VOLUME_AVG_20D")</f>
        <v/>
      </c>
      <c r="E1763" s="6">
        <f>BDP(A1763&amp;" US Equity","PX_LAST")</f>
        <v/>
      </c>
      <c r="F1763" s="5">
        <f>D1763*E1763</f>
        <v/>
      </c>
      <c r="G1763">
        <f>AND(B1763&gt;=50,B1763&lt;=10000)</f>
        <v/>
      </c>
      <c r="H1763">
        <f>OR(C1763="NAS",C1763="NYS",C1763="ASE")</f>
        <v/>
      </c>
      <c r="I1763">
        <f>F1763&gt;=500000</f>
        <v/>
      </c>
      <c r="J1763">
        <f>E1763&gt;=2</f>
        <v/>
      </c>
      <c r="K1763">
        <f>AND(G1763,H1763,I1763,J1763)</f>
        <v/>
      </c>
    </row>
    <row r="1764">
      <c r="B1764" s="5">
        <f>BDP(A1764&amp;" US Equity","CUR_MKT_CAP")</f>
        <v/>
      </c>
      <c r="C1764">
        <f>BDP(A1764&amp;" US Equity","EXCH_CODE")</f>
        <v/>
      </c>
      <c r="D1764" s="5">
        <f>BDP(A1764&amp;" US Equity","VOLUME_AVG_20D")</f>
        <v/>
      </c>
      <c r="E1764" s="6">
        <f>BDP(A1764&amp;" US Equity","PX_LAST")</f>
        <v/>
      </c>
      <c r="F1764" s="5">
        <f>D1764*E1764</f>
        <v/>
      </c>
      <c r="G1764">
        <f>AND(B1764&gt;=50,B1764&lt;=10000)</f>
        <v/>
      </c>
      <c r="H1764">
        <f>OR(C1764="NAS",C1764="NYS",C1764="ASE")</f>
        <v/>
      </c>
      <c r="I1764">
        <f>F1764&gt;=500000</f>
        <v/>
      </c>
      <c r="J1764">
        <f>E1764&gt;=2</f>
        <v/>
      </c>
      <c r="K1764">
        <f>AND(G1764,H1764,I1764,J1764)</f>
        <v/>
      </c>
    </row>
    <row r="1765">
      <c r="B1765" s="5">
        <f>BDP(A1765&amp;" US Equity","CUR_MKT_CAP")</f>
        <v/>
      </c>
      <c r="C1765">
        <f>BDP(A1765&amp;" US Equity","EXCH_CODE")</f>
        <v/>
      </c>
      <c r="D1765" s="5">
        <f>BDP(A1765&amp;" US Equity","VOLUME_AVG_20D")</f>
        <v/>
      </c>
      <c r="E1765" s="6">
        <f>BDP(A1765&amp;" US Equity","PX_LAST")</f>
        <v/>
      </c>
      <c r="F1765" s="5">
        <f>D1765*E1765</f>
        <v/>
      </c>
      <c r="G1765">
        <f>AND(B1765&gt;=50,B1765&lt;=10000)</f>
        <v/>
      </c>
      <c r="H1765">
        <f>OR(C1765="NAS",C1765="NYS",C1765="ASE")</f>
        <v/>
      </c>
      <c r="I1765">
        <f>F1765&gt;=500000</f>
        <v/>
      </c>
      <c r="J1765">
        <f>E1765&gt;=2</f>
        <v/>
      </c>
      <c r="K1765">
        <f>AND(G1765,H1765,I1765,J1765)</f>
        <v/>
      </c>
    </row>
    <row r="1766">
      <c r="B1766" s="5">
        <f>BDP(A1766&amp;" US Equity","CUR_MKT_CAP")</f>
        <v/>
      </c>
      <c r="C1766">
        <f>BDP(A1766&amp;" US Equity","EXCH_CODE")</f>
        <v/>
      </c>
      <c r="D1766" s="5">
        <f>BDP(A1766&amp;" US Equity","VOLUME_AVG_20D")</f>
        <v/>
      </c>
      <c r="E1766" s="6">
        <f>BDP(A1766&amp;" US Equity","PX_LAST")</f>
        <v/>
      </c>
      <c r="F1766" s="5">
        <f>D1766*E1766</f>
        <v/>
      </c>
      <c r="G1766">
        <f>AND(B1766&gt;=50,B1766&lt;=10000)</f>
        <v/>
      </c>
      <c r="H1766">
        <f>OR(C1766="NAS",C1766="NYS",C1766="ASE")</f>
        <v/>
      </c>
      <c r="I1766">
        <f>F1766&gt;=500000</f>
        <v/>
      </c>
      <c r="J1766">
        <f>E1766&gt;=2</f>
        <v/>
      </c>
      <c r="K1766">
        <f>AND(G1766,H1766,I1766,J1766)</f>
        <v/>
      </c>
    </row>
    <row r="1767">
      <c r="B1767" s="5">
        <f>BDP(A1767&amp;" US Equity","CUR_MKT_CAP")</f>
        <v/>
      </c>
      <c r="C1767">
        <f>BDP(A1767&amp;" US Equity","EXCH_CODE")</f>
        <v/>
      </c>
      <c r="D1767" s="5">
        <f>BDP(A1767&amp;" US Equity","VOLUME_AVG_20D")</f>
        <v/>
      </c>
      <c r="E1767" s="6">
        <f>BDP(A1767&amp;" US Equity","PX_LAST")</f>
        <v/>
      </c>
      <c r="F1767" s="5">
        <f>D1767*E1767</f>
        <v/>
      </c>
      <c r="G1767">
        <f>AND(B1767&gt;=50,B1767&lt;=10000)</f>
        <v/>
      </c>
      <c r="H1767">
        <f>OR(C1767="NAS",C1767="NYS",C1767="ASE")</f>
        <v/>
      </c>
      <c r="I1767">
        <f>F1767&gt;=500000</f>
        <v/>
      </c>
      <c r="J1767">
        <f>E1767&gt;=2</f>
        <v/>
      </c>
      <c r="K1767">
        <f>AND(G1767,H1767,I1767,J1767)</f>
        <v/>
      </c>
    </row>
    <row r="1768">
      <c r="B1768" s="5">
        <f>BDP(A1768&amp;" US Equity","CUR_MKT_CAP")</f>
        <v/>
      </c>
      <c r="C1768">
        <f>BDP(A1768&amp;" US Equity","EXCH_CODE")</f>
        <v/>
      </c>
      <c r="D1768" s="5">
        <f>BDP(A1768&amp;" US Equity","VOLUME_AVG_20D")</f>
        <v/>
      </c>
      <c r="E1768" s="6">
        <f>BDP(A1768&amp;" US Equity","PX_LAST")</f>
        <v/>
      </c>
      <c r="F1768" s="5">
        <f>D1768*E1768</f>
        <v/>
      </c>
      <c r="G1768">
        <f>AND(B1768&gt;=50,B1768&lt;=10000)</f>
        <v/>
      </c>
      <c r="H1768">
        <f>OR(C1768="NAS",C1768="NYS",C1768="ASE")</f>
        <v/>
      </c>
      <c r="I1768">
        <f>F1768&gt;=500000</f>
        <v/>
      </c>
      <c r="J1768">
        <f>E1768&gt;=2</f>
        <v/>
      </c>
      <c r="K1768">
        <f>AND(G1768,H1768,I1768,J1768)</f>
        <v/>
      </c>
    </row>
    <row r="1769">
      <c r="B1769" s="5">
        <f>BDP(A1769&amp;" US Equity","CUR_MKT_CAP")</f>
        <v/>
      </c>
      <c r="C1769">
        <f>BDP(A1769&amp;" US Equity","EXCH_CODE")</f>
        <v/>
      </c>
      <c r="D1769" s="5">
        <f>BDP(A1769&amp;" US Equity","VOLUME_AVG_20D")</f>
        <v/>
      </c>
      <c r="E1769" s="6">
        <f>BDP(A1769&amp;" US Equity","PX_LAST")</f>
        <v/>
      </c>
      <c r="F1769" s="5">
        <f>D1769*E1769</f>
        <v/>
      </c>
      <c r="G1769">
        <f>AND(B1769&gt;=50,B1769&lt;=10000)</f>
        <v/>
      </c>
      <c r="H1769">
        <f>OR(C1769="NAS",C1769="NYS",C1769="ASE")</f>
        <v/>
      </c>
      <c r="I1769">
        <f>F1769&gt;=500000</f>
        <v/>
      </c>
      <c r="J1769">
        <f>E1769&gt;=2</f>
        <v/>
      </c>
      <c r="K1769">
        <f>AND(G1769,H1769,I1769,J1769)</f>
        <v/>
      </c>
    </row>
    <row r="1770">
      <c r="B1770" s="5">
        <f>BDP(A1770&amp;" US Equity","CUR_MKT_CAP")</f>
        <v/>
      </c>
      <c r="C1770">
        <f>BDP(A1770&amp;" US Equity","EXCH_CODE")</f>
        <v/>
      </c>
      <c r="D1770" s="5">
        <f>BDP(A1770&amp;" US Equity","VOLUME_AVG_20D")</f>
        <v/>
      </c>
      <c r="E1770" s="6">
        <f>BDP(A1770&amp;" US Equity","PX_LAST")</f>
        <v/>
      </c>
      <c r="F1770" s="5">
        <f>D1770*E1770</f>
        <v/>
      </c>
      <c r="G1770">
        <f>AND(B1770&gt;=50,B1770&lt;=10000)</f>
        <v/>
      </c>
      <c r="H1770">
        <f>OR(C1770="NAS",C1770="NYS",C1770="ASE")</f>
        <v/>
      </c>
      <c r="I1770">
        <f>F1770&gt;=500000</f>
        <v/>
      </c>
      <c r="J1770">
        <f>E1770&gt;=2</f>
        <v/>
      </c>
      <c r="K1770">
        <f>AND(G1770,H1770,I1770,J1770)</f>
        <v/>
      </c>
    </row>
    <row r="1771">
      <c r="B1771" s="5">
        <f>BDP(A1771&amp;" US Equity","CUR_MKT_CAP")</f>
        <v/>
      </c>
      <c r="C1771">
        <f>BDP(A1771&amp;" US Equity","EXCH_CODE")</f>
        <v/>
      </c>
      <c r="D1771" s="5">
        <f>BDP(A1771&amp;" US Equity","VOLUME_AVG_20D")</f>
        <v/>
      </c>
      <c r="E1771" s="6">
        <f>BDP(A1771&amp;" US Equity","PX_LAST")</f>
        <v/>
      </c>
      <c r="F1771" s="5">
        <f>D1771*E1771</f>
        <v/>
      </c>
      <c r="G1771">
        <f>AND(B1771&gt;=50,B1771&lt;=10000)</f>
        <v/>
      </c>
      <c r="H1771">
        <f>OR(C1771="NAS",C1771="NYS",C1771="ASE")</f>
        <v/>
      </c>
      <c r="I1771">
        <f>F1771&gt;=500000</f>
        <v/>
      </c>
      <c r="J1771">
        <f>E1771&gt;=2</f>
        <v/>
      </c>
      <c r="K1771">
        <f>AND(G1771,H1771,I1771,J1771)</f>
        <v/>
      </c>
    </row>
    <row r="1772">
      <c r="B1772" s="5">
        <f>BDP(A1772&amp;" US Equity","CUR_MKT_CAP")</f>
        <v/>
      </c>
      <c r="C1772">
        <f>BDP(A1772&amp;" US Equity","EXCH_CODE")</f>
        <v/>
      </c>
      <c r="D1772" s="5">
        <f>BDP(A1772&amp;" US Equity","VOLUME_AVG_20D")</f>
        <v/>
      </c>
      <c r="E1772" s="6">
        <f>BDP(A1772&amp;" US Equity","PX_LAST")</f>
        <v/>
      </c>
      <c r="F1772" s="5">
        <f>D1772*E1772</f>
        <v/>
      </c>
      <c r="G1772">
        <f>AND(B1772&gt;=50,B1772&lt;=10000)</f>
        <v/>
      </c>
      <c r="H1772">
        <f>OR(C1772="NAS",C1772="NYS",C1772="ASE")</f>
        <v/>
      </c>
      <c r="I1772">
        <f>F1772&gt;=500000</f>
        <v/>
      </c>
      <c r="J1772">
        <f>E1772&gt;=2</f>
        <v/>
      </c>
      <c r="K1772">
        <f>AND(G1772,H1772,I1772,J1772)</f>
        <v/>
      </c>
    </row>
    <row r="1773">
      <c r="B1773" s="5">
        <f>BDP(A1773&amp;" US Equity","CUR_MKT_CAP")</f>
        <v/>
      </c>
      <c r="C1773">
        <f>BDP(A1773&amp;" US Equity","EXCH_CODE")</f>
        <v/>
      </c>
      <c r="D1773" s="5">
        <f>BDP(A1773&amp;" US Equity","VOLUME_AVG_20D")</f>
        <v/>
      </c>
      <c r="E1773" s="6">
        <f>BDP(A1773&amp;" US Equity","PX_LAST")</f>
        <v/>
      </c>
      <c r="F1773" s="5">
        <f>D1773*E1773</f>
        <v/>
      </c>
      <c r="G1773">
        <f>AND(B1773&gt;=50,B1773&lt;=10000)</f>
        <v/>
      </c>
      <c r="H1773">
        <f>OR(C1773="NAS",C1773="NYS",C1773="ASE")</f>
        <v/>
      </c>
      <c r="I1773">
        <f>F1773&gt;=500000</f>
        <v/>
      </c>
      <c r="J1773">
        <f>E1773&gt;=2</f>
        <v/>
      </c>
      <c r="K1773">
        <f>AND(G1773,H1773,I1773,J1773)</f>
        <v/>
      </c>
    </row>
    <row r="1774">
      <c r="B1774" s="5">
        <f>BDP(A1774&amp;" US Equity","CUR_MKT_CAP")</f>
        <v/>
      </c>
      <c r="C1774">
        <f>BDP(A1774&amp;" US Equity","EXCH_CODE")</f>
        <v/>
      </c>
      <c r="D1774" s="5">
        <f>BDP(A1774&amp;" US Equity","VOLUME_AVG_20D")</f>
        <v/>
      </c>
      <c r="E1774" s="6">
        <f>BDP(A1774&amp;" US Equity","PX_LAST")</f>
        <v/>
      </c>
      <c r="F1774" s="5">
        <f>D1774*E1774</f>
        <v/>
      </c>
      <c r="G1774">
        <f>AND(B1774&gt;=50,B1774&lt;=10000)</f>
        <v/>
      </c>
      <c r="H1774">
        <f>OR(C1774="NAS",C1774="NYS",C1774="ASE")</f>
        <v/>
      </c>
      <c r="I1774">
        <f>F1774&gt;=500000</f>
        <v/>
      </c>
      <c r="J1774">
        <f>E1774&gt;=2</f>
        <v/>
      </c>
      <c r="K1774">
        <f>AND(G1774,H1774,I1774,J1774)</f>
        <v/>
      </c>
    </row>
    <row r="1775">
      <c r="B1775" s="5">
        <f>BDP(A1775&amp;" US Equity","CUR_MKT_CAP")</f>
        <v/>
      </c>
      <c r="C1775">
        <f>BDP(A1775&amp;" US Equity","EXCH_CODE")</f>
        <v/>
      </c>
      <c r="D1775" s="5">
        <f>BDP(A1775&amp;" US Equity","VOLUME_AVG_20D")</f>
        <v/>
      </c>
      <c r="E1775" s="6">
        <f>BDP(A1775&amp;" US Equity","PX_LAST")</f>
        <v/>
      </c>
      <c r="F1775" s="5">
        <f>D1775*E1775</f>
        <v/>
      </c>
      <c r="G1775">
        <f>AND(B1775&gt;=50,B1775&lt;=10000)</f>
        <v/>
      </c>
      <c r="H1775">
        <f>OR(C1775="NAS",C1775="NYS",C1775="ASE")</f>
        <v/>
      </c>
      <c r="I1775">
        <f>F1775&gt;=500000</f>
        <v/>
      </c>
      <c r="J1775">
        <f>E1775&gt;=2</f>
        <v/>
      </c>
      <c r="K1775">
        <f>AND(G1775,H1775,I1775,J1775)</f>
        <v/>
      </c>
    </row>
    <row r="1776">
      <c r="B1776" s="5">
        <f>BDP(A1776&amp;" US Equity","CUR_MKT_CAP")</f>
        <v/>
      </c>
      <c r="C1776">
        <f>BDP(A1776&amp;" US Equity","EXCH_CODE")</f>
        <v/>
      </c>
      <c r="D1776" s="5">
        <f>BDP(A1776&amp;" US Equity","VOLUME_AVG_20D")</f>
        <v/>
      </c>
      <c r="E1776" s="6">
        <f>BDP(A1776&amp;" US Equity","PX_LAST")</f>
        <v/>
      </c>
      <c r="F1776" s="5">
        <f>D1776*E1776</f>
        <v/>
      </c>
      <c r="G1776">
        <f>AND(B1776&gt;=50,B1776&lt;=10000)</f>
        <v/>
      </c>
      <c r="H1776">
        <f>OR(C1776="NAS",C1776="NYS",C1776="ASE")</f>
        <v/>
      </c>
      <c r="I1776">
        <f>F1776&gt;=500000</f>
        <v/>
      </c>
      <c r="J1776">
        <f>E1776&gt;=2</f>
        <v/>
      </c>
      <c r="K1776">
        <f>AND(G1776,H1776,I1776,J1776)</f>
        <v/>
      </c>
    </row>
    <row r="1777">
      <c r="B1777" s="5">
        <f>BDP(A1777&amp;" US Equity","CUR_MKT_CAP")</f>
        <v/>
      </c>
      <c r="C1777">
        <f>BDP(A1777&amp;" US Equity","EXCH_CODE")</f>
        <v/>
      </c>
      <c r="D1777" s="5">
        <f>BDP(A1777&amp;" US Equity","VOLUME_AVG_20D")</f>
        <v/>
      </c>
      <c r="E1777" s="6">
        <f>BDP(A1777&amp;" US Equity","PX_LAST")</f>
        <v/>
      </c>
      <c r="F1777" s="5">
        <f>D1777*E1777</f>
        <v/>
      </c>
      <c r="G1777">
        <f>AND(B1777&gt;=50,B1777&lt;=10000)</f>
        <v/>
      </c>
      <c r="H1777">
        <f>OR(C1777="NAS",C1777="NYS",C1777="ASE")</f>
        <v/>
      </c>
      <c r="I1777">
        <f>F1777&gt;=500000</f>
        <v/>
      </c>
      <c r="J1777">
        <f>E1777&gt;=2</f>
        <v/>
      </c>
      <c r="K1777">
        <f>AND(G1777,H1777,I1777,J1777)</f>
        <v/>
      </c>
    </row>
    <row r="1778">
      <c r="B1778" s="5">
        <f>BDP(A1778&amp;" US Equity","CUR_MKT_CAP")</f>
        <v/>
      </c>
      <c r="C1778">
        <f>BDP(A1778&amp;" US Equity","EXCH_CODE")</f>
        <v/>
      </c>
      <c r="D1778" s="5">
        <f>BDP(A1778&amp;" US Equity","VOLUME_AVG_20D")</f>
        <v/>
      </c>
      <c r="E1778" s="6">
        <f>BDP(A1778&amp;" US Equity","PX_LAST")</f>
        <v/>
      </c>
      <c r="F1778" s="5">
        <f>D1778*E1778</f>
        <v/>
      </c>
      <c r="G1778">
        <f>AND(B1778&gt;=50,B1778&lt;=10000)</f>
        <v/>
      </c>
      <c r="H1778">
        <f>OR(C1778="NAS",C1778="NYS",C1778="ASE")</f>
        <v/>
      </c>
      <c r="I1778">
        <f>F1778&gt;=500000</f>
        <v/>
      </c>
      <c r="J1778">
        <f>E1778&gt;=2</f>
        <v/>
      </c>
      <c r="K1778">
        <f>AND(G1778,H1778,I1778,J1778)</f>
        <v/>
      </c>
    </row>
    <row r="1779">
      <c r="B1779" s="5">
        <f>BDP(A1779&amp;" US Equity","CUR_MKT_CAP")</f>
        <v/>
      </c>
      <c r="C1779">
        <f>BDP(A1779&amp;" US Equity","EXCH_CODE")</f>
        <v/>
      </c>
      <c r="D1779" s="5">
        <f>BDP(A1779&amp;" US Equity","VOLUME_AVG_20D")</f>
        <v/>
      </c>
      <c r="E1779" s="6">
        <f>BDP(A1779&amp;" US Equity","PX_LAST")</f>
        <v/>
      </c>
      <c r="F1779" s="5">
        <f>D1779*E1779</f>
        <v/>
      </c>
      <c r="G1779">
        <f>AND(B1779&gt;=50,B1779&lt;=10000)</f>
        <v/>
      </c>
      <c r="H1779">
        <f>OR(C1779="NAS",C1779="NYS",C1779="ASE")</f>
        <v/>
      </c>
      <c r="I1779">
        <f>F1779&gt;=500000</f>
        <v/>
      </c>
      <c r="J1779">
        <f>E1779&gt;=2</f>
        <v/>
      </c>
      <c r="K1779">
        <f>AND(G1779,H1779,I1779,J1779)</f>
        <v/>
      </c>
    </row>
    <row r="1780">
      <c r="B1780" s="5">
        <f>BDP(A1780&amp;" US Equity","CUR_MKT_CAP")</f>
        <v/>
      </c>
      <c r="C1780">
        <f>BDP(A1780&amp;" US Equity","EXCH_CODE")</f>
        <v/>
      </c>
      <c r="D1780" s="5">
        <f>BDP(A1780&amp;" US Equity","VOLUME_AVG_20D")</f>
        <v/>
      </c>
      <c r="E1780" s="6">
        <f>BDP(A1780&amp;" US Equity","PX_LAST")</f>
        <v/>
      </c>
      <c r="F1780" s="5">
        <f>D1780*E1780</f>
        <v/>
      </c>
      <c r="G1780">
        <f>AND(B1780&gt;=50,B1780&lt;=10000)</f>
        <v/>
      </c>
      <c r="H1780">
        <f>OR(C1780="NAS",C1780="NYS",C1780="ASE")</f>
        <v/>
      </c>
      <c r="I1780">
        <f>F1780&gt;=500000</f>
        <v/>
      </c>
      <c r="J1780">
        <f>E1780&gt;=2</f>
        <v/>
      </c>
      <c r="K1780">
        <f>AND(G1780,H1780,I1780,J1780)</f>
        <v/>
      </c>
    </row>
    <row r="1781">
      <c r="B1781" s="5">
        <f>BDP(A1781&amp;" US Equity","CUR_MKT_CAP")</f>
        <v/>
      </c>
      <c r="C1781">
        <f>BDP(A1781&amp;" US Equity","EXCH_CODE")</f>
        <v/>
      </c>
      <c r="D1781" s="5">
        <f>BDP(A1781&amp;" US Equity","VOLUME_AVG_20D")</f>
        <v/>
      </c>
      <c r="E1781" s="6">
        <f>BDP(A1781&amp;" US Equity","PX_LAST")</f>
        <v/>
      </c>
      <c r="F1781" s="5">
        <f>D1781*E1781</f>
        <v/>
      </c>
      <c r="G1781">
        <f>AND(B1781&gt;=50,B1781&lt;=10000)</f>
        <v/>
      </c>
      <c r="H1781">
        <f>OR(C1781="NAS",C1781="NYS",C1781="ASE")</f>
        <v/>
      </c>
      <c r="I1781">
        <f>F1781&gt;=500000</f>
        <v/>
      </c>
      <c r="J1781">
        <f>E1781&gt;=2</f>
        <v/>
      </c>
      <c r="K1781">
        <f>AND(G1781,H1781,I1781,J1781)</f>
        <v/>
      </c>
    </row>
    <row r="1782">
      <c r="B1782" s="5">
        <f>BDP(A1782&amp;" US Equity","CUR_MKT_CAP")</f>
        <v/>
      </c>
      <c r="C1782">
        <f>BDP(A1782&amp;" US Equity","EXCH_CODE")</f>
        <v/>
      </c>
      <c r="D1782" s="5">
        <f>BDP(A1782&amp;" US Equity","VOLUME_AVG_20D")</f>
        <v/>
      </c>
      <c r="E1782" s="6">
        <f>BDP(A1782&amp;" US Equity","PX_LAST")</f>
        <v/>
      </c>
      <c r="F1782" s="5">
        <f>D1782*E1782</f>
        <v/>
      </c>
      <c r="G1782">
        <f>AND(B1782&gt;=50,B1782&lt;=10000)</f>
        <v/>
      </c>
      <c r="H1782">
        <f>OR(C1782="NAS",C1782="NYS",C1782="ASE")</f>
        <v/>
      </c>
      <c r="I1782">
        <f>F1782&gt;=500000</f>
        <v/>
      </c>
      <c r="J1782">
        <f>E1782&gt;=2</f>
        <v/>
      </c>
      <c r="K1782">
        <f>AND(G1782,H1782,I1782,J1782)</f>
        <v/>
      </c>
    </row>
    <row r="1783">
      <c r="B1783" s="5">
        <f>BDP(A1783&amp;" US Equity","CUR_MKT_CAP")</f>
        <v/>
      </c>
      <c r="C1783">
        <f>BDP(A1783&amp;" US Equity","EXCH_CODE")</f>
        <v/>
      </c>
      <c r="D1783" s="5">
        <f>BDP(A1783&amp;" US Equity","VOLUME_AVG_20D")</f>
        <v/>
      </c>
      <c r="E1783" s="6">
        <f>BDP(A1783&amp;" US Equity","PX_LAST")</f>
        <v/>
      </c>
      <c r="F1783" s="5">
        <f>D1783*E1783</f>
        <v/>
      </c>
      <c r="G1783">
        <f>AND(B1783&gt;=50,B1783&lt;=10000)</f>
        <v/>
      </c>
      <c r="H1783">
        <f>OR(C1783="NAS",C1783="NYS",C1783="ASE")</f>
        <v/>
      </c>
      <c r="I1783">
        <f>F1783&gt;=500000</f>
        <v/>
      </c>
      <c r="J1783">
        <f>E1783&gt;=2</f>
        <v/>
      </c>
      <c r="K1783">
        <f>AND(G1783,H1783,I1783,J1783)</f>
        <v/>
      </c>
    </row>
    <row r="1784">
      <c r="B1784" s="5">
        <f>BDP(A1784&amp;" US Equity","CUR_MKT_CAP")</f>
        <v/>
      </c>
      <c r="C1784">
        <f>BDP(A1784&amp;" US Equity","EXCH_CODE")</f>
        <v/>
      </c>
      <c r="D1784" s="5">
        <f>BDP(A1784&amp;" US Equity","VOLUME_AVG_20D")</f>
        <v/>
      </c>
      <c r="E1784" s="6">
        <f>BDP(A1784&amp;" US Equity","PX_LAST")</f>
        <v/>
      </c>
      <c r="F1784" s="5">
        <f>D1784*E1784</f>
        <v/>
      </c>
      <c r="G1784">
        <f>AND(B1784&gt;=50,B1784&lt;=10000)</f>
        <v/>
      </c>
      <c r="H1784">
        <f>OR(C1784="NAS",C1784="NYS",C1784="ASE")</f>
        <v/>
      </c>
      <c r="I1784">
        <f>F1784&gt;=500000</f>
        <v/>
      </c>
      <c r="J1784">
        <f>E1784&gt;=2</f>
        <v/>
      </c>
      <c r="K1784">
        <f>AND(G1784,H1784,I1784,J1784)</f>
        <v/>
      </c>
    </row>
    <row r="1785">
      <c r="B1785" s="5">
        <f>BDP(A1785&amp;" US Equity","CUR_MKT_CAP")</f>
        <v/>
      </c>
      <c r="C1785">
        <f>BDP(A1785&amp;" US Equity","EXCH_CODE")</f>
        <v/>
      </c>
      <c r="D1785" s="5">
        <f>BDP(A1785&amp;" US Equity","VOLUME_AVG_20D")</f>
        <v/>
      </c>
      <c r="E1785" s="6">
        <f>BDP(A1785&amp;" US Equity","PX_LAST")</f>
        <v/>
      </c>
      <c r="F1785" s="5">
        <f>D1785*E1785</f>
        <v/>
      </c>
      <c r="G1785">
        <f>AND(B1785&gt;=50,B1785&lt;=10000)</f>
        <v/>
      </c>
      <c r="H1785">
        <f>OR(C1785="NAS",C1785="NYS",C1785="ASE")</f>
        <v/>
      </c>
      <c r="I1785">
        <f>F1785&gt;=500000</f>
        <v/>
      </c>
      <c r="J1785">
        <f>E1785&gt;=2</f>
        <v/>
      </c>
      <c r="K1785">
        <f>AND(G1785,H1785,I1785,J1785)</f>
        <v/>
      </c>
    </row>
    <row r="1786">
      <c r="B1786" s="5">
        <f>BDP(A1786&amp;" US Equity","CUR_MKT_CAP")</f>
        <v/>
      </c>
      <c r="C1786">
        <f>BDP(A1786&amp;" US Equity","EXCH_CODE")</f>
        <v/>
      </c>
      <c r="D1786" s="5">
        <f>BDP(A1786&amp;" US Equity","VOLUME_AVG_20D")</f>
        <v/>
      </c>
      <c r="E1786" s="6">
        <f>BDP(A1786&amp;" US Equity","PX_LAST")</f>
        <v/>
      </c>
      <c r="F1786" s="5">
        <f>D1786*E1786</f>
        <v/>
      </c>
      <c r="G1786">
        <f>AND(B1786&gt;=50,B1786&lt;=10000)</f>
        <v/>
      </c>
      <c r="H1786">
        <f>OR(C1786="NAS",C1786="NYS",C1786="ASE")</f>
        <v/>
      </c>
      <c r="I1786">
        <f>F1786&gt;=500000</f>
        <v/>
      </c>
      <c r="J1786">
        <f>E1786&gt;=2</f>
        <v/>
      </c>
      <c r="K1786">
        <f>AND(G1786,H1786,I1786,J1786)</f>
        <v/>
      </c>
    </row>
    <row r="1787">
      <c r="B1787" s="5">
        <f>BDP(A1787&amp;" US Equity","CUR_MKT_CAP")</f>
        <v/>
      </c>
      <c r="C1787">
        <f>BDP(A1787&amp;" US Equity","EXCH_CODE")</f>
        <v/>
      </c>
      <c r="D1787" s="5">
        <f>BDP(A1787&amp;" US Equity","VOLUME_AVG_20D")</f>
        <v/>
      </c>
      <c r="E1787" s="6">
        <f>BDP(A1787&amp;" US Equity","PX_LAST")</f>
        <v/>
      </c>
      <c r="F1787" s="5">
        <f>D1787*E1787</f>
        <v/>
      </c>
      <c r="G1787">
        <f>AND(B1787&gt;=50,B1787&lt;=10000)</f>
        <v/>
      </c>
      <c r="H1787">
        <f>OR(C1787="NAS",C1787="NYS",C1787="ASE")</f>
        <v/>
      </c>
      <c r="I1787">
        <f>F1787&gt;=500000</f>
        <v/>
      </c>
      <c r="J1787">
        <f>E1787&gt;=2</f>
        <v/>
      </c>
      <c r="K1787">
        <f>AND(G1787,H1787,I1787,J1787)</f>
        <v/>
      </c>
    </row>
    <row r="1788">
      <c r="B1788" s="5">
        <f>BDP(A1788&amp;" US Equity","CUR_MKT_CAP")</f>
        <v/>
      </c>
      <c r="C1788">
        <f>BDP(A1788&amp;" US Equity","EXCH_CODE")</f>
        <v/>
      </c>
      <c r="D1788" s="5">
        <f>BDP(A1788&amp;" US Equity","VOLUME_AVG_20D")</f>
        <v/>
      </c>
      <c r="E1788" s="6">
        <f>BDP(A1788&amp;" US Equity","PX_LAST")</f>
        <v/>
      </c>
      <c r="F1788" s="5">
        <f>D1788*E1788</f>
        <v/>
      </c>
      <c r="G1788">
        <f>AND(B1788&gt;=50,B1788&lt;=10000)</f>
        <v/>
      </c>
      <c r="H1788">
        <f>OR(C1788="NAS",C1788="NYS",C1788="ASE")</f>
        <v/>
      </c>
      <c r="I1788">
        <f>F1788&gt;=500000</f>
        <v/>
      </c>
      <c r="J1788">
        <f>E1788&gt;=2</f>
        <v/>
      </c>
      <c r="K1788">
        <f>AND(G1788,H1788,I1788,J1788)</f>
        <v/>
      </c>
    </row>
    <row r="1789">
      <c r="B1789" s="5">
        <f>BDP(A1789&amp;" US Equity","CUR_MKT_CAP")</f>
        <v/>
      </c>
      <c r="C1789">
        <f>BDP(A1789&amp;" US Equity","EXCH_CODE")</f>
        <v/>
      </c>
      <c r="D1789" s="5">
        <f>BDP(A1789&amp;" US Equity","VOLUME_AVG_20D")</f>
        <v/>
      </c>
      <c r="E1789" s="6">
        <f>BDP(A1789&amp;" US Equity","PX_LAST")</f>
        <v/>
      </c>
      <c r="F1789" s="5">
        <f>D1789*E1789</f>
        <v/>
      </c>
      <c r="G1789">
        <f>AND(B1789&gt;=50,B1789&lt;=10000)</f>
        <v/>
      </c>
      <c r="H1789">
        <f>OR(C1789="NAS",C1789="NYS",C1789="ASE")</f>
        <v/>
      </c>
      <c r="I1789">
        <f>F1789&gt;=500000</f>
        <v/>
      </c>
      <c r="J1789">
        <f>E1789&gt;=2</f>
        <v/>
      </c>
      <c r="K1789">
        <f>AND(G1789,H1789,I1789,J1789)</f>
        <v/>
      </c>
    </row>
    <row r="1790">
      <c r="B1790" s="5">
        <f>BDP(A1790&amp;" US Equity","CUR_MKT_CAP")</f>
        <v/>
      </c>
      <c r="C1790">
        <f>BDP(A1790&amp;" US Equity","EXCH_CODE")</f>
        <v/>
      </c>
      <c r="D1790" s="5">
        <f>BDP(A1790&amp;" US Equity","VOLUME_AVG_20D")</f>
        <v/>
      </c>
      <c r="E1790" s="6">
        <f>BDP(A1790&amp;" US Equity","PX_LAST")</f>
        <v/>
      </c>
      <c r="F1790" s="5">
        <f>D1790*E1790</f>
        <v/>
      </c>
      <c r="G1790">
        <f>AND(B1790&gt;=50,B1790&lt;=10000)</f>
        <v/>
      </c>
      <c r="H1790">
        <f>OR(C1790="NAS",C1790="NYS",C1790="ASE")</f>
        <v/>
      </c>
      <c r="I1790">
        <f>F1790&gt;=500000</f>
        <v/>
      </c>
      <c r="J1790">
        <f>E1790&gt;=2</f>
        <v/>
      </c>
      <c r="K1790">
        <f>AND(G1790,H1790,I1790,J1790)</f>
        <v/>
      </c>
    </row>
    <row r="1791">
      <c r="B1791" s="5">
        <f>BDP(A1791&amp;" US Equity","CUR_MKT_CAP")</f>
        <v/>
      </c>
      <c r="C1791">
        <f>BDP(A1791&amp;" US Equity","EXCH_CODE")</f>
        <v/>
      </c>
      <c r="D1791" s="5">
        <f>BDP(A1791&amp;" US Equity","VOLUME_AVG_20D")</f>
        <v/>
      </c>
      <c r="E1791" s="6">
        <f>BDP(A1791&amp;" US Equity","PX_LAST")</f>
        <v/>
      </c>
      <c r="F1791" s="5">
        <f>D1791*E1791</f>
        <v/>
      </c>
      <c r="G1791">
        <f>AND(B1791&gt;=50,B1791&lt;=10000)</f>
        <v/>
      </c>
      <c r="H1791">
        <f>OR(C1791="NAS",C1791="NYS",C1791="ASE")</f>
        <v/>
      </c>
      <c r="I1791">
        <f>F1791&gt;=500000</f>
        <v/>
      </c>
      <c r="J1791">
        <f>E1791&gt;=2</f>
        <v/>
      </c>
      <c r="K1791">
        <f>AND(G1791,H1791,I1791,J1791)</f>
        <v/>
      </c>
    </row>
    <row r="1792">
      <c r="B1792" s="5">
        <f>BDP(A1792&amp;" US Equity","CUR_MKT_CAP")</f>
        <v/>
      </c>
      <c r="C1792">
        <f>BDP(A1792&amp;" US Equity","EXCH_CODE")</f>
        <v/>
      </c>
      <c r="D1792" s="5">
        <f>BDP(A1792&amp;" US Equity","VOLUME_AVG_20D")</f>
        <v/>
      </c>
      <c r="E1792" s="6">
        <f>BDP(A1792&amp;" US Equity","PX_LAST")</f>
        <v/>
      </c>
      <c r="F1792" s="5">
        <f>D1792*E1792</f>
        <v/>
      </c>
      <c r="G1792">
        <f>AND(B1792&gt;=50,B1792&lt;=10000)</f>
        <v/>
      </c>
      <c r="H1792">
        <f>OR(C1792="NAS",C1792="NYS",C1792="ASE")</f>
        <v/>
      </c>
      <c r="I1792">
        <f>F1792&gt;=500000</f>
        <v/>
      </c>
      <c r="J1792">
        <f>E1792&gt;=2</f>
        <v/>
      </c>
      <c r="K1792">
        <f>AND(G1792,H1792,I1792,J1792)</f>
        <v/>
      </c>
    </row>
    <row r="1793">
      <c r="B1793" s="5">
        <f>BDP(A1793&amp;" US Equity","CUR_MKT_CAP")</f>
        <v/>
      </c>
      <c r="C1793">
        <f>BDP(A1793&amp;" US Equity","EXCH_CODE")</f>
        <v/>
      </c>
      <c r="D1793" s="5">
        <f>BDP(A1793&amp;" US Equity","VOLUME_AVG_20D")</f>
        <v/>
      </c>
      <c r="E1793" s="6">
        <f>BDP(A1793&amp;" US Equity","PX_LAST")</f>
        <v/>
      </c>
      <c r="F1793" s="5">
        <f>D1793*E1793</f>
        <v/>
      </c>
      <c r="G1793">
        <f>AND(B1793&gt;=50,B1793&lt;=10000)</f>
        <v/>
      </c>
      <c r="H1793">
        <f>OR(C1793="NAS",C1793="NYS",C1793="ASE")</f>
        <v/>
      </c>
      <c r="I1793">
        <f>F1793&gt;=500000</f>
        <v/>
      </c>
      <c r="J1793">
        <f>E1793&gt;=2</f>
        <v/>
      </c>
      <c r="K1793">
        <f>AND(G1793,H1793,I1793,J1793)</f>
        <v/>
      </c>
    </row>
    <row r="1794">
      <c r="B1794" s="5">
        <f>BDP(A1794&amp;" US Equity","CUR_MKT_CAP")</f>
        <v/>
      </c>
      <c r="C1794">
        <f>BDP(A1794&amp;" US Equity","EXCH_CODE")</f>
        <v/>
      </c>
      <c r="D1794" s="5">
        <f>BDP(A1794&amp;" US Equity","VOLUME_AVG_20D")</f>
        <v/>
      </c>
      <c r="E1794" s="6">
        <f>BDP(A1794&amp;" US Equity","PX_LAST")</f>
        <v/>
      </c>
      <c r="F1794" s="5">
        <f>D1794*E1794</f>
        <v/>
      </c>
      <c r="G1794">
        <f>AND(B1794&gt;=50,B1794&lt;=10000)</f>
        <v/>
      </c>
      <c r="H1794">
        <f>OR(C1794="NAS",C1794="NYS",C1794="ASE")</f>
        <v/>
      </c>
      <c r="I1794">
        <f>F1794&gt;=500000</f>
        <v/>
      </c>
      <c r="J1794">
        <f>E1794&gt;=2</f>
        <v/>
      </c>
      <c r="K1794">
        <f>AND(G1794,H1794,I1794,J1794)</f>
        <v/>
      </c>
    </row>
    <row r="1795">
      <c r="B1795" s="5">
        <f>BDP(A1795&amp;" US Equity","CUR_MKT_CAP")</f>
        <v/>
      </c>
      <c r="C1795">
        <f>BDP(A1795&amp;" US Equity","EXCH_CODE")</f>
        <v/>
      </c>
      <c r="D1795" s="5">
        <f>BDP(A1795&amp;" US Equity","VOLUME_AVG_20D")</f>
        <v/>
      </c>
      <c r="E1795" s="6">
        <f>BDP(A1795&amp;" US Equity","PX_LAST")</f>
        <v/>
      </c>
      <c r="F1795" s="5">
        <f>D1795*E1795</f>
        <v/>
      </c>
      <c r="G1795">
        <f>AND(B1795&gt;=50,B1795&lt;=10000)</f>
        <v/>
      </c>
      <c r="H1795">
        <f>OR(C1795="NAS",C1795="NYS",C1795="ASE")</f>
        <v/>
      </c>
      <c r="I1795">
        <f>F1795&gt;=500000</f>
        <v/>
      </c>
      <c r="J1795">
        <f>E1795&gt;=2</f>
        <v/>
      </c>
      <c r="K1795">
        <f>AND(G1795,H1795,I1795,J1795)</f>
        <v/>
      </c>
    </row>
    <row r="1796">
      <c r="B1796" s="5">
        <f>BDP(A1796&amp;" US Equity","CUR_MKT_CAP")</f>
        <v/>
      </c>
      <c r="C1796">
        <f>BDP(A1796&amp;" US Equity","EXCH_CODE")</f>
        <v/>
      </c>
      <c r="D1796" s="5">
        <f>BDP(A1796&amp;" US Equity","VOLUME_AVG_20D")</f>
        <v/>
      </c>
      <c r="E1796" s="6">
        <f>BDP(A1796&amp;" US Equity","PX_LAST")</f>
        <v/>
      </c>
      <c r="F1796" s="5">
        <f>D1796*E1796</f>
        <v/>
      </c>
      <c r="G1796">
        <f>AND(B1796&gt;=50,B1796&lt;=10000)</f>
        <v/>
      </c>
      <c r="H1796">
        <f>OR(C1796="NAS",C1796="NYS",C1796="ASE")</f>
        <v/>
      </c>
      <c r="I1796">
        <f>F1796&gt;=500000</f>
        <v/>
      </c>
      <c r="J1796">
        <f>E1796&gt;=2</f>
        <v/>
      </c>
      <c r="K1796">
        <f>AND(G1796,H1796,I1796,J1796)</f>
        <v/>
      </c>
    </row>
    <row r="1797">
      <c r="B1797" s="5">
        <f>BDP(A1797&amp;" US Equity","CUR_MKT_CAP")</f>
        <v/>
      </c>
      <c r="C1797">
        <f>BDP(A1797&amp;" US Equity","EXCH_CODE")</f>
        <v/>
      </c>
      <c r="D1797" s="5">
        <f>BDP(A1797&amp;" US Equity","VOLUME_AVG_20D")</f>
        <v/>
      </c>
      <c r="E1797" s="6">
        <f>BDP(A1797&amp;" US Equity","PX_LAST")</f>
        <v/>
      </c>
      <c r="F1797" s="5">
        <f>D1797*E1797</f>
        <v/>
      </c>
      <c r="G1797">
        <f>AND(B1797&gt;=50,B1797&lt;=10000)</f>
        <v/>
      </c>
      <c r="H1797">
        <f>OR(C1797="NAS",C1797="NYS",C1797="ASE")</f>
        <v/>
      </c>
      <c r="I1797">
        <f>F1797&gt;=500000</f>
        <v/>
      </c>
      <c r="J1797">
        <f>E1797&gt;=2</f>
        <v/>
      </c>
      <c r="K1797">
        <f>AND(G1797,H1797,I1797,J1797)</f>
        <v/>
      </c>
    </row>
    <row r="1798">
      <c r="B1798" s="5">
        <f>BDP(A1798&amp;" US Equity","CUR_MKT_CAP")</f>
        <v/>
      </c>
      <c r="C1798">
        <f>BDP(A1798&amp;" US Equity","EXCH_CODE")</f>
        <v/>
      </c>
      <c r="D1798" s="5">
        <f>BDP(A1798&amp;" US Equity","VOLUME_AVG_20D")</f>
        <v/>
      </c>
      <c r="E1798" s="6">
        <f>BDP(A1798&amp;" US Equity","PX_LAST")</f>
        <v/>
      </c>
      <c r="F1798" s="5">
        <f>D1798*E1798</f>
        <v/>
      </c>
      <c r="G1798">
        <f>AND(B1798&gt;=50,B1798&lt;=10000)</f>
        <v/>
      </c>
      <c r="H1798">
        <f>OR(C1798="NAS",C1798="NYS",C1798="ASE")</f>
        <v/>
      </c>
      <c r="I1798">
        <f>F1798&gt;=500000</f>
        <v/>
      </c>
      <c r="J1798">
        <f>E1798&gt;=2</f>
        <v/>
      </c>
      <c r="K1798">
        <f>AND(G1798,H1798,I1798,J1798)</f>
        <v/>
      </c>
    </row>
    <row r="1799">
      <c r="B1799" s="5">
        <f>BDP(A1799&amp;" US Equity","CUR_MKT_CAP")</f>
        <v/>
      </c>
      <c r="C1799">
        <f>BDP(A1799&amp;" US Equity","EXCH_CODE")</f>
        <v/>
      </c>
      <c r="D1799" s="5">
        <f>BDP(A1799&amp;" US Equity","VOLUME_AVG_20D")</f>
        <v/>
      </c>
      <c r="E1799" s="6">
        <f>BDP(A1799&amp;" US Equity","PX_LAST")</f>
        <v/>
      </c>
      <c r="F1799" s="5">
        <f>D1799*E1799</f>
        <v/>
      </c>
      <c r="G1799">
        <f>AND(B1799&gt;=50,B1799&lt;=10000)</f>
        <v/>
      </c>
      <c r="H1799">
        <f>OR(C1799="NAS",C1799="NYS",C1799="ASE")</f>
        <v/>
      </c>
      <c r="I1799">
        <f>F1799&gt;=500000</f>
        <v/>
      </c>
      <c r="J1799">
        <f>E1799&gt;=2</f>
        <v/>
      </c>
      <c r="K1799">
        <f>AND(G1799,H1799,I1799,J1799)</f>
        <v/>
      </c>
    </row>
    <row r="1800">
      <c r="B1800" s="5">
        <f>BDP(A1800&amp;" US Equity","CUR_MKT_CAP")</f>
        <v/>
      </c>
      <c r="C1800">
        <f>BDP(A1800&amp;" US Equity","EXCH_CODE")</f>
        <v/>
      </c>
      <c r="D1800" s="5">
        <f>BDP(A1800&amp;" US Equity","VOLUME_AVG_20D")</f>
        <v/>
      </c>
      <c r="E1800" s="6">
        <f>BDP(A1800&amp;" US Equity","PX_LAST")</f>
        <v/>
      </c>
      <c r="F1800" s="5">
        <f>D1800*E1800</f>
        <v/>
      </c>
      <c r="G1800">
        <f>AND(B1800&gt;=50,B1800&lt;=10000)</f>
        <v/>
      </c>
      <c r="H1800">
        <f>OR(C1800="NAS",C1800="NYS",C1800="ASE")</f>
        <v/>
      </c>
      <c r="I1800">
        <f>F1800&gt;=500000</f>
        <v/>
      </c>
      <c r="J1800">
        <f>E1800&gt;=2</f>
        <v/>
      </c>
      <c r="K1800">
        <f>AND(G1800,H1800,I1800,J1800)</f>
        <v/>
      </c>
    </row>
    <row r="1801">
      <c r="B1801" s="5">
        <f>BDP(A1801&amp;" US Equity","CUR_MKT_CAP")</f>
        <v/>
      </c>
      <c r="C1801">
        <f>BDP(A1801&amp;" US Equity","EXCH_CODE")</f>
        <v/>
      </c>
      <c r="D1801" s="5">
        <f>BDP(A1801&amp;" US Equity","VOLUME_AVG_20D")</f>
        <v/>
      </c>
      <c r="E1801" s="6">
        <f>BDP(A1801&amp;" US Equity","PX_LAST")</f>
        <v/>
      </c>
      <c r="F1801" s="5">
        <f>D1801*E1801</f>
        <v/>
      </c>
      <c r="G1801">
        <f>AND(B1801&gt;=50,B1801&lt;=10000)</f>
        <v/>
      </c>
      <c r="H1801">
        <f>OR(C1801="NAS",C1801="NYS",C1801="ASE")</f>
        <v/>
      </c>
      <c r="I1801">
        <f>F1801&gt;=500000</f>
        <v/>
      </c>
      <c r="J1801">
        <f>E1801&gt;=2</f>
        <v/>
      </c>
      <c r="K1801">
        <f>AND(G1801,H1801,I1801,J1801)</f>
        <v/>
      </c>
    </row>
    <row r="1802">
      <c r="B1802" s="5">
        <f>BDP(A1802&amp;" US Equity","CUR_MKT_CAP")</f>
        <v/>
      </c>
      <c r="C1802">
        <f>BDP(A1802&amp;" US Equity","EXCH_CODE")</f>
        <v/>
      </c>
      <c r="D1802" s="5">
        <f>BDP(A1802&amp;" US Equity","VOLUME_AVG_20D")</f>
        <v/>
      </c>
      <c r="E1802" s="6">
        <f>BDP(A1802&amp;" US Equity","PX_LAST")</f>
        <v/>
      </c>
      <c r="F1802" s="5">
        <f>D1802*E1802</f>
        <v/>
      </c>
      <c r="G1802">
        <f>AND(B1802&gt;=50,B1802&lt;=10000)</f>
        <v/>
      </c>
      <c r="H1802">
        <f>OR(C1802="NAS",C1802="NYS",C1802="ASE")</f>
        <v/>
      </c>
      <c r="I1802">
        <f>F1802&gt;=500000</f>
        <v/>
      </c>
      <c r="J1802">
        <f>E1802&gt;=2</f>
        <v/>
      </c>
      <c r="K1802">
        <f>AND(G1802,H1802,I1802,J1802)</f>
        <v/>
      </c>
    </row>
    <row r="1803">
      <c r="B1803" s="5">
        <f>BDP(A1803&amp;" US Equity","CUR_MKT_CAP")</f>
        <v/>
      </c>
      <c r="C1803">
        <f>BDP(A1803&amp;" US Equity","EXCH_CODE")</f>
        <v/>
      </c>
      <c r="D1803" s="5">
        <f>BDP(A1803&amp;" US Equity","VOLUME_AVG_20D")</f>
        <v/>
      </c>
      <c r="E1803" s="6">
        <f>BDP(A1803&amp;" US Equity","PX_LAST")</f>
        <v/>
      </c>
      <c r="F1803" s="5">
        <f>D1803*E1803</f>
        <v/>
      </c>
      <c r="G1803">
        <f>AND(B1803&gt;=50,B1803&lt;=10000)</f>
        <v/>
      </c>
      <c r="H1803">
        <f>OR(C1803="NAS",C1803="NYS",C1803="ASE")</f>
        <v/>
      </c>
      <c r="I1803">
        <f>F1803&gt;=500000</f>
        <v/>
      </c>
      <c r="J1803">
        <f>E1803&gt;=2</f>
        <v/>
      </c>
      <c r="K1803">
        <f>AND(G1803,H1803,I1803,J1803)</f>
        <v/>
      </c>
    </row>
    <row r="1804">
      <c r="B1804" s="5">
        <f>BDP(A1804&amp;" US Equity","CUR_MKT_CAP")</f>
        <v/>
      </c>
      <c r="C1804">
        <f>BDP(A1804&amp;" US Equity","EXCH_CODE")</f>
        <v/>
      </c>
      <c r="D1804" s="5">
        <f>BDP(A1804&amp;" US Equity","VOLUME_AVG_20D")</f>
        <v/>
      </c>
      <c r="E1804" s="6">
        <f>BDP(A1804&amp;" US Equity","PX_LAST")</f>
        <v/>
      </c>
      <c r="F1804" s="5">
        <f>D1804*E1804</f>
        <v/>
      </c>
      <c r="G1804">
        <f>AND(B1804&gt;=50,B1804&lt;=10000)</f>
        <v/>
      </c>
      <c r="H1804">
        <f>OR(C1804="NAS",C1804="NYS",C1804="ASE")</f>
        <v/>
      </c>
      <c r="I1804">
        <f>F1804&gt;=500000</f>
        <v/>
      </c>
      <c r="J1804">
        <f>E1804&gt;=2</f>
        <v/>
      </c>
      <c r="K1804">
        <f>AND(G1804,H1804,I1804,J1804)</f>
        <v/>
      </c>
    </row>
    <row r="1805">
      <c r="B1805" s="5">
        <f>BDP(A1805&amp;" US Equity","CUR_MKT_CAP")</f>
        <v/>
      </c>
      <c r="C1805">
        <f>BDP(A1805&amp;" US Equity","EXCH_CODE")</f>
        <v/>
      </c>
      <c r="D1805" s="5">
        <f>BDP(A1805&amp;" US Equity","VOLUME_AVG_20D")</f>
        <v/>
      </c>
      <c r="E1805" s="6">
        <f>BDP(A1805&amp;" US Equity","PX_LAST")</f>
        <v/>
      </c>
      <c r="F1805" s="5">
        <f>D1805*E1805</f>
        <v/>
      </c>
      <c r="G1805">
        <f>AND(B1805&gt;=50,B1805&lt;=10000)</f>
        <v/>
      </c>
      <c r="H1805">
        <f>OR(C1805="NAS",C1805="NYS",C1805="ASE")</f>
        <v/>
      </c>
      <c r="I1805">
        <f>F1805&gt;=500000</f>
        <v/>
      </c>
      <c r="J1805">
        <f>E1805&gt;=2</f>
        <v/>
      </c>
      <c r="K1805">
        <f>AND(G1805,H1805,I1805,J1805)</f>
        <v/>
      </c>
    </row>
    <row r="1806">
      <c r="B1806" s="5">
        <f>BDP(A1806&amp;" US Equity","CUR_MKT_CAP")</f>
        <v/>
      </c>
      <c r="C1806">
        <f>BDP(A1806&amp;" US Equity","EXCH_CODE")</f>
        <v/>
      </c>
      <c r="D1806" s="5">
        <f>BDP(A1806&amp;" US Equity","VOLUME_AVG_20D")</f>
        <v/>
      </c>
      <c r="E1806" s="6">
        <f>BDP(A1806&amp;" US Equity","PX_LAST")</f>
        <v/>
      </c>
      <c r="F1806" s="5">
        <f>D1806*E1806</f>
        <v/>
      </c>
      <c r="G1806">
        <f>AND(B1806&gt;=50,B1806&lt;=10000)</f>
        <v/>
      </c>
      <c r="H1806">
        <f>OR(C1806="NAS",C1806="NYS",C1806="ASE")</f>
        <v/>
      </c>
      <c r="I1806">
        <f>F1806&gt;=500000</f>
        <v/>
      </c>
      <c r="J1806">
        <f>E1806&gt;=2</f>
        <v/>
      </c>
      <c r="K1806">
        <f>AND(G1806,H1806,I1806,J1806)</f>
        <v/>
      </c>
    </row>
    <row r="1807">
      <c r="B1807" s="5">
        <f>BDP(A1807&amp;" US Equity","CUR_MKT_CAP")</f>
        <v/>
      </c>
      <c r="C1807">
        <f>BDP(A1807&amp;" US Equity","EXCH_CODE")</f>
        <v/>
      </c>
      <c r="D1807" s="5">
        <f>BDP(A1807&amp;" US Equity","VOLUME_AVG_20D")</f>
        <v/>
      </c>
      <c r="E1807" s="6">
        <f>BDP(A1807&amp;" US Equity","PX_LAST")</f>
        <v/>
      </c>
      <c r="F1807" s="5">
        <f>D1807*E1807</f>
        <v/>
      </c>
      <c r="G1807">
        <f>AND(B1807&gt;=50,B1807&lt;=10000)</f>
        <v/>
      </c>
      <c r="H1807">
        <f>OR(C1807="NAS",C1807="NYS",C1807="ASE")</f>
        <v/>
      </c>
      <c r="I1807">
        <f>F1807&gt;=500000</f>
        <v/>
      </c>
      <c r="J1807">
        <f>E1807&gt;=2</f>
        <v/>
      </c>
      <c r="K1807">
        <f>AND(G1807,H1807,I1807,J1807)</f>
        <v/>
      </c>
    </row>
    <row r="1808">
      <c r="B1808" s="5">
        <f>BDP(A1808&amp;" US Equity","CUR_MKT_CAP")</f>
        <v/>
      </c>
      <c r="C1808">
        <f>BDP(A1808&amp;" US Equity","EXCH_CODE")</f>
        <v/>
      </c>
      <c r="D1808" s="5">
        <f>BDP(A1808&amp;" US Equity","VOLUME_AVG_20D")</f>
        <v/>
      </c>
      <c r="E1808" s="6">
        <f>BDP(A1808&amp;" US Equity","PX_LAST")</f>
        <v/>
      </c>
      <c r="F1808" s="5">
        <f>D1808*E1808</f>
        <v/>
      </c>
      <c r="G1808">
        <f>AND(B1808&gt;=50,B1808&lt;=10000)</f>
        <v/>
      </c>
      <c r="H1808">
        <f>OR(C1808="NAS",C1808="NYS",C1808="ASE")</f>
        <v/>
      </c>
      <c r="I1808">
        <f>F1808&gt;=500000</f>
        <v/>
      </c>
      <c r="J1808">
        <f>E1808&gt;=2</f>
        <v/>
      </c>
      <c r="K1808">
        <f>AND(G1808,H1808,I1808,J1808)</f>
        <v/>
      </c>
    </row>
    <row r="1809">
      <c r="B1809" s="5">
        <f>BDP(A1809&amp;" US Equity","CUR_MKT_CAP")</f>
        <v/>
      </c>
      <c r="C1809">
        <f>BDP(A1809&amp;" US Equity","EXCH_CODE")</f>
        <v/>
      </c>
      <c r="D1809" s="5">
        <f>BDP(A1809&amp;" US Equity","VOLUME_AVG_20D")</f>
        <v/>
      </c>
      <c r="E1809" s="6">
        <f>BDP(A1809&amp;" US Equity","PX_LAST")</f>
        <v/>
      </c>
      <c r="F1809" s="5">
        <f>D1809*E1809</f>
        <v/>
      </c>
      <c r="G1809">
        <f>AND(B1809&gt;=50,B1809&lt;=10000)</f>
        <v/>
      </c>
      <c r="H1809">
        <f>OR(C1809="NAS",C1809="NYS",C1809="ASE")</f>
        <v/>
      </c>
      <c r="I1809">
        <f>F1809&gt;=500000</f>
        <v/>
      </c>
      <c r="J1809">
        <f>E1809&gt;=2</f>
        <v/>
      </c>
      <c r="K1809">
        <f>AND(G1809,H1809,I1809,J1809)</f>
        <v/>
      </c>
    </row>
    <row r="1810">
      <c r="B1810" s="5">
        <f>BDP(A1810&amp;" US Equity","CUR_MKT_CAP")</f>
        <v/>
      </c>
      <c r="C1810">
        <f>BDP(A1810&amp;" US Equity","EXCH_CODE")</f>
        <v/>
      </c>
      <c r="D1810" s="5">
        <f>BDP(A1810&amp;" US Equity","VOLUME_AVG_20D")</f>
        <v/>
      </c>
      <c r="E1810" s="6">
        <f>BDP(A1810&amp;" US Equity","PX_LAST")</f>
        <v/>
      </c>
      <c r="F1810" s="5">
        <f>D1810*E1810</f>
        <v/>
      </c>
      <c r="G1810">
        <f>AND(B1810&gt;=50,B1810&lt;=10000)</f>
        <v/>
      </c>
      <c r="H1810">
        <f>OR(C1810="NAS",C1810="NYS",C1810="ASE")</f>
        <v/>
      </c>
      <c r="I1810">
        <f>F1810&gt;=500000</f>
        <v/>
      </c>
      <c r="J1810">
        <f>E1810&gt;=2</f>
        <v/>
      </c>
      <c r="K1810">
        <f>AND(G1810,H1810,I1810,J1810)</f>
        <v/>
      </c>
    </row>
    <row r="1811">
      <c r="B1811" s="5">
        <f>BDP(A1811&amp;" US Equity","CUR_MKT_CAP")</f>
        <v/>
      </c>
      <c r="C1811">
        <f>BDP(A1811&amp;" US Equity","EXCH_CODE")</f>
        <v/>
      </c>
      <c r="D1811" s="5">
        <f>BDP(A1811&amp;" US Equity","VOLUME_AVG_20D")</f>
        <v/>
      </c>
      <c r="E1811" s="6">
        <f>BDP(A1811&amp;" US Equity","PX_LAST")</f>
        <v/>
      </c>
      <c r="F1811" s="5">
        <f>D1811*E1811</f>
        <v/>
      </c>
      <c r="G1811">
        <f>AND(B1811&gt;=50,B1811&lt;=10000)</f>
        <v/>
      </c>
      <c r="H1811">
        <f>OR(C1811="NAS",C1811="NYS",C1811="ASE")</f>
        <v/>
      </c>
      <c r="I1811">
        <f>F1811&gt;=500000</f>
        <v/>
      </c>
      <c r="J1811">
        <f>E1811&gt;=2</f>
        <v/>
      </c>
      <c r="K1811">
        <f>AND(G1811,H1811,I1811,J1811)</f>
        <v/>
      </c>
    </row>
    <row r="1812">
      <c r="B1812" s="5">
        <f>BDP(A1812&amp;" US Equity","CUR_MKT_CAP")</f>
        <v/>
      </c>
      <c r="C1812">
        <f>BDP(A1812&amp;" US Equity","EXCH_CODE")</f>
        <v/>
      </c>
      <c r="D1812" s="5">
        <f>BDP(A1812&amp;" US Equity","VOLUME_AVG_20D")</f>
        <v/>
      </c>
      <c r="E1812" s="6">
        <f>BDP(A1812&amp;" US Equity","PX_LAST")</f>
        <v/>
      </c>
      <c r="F1812" s="5">
        <f>D1812*E1812</f>
        <v/>
      </c>
      <c r="G1812">
        <f>AND(B1812&gt;=50,B1812&lt;=10000)</f>
        <v/>
      </c>
      <c r="H1812">
        <f>OR(C1812="NAS",C1812="NYS",C1812="ASE")</f>
        <v/>
      </c>
      <c r="I1812">
        <f>F1812&gt;=500000</f>
        <v/>
      </c>
      <c r="J1812">
        <f>E1812&gt;=2</f>
        <v/>
      </c>
      <c r="K1812">
        <f>AND(G1812,H1812,I1812,J1812)</f>
        <v/>
      </c>
    </row>
    <row r="1813">
      <c r="B1813" s="5">
        <f>BDP(A1813&amp;" US Equity","CUR_MKT_CAP")</f>
        <v/>
      </c>
      <c r="C1813">
        <f>BDP(A1813&amp;" US Equity","EXCH_CODE")</f>
        <v/>
      </c>
      <c r="D1813" s="5">
        <f>BDP(A1813&amp;" US Equity","VOLUME_AVG_20D")</f>
        <v/>
      </c>
      <c r="E1813" s="6">
        <f>BDP(A1813&amp;" US Equity","PX_LAST")</f>
        <v/>
      </c>
      <c r="F1813" s="5">
        <f>D1813*E1813</f>
        <v/>
      </c>
      <c r="G1813">
        <f>AND(B1813&gt;=50,B1813&lt;=10000)</f>
        <v/>
      </c>
      <c r="H1813">
        <f>OR(C1813="NAS",C1813="NYS",C1813="ASE")</f>
        <v/>
      </c>
      <c r="I1813">
        <f>F1813&gt;=500000</f>
        <v/>
      </c>
      <c r="J1813">
        <f>E1813&gt;=2</f>
        <v/>
      </c>
      <c r="K1813">
        <f>AND(G1813,H1813,I1813,J1813)</f>
        <v/>
      </c>
    </row>
    <row r="1814">
      <c r="B1814" s="5">
        <f>BDP(A1814&amp;" US Equity","CUR_MKT_CAP")</f>
        <v/>
      </c>
      <c r="C1814">
        <f>BDP(A1814&amp;" US Equity","EXCH_CODE")</f>
        <v/>
      </c>
      <c r="D1814" s="5">
        <f>BDP(A1814&amp;" US Equity","VOLUME_AVG_20D")</f>
        <v/>
      </c>
      <c r="E1814" s="6">
        <f>BDP(A1814&amp;" US Equity","PX_LAST")</f>
        <v/>
      </c>
      <c r="F1814" s="5">
        <f>D1814*E1814</f>
        <v/>
      </c>
      <c r="G1814">
        <f>AND(B1814&gt;=50,B1814&lt;=10000)</f>
        <v/>
      </c>
      <c r="H1814">
        <f>OR(C1814="NAS",C1814="NYS",C1814="ASE")</f>
        <v/>
      </c>
      <c r="I1814">
        <f>F1814&gt;=500000</f>
        <v/>
      </c>
      <c r="J1814">
        <f>E1814&gt;=2</f>
        <v/>
      </c>
      <c r="K1814">
        <f>AND(G1814,H1814,I1814,J1814)</f>
        <v/>
      </c>
    </row>
    <row r="1815">
      <c r="B1815" s="5">
        <f>BDP(A1815&amp;" US Equity","CUR_MKT_CAP")</f>
        <v/>
      </c>
      <c r="C1815">
        <f>BDP(A1815&amp;" US Equity","EXCH_CODE")</f>
        <v/>
      </c>
      <c r="D1815" s="5">
        <f>BDP(A1815&amp;" US Equity","VOLUME_AVG_20D")</f>
        <v/>
      </c>
      <c r="E1815" s="6">
        <f>BDP(A1815&amp;" US Equity","PX_LAST")</f>
        <v/>
      </c>
      <c r="F1815" s="5">
        <f>D1815*E1815</f>
        <v/>
      </c>
      <c r="G1815">
        <f>AND(B1815&gt;=50,B1815&lt;=10000)</f>
        <v/>
      </c>
      <c r="H1815">
        <f>OR(C1815="NAS",C1815="NYS",C1815="ASE")</f>
        <v/>
      </c>
      <c r="I1815">
        <f>F1815&gt;=500000</f>
        <v/>
      </c>
      <c r="J1815">
        <f>E1815&gt;=2</f>
        <v/>
      </c>
      <c r="K1815">
        <f>AND(G1815,H1815,I1815,J1815)</f>
        <v/>
      </c>
    </row>
    <row r="1816">
      <c r="B1816" s="5">
        <f>BDP(A1816&amp;" US Equity","CUR_MKT_CAP")</f>
        <v/>
      </c>
      <c r="C1816">
        <f>BDP(A1816&amp;" US Equity","EXCH_CODE")</f>
        <v/>
      </c>
      <c r="D1816" s="5">
        <f>BDP(A1816&amp;" US Equity","VOLUME_AVG_20D")</f>
        <v/>
      </c>
      <c r="E1816" s="6">
        <f>BDP(A1816&amp;" US Equity","PX_LAST")</f>
        <v/>
      </c>
      <c r="F1816" s="5">
        <f>D1816*E1816</f>
        <v/>
      </c>
      <c r="G1816">
        <f>AND(B1816&gt;=50,B1816&lt;=10000)</f>
        <v/>
      </c>
      <c r="H1816">
        <f>OR(C1816="NAS",C1816="NYS",C1816="ASE")</f>
        <v/>
      </c>
      <c r="I1816">
        <f>F1816&gt;=500000</f>
        <v/>
      </c>
      <c r="J1816">
        <f>E1816&gt;=2</f>
        <v/>
      </c>
      <c r="K1816">
        <f>AND(G1816,H1816,I1816,J1816)</f>
        <v/>
      </c>
    </row>
    <row r="1817">
      <c r="B1817" s="5">
        <f>BDP(A1817&amp;" US Equity","CUR_MKT_CAP")</f>
        <v/>
      </c>
      <c r="C1817">
        <f>BDP(A1817&amp;" US Equity","EXCH_CODE")</f>
        <v/>
      </c>
      <c r="D1817" s="5">
        <f>BDP(A1817&amp;" US Equity","VOLUME_AVG_20D")</f>
        <v/>
      </c>
      <c r="E1817" s="6">
        <f>BDP(A1817&amp;" US Equity","PX_LAST")</f>
        <v/>
      </c>
      <c r="F1817" s="5">
        <f>D1817*E1817</f>
        <v/>
      </c>
      <c r="G1817">
        <f>AND(B1817&gt;=50,B1817&lt;=10000)</f>
        <v/>
      </c>
      <c r="H1817">
        <f>OR(C1817="NAS",C1817="NYS",C1817="ASE")</f>
        <v/>
      </c>
      <c r="I1817">
        <f>F1817&gt;=500000</f>
        <v/>
      </c>
      <c r="J1817">
        <f>E1817&gt;=2</f>
        <v/>
      </c>
      <c r="K1817">
        <f>AND(G1817,H1817,I1817,J1817)</f>
        <v/>
      </c>
    </row>
    <row r="1818">
      <c r="B1818" s="5">
        <f>BDP(A1818&amp;" US Equity","CUR_MKT_CAP")</f>
        <v/>
      </c>
      <c r="C1818">
        <f>BDP(A1818&amp;" US Equity","EXCH_CODE")</f>
        <v/>
      </c>
      <c r="D1818" s="5">
        <f>BDP(A1818&amp;" US Equity","VOLUME_AVG_20D")</f>
        <v/>
      </c>
      <c r="E1818" s="6">
        <f>BDP(A1818&amp;" US Equity","PX_LAST")</f>
        <v/>
      </c>
      <c r="F1818" s="5">
        <f>D1818*E1818</f>
        <v/>
      </c>
      <c r="G1818">
        <f>AND(B1818&gt;=50,B1818&lt;=10000)</f>
        <v/>
      </c>
      <c r="H1818">
        <f>OR(C1818="NAS",C1818="NYS",C1818="ASE")</f>
        <v/>
      </c>
      <c r="I1818">
        <f>F1818&gt;=500000</f>
        <v/>
      </c>
      <c r="J1818">
        <f>E1818&gt;=2</f>
        <v/>
      </c>
      <c r="K1818">
        <f>AND(G1818,H1818,I1818,J1818)</f>
        <v/>
      </c>
    </row>
    <row r="1819">
      <c r="B1819" s="5">
        <f>BDP(A1819&amp;" US Equity","CUR_MKT_CAP")</f>
        <v/>
      </c>
      <c r="C1819">
        <f>BDP(A1819&amp;" US Equity","EXCH_CODE")</f>
        <v/>
      </c>
      <c r="D1819" s="5">
        <f>BDP(A1819&amp;" US Equity","VOLUME_AVG_20D")</f>
        <v/>
      </c>
      <c r="E1819" s="6">
        <f>BDP(A1819&amp;" US Equity","PX_LAST")</f>
        <v/>
      </c>
      <c r="F1819" s="5">
        <f>D1819*E1819</f>
        <v/>
      </c>
      <c r="G1819">
        <f>AND(B1819&gt;=50,B1819&lt;=10000)</f>
        <v/>
      </c>
      <c r="H1819">
        <f>OR(C1819="NAS",C1819="NYS",C1819="ASE")</f>
        <v/>
      </c>
      <c r="I1819">
        <f>F1819&gt;=500000</f>
        <v/>
      </c>
      <c r="J1819">
        <f>E1819&gt;=2</f>
        <v/>
      </c>
      <c r="K1819">
        <f>AND(G1819,H1819,I1819,J1819)</f>
        <v/>
      </c>
    </row>
    <row r="1820">
      <c r="B1820" s="5">
        <f>BDP(A1820&amp;" US Equity","CUR_MKT_CAP")</f>
        <v/>
      </c>
      <c r="C1820">
        <f>BDP(A1820&amp;" US Equity","EXCH_CODE")</f>
        <v/>
      </c>
      <c r="D1820" s="5">
        <f>BDP(A1820&amp;" US Equity","VOLUME_AVG_20D")</f>
        <v/>
      </c>
      <c r="E1820" s="6">
        <f>BDP(A1820&amp;" US Equity","PX_LAST")</f>
        <v/>
      </c>
      <c r="F1820" s="5">
        <f>D1820*E1820</f>
        <v/>
      </c>
      <c r="G1820">
        <f>AND(B1820&gt;=50,B1820&lt;=10000)</f>
        <v/>
      </c>
      <c r="H1820">
        <f>OR(C1820="NAS",C1820="NYS",C1820="ASE")</f>
        <v/>
      </c>
      <c r="I1820">
        <f>F1820&gt;=500000</f>
        <v/>
      </c>
      <c r="J1820">
        <f>E1820&gt;=2</f>
        <v/>
      </c>
      <c r="K1820">
        <f>AND(G1820,H1820,I1820,J1820)</f>
        <v/>
      </c>
    </row>
    <row r="1821">
      <c r="B1821" s="5">
        <f>BDP(A1821&amp;" US Equity","CUR_MKT_CAP")</f>
        <v/>
      </c>
      <c r="C1821">
        <f>BDP(A1821&amp;" US Equity","EXCH_CODE")</f>
        <v/>
      </c>
      <c r="D1821" s="5">
        <f>BDP(A1821&amp;" US Equity","VOLUME_AVG_20D")</f>
        <v/>
      </c>
      <c r="E1821" s="6">
        <f>BDP(A1821&amp;" US Equity","PX_LAST")</f>
        <v/>
      </c>
      <c r="F1821" s="5">
        <f>D1821*E1821</f>
        <v/>
      </c>
      <c r="G1821">
        <f>AND(B1821&gt;=50,B1821&lt;=10000)</f>
        <v/>
      </c>
      <c r="H1821">
        <f>OR(C1821="NAS",C1821="NYS",C1821="ASE")</f>
        <v/>
      </c>
      <c r="I1821">
        <f>F1821&gt;=500000</f>
        <v/>
      </c>
      <c r="J1821">
        <f>E1821&gt;=2</f>
        <v/>
      </c>
      <c r="K1821">
        <f>AND(G1821,H1821,I1821,J1821)</f>
        <v/>
      </c>
    </row>
    <row r="1822">
      <c r="B1822" s="5">
        <f>BDP(A1822&amp;" US Equity","CUR_MKT_CAP")</f>
        <v/>
      </c>
      <c r="C1822">
        <f>BDP(A1822&amp;" US Equity","EXCH_CODE")</f>
        <v/>
      </c>
      <c r="D1822" s="5">
        <f>BDP(A1822&amp;" US Equity","VOLUME_AVG_20D")</f>
        <v/>
      </c>
      <c r="E1822" s="6">
        <f>BDP(A1822&amp;" US Equity","PX_LAST")</f>
        <v/>
      </c>
      <c r="F1822" s="5">
        <f>D1822*E1822</f>
        <v/>
      </c>
      <c r="G1822">
        <f>AND(B1822&gt;=50,B1822&lt;=10000)</f>
        <v/>
      </c>
      <c r="H1822">
        <f>OR(C1822="NAS",C1822="NYS",C1822="ASE")</f>
        <v/>
      </c>
      <c r="I1822">
        <f>F1822&gt;=500000</f>
        <v/>
      </c>
      <c r="J1822">
        <f>E1822&gt;=2</f>
        <v/>
      </c>
      <c r="K1822">
        <f>AND(G1822,H1822,I1822,J1822)</f>
        <v/>
      </c>
    </row>
    <row r="1823">
      <c r="B1823" s="5">
        <f>BDP(A1823&amp;" US Equity","CUR_MKT_CAP")</f>
        <v/>
      </c>
      <c r="C1823">
        <f>BDP(A1823&amp;" US Equity","EXCH_CODE")</f>
        <v/>
      </c>
      <c r="D1823" s="5">
        <f>BDP(A1823&amp;" US Equity","VOLUME_AVG_20D")</f>
        <v/>
      </c>
      <c r="E1823" s="6">
        <f>BDP(A1823&amp;" US Equity","PX_LAST")</f>
        <v/>
      </c>
      <c r="F1823" s="5">
        <f>D1823*E1823</f>
        <v/>
      </c>
      <c r="G1823">
        <f>AND(B1823&gt;=50,B1823&lt;=10000)</f>
        <v/>
      </c>
      <c r="H1823">
        <f>OR(C1823="NAS",C1823="NYS",C1823="ASE")</f>
        <v/>
      </c>
      <c r="I1823">
        <f>F1823&gt;=500000</f>
        <v/>
      </c>
      <c r="J1823">
        <f>E1823&gt;=2</f>
        <v/>
      </c>
      <c r="K1823">
        <f>AND(G1823,H1823,I1823,J1823)</f>
        <v/>
      </c>
    </row>
    <row r="1824">
      <c r="B1824" s="5">
        <f>BDP(A1824&amp;" US Equity","CUR_MKT_CAP")</f>
        <v/>
      </c>
      <c r="C1824">
        <f>BDP(A1824&amp;" US Equity","EXCH_CODE")</f>
        <v/>
      </c>
      <c r="D1824" s="5">
        <f>BDP(A1824&amp;" US Equity","VOLUME_AVG_20D")</f>
        <v/>
      </c>
      <c r="E1824" s="6">
        <f>BDP(A1824&amp;" US Equity","PX_LAST")</f>
        <v/>
      </c>
      <c r="F1824" s="5">
        <f>D1824*E1824</f>
        <v/>
      </c>
      <c r="G1824">
        <f>AND(B1824&gt;=50,B1824&lt;=10000)</f>
        <v/>
      </c>
      <c r="H1824">
        <f>OR(C1824="NAS",C1824="NYS",C1824="ASE")</f>
        <v/>
      </c>
      <c r="I1824">
        <f>F1824&gt;=500000</f>
        <v/>
      </c>
      <c r="J1824">
        <f>E1824&gt;=2</f>
        <v/>
      </c>
      <c r="K1824">
        <f>AND(G1824,H1824,I1824,J1824)</f>
        <v/>
      </c>
    </row>
    <row r="1825">
      <c r="B1825" s="5">
        <f>BDP(A1825&amp;" US Equity","CUR_MKT_CAP")</f>
        <v/>
      </c>
      <c r="C1825">
        <f>BDP(A1825&amp;" US Equity","EXCH_CODE")</f>
        <v/>
      </c>
      <c r="D1825" s="5">
        <f>BDP(A1825&amp;" US Equity","VOLUME_AVG_20D")</f>
        <v/>
      </c>
      <c r="E1825" s="6">
        <f>BDP(A1825&amp;" US Equity","PX_LAST")</f>
        <v/>
      </c>
      <c r="F1825" s="5">
        <f>D1825*E1825</f>
        <v/>
      </c>
      <c r="G1825">
        <f>AND(B1825&gt;=50,B1825&lt;=10000)</f>
        <v/>
      </c>
      <c r="H1825">
        <f>OR(C1825="NAS",C1825="NYS",C1825="ASE")</f>
        <v/>
      </c>
      <c r="I1825">
        <f>F1825&gt;=500000</f>
        <v/>
      </c>
      <c r="J1825">
        <f>E1825&gt;=2</f>
        <v/>
      </c>
      <c r="K1825">
        <f>AND(G1825,H1825,I1825,J1825)</f>
        <v/>
      </c>
    </row>
    <row r="1826">
      <c r="B1826" s="5">
        <f>BDP(A1826&amp;" US Equity","CUR_MKT_CAP")</f>
        <v/>
      </c>
      <c r="C1826">
        <f>BDP(A1826&amp;" US Equity","EXCH_CODE")</f>
        <v/>
      </c>
      <c r="D1826" s="5">
        <f>BDP(A1826&amp;" US Equity","VOLUME_AVG_20D")</f>
        <v/>
      </c>
      <c r="E1826" s="6">
        <f>BDP(A1826&amp;" US Equity","PX_LAST")</f>
        <v/>
      </c>
      <c r="F1826" s="5">
        <f>D1826*E1826</f>
        <v/>
      </c>
      <c r="G1826">
        <f>AND(B1826&gt;=50,B1826&lt;=10000)</f>
        <v/>
      </c>
      <c r="H1826">
        <f>OR(C1826="NAS",C1826="NYS",C1826="ASE")</f>
        <v/>
      </c>
      <c r="I1826">
        <f>F1826&gt;=500000</f>
        <v/>
      </c>
      <c r="J1826">
        <f>E1826&gt;=2</f>
        <v/>
      </c>
      <c r="K1826">
        <f>AND(G1826,H1826,I1826,J1826)</f>
        <v/>
      </c>
    </row>
    <row r="1827">
      <c r="B1827" s="5">
        <f>BDP(A1827&amp;" US Equity","CUR_MKT_CAP")</f>
        <v/>
      </c>
      <c r="C1827">
        <f>BDP(A1827&amp;" US Equity","EXCH_CODE")</f>
        <v/>
      </c>
      <c r="D1827" s="5">
        <f>BDP(A1827&amp;" US Equity","VOLUME_AVG_20D")</f>
        <v/>
      </c>
      <c r="E1827" s="6">
        <f>BDP(A1827&amp;" US Equity","PX_LAST")</f>
        <v/>
      </c>
      <c r="F1827" s="5">
        <f>D1827*E1827</f>
        <v/>
      </c>
      <c r="G1827">
        <f>AND(B1827&gt;=50,B1827&lt;=10000)</f>
        <v/>
      </c>
      <c r="H1827">
        <f>OR(C1827="NAS",C1827="NYS",C1827="ASE")</f>
        <v/>
      </c>
      <c r="I1827">
        <f>F1827&gt;=500000</f>
        <v/>
      </c>
      <c r="J1827">
        <f>E1827&gt;=2</f>
        <v/>
      </c>
      <c r="K1827">
        <f>AND(G1827,H1827,I1827,J1827)</f>
        <v/>
      </c>
    </row>
    <row r="1828">
      <c r="B1828" s="5">
        <f>BDP(A1828&amp;" US Equity","CUR_MKT_CAP")</f>
        <v/>
      </c>
      <c r="C1828">
        <f>BDP(A1828&amp;" US Equity","EXCH_CODE")</f>
        <v/>
      </c>
      <c r="D1828" s="5">
        <f>BDP(A1828&amp;" US Equity","VOLUME_AVG_20D")</f>
        <v/>
      </c>
      <c r="E1828" s="6">
        <f>BDP(A1828&amp;" US Equity","PX_LAST")</f>
        <v/>
      </c>
      <c r="F1828" s="5">
        <f>D1828*E1828</f>
        <v/>
      </c>
      <c r="G1828">
        <f>AND(B1828&gt;=50,B1828&lt;=10000)</f>
        <v/>
      </c>
      <c r="H1828">
        <f>OR(C1828="NAS",C1828="NYS",C1828="ASE")</f>
        <v/>
      </c>
      <c r="I1828">
        <f>F1828&gt;=500000</f>
        <v/>
      </c>
      <c r="J1828">
        <f>E1828&gt;=2</f>
        <v/>
      </c>
      <c r="K1828">
        <f>AND(G1828,H1828,I1828,J1828)</f>
        <v/>
      </c>
    </row>
    <row r="1829">
      <c r="B1829" s="5">
        <f>BDP(A1829&amp;" US Equity","CUR_MKT_CAP")</f>
        <v/>
      </c>
      <c r="C1829">
        <f>BDP(A1829&amp;" US Equity","EXCH_CODE")</f>
        <v/>
      </c>
      <c r="D1829" s="5">
        <f>BDP(A1829&amp;" US Equity","VOLUME_AVG_20D")</f>
        <v/>
      </c>
      <c r="E1829" s="6">
        <f>BDP(A1829&amp;" US Equity","PX_LAST")</f>
        <v/>
      </c>
      <c r="F1829" s="5">
        <f>D1829*E1829</f>
        <v/>
      </c>
      <c r="G1829">
        <f>AND(B1829&gt;=50,B1829&lt;=10000)</f>
        <v/>
      </c>
      <c r="H1829">
        <f>OR(C1829="NAS",C1829="NYS",C1829="ASE")</f>
        <v/>
      </c>
      <c r="I1829">
        <f>F1829&gt;=500000</f>
        <v/>
      </c>
      <c r="J1829">
        <f>E1829&gt;=2</f>
        <v/>
      </c>
      <c r="K1829">
        <f>AND(G1829,H1829,I1829,J1829)</f>
        <v/>
      </c>
    </row>
    <row r="1830">
      <c r="B1830" s="5">
        <f>BDP(A1830&amp;" US Equity","CUR_MKT_CAP")</f>
        <v/>
      </c>
      <c r="C1830">
        <f>BDP(A1830&amp;" US Equity","EXCH_CODE")</f>
        <v/>
      </c>
      <c r="D1830" s="5">
        <f>BDP(A1830&amp;" US Equity","VOLUME_AVG_20D")</f>
        <v/>
      </c>
      <c r="E1830" s="6">
        <f>BDP(A1830&amp;" US Equity","PX_LAST")</f>
        <v/>
      </c>
      <c r="F1830" s="5">
        <f>D1830*E1830</f>
        <v/>
      </c>
      <c r="G1830">
        <f>AND(B1830&gt;=50,B1830&lt;=10000)</f>
        <v/>
      </c>
      <c r="H1830">
        <f>OR(C1830="NAS",C1830="NYS",C1830="ASE")</f>
        <v/>
      </c>
      <c r="I1830">
        <f>F1830&gt;=500000</f>
        <v/>
      </c>
      <c r="J1830">
        <f>E1830&gt;=2</f>
        <v/>
      </c>
      <c r="K1830">
        <f>AND(G1830,H1830,I1830,J1830)</f>
        <v/>
      </c>
    </row>
    <row r="1831">
      <c r="B1831" s="5">
        <f>BDP(A1831&amp;" US Equity","CUR_MKT_CAP")</f>
        <v/>
      </c>
      <c r="C1831">
        <f>BDP(A1831&amp;" US Equity","EXCH_CODE")</f>
        <v/>
      </c>
      <c r="D1831" s="5">
        <f>BDP(A1831&amp;" US Equity","VOLUME_AVG_20D")</f>
        <v/>
      </c>
      <c r="E1831" s="6">
        <f>BDP(A1831&amp;" US Equity","PX_LAST")</f>
        <v/>
      </c>
      <c r="F1831" s="5">
        <f>D1831*E1831</f>
        <v/>
      </c>
      <c r="G1831">
        <f>AND(B1831&gt;=50,B1831&lt;=10000)</f>
        <v/>
      </c>
      <c r="H1831">
        <f>OR(C1831="NAS",C1831="NYS",C1831="ASE")</f>
        <v/>
      </c>
      <c r="I1831">
        <f>F1831&gt;=500000</f>
        <v/>
      </c>
      <c r="J1831">
        <f>E1831&gt;=2</f>
        <v/>
      </c>
      <c r="K1831">
        <f>AND(G1831,H1831,I1831,J1831)</f>
        <v/>
      </c>
    </row>
    <row r="1832">
      <c r="B1832" s="5">
        <f>BDP(A1832&amp;" US Equity","CUR_MKT_CAP")</f>
        <v/>
      </c>
      <c r="C1832">
        <f>BDP(A1832&amp;" US Equity","EXCH_CODE")</f>
        <v/>
      </c>
      <c r="D1832" s="5">
        <f>BDP(A1832&amp;" US Equity","VOLUME_AVG_20D")</f>
        <v/>
      </c>
      <c r="E1832" s="6">
        <f>BDP(A1832&amp;" US Equity","PX_LAST")</f>
        <v/>
      </c>
      <c r="F1832" s="5">
        <f>D1832*E1832</f>
        <v/>
      </c>
      <c r="G1832">
        <f>AND(B1832&gt;=50,B1832&lt;=10000)</f>
        <v/>
      </c>
      <c r="H1832">
        <f>OR(C1832="NAS",C1832="NYS",C1832="ASE")</f>
        <v/>
      </c>
      <c r="I1832">
        <f>F1832&gt;=500000</f>
        <v/>
      </c>
      <c r="J1832">
        <f>E1832&gt;=2</f>
        <v/>
      </c>
      <c r="K1832">
        <f>AND(G1832,H1832,I1832,J1832)</f>
        <v/>
      </c>
    </row>
    <row r="1833">
      <c r="B1833" s="5">
        <f>BDP(A1833&amp;" US Equity","CUR_MKT_CAP")</f>
        <v/>
      </c>
      <c r="C1833">
        <f>BDP(A1833&amp;" US Equity","EXCH_CODE")</f>
        <v/>
      </c>
      <c r="D1833" s="5">
        <f>BDP(A1833&amp;" US Equity","VOLUME_AVG_20D")</f>
        <v/>
      </c>
      <c r="E1833" s="6">
        <f>BDP(A1833&amp;" US Equity","PX_LAST")</f>
        <v/>
      </c>
      <c r="F1833" s="5">
        <f>D1833*E1833</f>
        <v/>
      </c>
      <c r="G1833">
        <f>AND(B1833&gt;=50,B1833&lt;=10000)</f>
        <v/>
      </c>
      <c r="H1833">
        <f>OR(C1833="NAS",C1833="NYS",C1833="ASE")</f>
        <v/>
      </c>
      <c r="I1833">
        <f>F1833&gt;=500000</f>
        <v/>
      </c>
      <c r="J1833">
        <f>E1833&gt;=2</f>
        <v/>
      </c>
      <c r="K1833">
        <f>AND(G1833,H1833,I1833,J1833)</f>
        <v/>
      </c>
    </row>
    <row r="1834">
      <c r="B1834" s="5">
        <f>BDP(A1834&amp;" US Equity","CUR_MKT_CAP")</f>
        <v/>
      </c>
      <c r="C1834">
        <f>BDP(A1834&amp;" US Equity","EXCH_CODE")</f>
        <v/>
      </c>
      <c r="D1834" s="5">
        <f>BDP(A1834&amp;" US Equity","VOLUME_AVG_20D")</f>
        <v/>
      </c>
      <c r="E1834" s="6">
        <f>BDP(A1834&amp;" US Equity","PX_LAST")</f>
        <v/>
      </c>
      <c r="F1834" s="5">
        <f>D1834*E1834</f>
        <v/>
      </c>
      <c r="G1834">
        <f>AND(B1834&gt;=50,B1834&lt;=10000)</f>
        <v/>
      </c>
      <c r="H1834">
        <f>OR(C1834="NAS",C1834="NYS",C1834="ASE")</f>
        <v/>
      </c>
      <c r="I1834">
        <f>F1834&gt;=500000</f>
        <v/>
      </c>
      <c r="J1834">
        <f>E1834&gt;=2</f>
        <v/>
      </c>
      <c r="K1834">
        <f>AND(G1834,H1834,I1834,J1834)</f>
        <v/>
      </c>
    </row>
    <row r="1835">
      <c r="B1835" s="5">
        <f>BDP(A1835&amp;" US Equity","CUR_MKT_CAP")</f>
        <v/>
      </c>
      <c r="C1835">
        <f>BDP(A1835&amp;" US Equity","EXCH_CODE")</f>
        <v/>
      </c>
      <c r="D1835" s="5">
        <f>BDP(A1835&amp;" US Equity","VOLUME_AVG_20D")</f>
        <v/>
      </c>
      <c r="E1835" s="6">
        <f>BDP(A1835&amp;" US Equity","PX_LAST")</f>
        <v/>
      </c>
      <c r="F1835" s="5">
        <f>D1835*E1835</f>
        <v/>
      </c>
      <c r="G1835">
        <f>AND(B1835&gt;=50,B1835&lt;=10000)</f>
        <v/>
      </c>
      <c r="H1835">
        <f>OR(C1835="NAS",C1835="NYS",C1835="ASE")</f>
        <v/>
      </c>
      <c r="I1835">
        <f>F1835&gt;=500000</f>
        <v/>
      </c>
      <c r="J1835">
        <f>E1835&gt;=2</f>
        <v/>
      </c>
      <c r="K1835">
        <f>AND(G1835,H1835,I1835,J1835)</f>
        <v/>
      </c>
    </row>
    <row r="1836">
      <c r="B1836" s="5">
        <f>BDP(A1836&amp;" US Equity","CUR_MKT_CAP")</f>
        <v/>
      </c>
      <c r="C1836">
        <f>BDP(A1836&amp;" US Equity","EXCH_CODE")</f>
        <v/>
      </c>
      <c r="D1836" s="5">
        <f>BDP(A1836&amp;" US Equity","VOLUME_AVG_20D")</f>
        <v/>
      </c>
      <c r="E1836" s="6">
        <f>BDP(A1836&amp;" US Equity","PX_LAST")</f>
        <v/>
      </c>
      <c r="F1836" s="5">
        <f>D1836*E1836</f>
        <v/>
      </c>
      <c r="G1836">
        <f>AND(B1836&gt;=50,B1836&lt;=10000)</f>
        <v/>
      </c>
      <c r="H1836">
        <f>OR(C1836="NAS",C1836="NYS",C1836="ASE")</f>
        <v/>
      </c>
      <c r="I1836">
        <f>F1836&gt;=500000</f>
        <v/>
      </c>
      <c r="J1836">
        <f>E1836&gt;=2</f>
        <v/>
      </c>
      <c r="K1836">
        <f>AND(G1836,H1836,I1836,J1836)</f>
        <v/>
      </c>
    </row>
    <row r="1837">
      <c r="B1837" s="5">
        <f>BDP(A1837&amp;" US Equity","CUR_MKT_CAP")</f>
        <v/>
      </c>
      <c r="C1837">
        <f>BDP(A1837&amp;" US Equity","EXCH_CODE")</f>
        <v/>
      </c>
      <c r="D1837" s="5">
        <f>BDP(A1837&amp;" US Equity","VOLUME_AVG_20D")</f>
        <v/>
      </c>
      <c r="E1837" s="6">
        <f>BDP(A1837&amp;" US Equity","PX_LAST")</f>
        <v/>
      </c>
      <c r="F1837" s="5">
        <f>D1837*E1837</f>
        <v/>
      </c>
      <c r="G1837">
        <f>AND(B1837&gt;=50,B1837&lt;=10000)</f>
        <v/>
      </c>
      <c r="H1837">
        <f>OR(C1837="NAS",C1837="NYS",C1837="ASE")</f>
        <v/>
      </c>
      <c r="I1837">
        <f>F1837&gt;=500000</f>
        <v/>
      </c>
      <c r="J1837">
        <f>E1837&gt;=2</f>
        <v/>
      </c>
      <c r="K1837">
        <f>AND(G1837,H1837,I1837,J1837)</f>
        <v/>
      </c>
    </row>
    <row r="1838">
      <c r="B1838" s="5">
        <f>BDP(A1838&amp;" US Equity","CUR_MKT_CAP")</f>
        <v/>
      </c>
      <c r="C1838">
        <f>BDP(A1838&amp;" US Equity","EXCH_CODE")</f>
        <v/>
      </c>
      <c r="D1838" s="5">
        <f>BDP(A1838&amp;" US Equity","VOLUME_AVG_20D")</f>
        <v/>
      </c>
      <c r="E1838" s="6">
        <f>BDP(A1838&amp;" US Equity","PX_LAST")</f>
        <v/>
      </c>
      <c r="F1838" s="5">
        <f>D1838*E1838</f>
        <v/>
      </c>
      <c r="G1838">
        <f>AND(B1838&gt;=50,B1838&lt;=10000)</f>
        <v/>
      </c>
      <c r="H1838">
        <f>OR(C1838="NAS",C1838="NYS",C1838="ASE")</f>
        <v/>
      </c>
      <c r="I1838">
        <f>F1838&gt;=500000</f>
        <v/>
      </c>
      <c r="J1838">
        <f>E1838&gt;=2</f>
        <v/>
      </c>
      <c r="K1838">
        <f>AND(G1838,H1838,I1838,J1838)</f>
        <v/>
      </c>
    </row>
    <row r="1839">
      <c r="B1839" s="5">
        <f>BDP(A1839&amp;" US Equity","CUR_MKT_CAP")</f>
        <v/>
      </c>
      <c r="C1839">
        <f>BDP(A1839&amp;" US Equity","EXCH_CODE")</f>
        <v/>
      </c>
      <c r="D1839" s="5">
        <f>BDP(A1839&amp;" US Equity","VOLUME_AVG_20D")</f>
        <v/>
      </c>
      <c r="E1839" s="6">
        <f>BDP(A1839&amp;" US Equity","PX_LAST")</f>
        <v/>
      </c>
      <c r="F1839" s="5">
        <f>D1839*E1839</f>
        <v/>
      </c>
      <c r="G1839">
        <f>AND(B1839&gt;=50,B1839&lt;=10000)</f>
        <v/>
      </c>
      <c r="H1839">
        <f>OR(C1839="NAS",C1839="NYS",C1839="ASE")</f>
        <v/>
      </c>
      <c r="I1839">
        <f>F1839&gt;=500000</f>
        <v/>
      </c>
      <c r="J1839">
        <f>E1839&gt;=2</f>
        <v/>
      </c>
      <c r="K1839">
        <f>AND(G1839,H1839,I1839,J1839)</f>
        <v/>
      </c>
    </row>
    <row r="1840">
      <c r="B1840" s="5">
        <f>BDP(A1840&amp;" US Equity","CUR_MKT_CAP")</f>
        <v/>
      </c>
      <c r="C1840">
        <f>BDP(A1840&amp;" US Equity","EXCH_CODE")</f>
        <v/>
      </c>
      <c r="D1840" s="5">
        <f>BDP(A1840&amp;" US Equity","VOLUME_AVG_20D")</f>
        <v/>
      </c>
      <c r="E1840" s="6">
        <f>BDP(A1840&amp;" US Equity","PX_LAST")</f>
        <v/>
      </c>
      <c r="F1840" s="5">
        <f>D1840*E1840</f>
        <v/>
      </c>
      <c r="G1840">
        <f>AND(B1840&gt;=50,B1840&lt;=10000)</f>
        <v/>
      </c>
      <c r="H1840">
        <f>OR(C1840="NAS",C1840="NYS",C1840="ASE")</f>
        <v/>
      </c>
      <c r="I1840">
        <f>F1840&gt;=500000</f>
        <v/>
      </c>
      <c r="J1840">
        <f>E1840&gt;=2</f>
        <v/>
      </c>
      <c r="K1840">
        <f>AND(G1840,H1840,I1840,J1840)</f>
        <v/>
      </c>
    </row>
    <row r="1841">
      <c r="B1841" s="5">
        <f>BDP(A1841&amp;" US Equity","CUR_MKT_CAP")</f>
        <v/>
      </c>
      <c r="C1841">
        <f>BDP(A1841&amp;" US Equity","EXCH_CODE")</f>
        <v/>
      </c>
      <c r="D1841" s="5">
        <f>BDP(A1841&amp;" US Equity","VOLUME_AVG_20D")</f>
        <v/>
      </c>
      <c r="E1841" s="6">
        <f>BDP(A1841&amp;" US Equity","PX_LAST")</f>
        <v/>
      </c>
      <c r="F1841" s="5">
        <f>D1841*E1841</f>
        <v/>
      </c>
      <c r="G1841">
        <f>AND(B1841&gt;=50,B1841&lt;=10000)</f>
        <v/>
      </c>
      <c r="H1841">
        <f>OR(C1841="NAS",C1841="NYS",C1841="ASE")</f>
        <v/>
      </c>
      <c r="I1841">
        <f>F1841&gt;=500000</f>
        <v/>
      </c>
      <c r="J1841">
        <f>E1841&gt;=2</f>
        <v/>
      </c>
      <c r="K1841">
        <f>AND(G1841,H1841,I1841,J1841)</f>
        <v/>
      </c>
    </row>
    <row r="1842">
      <c r="B1842" s="5">
        <f>BDP(A1842&amp;" US Equity","CUR_MKT_CAP")</f>
        <v/>
      </c>
      <c r="C1842">
        <f>BDP(A1842&amp;" US Equity","EXCH_CODE")</f>
        <v/>
      </c>
      <c r="D1842" s="5">
        <f>BDP(A1842&amp;" US Equity","VOLUME_AVG_20D")</f>
        <v/>
      </c>
      <c r="E1842" s="6">
        <f>BDP(A1842&amp;" US Equity","PX_LAST")</f>
        <v/>
      </c>
      <c r="F1842" s="5">
        <f>D1842*E1842</f>
        <v/>
      </c>
      <c r="G1842">
        <f>AND(B1842&gt;=50,B1842&lt;=10000)</f>
        <v/>
      </c>
      <c r="H1842">
        <f>OR(C1842="NAS",C1842="NYS",C1842="ASE")</f>
        <v/>
      </c>
      <c r="I1842">
        <f>F1842&gt;=500000</f>
        <v/>
      </c>
      <c r="J1842">
        <f>E1842&gt;=2</f>
        <v/>
      </c>
      <c r="K1842">
        <f>AND(G1842,H1842,I1842,J1842)</f>
        <v/>
      </c>
    </row>
    <row r="1843">
      <c r="B1843" s="5">
        <f>BDP(A1843&amp;" US Equity","CUR_MKT_CAP")</f>
        <v/>
      </c>
      <c r="C1843">
        <f>BDP(A1843&amp;" US Equity","EXCH_CODE")</f>
        <v/>
      </c>
      <c r="D1843" s="5">
        <f>BDP(A1843&amp;" US Equity","VOLUME_AVG_20D")</f>
        <v/>
      </c>
      <c r="E1843" s="6">
        <f>BDP(A1843&amp;" US Equity","PX_LAST")</f>
        <v/>
      </c>
      <c r="F1843" s="5">
        <f>D1843*E1843</f>
        <v/>
      </c>
      <c r="G1843">
        <f>AND(B1843&gt;=50,B1843&lt;=10000)</f>
        <v/>
      </c>
      <c r="H1843">
        <f>OR(C1843="NAS",C1843="NYS",C1843="ASE")</f>
        <v/>
      </c>
      <c r="I1843">
        <f>F1843&gt;=500000</f>
        <v/>
      </c>
      <c r="J1843">
        <f>E1843&gt;=2</f>
        <v/>
      </c>
      <c r="K1843">
        <f>AND(G1843,H1843,I1843,J1843)</f>
        <v/>
      </c>
    </row>
    <row r="1844">
      <c r="B1844" s="5">
        <f>BDP(A1844&amp;" US Equity","CUR_MKT_CAP")</f>
        <v/>
      </c>
      <c r="C1844">
        <f>BDP(A1844&amp;" US Equity","EXCH_CODE")</f>
        <v/>
      </c>
      <c r="D1844" s="5">
        <f>BDP(A1844&amp;" US Equity","VOLUME_AVG_20D")</f>
        <v/>
      </c>
      <c r="E1844" s="6">
        <f>BDP(A1844&amp;" US Equity","PX_LAST")</f>
        <v/>
      </c>
      <c r="F1844" s="5">
        <f>D1844*E1844</f>
        <v/>
      </c>
      <c r="G1844">
        <f>AND(B1844&gt;=50,B1844&lt;=10000)</f>
        <v/>
      </c>
      <c r="H1844">
        <f>OR(C1844="NAS",C1844="NYS",C1844="ASE")</f>
        <v/>
      </c>
      <c r="I1844">
        <f>F1844&gt;=500000</f>
        <v/>
      </c>
      <c r="J1844">
        <f>E1844&gt;=2</f>
        <v/>
      </c>
      <c r="K1844">
        <f>AND(G1844,H1844,I1844,J1844)</f>
        <v/>
      </c>
    </row>
    <row r="1845">
      <c r="B1845" s="5">
        <f>BDP(A1845&amp;" US Equity","CUR_MKT_CAP")</f>
        <v/>
      </c>
      <c r="C1845">
        <f>BDP(A1845&amp;" US Equity","EXCH_CODE")</f>
        <v/>
      </c>
      <c r="D1845" s="5">
        <f>BDP(A1845&amp;" US Equity","VOLUME_AVG_20D")</f>
        <v/>
      </c>
      <c r="E1845" s="6">
        <f>BDP(A1845&amp;" US Equity","PX_LAST")</f>
        <v/>
      </c>
      <c r="F1845" s="5">
        <f>D1845*E1845</f>
        <v/>
      </c>
      <c r="G1845">
        <f>AND(B1845&gt;=50,B1845&lt;=10000)</f>
        <v/>
      </c>
      <c r="H1845">
        <f>OR(C1845="NAS",C1845="NYS",C1845="ASE")</f>
        <v/>
      </c>
      <c r="I1845">
        <f>F1845&gt;=500000</f>
        <v/>
      </c>
      <c r="J1845">
        <f>E1845&gt;=2</f>
        <v/>
      </c>
      <c r="K1845">
        <f>AND(G1845,H1845,I1845,J1845)</f>
        <v/>
      </c>
    </row>
    <row r="1846">
      <c r="B1846" s="5">
        <f>BDP(A1846&amp;" US Equity","CUR_MKT_CAP")</f>
        <v/>
      </c>
      <c r="C1846">
        <f>BDP(A1846&amp;" US Equity","EXCH_CODE")</f>
        <v/>
      </c>
      <c r="D1846" s="5">
        <f>BDP(A1846&amp;" US Equity","VOLUME_AVG_20D")</f>
        <v/>
      </c>
      <c r="E1846" s="6">
        <f>BDP(A1846&amp;" US Equity","PX_LAST")</f>
        <v/>
      </c>
      <c r="F1846" s="5">
        <f>D1846*E1846</f>
        <v/>
      </c>
      <c r="G1846">
        <f>AND(B1846&gt;=50,B1846&lt;=10000)</f>
        <v/>
      </c>
      <c r="H1846">
        <f>OR(C1846="NAS",C1846="NYS",C1846="ASE")</f>
        <v/>
      </c>
      <c r="I1846">
        <f>F1846&gt;=500000</f>
        <v/>
      </c>
      <c r="J1846">
        <f>E1846&gt;=2</f>
        <v/>
      </c>
      <c r="K1846">
        <f>AND(G1846,H1846,I1846,J1846)</f>
        <v/>
      </c>
    </row>
    <row r="1847">
      <c r="B1847" s="5">
        <f>BDP(A1847&amp;" US Equity","CUR_MKT_CAP")</f>
        <v/>
      </c>
      <c r="C1847">
        <f>BDP(A1847&amp;" US Equity","EXCH_CODE")</f>
        <v/>
      </c>
      <c r="D1847" s="5">
        <f>BDP(A1847&amp;" US Equity","VOLUME_AVG_20D")</f>
        <v/>
      </c>
      <c r="E1847" s="6">
        <f>BDP(A1847&amp;" US Equity","PX_LAST")</f>
        <v/>
      </c>
      <c r="F1847" s="5">
        <f>D1847*E1847</f>
        <v/>
      </c>
      <c r="G1847">
        <f>AND(B1847&gt;=50,B1847&lt;=10000)</f>
        <v/>
      </c>
      <c r="H1847">
        <f>OR(C1847="NAS",C1847="NYS",C1847="ASE")</f>
        <v/>
      </c>
      <c r="I1847">
        <f>F1847&gt;=500000</f>
        <v/>
      </c>
      <c r="J1847">
        <f>E1847&gt;=2</f>
        <v/>
      </c>
      <c r="K1847">
        <f>AND(G1847,H1847,I1847,J1847)</f>
        <v/>
      </c>
    </row>
    <row r="1848">
      <c r="B1848" s="5">
        <f>BDP(A1848&amp;" US Equity","CUR_MKT_CAP")</f>
        <v/>
      </c>
      <c r="C1848">
        <f>BDP(A1848&amp;" US Equity","EXCH_CODE")</f>
        <v/>
      </c>
      <c r="D1848" s="5">
        <f>BDP(A1848&amp;" US Equity","VOLUME_AVG_20D")</f>
        <v/>
      </c>
      <c r="E1848" s="6">
        <f>BDP(A1848&amp;" US Equity","PX_LAST")</f>
        <v/>
      </c>
      <c r="F1848" s="5">
        <f>D1848*E1848</f>
        <v/>
      </c>
      <c r="G1848">
        <f>AND(B1848&gt;=50,B1848&lt;=10000)</f>
        <v/>
      </c>
      <c r="H1848">
        <f>OR(C1848="NAS",C1848="NYS",C1848="ASE")</f>
        <v/>
      </c>
      <c r="I1848">
        <f>F1848&gt;=500000</f>
        <v/>
      </c>
      <c r="J1848">
        <f>E1848&gt;=2</f>
        <v/>
      </c>
      <c r="K1848">
        <f>AND(G1848,H1848,I1848,J1848)</f>
        <v/>
      </c>
    </row>
    <row r="1849">
      <c r="B1849" s="5">
        <f>BDP(A1849&amp;" US Equity","CUR_MKT_CAP")</f>
        <v/>
      </c>
      <c r="C1849">
        <f>BDP(A1849&amp;" US Equity","EXCH_CODE")</f>
        <v/>
      </c>
      <c r="D1849" s="5">
        <f>BDP(A1849&amp;" US Equity","VOLUME_AVG_20D")</f>
        <v/>
      </c>
      <c r="E1849" s="6">
        <f>BDP(A1849&amp;" US Equity","PX_LAST")</f>
        <v/>
      </c>
      <c r="F1849" s="5">
        <f>D1849*E1849</f>
        <v/>
      </c>
      <c r="G1849">
        <f>AND(B1849&gt;=50,B1849&lt;=10000)</f>
        <v/>
      </c>
      <c r="H1849">
        <f>OR(C1849="NAS",C1849="NYS",C1849="ASE")</f>
        <v/>
      </c>
      <c r="I1849">
        <f>F1849&gt;=500000</f>
        <v/>
      </c>
      <c r="J1849">
        <f>E1849&gt;=2</f>
        <v/>
      </c>
      <c r="K1849">
        <f>AND(G1849,H1849,I1849,J1849)</f>
        <v/>
      </c>
    </row>
    <row r="1850">
      <c r="B1850" s="5">
        <f>BDP(A1850&amp;" US Equity","CUR_MKT_CAP")</f>
        <v/>
      </c>
      <c r="C1850">
        <f>BDP(A1850&amp;" US Equity","EXCH_CODE")</f>
        <v/>
      </c>
      <c r="D1850" s="5">
        <f>BDP(A1850&amp;" US Equity","VOLUME_AVG_20D")</f>
        <v/>
      </c>
      <c r="E1850" s="6">
        <f>BDP(A1850&amp;" US Equity","PX_LAST")</f>
        <v/>
      </c>
      <c r="F1850" s="5">
        <f>D1850*E1850</f>
        <v/>
      </c>
      <c r="G1850">
        <f>AND(B1850&gt;=50,B1850&lt;=10000)</f>
        <v/>
      </c>
      <c r="H1850">
        <f>OR(C1850="NAS",C1850="NYS",C1850="ASE")</f>
        <v/>
      </c>
      <c r="I1850">
        <f>F1850&gt;=500000</f>
        <v/>
      </c>
      <c r="J1850">
        <f>E1850&gt;=2</f>
        <v/>
      </c>
      <c r="K1850">
        <f>AND(G1850,H1850,I1850,J1850)</f>
        <v/>
      </c>
    </row>
    <row r="1851">
      <c r="B1851" s="5">
        <f>BDP(A1851&amp;" US Equity","CUR_MKT_CAP")</f>
        <v/>
      </c>
      <c r="C1851">
        <f>BDP(A1851&amp;" US Equity","EXCH_CODE")</f>
        <v/>
      </c>
      <c r="D1851" s="5">
        <f>BDP(A1851&amp;" US Equity","VOLUME_AVG_20D")</f>
        <v/>
      </c>
      <c r="E1851" s="6">
        <f>BDP(A1851&amp;" US Equity","PX_LAST")</f>
        <v/>
      </c>
      <c r="F1851" s="5">
        <f>D1851*E1851</f>
        <v/>
      </c>
      <c r="G1851">
        <f>AND(B1851&gt;=50,B1851&lt;=10000)</f>
        <v/>
      </c>
      <c r="H1851">
        <f>OR(C1851="NAS",C1851="NYS",C1851="ASE")</f>
        <v/>
      </c>
      <c r="I1851">
        <f>F1851&gt;=500000</f>
        <v/>
      </c>
      <c r="J1851">
        <f>E1851&gt;=2</f>
        <v/>
      </c>
      <c r="K1851">
        <f>AND(G1851,H1851,I1851,J1851)</f>
        <v/>
      </c>
    </row>
    <row r="1852">
      <c r="B1852" s="5">
        <f>BDP(A1852&amp;" US Equity","CUR_MKT_CAP")</f>
        <v/>
      </c>
      <c r="C1852">
        <f>BDP(A1852&amp;" US Equity","EXCH_CODE")</f>
        <v/>
      </c>
      <c r="D1852" s="5">
        <f>BDP(A1852&amp;" US Equity","VOLUME_AVG_20D")</f>
        <v/>
      </c>
      <c r="E1852" s="6">
        <f>BDP(A1852&amp;" US Equity","PX_LAST")</f>
        <v/>
      </c>
      <c r="F1852" s="5">
        <f>D1852*E1852</f>
        <v/>
      </c>
      <c r="G1852">
        <f>AND(B1852&gt;=50,B1852&lt;=10000)</f>
        <v/>
      </c>
      <c r="H1852">
        <f>OR(C1852="NAS",C1852="NYS",C1852="ASE")</f>
        <v/>
      </c>
      <c r="I1852">
        <f>F1852&gt;=500000</f>
        <v/>
      </c>
      <c r="J1852">
        <f>E1852&gt;=2</f>
        <v/>
      </c>
      <c r="K1852">
        <f>AND(G1852,H1852,I1852,J1852)</f>
        <v/>
      </c>
    </row>
    <row r="1853">
      <c r="B1853" s="5">
        <f>BDP(A1853&amp;" US Equity","CUR_MKT_CAP")</f>
        <v/>
      </c>
      <c r="C1853">
        <f>BDP(A1853&amp;" US Equity","EXCH_CODE")</f>
        <v/>
      </c>
      <c r="D1853" s="5">
        <f>BDP(A1853&amp;" US Equity","VOLUME_AVG_20D")</f>
        <v/>
      </c>
      <c r="E1853" s="6">
        <f>BDP(A1853&amp;" US Equity","PX_LAST")</f>
        <v/>
      </c>
      <c r="F1853" s="5">
        <f>D1853*E1853</f>
        <v/>
      </c>
      <c r="G1853">
        <f>AND(B1853&gt;=50,B1853&lt;=10000)</f>
        <v/>
      </c>
      <c r="H1853">
        <f>OR(C1853="NAS",C1853="NYS",C1853="ASE")</f>
        <v/>
      </c>
      <c r="I1853">
        <f>F1853&gt;=500000</f>
        <v/>
      </c>
      <c r="J1853">
        <f>E1853&gt;=2</f>
        <v/>
      </c>
      <c r="K1853">
        <f>AND(G1853,H1853,I1853,J1853)</f>
        <v/>
      </c>
    </row>
    <row r="1854">
      <c r="B1854" s="5">
        <f>BDP(A1854&amp;" US Equity","CUR_MKT_CAP")</f>
        <v/>
      </c>
      <c r="C1854">
        <f>BDP(A1854&amp;" US Equity","EXCH_CODE")</f>
        <v/>
      </c>
      <c r="D1854" s="5">
        <f>BDP(A1854&amp;" US Equity","VOLUME_AVG_20D")</f>
        <v/>
      </c>
      <c r="E1854" s="6">
        <f>BDP(A1854&amp;" US Equity","PX_LAST")</f>
        <v/>
      </c>
      <c r="F1854" s="5">
        <f>D1854*E1854</f>
        <v/>
      </c>
      <c r="G1854">
        <f>AND(B1854&gt;=50,B1854&lt;=10000)</f>
        <v/>
      </c>
      <c r="H1854">
        <f>OR(C1854="NAS",C1854="NYS",C1854="ASE")</f>
        <v/>
      </c>
      <c r="I1854">
        <f>F1854&gt;=500000</f>
        <v/>
      </c>
      <c r="J1854">
        <f>E1854&gt;=2</f>
        <v/>
      </c>
      <c r="K1854">
        <f>AND(G1854,H1854,I1854,J1854)</f>
        <v/>
      </c>
    </row>
    <row r="1855">
      <c r="B1855" s="5">
        <f>BDP(A1855&amp;" US Equity","CUR_MKT_CAP")</f>
        <v/>
      </c>
      <c r="C1855">
        <f>BDP(A1855&amp;" US Equity","EXCH_CODE")</f>
        <v/>
      </c>
      <c r="D1855" s="5">
        <f>BDP(A1855&amp;" US Equity","VOLUME_AVG_20D")</f>
        <v/>
      </c>
      <c r="E1855" s="6">
        <f>BDP(A1855&amp;" US Equity","PX_LAST")</f>
        <v/>
      </c>
      <c r="F1855" s="5">
        <f>D1855*E1855</f>
        <v/>
      </c>
      <c r="G1855">
        <f>AND(B1855&gt;=50,B1855&lt;=10000)</f>
        <v/>
      </c>
      <c r="H1855">
        <f>OR(C1855="NAS",C1855="NYS",C1855="ASE")</f>
        <v/>
      </c>
      <c r="I1855">
        <f>F1855&gt;=500000</f>
        <v/>
      </c>
      <c r="J1855">
        <f>E1855&gt;=2</f>
        <v/>
      </c>
      <c r="K1855">
        <f>AND(G1855,H1855,I1855,J1855)</f>
        <v/>
      </c>
    </row>
    <row r="1856">
      <c r="B1856" s="5">
        <f>BDP(A1856&amp;" US Equity","CUR_MKT_CAP")</f>
        <v/>
      </c>
      <c r="C1856">
        <f>BDP(A1856&amp;" US Equity","EXCH_CODE")</f>
        <v/>
      </c>
      <c r="D1856" s="5">
        <f>BDP(A1856&amp;" US Equity","VOLUME_AVG_20D")</f>
        <v/>
      </c>
      <c r="E1856" s="6">
        <f>BDP(A1856&amp;" US Equity","PX_LAST")</f>
        <v/>
      </c>
      <c r="F1856" s="5">
        <f>D1856*E1856</f>
        <v/>
      </c>
      <c r="G1856">
        <f>AND(B1856&gt;=50,B1856&lt;=10000)</f>
        <v/>
      </c>
      <c r="H1856">
        <f>OR(C1856="NAS",C1856="NYS",C1856="ASE")</f>
        <v/>
      </c>
      <c r="I1856">
        <f>F1856&gt;=500000</f>
        <v/>
      </c>
      <c r="J1856">
        <f>E1856&gt;=2</f>
        <v/>
      </c>
      <c r="K1856">
        <f>AND(G1856,H1856,I1856,J1856)</f>
        <v/>
      </c>
    </row>
    <row r="1857">
      <c r="B1857" s="5">
        <f>BDP(A1857&amp;" US Equity","CUR_MKT_CAP")</f>
        <v/>
      </c>
      <c r="C1857">
        <f>BDP(A1857&amp;" US Equity","EXCH_CODE")</f>
        <v/>
      </c>
      <c r="D1857" s="5">
        <f>BDP(A1857&amp;" US Equity","VOLUME_AVG_20D")</f>
        <v/>
      </c>
      <c r="E1857" s="6">
        <f>BDP(A1857&amp;" US Equity","PX_LAST")</f>
        <v/>
      </c>
      <c r="F1857" s="5">
        <f>D1857*E1857</f>
        <v/>
      </c>
      <c r="G1857">
        <f>AND(B1857&gt;=50,B1857&lt;=10000)</f>
        <v/>
      </c>
      <c r="H1857">
        <f>OR(C1857="NAS",C1857="NYS",C1857="ASE")</f>
        <v/>
      </c>
      <c r="I1857">
        <f>F1857&gt;=500000</f>
        <v/>
      </c>
      <c r="J1857">
        <f>E1857&gt;=2</f>
        <v/>
      </c>
      <c r="K1857">
        <f>AND(G1857,H1857,I1857,J1857)</f>
        <v/>
      </c>
    </row>
    <row r="1858">
      <c r="B1858" s="5">
        <f>BDP(A1858&amp;" US Equity","CUR_MKT_CAP")</f>
        <v/>
      </c>
      <c r="C1858">
        <f>BDP(A1858&amp;" US Equity","EXCH_CODE")</f>
        <v/>
      </c>
      <c r="D1858" s="5">
        <f>BDP(A1858&amp;" US Equity","VOLUME_AVG_20D")</f>
        <v/>
      </c>
      <c r="E1858" s="6">
        <f>BDP(A1858&amp;" US Equity","PX_LAST")</f>
        <v/>
      </c>
      <c r="F1858" s="5">
        <f>D1858*E1858</f>
        <v/>
      </c>
      <c r="G1858">
        <f>AND(B1858&gt;=50,B1858&lt;=10000)</f>
        <v/>
      </c>
      <c r="H1858">
        <f>OR(C1858="NAS",C1858="NYS",C1858="ASE")</f>
        <v/>
      </c>
      <c r="I1858">
        <f>F1858&gt;=500000</f>
        <v/>
      </c>
      <c r="J1858">
        <f>E1858&gt;=2</f>
        <v/>
      </c>
      <c r="K1858">
        <f>AND(G1858,H1858,I1858,J1858)</f>
        <v/>
      </c>
    </row>
    <row r="1859">
      <c r="B1859" s="5">
        <f>BDP(A1859&amp;" US Equity","CUR_MKT_CAP")</f>
        <v/>
      </c>
      <c r="C1859">
        <f>BDP(A1859&amp;" US Equity","EXCH_CODE")</f>
        <v/>
      </c>
      <c r="D1859" s="5">
        <f>BDP(A1859&amp;" US Equity","VOLUME_AVG_20D")</f>
        <v/>
      </c>
      <c r="E1859" s="6">
        <f>BDP(A1859&amp;" US Equity","PX_LAST")</f>
        <v/>
      </c>
      <c r="F1859" s="5">
        <f>D1859*E1859</f>
        <v/>
      </c>
      <c r="G1859">
        <f>AND(B1859&gt;=50,B1859&lt;=10000)</f>
        <v/>
      </c>
      <c r="H1859">
        <f>OR(C1859="NAS",C1859="NYS",C1859="ASE")</f>
        <v/>
      </c>
      <c r="I1859">
        <f>F1859&gt;=500000</f>
        <v/>
      </c>
      <c r="J1859">
        <f>E1859&gt;=2</f>
        <v/>
      </c>
      <c r="K1859">
        <f>AND(G1859,H1859,I1859,J1859)</f>
        <v/>
      </c>
    </row>
    <row r="1860">
      <c r="B1860" s="5">
        <f>BDP(A1860&amp;" US Equity","CUR_MKT_CAP")</f>
        <v/>
      </c>
      <c r="C1860">
        <f>BDP(A1860&amp;" US Equity","EXCH_CODE")</f>
        <v/>
      </c>
      <c r="D1860" s="5">
        <f>BDP(A1860&amp;" US Equity","VOLUME_AVG_20D")</f>
        <v/>
      </c>
      <c r="E1860" s="6">
        <f>BDP(A1860&amp;" US Equity","PX_LAST")</f>
        <v/>
      </c>
      <c r="F1860" s="5">
        <f>D1860*E1860</f>
        <v/>
      </c>
      <c r="G1860">
        <f>AND(B1860&gt;=50,B1860&lt;=10000)</f>
        <v/>
      </c>
      <c r="H1860">
        <f>OR(C1860="NAS",C1860="NYS",C1860="ASE")</f>
        <v/>
      </c>
      <c r="I1860">
        <f>F1860&gt;=500000</f>
        <v/>
      </c>
      <c r="J1860">
        <f>E1860&gt;=2</f>
        <v/>
      </c>
      <c r="K1860">
        <f>AND(G1860,H1860,I1860,J1860)</f>
        <v/>
      </c>
    </row>
    <row r="1861">
      <c r="B1861" s="5">
        <f>BDP(A1861&amp;" US Equity","CUR_MKT_CAP")</f>
        <v/>
      </c>
      <c r="C1861">
        <f>BDP(A1861&amp;" US Equity","EXCH_CODE")</f>
        <v/>
      </c>
      <c r="D1861" s="5">
        <f>BDP(A1861&amp;" US Equity","VOLUME_AVG_20D")</f>
        <v/>
      </c>
      <c r="E1861" s="6">
        <f>BDP(A1861&amp;" US Equity","PX_LAST")</f>
        <v/>
      </c>
      <c r="F1861" s="5">
        <f>D1861*E1861</f>
        <v/>
      </c>
      <c r="G1861">
        <f>AND(B1861&gt;=50,B1861&lt;=10000)</f>
        <v/>
      </c>
      <c r="H1861">
        <f>OR(C1861="NAS",C1861="NYS",C1861="ASE")</f>
        <v/>
      </c>
      <c r="I1861">
        <f>F1861&gt;=500000</f>
        <v/>
      </c>
      <c r="J1861">
        <f>E1861&gt;=2</f>
        <v/>
      </c>
      <c r="K1861">
        <f>AND(G1861,H1861,I1861,J1861)</f>
        <v/>
      </c>
    </row>
    <row r="1862">
      <c r="B1862" s="5">
        <f>BDP(A1862&amp;" US Equity","CUR_MKT_CAP")</f>
        <v/>
      </c>
      <c r="C1862">
        <f>BDP(A1862&amp;" US Equity","EXCH_CODE")</f>
        <v/>
      </c>
      <c r="D1862" s="5">
        <f>BDP(A1862&amp;" US Equity","VOLUME_AVG_20D")</f>
        <v/>
      </c>
      <c r="E1862" s="6">
        <f>BDP(A1862&amp;" US Equity","PX_LAST")</f>
        <v/>
      </c>
      <c r="F1862" s="5">
        <f>D1862*E1862</f>
        <v/>
      </c>
      <c r="G1862">
        <f>AND(B1862&gt;=50,B1862&lt;=10000)</f>
        <v/>
      </c>
      <c r="H1862">
        <f>OR(C1862="NAS",C1862="NYS",C1862="ASE")</f>
        <v/>
      </c>
      <c r="I1862">
        <f>F1862&gt;=500000</f>
        <v/>
      </c>
      <c r="J1862">
        <f>E1862&gt;=2</f>
        <v/>
      </c>
      <c r="K1862">
        <f>AND(G1862,H1862,I1862,J1862)</f>
        <v/>
      </c>
    </row>
    <row r="1863">
      <c r="B1863" s="5">
        <f>BDP(A1863&amp;" US Equity","CUR_MKT_CAP")</f>
        <v/>
      </c>
      <c r="C1863">
        <f>BDP(A1863&amp;" US Equity","EXCH_CODE")</f>
        <v/>
      </c>
      <c r="D1863" s="5">
        <f>BDP(A1863&amp;" US Equity","VOLUME_AVG_20D")</f>
        <v/>
      </c>
      <c r="E1863" s="6">
        <f>BDP(A1863&amp;" US Equity","PX_LAST")</f>
        <v/>
      </c>
      <c r="F1863" s="5">
        <f>D1863*E1863</f>
        <v/>
      </c>
      <c r="G1863">
        <f>AND(B1863&gt;=50,B1863&lt;=10000)</f>
        <v/>
      </c>
      <c r="H1863">
        <f>OR(C1863="NAS",C1863="NYS",C1863="ASE")</f>
        <v/>
      </c>
      <c r="I1863">
        <f>F1863&gt;=500000</f>
        <v/>
      </c>
      <c r="J1863">
        <f>E1863&gt;=2</f>
        <v/>
      </c>
      <c r="K1863">
        <f>AND(G1863,H1863,I1863,J1863)</f>
        <v/>
      </c>
    </row>
    <row r="1864">
      <c r="B1864" s="5">
        <f>BDP(A1864&amp;" US Equity","CUR_MKT_CAP")</f>
        <v/>
      </c>
      <c r="C1864">
        <f>BDP(A1864&amp;" US Equity","EXCH_CODE")</f>
        <v/>
      </c>
      <c r="D1864" s="5">
        <f>BDP(A1864&amp;" US Equity","VOLUME_AVG_20D")</f>
        <v/>
      </c>
      <c r="E1864" s="6">
        <f>BDP(A1864&amp;" US Equity","PX_LAST")</f>
        <v/>
      </c>
      <c r="F1864" s="5">
        <f>D1864*E1864</f>
        <v/>
      </c>
      <c r="G1864">
        <f>AND(B1864&gt;=50,B1864&lt;=10000)</f>
        <v/>
      </c>
      <c r="H1864">
        <f>OR(C1864="NAS",C1864="NYS",C1864="ASE")</f>
        <v/>
      </c>
      <c r="I1864">
        <f>F1864&gt;=500000</f>
        <v/>
      </c>
      <c r="J1864">
        <f>E1864&gt;=2</f>
        <v/>
      </c>
      <c r="K1864">
        <f>AND(G1864,H1864,I1864,J1864)</f>
        <v/>
      </c>
    </row>
    <row r="1865">
      <c r="B1865" s="5">
        <f>BDP(A1865&amp;" US Equity","CUR_MKT_CAP")</f>
        <v/>
      </c>
      <c r="C1865">
        <f>BDP(A1865&amp;" US Equity","EXCH_CODE")</f>
        <v/>
      </c>
      <c r="D1865" s="5">
        <f>BDP(A1865&amp;" US Equity","VOLUME_AVG_20D")</f>
        <v/>
      </c>
      <c r="E1865" s="6">
        <f>BDP(A1865&amp;" US Equity","PX_LAST")</f>
        <v/>
      </c>
      <c r="F1865" s="5">
        <f>D1865*E1865</f>
        <v/>
      </c>
      <c r="G1865">
        <f>AND(B1865&gt;=50,B1865&lt;=10000)</f>
        <v/>
      </c>
      <c r="H1865">
        <f>OR(C1865="NAS",C1865="NYS",C1865="ASE")</f>
        <v/>
      </c>
      <c r="I1865">
        <f>F1865&gt;=500000</f>
        <v/>
      </c>
      <c r="J1865">
        <f>E1865&gt;=2</f>
        <v/>
      </c>
      <c r="K1865">
        <f>AND(G1865,H1865,I1865,J1865)</f>
        <v/>
      </c>
    </row>
    <row r="1866">
      <c r="B1866" s="5">
        <f>BDP(A1866&amp;" US Equity","CUR_MKT_CAP")</f>
        <v/>
      </c>
      <c r="C1866">
        <f>BDP(A1866&amp;" US Equity","EXCH_CODE")</f>
        <v/>
      </c>
      <c r="D1866" s="5">
        <f>BDP(A1866&amp;" US Equity","VOLUME_AVG_20D")</f>
        <v/>
      </c>
      <c r="E1866" s="6">
        <f>BDP(A1866&amp;" US Equity","PX_LAST")</f>
        <v/>
      </c>
      <c r="F1866" s="5">
        <f>D1866*E1866</f>
        <v/>
      </c>
      <c r="G1866">
        <f>AND(B1866&gt;=50,B1866&lt;=10000)</f>
        <v/>
      </c>
      <c r="H1866">
        <f>OR(C1866="NAS",C1866="NYS",C1866="ASE")</f>
        <v/>
      </c>
      <c r="I1866">
        <f>F1866&gt;=500000</f>
        <v/>
      </c>
      <c r="J1866">
        <f>E1866&gt;=2</f>
        <v/>
      </c>
      <c r="K1866">
        <f>AND(G1866,H1866,I1866,J1866)</f>
        <v/>
      </c>
    </row>
    <row r="1867">
      <c r="B1867" s="5">
        <f>BDP(A1867&amp;" US Equity","CUR_MKT_CAP")</f>
        <v/>
      </c>
      <c r="C1867">
        <f>BDP(A1867&amp;" US Equity","EXCH_CODE")</f>
        <v/>
      </c>
      <c r="D1867" s="5">
        <f>BDP(A1867&amp;" US Equity","VOLUME_AVG_20D")</f>
        <v/>
      </c>
      <c r="E1867" s="6">
        <f>BDP(A1867&amp;" US Equity","PX_LAST")</f>
        <v/>
      </c>
      <c r="F1867" s="5">
        <f>D1867*E1867</f>
        <v/>
      </c>
      <c r="G1867">
        <f>AND(B1867&gt;=50,B1867&lt;=10000)</f>
        <v/>
      </c>
      <c r="H1867">
        <f>OR(C1867="NAS",C1867="NYS",C1867="ASE")</f>
        <v/>
      </c>
      <c r="I1867">
        <f>F1867&gt;=500000</f>
        <v/>
      </c>
      <c r="J1867">
        <f>E1867&gt;=2</f>
        <v/>
      </c>
      <c r="K1867">
        <f>AND(G1867,H1867,I1867,J1867)</f>
        <v/>
      </c>
    </row>
    <row r="1868">
      <c r="B1868" s="5">
        <f>BDP(A1868&amp;" US Equity","CUR_MKT_CAP")</f>
        <v/>
      </c>
      <c r="C1868">
        <f>BDP(A1868&amp;" US Equity","EXCH_CODE")</f>
        <v/>
      </c>
      <c r="D1868" s="5">
        <f>BDP(A1868&amp;" US Equity","VOLUME_AVG_20D")</f>
        <v/>
      </c>
      <c r="E1868" s="6">
        <f>BDP(A1868&amp;" US Equity","PX_LAST")</f>
        <v/>
      </c>
      <c r="F1868" s="5">
        <f>D1868*E1868</f>
        <v/>
      </c>
      <c r="G1868">
        <f>AND(B1868&gt;=50,B1868&lt;=10000)</f>
        <v/>
      </c>
      <c r="H1868">
        <f>OR(C1868="NAS",C1868="NYS",C1868="ASE")</f>
        <v/>
      </c>
      <c r="I1868">
        <f>F1868&gt;=500000</f>
        <v/>
      </c>
      <c r="J1868">
        <f>E1868&gt;=2</f>
        <v/>
      </c>
      <c r="K1868">
        <f>AND(G1868,H1868,I1868,J1868)</f>
        <v/>
      </c>
    </row>
    <row r="1869">
      <c r="B1869" s="5">
        <f>BDP(A1869&amp;" US Equity","CUR_MKT_CAP")</f>
        <v/>
      </c>
      <c r="C1869">
        <f>BDP(A1869&amp;" US Equity","EXCH_CODE")</f>
        <v/>
      </c>
      <c r="D1869" s="5">
        <f>BDP(A1869&amp;" US Equity","VOLUME_AVG_20D")</f>
        <v/>
      </c>
      <c r="E1869" s="6">
        <f>BDP(A1869&amp;" US Equity","PX_LAST")</f>
        <v/>
      </c>
      <c r="F1869" s="5">
        <f>D1869*E1869</f>
        <v/>
      </c>
      <c r="G1869">
        <f>AND(B1869&gt;=50,B1869&lt;=10000)</f>
        <v/>
      </c>
      <c r="H1869">
        <f>OR(C1869="NAS",C1869="NYS",C1869="ASE")</f>
        <v/>
      </c>
      <c r="I1869">
        <f>F1869&gt;=500000</f>
        <v/>
      </c>
      <c r="J1869">
        <f>E1869&gt;=2</f>
        <v/>
      </c>
      <c r="K1869">
        <f>AND(G1869,H1869,I1869,J1869)</f>
        <v/>
      </c>
    </row>
    <row r="1870">
      <c r="B1870" s="5">
        <f>BDP(A1870&amp;" US Equity","CUR_MKT_CAP")</f>
        <v/>
      </c>
      <c r="C1870">
        <f>BDP(A1870&amp;" US Equity","EXCH_CODE")</f>
        <v/>
      </c>
      <c r="D1870" s="5">
        <f>BDP(A1870&amp;" US Equity","VOLUME_AVG_20D")</f>
        <v/>
      </c>
      <c r="E1870" s="6">
        <f>BDP(A1870&amp;" US Equity","PX_LAST")</f>
        <v/>
      </c>
      <c r="F1870" s="5">
        <f>D1870*E1870</f>
        <v/>
      </c>
      <c r="G1870">
        <f>AND(B1870&gt;=50,B1870&lt;=10000)</f>
        <v/>
      </c>
      <c r="H1870">
        <f>OR(C1870="NAS",C1870="NYS",C1870="ASE")</f>
        <v/>
      </c>
      <c r="I1870">
        <f>F1870&gt;=500000</f>
        <v/>
      </c>
      <c r="J1870">
        <f>E1870&gt;=2</f>
        <v/>
      </c>
      <c r="K1870">
        <f>AND(G1870,H1870,I1870,J1870)</f>
        <v/>
      </c>
    </row>
    <row r="1871">
      <c r="B1871" s="5">
        <f>BDP(A1871&amp;" US Equity","CUR_MKT_CAP")</f>
        <v/>
      </c>
      <c r="C1871">
        <f>BDP(A1871&amp;" US Equity","EXCH_CODE")</f>
        <v/>
      </c>
      <c r="D1871" s="5">
        <f>BDP(A1871&amp;" US Equity","VOLUME_AVG_20D")</f>
        <v/>
      </c>
      <c r="E1871" s="6">
        <f>BDP(A1871&amp;" US Equity","PX_LAST")</f>
        <v/>
      </c>
      <c r="F1871" s="5">
        <f>D1871*E1871</f>
        <v/>
      </c>
      <c r="G1871">
        <f>AND(B1871&gt;=50,B1871&lt;=10000)</f>
        <v/>
      </c>
      <c r="H1871">
        <f>OR(C1871="NAS",C1871="NYS",C1871="ASE")</f>
        <v/>
      </c>
      <c r="I1871">
        <f>F1871&gt;=500000</f>
        <v/>
      </c>
      <c r="J1871">
        <f>E1871&gt;=2</f>
        <v/>
      </c>
      <c r="K1871">
        <f>AND(G1871,H1871,I1871,J1871)</f>
        <v/>
      </c>
    </row>
    <row r="1872">
      <c r="B1872" s="5">
        <f>BDP(A1872&amp;" US Equity","CUR_MKT_CAP")</f>
        <v/>
      </c>
      <c r="C1872">
        <f>BDP(A1872&amp;" US Equity","EXCH_CODE")</f>
        <v/>
      </c>
      <c r="D1872" s="5">
        <f>BDP(A1872&amp;" US Equity","VOLUME_AVG_20D")</f>
        <v/>
      </c>
      <c r="E1872" s="6">
        <f>BDP(A1872&amp;" US Equity","PX_LAST")</f>
        <v/>
      </c>
      <c r="F1872" s="5">
        <f>D1872*E1872</f>
        <v/>
      </c>
      <c r="G1872">
        <f>AND(B1872&gt;=50,B1872&lt;=10000)</f>
        <v/>
      </c>
      <c r="H1872">
        <f>OR(C1872="NAS",C1872="NYS",C1872="ASE")</f>
        <v/>
      </c>
      <c r="I1872">
        <f>F1872&gt;=500000</f>
        <v/>
      </c>
      <c r="J1872">
        <f>E1872&gt;=2</f>
        <v/>
      </c>
      <c r="K1872">
        <f>AND(G1872,H1872,I1872,J1872)</f>
        <v/>
      </c>
    </row>
    <row r="1873">
      <c r="B1873" s="5">
        <f>BDP(A1873&amp;" US Equity","CUR_MKT_CAP")</f>
        <v/>
      </c>
      <c r="C1873">
        <f>BDP(A1873&amp;" US Equity","EXCH_CODE")</f>
        <v/>
      </c>
      <c r="D1873" s="5">
        <f>BDP(A1873&amp;" US Equity","VOLUME_AVG_20D")</f>
        <v/>
      </c>
      <c r="E1873" s="6">
        <f>BDP(A1873&amp;" US Equity","PX_LAST")</f>
        <v/>
      </c>
      <c r="F1873" s="5">
        <f>D1873*E1873</f>
        <v/>
      </c>
      <c r="G1873">
        <f>AND(B1873&gt;=50,B1873&lt;=10000)</f>
        <v/>
      </c>
      <c r="H1873">
        <f>OR(C1873="NAS",C1873="NYS",C1873="ASE")</f>
        <v/>
      </c>
      <c r="I1873">
        <f>F1873&gt;=500000</f>
        <v/>
      </c>
      <c r="J1873">
        <f>E1873&gt;=2</f>
        <v/>
      </c>
      <c r="K1873">
        <f>AND(G1873,H1873,I1873,J1873)</f>
        <v/>
      </c>
    </row>
    <row r="1874">
      <c r="B1874" s="5">
        <f>BDP(A1874&amp;" US Equity","CUR_MKT_CAP")</f>
        <v/>
      </c>
      <c r="C1874">
        <f>BDP(A1874&amp;" US Equity","EXCH_CODE")</f>
        <v/>
      </c>
      <c r="D1874" s="5">
        <f>BDP(A1874&amp;" US Equity","VOLUME_AVG_20D")</f>
        <v/>
      </c>
      <c r="E1874" s="6">
        <f>BDP(A1874&amp;" US Equity","PX_LAST")</f>
        <v/>
      </c>
      <c r="F1874" s="5">
        <f>D1874*E1874</f>
        <v/>
      </c>
      <c r="G1874">
        <f>AND(B1874&gt;=50,B1874&lt;=10000)</f>
        <v/>
      </c>
      <c r="H1874">
        <f>OR(C1874="NAS",C1874="NYS",C1874="ASE")</f>
        <v/>
      </c>
      <c r="I1874">
        <f>F1874&gt;=500000</f>
        <v/>
      </c>
      <c r="J1874">
        <f>E1874&gt;=2</f>
        <v/>
      </c>
      <c r="K1874">
        <f>AND(G1874,H1874,I1874,J1874)</f>
        <v/>
      </c>
    </row>
    <row r="1875">
      <c r="B1875" s="5">
        <f>BDP(A1875&amp;" US Equity","CUR_MKT_CAP")</f>
        <v/>
      </c>
      <c r="C1875">
        <f>BDP(A1875&amp;" US Equity","EXCH_CODE")</f>
        <v/>
      </c>
      <c r="D1875" s="5">
        <f>BDP(A1875&amp;" US Equity","VOLUME_AVG_20D")</f>
        <v/>
      </c>
      <c r="E1875" s="6">
        <f>BDP(A1875&amp;" US Equity","PX_LAST")</f>
        <v/>
      </c>
      <c r="F1875" s="5">
        <f>D1875*E1875</f>
        <v/>
      </c>
      <c r="G1875">
        <f>AND(B1875&gt;=50,B1875&lt;=10000)</f>
        <v/>
      </c>
      <c r="H1875">
        <f>OR(C1875="NAS",C1875="NYS",C1875="ASE")</f>
        <v/>
      </c>
      <c r="I1875">
        <f>F1875&gt;=500000</f>
        <v/>
      </c>
      <c r="J1875">
        <f>E1875&gt;=2</f>
        <v/>
      </c>
      <c r="K1875">
        <f>AND(G1875,H1875,I1875,J1875)</f>
        <v/>
      </c>
    </row>
    <row r="1876">
      <c r="B1876" s="5">
        <f>BDP(A1876&amp;" US Equity","CUR_MKT_CAP")</f>
        <v/>
      </c>
      <c r="C1876">
        <f>BDP(A1876&amp;" US Equity","EXCH_CODE")</f>
        <v/>
      </c>
      <c r="D1876" s="5">
        <f>BDP(A1876&amp;" US Equity","VOLUME_AVG_20D")</f>
        <v/>
      </c>
      <c r="E1876" s="6">
        <f>BDP(A1876&amp;" US Equity","PX_LAST")</f>
        <v/>
      </c>
      <c r="F1876" s="5">
        <f>D1876*E1876</f>
        <v/>
      </c>
      <c r="G1876">
        <f>AND(B1876&gt;=50,B1876&lt;=10000)</f>
        <v/>
      </c>
      <c r="H1876">
        <f>OR(C1876="NAS",C1876="NYS",C1876="ASE")</f>
        <v/>
      </c>
      <c r="I1876">
        <f>F1876&gt;=500000</f>
        <v/>
      </c>
      <c r="J1876">
        <f>E1876&gt;=2</f>
        <v/>
      </c>
      <c r="K1876">
        <f>AND(G1876,H1876,I1876,J1876)</f>
        <v/>
      </c>
    </row>
    <row r="1877">
      <c r="B1877" s="5">
        <f>BDP(A1877&amp;" US Equity","CUR_MKT_CAP")</f>
        <v/>
      </c>
      <c r="C1877">
        <f>BDP(A1877&amp;" US Equity","EXCH_CODE")</f>
        <v/>
      </c>
      <c r="D1877" s="5">
        <f>BDP(A1877&amp;" US Equity","VOLUME_AVG_20D")</f>
        <v/>
      </c>
      <c r="E1877" s="6">
        <f>BDP(A1877&amp;" US Equity","PX_LAST")</f>
        <v/>
      </c>
      <c r="F1877" s="5">
        <f>D1877*E1877</f>
        <v/>
      </c>
      <c r="G1877">
        <f>AND(B1877&gt;=50,B1877&lt;=10000)</f>
        <v/>
      </c>
      <c r="H1877">
        <f>OR(C1877="NAS",C1877="NYS",C1877="ASE")</f>
        <v/>
      </c>
      <c r="I1877">
        <f>F1877&gt;=500000</f>
        <v/>
      </c>
      <c r="J1877">
        <f>E1877&gt;=2</f>
        <v/>
      </c>
      <c r="K1877">
        <f>AND(G1877,H1877,I1877,J1877)</f>
        <v/>
      </c>
    </row>
    <row r="1878">
      <c r="B1878" s="5">
        <f>BDP(A1878&amp;" US Equity","CUR_MKT_CAP")</f>
        <v/>
      </c>
      <c r="C1878">
        <f>BDP(A1878&amp;" US Equity","EXCH_CODE")</f>
        <v/>
      </c>
      <c r="D1878" s="5">
        <f>BDP(A1878&amp;" US Equity","VOLUME_AVG_20D")</f>
        <v/>
      </c>
      <c r="E1878" s="6">
        <f>BDP(A1878&amp;" US Equity","PX_LAST")</f>
        <v/>
      </c>
      <c r="F1878" s="5">
        <f>D1878*E1878</f>
        <v/>
      </c>
      <c r="G1878">
        <f>AND(B1878&gt;=50,B1878&lt;=10000)</f>
        <v/>
      </c>
      <c r="H1878">
        <f>OR(C1878="NAS",C1878="NYS",C1878="ASE")</f>
        <v/>
      </c>
      <c r="I1878">
        <f>F1878&gt;=500000</f>
        <v/>
      </c>
      <c r="J1878">
        <f>E1878&gt;=2</f>
        <v/>
      </c>
      <c r="K1878">
        <f>AND(G1878,H1878,I1878,J1878)</f>
        <v/>
      </c>
    </row>
    <row r="1879">
      <c r="B1879" s="5">
        <f>BDP(A1879&amp;" US Equity","CUR_MKT_CAP")</f>
        <v/>
      </c>
      <c r="C1879">
        <f>BDP(A1879&amp;" US Equity","EXCH_CODE")</f>
        <v/>
      </c>
      <c r="D1879" s="5">
        <f>BDP(A1879&amp;" US Equity","VOLUME_AVG_20D")</f>
        <v/>
      </c>
      <c r="E1879" s="6">
        <f>BDP(A1879&amp;" US Equity","PX_LAST")</f>
        <v/>
      </c>
      <c r="F1879" s="5">
        <f>D1879*E1879</f>
        <v/>
      </c>
      <c r="G1879">
        <f>AND(B1879&gt;=50,B1879&lt;=10000)</f>
        <v/>
      </c>
      <c r="H1879">
        <f>OR(C1879="NAS",C1879="NYS",C1879="ASE")</f>
        <v/>
      </c>
      <c r="I1879">
        <f>F1879&gt;=500000</f>
        <v/>
      </c>
      <c r="J1879">
        <f>E1879&gt;=2</f>
        <v/>
      </c>
      <c r="K1879">
        <f>AND(G1879,H1879,I1879,J1879)</f>
        <v/>
      </c>
    </row>
    <row r="1880">
      <c r="B1880" s="5">
        <f>BDP(A1880&amp;" US Equity","CUR_MKT_CAP")</f>
        <v/>
      </c>
      <c r="C1880">
        <f>BDP(A1880&amp;" US Equity","EXCH_CODE")</f>
        <v/>
      </c>
      <c r="D1880" s="5">
        <f>BDP(A1880&amp;" US Equity","VOLUME_AVG_20D")</f>
        <v/>
      </c>
      <c r="E1880" s="6">
        <f>BDP(A1880&amp;" US Equity","PX_LAST")</f>
        <v/>
      </c>
      <c r="F1880" s="5">
        <f>D1880*E1880</f>
        <v/>
      </c>
      <c r="G1880">
        <f>AND(B1880&gt;=50,B1880&lt;=10000)</f>
        <v/>
      </c>
      <c r="H1880">
        <f>OR(C1880="NAS",C1880="NYS",C1880="ASE")</f>
        <v/>
      </c>
      <c r="I1880">
        <f>F1880&gt;=500000</f>
        <v/>
      </c>
      <c r="J1880">
        <f>E1880&gt;=2</f>
        <v/>
      </c>
      <c r="K1880">
        <f>AND(G1880,H1880,I1880,J1880)</f>
        <v/>
      </c>
    </row>
    <row r="1881">
      <c r="B1881" s="5">
        <f>BDP(A1881&amp;" US Equity","CUR_MKT_CAP")</f>
        <v/>
      </c>
      <c r="C1881">
        <f>BDP(A1881&amp;" US Equity","EXCH_CODE")</f>
        <v/>
      </c>
      <c r="D1881" s="5">
        <f>BDP(A1881&amp;" US Equity","VOLUME_AVG_20D")</f>
        <v/>
      </c>
      <c r="E1881" s="6">
        <f>BDP(A1881&amp;" US Equity","PX_LAST")</f>
        <v/>
      </c>
      <c r="F1881" s="5">
        <f>D1881*E1881</f>
        <v/>
      </c>
      <c r="G1881">
        <f>AND(B1881&gt;=50,B1881&lt;=10000)</f>
        <v/>
      </c>
      <c r="H1881">
        <f>OR(C1881="NAS",C1881="NYS",C1881="ASE")</f>
        <v/>
      </c>
      <c r="I1881">
        <f>F1881&gt;=500000</f>
        <v/>
      </c>
      <c r="J1881">
        <f>E1881&gt;=2</f>
        <v/>
      </c>
      <c r="K1881">
        <f>AND(G1881,H1881,I1881,J1881)</f>
        <v/>
      </c>
    </row>
    <row r="1882">
      <c r="B1882" s="5">
        <f>BDP(A1882&amp;" US Equity","CUR_MKT_CAP")</f>
        <v/>
      </c>
      <c r="C1882">
        <f>BDP(A1882&amp;" US Equity","EXCH_CODE")</f>
        <v/>
      </c>
      <c r="D1882" s="5">
        <f>BDP(A1882&amp;" US Equity","VOLUME_AVG_20D")</f>
        <v/>
      </c>
      <c r="E1882" s="6">
        <f>BDP(A1882&amp;" US Equity","PX_LAST")</f>
        <v/>
      </c>
      <c r="F1882" s="5">
        <f>D1882*E1882</f>
        <v/>
      </c>
      <c r="G1882">
        <f>AND(B1882&gt;=50,B1882&lt;=10000)</f>
        <v/>
      </c>
      <c r="H1882">
        <f>OR(C1882="NAS",C1882="NYS",C1882="ASE")</f>
        <v/>
      </c>
      <c r="I1882">
        <f>F1882&gt;=500000</f>
        <v/>
      </c>
      <c r="J1882">
        <f>E1882&gt;=2</f>
        <v/>
      </c>
      <c r="K1882">
        <f>AND(G1882,H1882,I1882,J1882)</f>
        <v/>
      </c>
    </row>
    <row r="1883">
      <c r="B1883" s="5">
        <f>BDP(A1883&amp;" US Equity","CUR_MKT_CAP")</f>
        <v/>
      </c>
      <c r="C1883">
        <f>BDP(A1883&amp;" US Equity","EXCH_CODE")</f>
        <v/>
      </c>
      <c r="D1883" s="5">
        <f>BDP(A1883&amp;" US Equity","VOLUME_AVG_20D")</f>
        <v/>
      </c>
      <c r="E1883" s="6">
        <f>BDP(A1883&amp;" US Equity","PX_LAST")</f>
        <v/>
      </c>
      <c r="F1883" s="5">
        <f>D1883*E1883</f>
        <v/>
      </c>
      <c r="G1883">
        <f>AND(B1883&gt;=50,B1883&lt;=10000)</f>
        <v/>
      </c>
      <c r="H1883">
        <f>OR(C1883="NAS",C1883="NYS",C1883="ASE")</f>
        <v/>
      </c>
      <c r="I1883">
        <f>F1883&gt;=500000</f>
        <v/>
      </c>
      <c r="J1883">
        <f>E1883&gt;=2</f>
        <v/>
      </c>
      <c r="K1883">
        <f>AND(G1883,H1883,I1883,J1883)</f>
        <v/>
      </c>
    </row>
    <row r="1884">
      <c r="B1884" s="5">
        <f>BDP(A1884&amp;" US Equity","CUR_MKT_CAP")</f>
        <v/>
      </c>
      <c r="C1884">
        <f>BDP(A1884&amp;" US Equity","EXCH_CODE")</f>
        <v/>
      </c>
      <c r="D1884" s="5">
        <f>BDP(A1884&amp;" US Equity","VOLUME_AVG_20D")</f>
        <v/>
      </c>
      <c r="E1884" s="6">
        <f>BDP(A1884&amp;" US Equity","PX_LAST")</f>
        <v/>
      </c>
      <c r="F1884" s="5">
        <f>D1884*E1884</f>
        <v/>
      </c>
      <c r="G1884">
        <f>AND(B1884&gt;=50,B1884&lt;=10000)</f>
        <v/>
      </c>
      <c r="H1884">
        <f>OR(C1884="NAS",C1884="NYS",C1884="ASE")</f>
        <v/>
      </c>
      <c r="I1884">
        <f>F1884&gt;=500000</f>
        <v/>
      </c>
      <c r="J1884">
        <f>E1884&gt;=2</f>
        <v/>
      </c>
      <c r="K1884">
        <f>AND(G1884,H1884,I1884,J1884)</f>
        <v/>
      </c>
    </row>
    <row r="1885">
      <c r="B1885" s="5">
        <f>BDP(A1885&amp;" US Equity","CUR_MKT_CAP")</f>
        <v/>
      </c>
      <c r="C1885">
        <f>BDP(A1885&amp;" US Equity","EXCH_CODE")</f>
        <v/>
      </c>
      <c r="D1885" s="5">
        <f>BDP(A1885&amp;" US Equity","VOLUME_AVG_20D")</f>
        <v/>
      </c>
      <c r="E1885" s="6">
        <f>BDP(A1885&amp;" US Equity","PX_LAST")</f>
        <v/>
      </c>
      <c r="F1885" s="5">
        <f>D1885*E1885</f>
        <v/>
      </c>
      <c r="G1885">
        <f>AND(B1885&gt;=50,B1885&lt;=10000)</f>
        <v/>
      </c>
      <c r="H1885">
        <f>OR(C1885="NAS",C1885="NYS",C1885="ASE")</f>
        <v/>
      </c>
      <c r="I1885">
        <f>F1885&gt;=500000</f>
        <v/>
      </c>
      <c r="J1885">
        <f>E1885&gt;=2</f>
        <v/>
      </c>
      <c r="K1885">
        <f>AND(G1885,H1885,I1885,J1885)</f>
        <v/>
      </c>
    </row>
    <row r="1886">
      <c r="B1886" s="5">
        <f>BDP(A1886&amp;" US Equity","CUR_MKT_CAP")</f>
        <v/>
      </c>
      <c r="C1886">
        <f>BDP(A1886&amp;" US Equity","EXCH_CODE")</f>
        <v/>
      </c>
      <c r="D1886" s="5">
        <f>BDP(A1886&amp;" US Equity","VOLUME_AVG_20D")</f>
        <v/>
      </c>
      <c r="E1886" s="6">
        <f>BDP(A1886&amp;" US Equity","PX_LAST")</f>
        <v/>
      </c>
      <c r="F1886" s="5">
        <f>D1886*E1886</f>
        <v/>
      </c>
      <c r="G1886">
        <f>AND(B1886&gt;=50,B1886&lt;=10000)</f>
        <v/>
      </c>
      <c r="H1886">
        <f>OR(C1886="NAS",C1886="NYS",C1886="ASE")</f>
        <v/>
      </c>
      <c r="I1886">
        <f>F1886&gt;=500000</f>
        <v/>
      </c>
      <c r="J1886">
        <f>E1886&gt;=2</f>
        <v/>
      </c>
      <c r="K1886">
        <f>AND(G1886,H1886,I1886,J1886)</f>
        <v/>
      </c>
    </row>
    <row r="1887">
      <c r="B1887" s="5">
        <f>BDP(A1887&amp;" US Equity","CUR_MKT_CAP")</f>
        <v/>
      </c>
      <c r="C1887">
        <f>BDP(A1887&amp;" US Equity","EXCH_CODE")</f>
        <v/>
      </c>
      <c r="D1887" s="5">
        <f>BDP(A1887&amp;" US Equity","VOLUME_AVG_20D")</f>
        <v/>
      </c>
      <c r="E1887" s="6">
        <f>BDP(A1887&amp;" US Equity","PX_LAST")</f>
        <v/>
      </c>
      <c r="F1887" s="5">
        <f>D1887*E1887</f>
        <v/>
      </c>
      <c r="G1887">
        <f>AND(B1887&gt;=50,B1887&lt;=10000)</f>
        <v/>
      </c>
      <c r="H1887">
        <f>OR(C1887="NAS",C1887="NYS",C1887="ASE")</f>
        <v/>
      </c>
      <c r="I1887">
        <f>F1887&gt;=500000</f>
        <v/>
      </c>
      <c r="J1887">
        <f>E1887&gt;=2</f>
        <v/>
      </c>
      <c r="K1887">
        <f>AND(G1887,H1887,I1887,J1887)</f>
        <v/>
      </c>
    </row>
    <row r="1888">
      <c r="B1888" s="5">
        <f>BDP(A1888&amp;" US Equity","CUR_MKT_CAP")</f>
        <v/>
      </c>
      <c r="C1888">
        <f>BDP(A1888&amp;" US Equity","EXCH_CODE")</f>
        <v/>
      </c>
      <c r="D1888" s="5">
        <f>BDP(A1888&amp;" US Equity","VOLUME_AVG_20D")</f>
        <v/>
      </c>
      <c r="E1888" s="6">
        <f>BDP(A1888&amp;" US Equity","PX_LAST")</f>
        <v/>
      </c>
      <c r="F1888" s="5">
        <f>D1888*E1888</f>
        <v/>
      </c>
      <c r="G1888">
        <f>AND(B1888&gt;=50,B1888&lt;=10000)</f>
        <v/>
      </c>
      <c r="H1888">
        <f>OR(C1888="NAS",C1888="NYS",C1888="ASE")</f>
        <v/>
      </c>
      <c r="I1888">
        <f>F1888&gt;=500000</f>
        <v/>
      </c>
      <c r="J1888">
        <f>E1888&gt;=2</f>
        <v/>
      </c>
      <c r="K1888">
        <f>AND(G1888,H1888,I1888,J1888)</f>
        <v/>
      </c>
    </row>
    <row r="1889">
      <c r="B1889" s="5">
        <f>BDP(A1889&amp;" US Equity","CUR_MKT_CAP")</f>
        <v/>
      </c>
      <c r="C1889">
        <f>BDP(A1889&amp;" US Equity","EXCH_CODE")</f>
        <v/>
      </c>
      <c r="D1889" s="5">
        <f>BDP(A1889&amp;" US Equity","VOLUME_AVG_20D")</f>
        <v/>
      </c>
      <c r="E1889" s="6">
        <f>BDP(A1889&amp;" US Equity","PX_LAST")</f>
        <v/>
      </c>
      <c r="F1889" s="5">
        <f>D1889*E1889</f>
        <v/>
      </c>
      <c r="G1889">
        <f>AND(B1889&gt;=50,B1889&lt;=10000)</f>
        <v/>
      </c>
      <c r="H1889">
        <f>OR(C1889="NAS",C1889="NYS",C1889="ASE")</f>
        <v/>
      </c>
      <c r="I1889">
        <f>F1889&gt;=500000</f>
        <v/>
      </c>
      <c r="J1889">
        <f>E1889&gt;=2</f>
        <v/>
      </c>
      <c r="K1889">
        <f>AND(G1889,H1889,I1889,J1889)</f>
        <v/>
      </c>
    </row>
    <row r="1890">
      <c r="B1890" s="5">
        <f>BDP(A1890&amp;" US Equity","CUR_MKT_CAP")</f>
        <v/>
      </c>
      <c r="C1890">
        <f>BDP(A1890&amp;" US Equity","EXCH_CODE")</f>
        <v/>
      </c>
      <c r="D1890" s="5">
        <f>BDP(A1890&amp;" US Equity","VOLUME_AVG_20D")</f>
        <v/>
      </c>
      <c r="E1890" s="6">
        <f>BDP(A1890&amp;" US Equity","PX_LAST")</f>
        <v/>
      </c>
      <c r="F1890" s="5">
        <f>D1890*E1890</f>
        <v/>
      </c>
      <c r="G1890">
        <f>AND(B1890&gt;=50,B1890&lt;=10000)</f>
        <v/>
      </c>
      <c r="H1890">
        <f>OR(C1890="NAS",C1890="NYS",C1890="ASE")</f>
        <v/>
      </c>
      <c r="I1890">
        <f>F1890&gt;=500000</f>
        <v/>
      </c>
      <c r="J1890">
        <f>E1890&gt;=2</f>
        <v/>
      </c>
      <c r="K1890">
        <f>AND(G1890,H1890,I1890,J1890)</f>
        <v/>
      </c>
    </row>
    <row r="1891">
      <c r="B1891" s="5">
        <f>BDP(A1891&amp;" US Equity","CUR_MKT_CAP")</f>
        <v/>
      </c>
      <c r="C1891">
        <f>BDP(A1891&amp;" US Equity","EXCH_CODE")</f>
        <v/>
      </c>
      <c r="D1891" s="5">
        <f>BDP(A1891&amp;" US Equity","VOLUME_AVG_20D")</f>
        <v/>
      </c>
      <c r="E1891" s="6">
        <f>BDP(A1891&amp;" US Equity","PX_LAST")</f>
        <v/>
      </c>
      <c r="F1891" s="5">
        <f>D1891*E1891</f>
        <v/>
      </c>
      <c r="G1891">
        <f>AND(B1891&gt;=50,B1891&lt;=10000)</f>
        <v/>
      </c>
      <c r="H1891">
        <f>OR(C1891="NAS",C1891="NYS",C1891="ASE")</f>
        <v/>
      </c>
      <c r="I1891">
        <f>F1891&gt;=500000</f>
        <v/>
      </c>
      <c r="J1891">
        <f>E1891&gt;=2</f>
        <v/>
      </c>
      <c r="K1891">
        <f>AND(G1891,H1891,I1891,J1891)</f>
        <v/>
      </c>
    </row>
    <row r="1892">
      <c r="B1892" s="5">
        <f>BDP(A1892&amp;" US Equity","CUR_MKT_CAP")</f>
        <v/>
      </c>
      <c r="C1892">
        <f>BDP(A1892&amp;" US Equity","EXCH_CODE")</f>
        <v/>
      </c>
      <c r="D1892" s="5">
        <f>BDP(A1892&amp;" US Equity","VOLUME_AVG_20D")</f>
        <v/>
      </c>
      <c r="E1892" s="6">
        <f>BDP(A1892&amp;" US Equity","PX_LAST")</f>
        <v/>
      </c>
      <c r="F1892" s="5">
        <f>D1892*E1892</f>
        <v/>
      </c>
      <c r="G1892">
        <f>AND(B1892&gt;=50,B1892&lt;=10000)</f>
        <v/>
      </c>
      <c r="H1892">
        <f>OR(C1892="NAS",C1892="NYS",C1892="ASE")</f>
        <v/>
      </c>
      <c r="I1892">
        <f>F1892&gt;=500000</f>
        <v/>
      </c>
      <c r="J1892">
        <f>E1892&gt;=2</f>
        <v/>
      </c>
      <c r="K1892">
        <f>AND(G1892,H1892,I1892,J1892)</f>
        <v/>
      </c>
    </row>
    <row r="1893">
      <c r="B1893" s="5">
        <f>BDP(A1893&amp;" US Equity","CUR_MKT_CAP")</f>
        <v/>
      </c>
      <c r="C1893">
        <f>BDP(A1893&amp;" US Equity","EXCH_CODE")</f>
        <v/>
      </c>
      <c r="D1893" s="5">
        <f>BDP(A1893&amp;" US Equity","VOLUME_AVG_20D")</f>
        <v/>
      </c>
      <c r="E1893" s="6">
        <f>BDP(A1893&amp;" US Equity","PX_LAST")</f>
        <v/>
      </c>
      <c r="F1893" s="5">
        <f>D1893*E1893</f>
        <v/>
      </c>
      <c r="G1893">
        <f>AND(B1893&gt;=50,B1893&lt;=10000)</f>
        <v/>
      </c>
      <c r="H1893">
        <f>OR(C1893="NAS",C1893="NYS",C1893="ASE")</f>
        <v/>
      </c>
      <c r="I1893">
        <f>F1893&gt;=500000</f>
        <v/>
      </c>
      <c r="J1893">
        <f>E1893&gt;=2</f>
        <v/>
      </c>
      <c r="K1893">
        <f>AND(G1893,H1893,I1893,J1893)</f>
        <v/>
      </c>
    </row>
    <row r="1894">
      <c r="B1894" s="5">
        <f>BDP(A1894&amp;" US Equity","CUR_MKT_CAP")</f>
        <v/>
      </c>
      <c r="C1894">
        <f>BDP(A1894&amp;" US Equity","EXCH_CODE")</f>
        <v/>
      </c>
      <c r="D1894" s="5">
        <f>BDP(A1894&amp;" US Equity","VOLUME_AVG_20D")</f>
        <v/>
      </c>
      <c r="E1894" s="6">
        <f>BDP(A1894&amp;" US Equity","PX_LAST")</f>
        <v/>
      </c>
      <c r="F1894" s="5">
        <f>D1894*E1894</f>
        <v/>
      </c>
      <c r="G1894">
        <f>AND(B1894&gt;=50,B1894&lt;=10000)</f>
        <v/>
      </c>
      <c r="H1894">
        <f>OR(C1894="NAS",C1894="NYS",C1894="ASE")</f>
        <v/>
      </c>
      <c r="I1894">
        <f>F1894&gt;=500000</f>
        <v/>
      </c>
      <c r="J1894">
        <f>E1894&gt;=2</f>
        <v/>
      </c>
      <c r="K1894">
        <f>AND(G1894,H1894,I1894,J1894)</f>
        <v/>
      </c>
    </row>
    <row r="1895">
      <c r="B1895" s="5">
        <f>BDP(A1895&amp;" US Equity","CUR_MKT_CAP")</f>
        <v/>
      </c>
      <c r="C1895">
        <f>BDP(A1895&amp;" US Equity","EXCH_CODE")</f>
        <v/>
      </c>
      <c r="D1895" s="5">
        <f>BDP(A1895&amp;" US Equity","VOLUME_AVG_20D")</f>
        <v/>
      </c>
      <c r="E1895" s="6">
        <f>BDP(A1895&amp;" US Equity","PX_LAST")</f>
        <v/>
      </c>
      <c r="F1895" s="5">
        <f>D1895*E1895</f>
        <v/>
      </c>
      <c r="G1895">
        <f>AND(B1895&gt;=50,B1895&lt;=10000)</f>
        <v/>
      </c>
      <c r="H1895">
        <f>OR(C1895="NAS",C1895="NYS",C1895="ASE")</f>
        <v/>
      </c>
      <c r="I1895">
        <f>F1895&gt;=500000</f>
        <v/>
      </c>
      <c r="J1895">
        <f>E1895&gt;=2</f>
        <v/>
      </c>
      <c r="K1895">
        <f>AND(G1895,H1895,I1895,J1895)</f>
        <v/>
      </c>
    </row>
    <row r="1896">
      <c r="B1896" s="5">
        <f>BDP(A1896&amp;" US Equity","CUR_MKT_CAP")</f>
        <v/>
      </c>
      <c r="C1896">
        <f>BDP(A1896&amp;" US Equity","EXCH_CODE")</f>
        <v/>
      </c>
      <c r="D1896" s="5">
        <f>BDP(A1896&amp;" US Equity","VOLUME_AVG_20D")</f>
        <v/>
      </c>
      <c r="E1896" s="6">
        <f>BDP(A1896&amp;" US Equity","PX_LAST")</f>
        <v/>
      </c>
      <c r="F1896" s="5">
        <f>D1896*E1896</f>
        <v/>
      </c>
      <c r="G1896">
        <f>AND(B1896&gt;=50,B1896&lt;=10000)</f>
        <v/>
      </c>
      <c r="H1896">
        <f>OR(C1896="NAS",C1896="NYS",C1896="ASE")</f>
        <v/>
      </c>
      <c r="I1896">
        <f>F1896&gt;=500000</f>
        <v/>
      </c>
      <c r="J1896">
        <f>E1896&gt;=2</f>
        <v/>
      </c>
      <c r="K1896">
        <f>AND(G1896,H1896,I1896,J1896)</f>
        <v/>
      </c>
    </row>
    <row r="1897">
      <c r="B1897" s="5">
        <f>BDP(A1897&amp;" US Equity","CUR_MKT_CAP")</f>
        <v/>
      </c>
      <c r="C1897">
        <f>BDP(A1897&amp;" US Equity","EXCH_CODE")</f>
        <v/>
      </c>
      <c r="D1897" s="5">
        <f>BDP(A1897&amp;" US Equity","VOLUME_AVG_20D")</f>
        <v/>
      </c>
      <c r="E1897" s="6">
        <f>BDP(A1897&amp;" US Equity","PX_LAST")</f>
        <v/>
      </c>
      <c r="F1897" s="5">
        <f>D1897*E1897</f>
        <v/>
      </c>
      <c r="G1897">
        <f>AND(B1897&gt;=50,B1897&lt;=10000)</f>
        <v/>
      </c>
      <c r="H1897">
        <f>OR(C1897="NAS",C1897="NYS",C1897="ASE")</f>
        <v/>
      </c>
      <c r="I1897">
        <f>F1897&gt;=500000</f>
        <v/>
      </c>
      <c r="J1897">
        <f>E1897&gt;=2</f>
        <v/>
      </c>
      <c r="K1897">
        <f>AND(G1897,H1897,I1897,J1897)</f>
        <v/>
      </c>
    </row>
    <row r="1898">
      <c r="B1898" s="5">
        <f>BDP(A1898&amp;" US Equity","CUR_MKT_CAP")</f>
        <v/>
      </c>
      <c r="C1898">
        <f>BDP(A1898&amp;" US Equity","EXCH_CODE")</f>
        <v/>
      </c>
      <c r="D1898" s="5">
        <f>BDP(A1898&amp;" US Equity","VOLUME_AVG_20D")</f>
        <v/>
      </c>
      <c r="E1898" s="6">
        <f>BDP(A1898&amp;" US Equity","PX_LAST")</f>
        <v/>
      </c>
      <c r="F1898" s="5">
        <f>D1898*E1898</f>
        <v/>
      </c>
      <c r="G1898">
        <f>AND(B1898&gt;=50,B1898&lt;=10000)</f>
        <v/>
      </c>
      <c r="H1898">
        <f>OR(C1898="NAS",C1898="NYS",C1898="ASE")</f>
        <v/>
      </c>
      <c r="I1898">
        <f>F1898&gt;=500000</f>
        <v/>
      </c>
      <c r="J1898">
        <f>E1898&gt;=2</f>
        <v/>
      </c>
      <c r="K1898">
        <f>AND(G1898,H1898,I1898,J1898)</f>
        <v/>
      </c>
    </row>
    <row r="1899">
      <c r="B1899" s="5">
        <f>BDP(A1899&amp;" US Equity","CUR_MKT_CAP")</f>
        <v/>
      </c>
      <c r="C1899">
        <f>BDP(A1899&amp;" US Equity","EXCH_CODE")</f>
        <v/>
      </c>
      <c r="D1899" s="5">
        <f>BDP(A1899&amp;" US Equity","VOLUME_AVG_20D")</f>
        <v/>
      </c>
      <c r="E1899" s="6">
        <f>BDP(A1899&amp;" US Equity","PX_LAST")</f>
        <v/>
      </c>
      <c r="F1899" s="5">
        <f>D1899*E1899</f>
        <v/>
      </c>
      <c r="G1899">
        <f>AND(B1899&gt;=50,B1899&lt;=10000)</f>
        <v/>
      </c>
      <c r="H1899">
        <f>OR(C1899="NAS",C1899="NYS",C1899="ASE")</f>
        <v/>
      </c>
      <c r="I1899">
        <f>F1899&gt;=500000</f>
        <v/>
      </c>
      <c r="J1899">
        <f>E1899&gt;=2</f>
        <v/>
      </c>
      <c r="K1899">
        <f>AND(G1899,H1899,I1899,J1899)</f>
        <v/>
      </c>
    </row>
    <row r="1900">
      <c r="B1900" s="5">
        <f>BDP(A1900&amp;" US Equity","CUR_MKT_CAP")</f>
        <v/>
      </c>
      <c r="C1900">
        <f>BDP(A1900&amp;" US Equity","EXCH_CODE")</f>
        <v/>
      </c>
      <c r="D1900" s="5">
        <f>BDP(A1900&amp;" US Equity","VOLUME_AVG_20D")</f>
        <v/>
      </c>
      <c r="E1900" s="6">
        <f>BDP(A1900&amp;" US Equity","PX_LAST")</f>
        <v/>
      </c>
      <c r="F1900" s="5">
        <f>D1900*E1900</f>
        <v/>
      </c>
      <c r="G1900">
        <f>AND(B1900&gt;=50,B1900&lt;=10000)</f>
        <v/>
      </c>
      <c r="H1900">
        <f>OR(C1900="NAS",C1900="NYS",C1900="ASE")</f>
        <v/>
      </c>
      <c r="I1900">
        <f>F1900&gt;=500000</f>
        <v/>
      </c>
      <c r="J1900">
        <f>E1900&gt;=2</f>
        <v/>
      </c>
      <c r="K1900">
        <f>AND(G1900,H1900,I1900,J1900)</f>
        <v/>
      </c>
    </row>
    <row r="1901">
      <c r="B1901" s="5">
        <f>BDP(A1901&amp;" US Equity","CUR_MKT_CAP")</f>
        <v/>
      </c>
      <c r="C1901">
        <f>BDP(A1901&amp;" US Equity","EXCH_CODE")</f>
        <v/>
      </c>
      <c r="D1901" s="5">
        <f>BDP(A1901&amp;" US Equity","VOLUME_AVG_20D")</f>
        <v/>
      </c>
      <c r="E1901" s="6">
        <f>BDP(A1901&amp;" US Equity","PX_LAST")</f>
        <v/>
      </c>
      <c r="F1901" s="5">
        <f>D1901*E1901</f>
        <v/>
      </c>
      <c r="G1901">
        <f>AND(B1901&gt;=50,B1901&lt;=10000)</f>
        <v/>
      </c>
      <c r="H1901">
        <f>OR(C1901="NAS",C1901="NYS",C1901="ASE")</f>
        <v/>
      </c>
      <c r="I1901">
        <f>F1901&gt;=500000</f>
        <v/>
      </c>
      <c r="J1901">
        <f>E1901&gt;=2</f>
        <v/>
      </c>
      <c r="K1901">
        <f>AND(G1901,H1901,I1901,J1901)</f>
        <v/>
      </c>
    </row>
    <row r="1902">
      <c r="B1902" s="5">
        <f>BDP(A1902&amp;" US Equity","CUR_MKT_CAP")</f>
        <v/>
      </c>
      <c r="C1902">
        <f>BDP(A1902&amp;" US Equity","EXCH_CODE")</f>
        <v/>
      </c>
      <c r="D1902" s="5">
        <f>BDP(A1902&amp;" US Equity","VOLUME_AVG_20D")</f>
        <v/>
      </c>
      <c r="E1902" s="6">
        <f>BDP(A1902&amp;" US Equity","PX_LAST")</f>
        <v/>
      </c>
      <c r="F1902" s="5">
        <f>D1902*E1902</f>
        <v/>
      </c>
      <c r="G1902">
        <f>AND(B1902&gt;=50,B1902&lt;=10000)</f>
        <v/>
      </c>
      <c r="H1902">
        <f>OR(C1902="NAS",C1902="NYS",C1902="ASE")</f>
        <v/>
      </c>
      <c r="I1902">
        <f>F1902&gt;=500000</f>
        <v/>
      </c>
      <c r="J1902">
        <f>E1902&gt;=2</f>
        <v/>
      </c>
      <c r="K1902">
        <f>AND(G1902,H1902,I1902,J1902)</f>
        <v/>
      </c>
    </row>
    <row r="1903">
      <c r="B1903" s="5">
        <f>BDP(A1903&amp;" US Equity","CUR_MKT_CAP")</f>
        <v/>
      </c>
      <c r="C1903">
        <f>BDP(A1903&amp;" US Equity","EXCH_CODE")</f>
        <v/>
      </c>
      <c r="D1903" s="5">
        <f>BDP(A1903&amp;" US Equity","VOLUME_AVG_20D")</f>
        <v/>
      </c>
      <c r="E1903" s="6">
        <f>BDP(A1903&amp;" US Equity","PX_LAST")</f>
        <v/>
      </c>
      <c r="F1903" s="5">
        <f>D1903*E1903</f>
        <v/>
      </c>
      <c r="G1903">
        <f>AND(B1903&gt;=50,B1903&lt;=10000)</f>
        <v/>
      </c>
      <c r="H1903">
        <f>OR(C1903="NAS",C1903="NYS",C1903="ASE")</f>
        <v/>
      </c>
      <c r="I1903">
        <f>F1903&gt;=500000</f>
        <v/>
      </c>
      <c r="J1903">
        <f>E1903&gt;=2</f>
        <v/>
      </c>
      <c r="K1903">
        <f>AND(G1903,H1903,I1903,J1903)</f>
        <v/>
      </c>
    </row>
    <row r="1904">
      <c r="B1904" s="5">
        <f>BDP(A1904&amp;" US Equity","CUR_MKT_CAP")</f>
        <v/>
      </c>
      <c r="C1904">
        <f>BDP(A1904&amp;" US Equity","EXCH_CODE")</f>
        <v/>
      </c>
      <c r="D1904" s="5">
        <f>BDP(A1904&amp;" US Equity","VOLUME_AVG_20D")</f>
        <v/>
      </c>
      <c r="E1904" s="6">
        <f>BDP(A1904&amp;" US Equity","PX_LAST")</f>
        <v/>
      </c>
      <c r="F1904" s="5">
        <f>D1904*E1904</f>
        <v/>
      </c>
      <c r="G1904">
        <f>AND(B1904&gt;=50,B1904&lt;=10000)</f>
        <v/>
      </c>
      <c r="H1904">
        <f>OR(C1904="NAS",C1904="NYS",C1904="ASE")</f>
        <v/>
      </c>
      <c r="I1904">
        <f>F1904&gt;=500000</f>
        <v/>
      </c>
      <c r="J1904">
        <f>E1904&gt;=2</f>
        <v/>
      </c>
      <c r="K1904">
        <f>AND(G1904,H1904,I1904,J1904)</f>
        <v/>
      </c>
    </row>
    <row r="1905">
      <c r="B1905" s="5">
        <f>BDP(A1905&amp;" US Equity","CUR_MKT_CAP")</f>
        <v/>
      </c>
      <c r="C1905">
        <f>BDP(A1905&amp;" US Equity","EXCH_CODE")</f>
        <v/>
      </c>
      <c r="D1905" s="5">
        <f>BDP(A1905&amp;" US Equity","VOLUME_AVG_20D")</f>
        <v/>
      </c>
      <c r="E1905" s="6">
        <f>BDP(A1905&amp;" US Equity","PX_LAST")</f>
        <v/>
      </c>
      <c r="F1905" s="5">
        <f>D1905*E1905</f>
        <v/>
      </c>
      <c r="G1905">
        <f>AND(B1905&gt;=50,B1905&lt;=10000)</f>
        <v/>
      </c>
      <c r="H1905">
        <f>OR(C1905="NAS",C1905="NYS",C1905="ASE")</f>
        <v/>
      </c>
      <c r="I1905">
        <f>F1905&gt;=500000</f>
        <v/>
      </c>
      <c r="J1905">
        <f>E1905&gt;=2</f>
        <v/>
      </c>
      <c r="K1905">
        <f>AND(G1905,H1905,I1905,J1905)</f>
        <v/>
      </c>
    </row>
    <row r="1906">
      <c r="B1906" s="5">
        <f>BDP(A1906&amp;" US Equity","CUR_MKT_CAP")</f>
        <v/>
      </c>
      <c r="C1906">
        <f>BDP(A1906&amp;" US Equity","EXCH_CODE")</f>
        <v/>
      </c>
      <c r="D1906" s="5">
        <f>BDP(A1906&amp;" US Equity","VOLUME_AVG_20D")</f>
        <v/>
      </c>
      <c r="E1906" s="6">
        <f>BDP(A1906&amp;" US Equity","PX_LAST")</f>
        <v/>
      </c>
      <c r="F1906" s="5">
        <f>D1906*E1906</f>
        <v/>
      </c>
      <c r="G1906">
        <f>AND(B1906&gt;=50,B1906&lt;=10000)</f>
        <v/>
      </c>
      <c r="H1906">
        <f>OR(C1906="NAS",C1906="NYS",C1906="ASE")</f>
        <v/>
      </c>
      <c r="I1906">
        <f>F1906&gt;=500000</f>
        <v/>
      </c>
      <c r="J1906">
        <f>E1906&gt;=2</f>
        <v/>
      </c>
      <c r="K1906">
        <f>AND(G1906,H1906,I1906,J1906)</f>
        <v/>
      </c>
    </row>
    <row r="1907">
      <c r="B1907" s="5">
        <f>BDP(A1907&amp;" US Equity","CUR_MKT_CAP")</f>
        <v/>
      </c>
      <c r="C1907">
        <f>BDP(A1907&amp;" US Equity","EXCH_CODE")</f>
        <v/>
      </c>
      <c r="D1907" s="5">
        <f>BDP(A1907&amp;" US Equity","VOLUME_AVG_20D")</f>
        <v/>
      </c>
      <c r="E1907" s="6">
        <f>BDP(A1907&amp;" US Equity","PX_LAST")</f>
        <v/>
      </c>
      <c r="F1907" s="5">
        <f>D1907*E1907</f>
        <v/>
      </c>
      <c r="G1907">
        <f>AND(B1907&gt;=50,B1907&lt;=10000)</f>
        <v/>
      </c>
      <c r="H1907">
        <f>OR(C1907="NAS",C1907="NYS",C1907="ASE")</f>
        <v/>
      </c>
      <c r="I1907">
        <f>F1907&gt;=500000</f>
        <v/>
      </c>
      <c r="J1907">
        <f>E1907&gt;=2</f>
        <v/>
      </c>
      <c r="K1907">
        <f>AND(G1907,H1907,I1907,J1907)</f>
        <v/>
      </c>
    </row>
    <row r="1908">
      <c r="B1908" s="5">
        <f>BDP(A1908&amp;" US Equity","CUR_MKT_CAP")</f>
        <v/>
      </c>
      <c r="C1908">
        <f>BDP(A1908&amp;" US Equity","EXCH_CODE")</f>
        <v/>
      </c>
      <c r="D1908" s="5">
        <f>BDP(A1908&amp;" US Equity","VOLUME_AVG_20D")</f>
        <v/>
      </c>
      <c r="E1908" s="6">
        <f>BDP(A1908&amp;" US Equity","PX_LAST")</f>
        <v/>
      </c>
      <c r="F1908" s="5">
        <f>D1908*E1908</f>
        <v/>
      </c>
      <c r="G1908">
        <f>AND(B1908&gt;=50,B1908&lt;=10000)</f>
        <v/>
      </c>
      <c r="H1908">
        <f>OR(C1908="NAS",C1908="NYS",C1908="ASE")</f>
        <v/>
      </c>
      <c r="I1908">
        <f>F1908&gt;=500000</f>
        <v/>
      </c>
      <c r="J1908">
        <f>E1908&gt;=2</f>
        <v/>
      </c>
      <c r="K1908">
        <f>AND(G1908,H1908,I1908,J1908)</f>
        <v/>
      </c>
    </row>
    <row r="1909">
      <c r="B1909" s="5">
        <f>BDP(A1909&amp;" US Equity","CUR_MKT_CAP")</f>
        <v/>
      </c>
      <c r="C1909">
        <f>BDP(A1909&amp;" US Equity","EXCH_CODE")</f>
        <v/>
      </c>
      <c r="D1909" s="5">
        <f>BDP(A1909&amp;" US Equity","VOLUME_AVG_20D")</f>
        <v/>
      </c>
      <c r="E1909" s="6">
        <f>BDP(A1909&amp;" US Equity","PX_LAST")</f>
        <v/>
      </c>
      <c r="F1909" s="5">
        <f>D1909*E1909</f>
        <v/>
      </c>
      <c r="G1909">
        <f>AND(B1909&gt;=50,B1909&lt;=10000)</f>
        <v/>
      </c>
      <c r="H1909">
        <f>OR(C1909="NAS",C1909="NYS",C1909="ASE")</f>
        <v/>
      </c>
      <c r="I1909">
        <f>F1909&gt;=500000</f>
        <v/>
      </c>
      <c r="J1909">
        <f>E1909&gt;=2</f>
        <v/>
      </c>
      <c r="K1909">
        <f>AND(G1909,H1909,I1909,J1909)</f>
        <v/>
      </c>
    </row>
    <row r="1910">
      <c r="B1910" s="5">
        <f>BDP(A1910&amp;" US Equity","CUR_MKT_CAP")</f>
        <v/>
      </c>
      <c r="C1910">
        <f>BDP(A1910&amp;" US Equity","EXCH_CODE")</f>
        <v/>
      </c>
      <c r="D1910" s="5">
        <f>BDP(A1910&amp;" US Equity","VOLUME_AVG_20D")</f>
        <v/>
      </c>
      <c r="E1910" s="6">
        <f>BDP(A1910&amp;" US Equity","PX_LAST")</f>
        <v/>
      </c>
      <c r="F1910" s="5">
        <f>D1910*E1910</f>
        <v/>
      </c>
      <c r="G1910">
        <f>AND(B1910&gt;=50,B1910&lt;=10000)</f>
        <v/>
      </c>
      <c r="H1910">
        <f>OR(C1910="NAS",C1910="NYS",C1910="ASE")</f>
        <v/>
      </c>
      <c r="I1910">
        <f>F1910&gt;=500000</f>
        <v/>
      </c>
      <c r="J1910">
        <f>E1910&gt;=2</f>
        <v/>
      </c>
      <c r="K1910">
        <f>AND(G1910,H1910,I1910,J1910)</f>
        <v/>
      </c>
    </row>
    <row r="1911">
      <c r="B1911" s="5">
        <f>BDP(A1911&amp;" US Equity","CUR_MKT_CAP")</f>
        <v/>
      </c>
      <c r="C1911">
        <f>BDP(A1911&amp;" US Equity","EXCH_CODE")</f>
        <v/>
      </c>
      <c r="D1911" s="5">
        <f>BDP(A1911&amp;" US Equity","VOLUME_AVG_20D")</f>
        <v/>
      </c>
      <c r="E1911" s="6">
        <f>BDP(A1911&amp;" US Equity","PX_LAST")</f>
        <v/>
      </c>
      <c r="F1911" s="5">
        <f>D1911*E1911</f>
        <v/>
      </c>
      <c r="G1911">
        <f>AND(B1911&gt;=50,B1911&lt;=10000)</f>
        <v/>
      </c>
      <c r="H1911">
        <f>OR(C1911="NAS",C1911="NYS",C1911="ASE")</f>
        <v/>
      </c>
      <c r="I1911">
        <f>F1911&gt;=500000</f>
        <v/>
      </c>
      <c r="J1911">
        <f>E1911&gt;=2</f>
        <v/>
      </c>
      <c r="K1911">
        <f>AND(G1911,H1911,I1911,J1911)</f>
        <v/>
      </c>
    </row>
    <row r="1912">
      <c r="B1912" s="5">
        <f>BDP(A1912&amp;" US Equity","CUR_MKT_CAP")</f>
        <v/>
      </c>
      <c r="C1912">
        <f>BDP(A1912&amp;" US Equity","EXCH_CODE")</f>
        <v/>
      </c>
      <c r="D1912" s="5">
        <f>BDP(A1912&amp;" US Equity","VOLUME_AVG_20D")</f>
        <v/>
      </c>
      <c r="E1912" s="6">
        <f>BDP(A1912&amp;" US Equity","PX_LAST")</f>
        <v/>
      </c>
      <c r="F1912" s="5">
        <f>D1912*E1912</f>
        <v/>
      </c>
      <c r="G1912">
        <f>AND(B1912&gt;=50,B1912&lt;=10000)</f>
        <v/>
      </c>
      <c r="H1912">
        <f>OR(C1912="NAS",C1912="NYS",C1912="ASE")</f>
        <v/>
      </c>
      <c r="I1912">
        <f>F1912&gt;=500000</f>
        <v/>
      </c>
      <c r="J1912">
        <f>E1912&gt;=2</f>
        <v/>
      </c>
      <c r="K1912">
        <f>AND(G1912,H1912,I1912,J1912)</f>
        <v/>
      </c>
    </row>
    <row r="1913">
      <c r="B1913" s="5">
        <f>BDP(A1913&amp;" US Equity","CUR_MKT_CAP")</f>
        <v/>
      </c>
      <c r="C1913">
        <f>BDP(A1913&amp;" US Equity","EXCH_CODE")</f>
        <v/>
      </c>
      <c r="D1913" s="5">
        <f>BDP(A1913&amp;" US Equity","VOLUME_AVG_20D")</f>
        <v/>
      </c>
      <c r="E1913" s="6">
        <f>BDP(A1913&amp;" US Equity","PX_LAST")</f>
        <v/>
      </c>
      <c r="F1913" s="5">
        <f>D1913*E1913</f>
        <v/>
      </c>
      <c r="G1913">
        <f>AND(B1913&gt;=50,B1913&lt;=10000)</f>
        <v/>
      </c>
      <c r="H1913">
        <f>OR(C1913="NAS",C1913="NYS",C1913="ASE")</f>
        <v/>
      </c>
      <c r="I1913">
        <f>F1913&gt;=500000</f>
        <v/>
      </c>
      <c r="J1913">
        <f>E1913&gt;=2</f>
        <v/>
      </c>
      <c r="K1913">
        <f>AND(G1913,H1913,I1913,J1913)</f>
        <v/>
      </c>
    </row>
    <row r="1914">
      <c r="B1914" s="5">
        <f>BDP(A1914&amp;" US Equity","CUR_MKT_CAP")</f>
        <v/>
      </c>
      <c r="C1914">
        <f>BDP(A1914&amp;" US Equity","EXCH_CODE")</f>
        <v/>
      </c>
      <c r="D1914" s="5">
        <f>BDP(A1914&amp;" US Equity","VOLUME_AVG_20D")</f>
        <v/>
      </c>
      <c r="E1914" s="6">
        <f>BDP(A1914&amp;" US Equity","PX_LAST")</f>
        <v/>
      </c>
      <c r="F1914" s="5">
        <f>D1914*E1914</f>
        <v/>
      </c>
      <c r="G1914">
        <f>AND(B1914&gt;=50,B1914&lt;=10000)</f>
        <v/>
      </c>
      <c r="H1914">
        <f>OR(C1914="NAS",C1914="NYS",C1914="ASE")</f>
        <v/>
      </c>
      <c r="I1914">
        <f>F1914&gt;=500000</f>
        <v/>
      </c>
      <c r="J1914">
        <f>E1914&gt;=2</f>
        <v/>
      </c>
      <c r="K1914">
        <f>AND(G1914,H1914,I1914,J1914)</f>
        <v/>
      </c>
    </row>
    <row r="1915">
      <c r="B1915" s="5">
        <f>BDP(A1915&amp;" US Equity","CUR_MKT_CAP")</f>
        <v/>
      </c>
      <c r="C1915">
        <f>BDP(A1915&amp;" US Equity","EXCH_CODE")</f>
        <v/>
      </c>
      <c r="D1915" s="5">
        <f>BDP(A1915&amp;" US Equity","VOLUME_AVG_20D")</f>
        <v/>
      </c>
      <c r="E1915" s="6">
        <f>BDP(A1915&amp;" US Equity","PX_LAST")</f>
        <v/>
      </c>
      <c r="F1915" s="5">
        <f>D1915*E1915</f>
        <v/>
      </c>
      <c r="G1915">
        <f>AND(B1915&gt;=50,B1915&lt;=10000)</f>
        <v/>
      </c>
      <c r="H1915">
        <f>OR(C1915="NAS",C1915="NYS",C1915="ASE")</f>
        <v/>
      </c>
      <c r="I1915">
        <f>F1915&gt;=500000</f>
        <v/>
      </c>
      <c r="J1915">
        <f>E1915&gt;=2</f>
        <v/>
      </c>
      <c r="K1915">
        <f>AND(G1915,H1915,I1915,J1915)</f>
        <v/>
      </c>
    </row>
    <row r="1916">
      <c r="B1916" s="5">
        <f>BDP(A1916&amp;" US Equity","CUR_MKT_CAP")</f>
        <v/>
      </c>
      <c r="C1916">
        <f>BDP(A1916&amp;" US Equity","EXCH_CODE")</f>
        <v/>
      </c>
      <c r="D1916" s="5">
        <f>BDP(A1916&amp;" US Equity","VOLUME_AVG_20D")</f>
        <v/>
      </c>
      <c r="E1916" s="6">
        <f>BDP(A1916&amp;" US Equity","PX_LAST")</f>
        <v/>
      </c>
      <c r="F1916" s="5">
        <f>D1916*E1916</f>
        <v/>
      </c>
      <c r="G1916">
        <f>AND(B1916&gt;=50,B1916&lt;=10000)</f>
        <v/>
      </c>
      <c r="H1916">
        <f>OR(C1916="NAS",C1916="NYS",C1916="ASE")</f>
        <v/>
      </c>
      <c r="I1916">
        <f>F1916&gt;=500000</f>
        <v/>
      </c>
      <c r="J1916">
        <f>E1916&gt;=2</f>
        <v/>
      </c>
      <c r="K1916">
        <f>AND(G1916,H1916,I1916,J1916)</f>
        <v/>
      </c>
    </row>
    <row r="1917">
      <c r="B1917" s="5">
        <f>BDP(A1917&amp;" US Equity","CUR_MKT_CAP")</f>
        <v/>
      </c>
      <c r="C1917">
        <f>BDP(A1917&amp;" US Equity","EXCH_CODE")</f>
        <v/>
      </c>
      <c r="D1917" s="5">
        <f>BDP(A1917&amp;" US Equity","VOLUME_AVG_20D")</f>
        <v/>
      </c>
      <c r="E1917" s="6">
        <f>BDP(A1917&amp;" US Equity","PX_LAST")</f>
        <v/>
      </c>
      <c r="F1917" s="5">
        <f>D1917*E1917</f>
        <v/>
      </c>
      <c r="G1917">
        <f>AND(B1917&gt;=50,B1917&lt;=10000)</f>
        <v/>
      </c>
      <c r="H1917">
        <f>OR(C1917="NAS",C1917="NYS",C1917="ASE")</f>
        <v/>
      </c>
      <c r="I1917">
        <f>F1917&gt;=500000</f>
        <v/>
      </c>
      <c r="J1917">
        <f>E1917&gt;=2</f>
        <v/>
      </c>
      <c r="K1917">
        <f>AND(G1917,H1917,I1917,J1917)</f>
        <v/>
      </c>
    </row>
    <row r="1918">
      <c r="B1918" s="5">
        <f>BDP(A1918&amp;" US Equity","CUR_MKT_CAP")</f>
        <v/>
      </c>
      <c r="C1918">
        <f>BDP(A1918&amp;" US Equity","EXCH_CODE")</f>
        <v/>
      </c>
      <c r="D1918" s="5">
        <f>BDP(A1918&amp;" US Equity","VOLUME_AVG_20D")</f>
        <v/>
      </c>
      <c r="E1918" s="6">
        <f>BDP(A1918&amp;" US Equity","PX_LAST")</f>
        <v/>
      </c>
      <c r="F1918" s="5">
        <f>D1918*E1918</f>
        <v/>
      </c>
      <c r="G1918">
        <f>AND(B1918&gt;=50,B1918&lt;=10000)</f>
        <v/>
      </c>
      <c r="H1918">
        <f>OR(C1918="NAS",C1918="NYS",C1918="ASE")</f>
        <v/>
      </c>
      <c r="I1918">
        <f>F1918&gt;=500000</f>
        <v/>
      </c>
      <c r="J1918">
        <f>E1918&gt;=2</f>
        <v/>
      </c>
      <c r="K1918">
        <f>AND(G1918,H1918,I1918,J1918)</f>
        <v/>
      </c>
    </row>
    <row r="1919">
      <c r="B1919" s="5">
        <f>BDP(A1919&amp;" US Equity","CUR_MKT_CAP")</f>
        <v/>
      </c>
      <c r="C1919">
        <f>BDP(A1919&amp;" US Equity","EXCH_CODE")</f>
        <v/>
      </c>
      <c r="D1919" s="5">
        <f>BDP(A1919&amp;" US Equity","VOLUME_AVG_20D")</f>
        <v/>
      </c>
      <c r="E1919" s="6">
        <f>BDP(A1919&amp;" US Equity","PX_LAST")</f>
        <v/>
      </c>
      <c r="F1919" s="5">
        <f>D1919*E1919</f>
        <v/>
      </c>
      <c r="G1919">
        <f>AND(B1919&gt;=50,B1919&lt;=10000)</f>
        <v/>
      </c>
      <c r="H1919">
        <f>OR(C1919="NAS",C1919="NYS",C1919="ASE")</f>
        <v/>
      </c>
      <c r="I1919">
        <f>F1919&gt;=500000</f>
        <v/>
      </c>
      <c r="J1919">
        <f>E1919&gt;=2</f>
        <v/>
      </c>
      <c r="K1919">
        <f>AND(G1919,H1919,I1919,J1919)</f>
        <v/>
      </c>
    </row>
    <row r="1920">
      <c r="B1920" s="5">
        <f>BDP(A1920&amp;" US Equity","CUR_MKT_CAP")</f>
        <v/>
      </c>
      <c r="C1920">
        <f>BDP(A1920&amp;" US Equity","EXCH_CODE")</f>
        <v/>
      </c>
      <c r="D1920" s="5">
        <f>BDP(A1920&amp;" US Equity","VOLUME_AVG_20D")</f>
        <v/>
      </c>
      <c r="E1920" s="6">
        <f>BDP(A1920&amp;" US Equity","PX_LAST")</f>
        <v/>
      </c>
      <c r="F1920" s="5">
        <f>D1920*E1920</f>
        <v/>
      </c>
      <c r="G1920">
        <f>AND(B1920&gt;=50,B1920&lt;=10000)</f>
        <v/>
      </c>
      <c r="H1920">
        <f>OR(C1920="NAS",C1920="NYS",C1920="ASE")</f>
        <v/>
      </c>
      <c r="I1920">
        <f>F1920&gt;=500000</f>
        <v/>
      </c>
      <c r="J1920">
        <f>E1920&gt;=2</f>
        <v/>
      </c>
      <c r="K1920">
        <f>AND(G1920,H1920,I1920,J1920)</f>
        <v/>
      </c>
    </row>
    <row r="1921">
      <c r="B1921" s="5">
        <f>BDP(A1921&amp;" US Equity","CUR_MKT_CAP")</f>
        <v/>
      </c>
      <c r="C1921">
        <f>BDP(A1921&amp;" US Equity","EXCH_CODE")</f>
        <v/>
      </c>
      <c r="D1921" s="5">
        <f>BDP(A1921&amp;" US Equity","VOLUME_AVG_20D")</f>
        <v/>
      </c>
      <c r="E1921" s="6">
        <f>BDP(A1921&amp;" US Equity","PX_LAST")</f>
        <v/>
      </c>
      <c r="F1921" s="5">
        <f>D1921*E1921</f>
        <v/>
      </c>
      <c r="G1921">
        <f>AND(B1921&gt;=50,B1921&lt;=10000)</f>
        <v/>
      </c>
      <c r="H1921">
        <f>OR(C1921="NAS",C1921="NYS",C1921="ASE")</f>
        <v/>
      </c>
      <c r="I1921">
        <f>F1921&gt;=500000</f>
        <v/>
      </c>
      <c r="J1921">
        <f>E1921&gt;=2</f>
        <v/>
      </c>
      <c r="K1921">
        <f>AND(G1921,H1921,I1921,J1921)</f>
        <v/>
      </c>
    </row>
    <row r="1922">
      <c r="B1922" s="5">
        <f>BDP(A1922&amp;" US Equity","CUR_MKT_CAP")</f>
        <v/>
      </c>
      <c r="C1922">
        <f>BDP(A1922&amp;" US Equity","EXCH_CODE")</f>
        <v/>
      </c>
      <c r="D1922" s="5">
        <f>BDP(A1922&amp;" US Equity","VOLUME_AVG_20D")</f>
        <v/>
      </c>
      <c r="E1922" s="6">
        <f>BDP(A1922&amp;" US Equity","PX_LAST")</f>
        <v/>
      </c>
      <c r="F1922" s="5">
        <f>D1922*E1922</f>
        <v/>
      </c>
      <c r="G1922">
        <f>AND(B1922&gt;=50,B1922&lt;=10000)</f>
        <v/>
      </c>
      <c r="H1922">
        <f>OR(C1922="NAS",C1922="NYS",C1922="ASE")</f>
        <v/>
      </c>
      <c r="I1922">
        <f>F1922&gt;=500000</f>
        <v/>
      </c>
      <c r="J1922">
        <f>E1922&gt;=2</f>
        <v/>
      </c>
      <c r="K1922">
        <f>AND(G1922,H1922,I1922,J1922)</f>
        <v/>
      </c>
    </row>
    <row r="1923">
      <c r="B1923" s="5">
        <f>BDP(A1923&amp;" US Equity","CUR_MKT_CAP")</f>
        <v/>
      </c>
      <c r="C1923">
        <f>BDP(A1923&amp;" US Equity","EXCH_CODE")</f>
        <v/>
      </c>
      <c r="D1923" s="5">
        <f>BDP(A1923&amp;" US Equity","VOLUME_AVG_20D")</f>
        <v/>
      </c>
      <c r="E1923" s="6">
        <f>BDP(A1923&amp;" US Equity","PX_LAST")</f>
        <v/>
      </c>
      <c r="F1923" s="5">
        <f>D1923*E1923</f>
        <v/>
      </c>
      <c r="G1923">
        <f>AND(B1923&gt;=50,B1923&lt;=10000)</f>
        <v/>
      </c>
      <c r="H1923">
        <f>OR(C1923="NAS",C1923="NYS",C1923="ASE")</f>
        <v/>
      </c>
      <c r="I1923">
        <f>F1923&gt;=500000</f>
        <v/>
      </c>
      <c r="J1923">
        <f>E1923&gt;=2</f>
        <v/>
      </c>
      <c r="K1923">
        <f>AND(G1923,H1923,I1923,J1923)</f>
        <v/>
      </c>
    </row>
    <row r="1924">
      <c r="B1924" s="5">
        <f>BDP(A1924&amp;" US Equity","CUR_MKT_CAP")</f>
        <v/>
      </c>
      <c r="C1924">
        <f>BDP(A1924&amp;" US Equity","EXCH_CODE")</f>
        <v/>
      </c>
      <c r="D1924" s="5">
        <f>BDP(A1924&amp;" US Equity","VOLUME_AVG_20D")</f>
        <v/>
      </c>
      <c r="E1924" s="6">
        <f>BDP(A1924&amp;" US Equity","PX_LAST")</f>
        <v/>
      </c>
      <c r="F1924" s="5">
        <f>D1924*E1924</f>
        <v/>
      </c>
      <c r="G1924">
        <f>AND(B1924&gt;=50,B1924&lt;=10000)</f>
        <v/>
      </c>
      <c r="H1924">
        <f>OR(C1924="NAS",C1924="NYS",C1924="ASE")</f>
        <v/>
      </c>
      <c r="I1924">
        <f>F1924&gt;=500000</f>
        <v/>
      </c>
      <c r="J1924">
        <f>E1924&gt;=2</f>
        <v/>
      </c>
      <c r="K1924">
        <f>AND(G1924,H1924,I1924,J1924)</f>
        <v/>
      </c>
    </row>
    <row r="1925">
      <c r="B1925" s="5">
        <f>BDP(A1925&amp;" US Equity","CUR_MKT_CAP")</f>
        <v/>
      </c>
      <c r="C1925">
        <f>BDP(A1925&amp;" US Equity","EXCH_CODE")</f>
        <v/>
      </c>
      <c r="D1925" s="5">
        <f>BDP(A1925&amp;" US Equity","VOLUME_AVG_20D")</f>
        <v/>
      </c>
      <c r="E1925" s="6">
        <f>BDP(A1925&amp;" US Equity","PX_LAST")</f>
        <v/>
      </c>
      <c r="F1925" s="5">
        <f>D1925*E1925</f>
        <v/>
      </c>
      <c r="G1925">
        <f>AND(B1925&gt;=50,B1925&lt;=10000)</f>
        <v/>
      </c>
      <c r="H1925">
        <f>OR(C1925="NAS",C1925="NYS",C1925="ASE")</f>
        <v/>
      </c>
      <c r="I1925">
        <f>F1925&gt;=500000</f>
        <v/>
      </c>
      <c r="J1925">
        <f>E1925&gt;=2</f>
        <v/>
      </c>
      <c r="K1925">
        <f>AND(G1925,H1925,I1925,J1925)</f>
        <v/>
      </c>
    </row>
    <row r="1926">
      <c r="B1926" s="5">
        <f>BDP(A1926&amp;" US Equity","CUR_MKT_CAP")</f>
        <v/>
      </c>
      <c r="C1926">
        <f>BDP(A1926&amp;" US Equity","EXCH_CODE")</f>
        <v/>
      </c>
      <c r="D1926" s="5">
        <f>BDP(A1926&amp;" US Equity","VOLUME_AVG_20D")</f>
        <v/>
      </c>
      <c r="E1926" s="6">
        <f>BDP(A1926&amp;" US Equity","PX_LAST")</f>
        <v/>
      </c>
      <c r="F1926" s="5">
        <f>D1926*E1926</f>
        <v/>
      </c>
      <c r="G1926">
        <f>AND(B1926&gt;=50,B1926&lt;=10000)</f>
        <v/>
      </c>
      <c r="H1926">
        <f>OR(C1926="NAS",C1926="NYS",C1926="ASE")</f>
        <v/>
      </c>
      <c r="I1926">
        <f>F1926&gt;=500000</f>
        <v/>
      </c>
      <c r="J1926">
        <f>E1926&gt;=2</f>
        <v/>
      </c>
      <c r="K1926">
        <f>AND(G1926,H1926,I1926,J1926)</f>
        <v/>
      </c>
    </row>
    <row r="1927">
      <c r="B1927" s="5">
        <f>BDP(A1927&amp;" US Equity","CUR_MKT_CAP")</f>
        <v/>
      </c>
      <c r="C1927">
        <f>BDP(A1927&amp;" US Equity","EXCH_CODE")</f>
        <v/>
      </c>
      <c r="D1927" s="5">
        <f>BDP(A1927&amp;" US Equity","VOLUME_AVG_20D")</f>
        <v/>
      </c>
      <c r="E1927" s="6">
        <f>BDP(A1927&amp;" US Equity","PX_LAST")</f>
        <v/>
      </c>
      <c r="F1927" s="5">
        <f>D1927*E1927</f>
        <v/>
      </c>
      <c r="G1927">
        <f>AND(B1927&gt;=50,B1927&lt;=10000)</f>
        <v/>
      </c>
      <c r="H1927">
        <f>OR(C1927="NAS",C1927="NYS",C1927="ASE")</f>
        <v/>
      </c>
      <c r="I1927">
        <f>F1927&gt;=500000</f>
        <v/>
      </c>
      <c r="J1927">
        <f>E1927&gt;=2</f>
        <v/>
      </c>
      <c r="K1927">
        <f>AND(G1927,H1927,I1927,J1927)</f>
        <v/>
      </c>
    </row>
    <row r="1928">
      <c r="B1928" s="5">
        <f>BDP(A1928&amp;" US Equity","CUR_MKT_CAP")</f>
        <v/>
      </c>
      <c r="C1928">
        <f>BDP(A1928&amp;" US Equity","EXCH_CODE")</f>
        <v/>
      </c>
      <c r="D1928" s="5">
        <f>BDP(A1928&amp;" US Equity","VOLUME_AVG_20D")</f>
        <v/>
      </c>
      <c r="E1928" s="6">
        <f>BDP(A1928&amp;" US Equity","PX_LAST")</f>
        <v/>
      </c>
      <c r="F1928" s="5">
        <f>D1928*E1928</f>
        <v/>
      </c>
      <c r="G1928">
        <f>AND(B1928&gt;=50,B1928&lt;=10000)</f>
        <v/>
      </c>
      <c r="H1928">
        <f>OR(C1928="NAS",C1928="NYS",C1928="ASE")</f>
        <v/>
      </c>
      <c r="I1928">
        <f>F1928&gt;=500000</f>
        <v/>
      </c>
      <c r="J1928">
        <f>E1928&gt;=2</f>
        <v/>
      </c>
      <c r="K1928">
        <f>AND(G1928,H1928,I1928,J1928)</f>
        <v/>
      </c>
    </row>
    <row r="1929">
      <c r="B1929" s="5">
        <f>BDP(A1929&amp;" US Equity","CUR_MKT_CAP")</f>
        <v/>
      </c>
      <c r="C1929">
        <f>BDP(A1929&amp;" US Equity","EXCH_CODE")</f>
        <v/>
      </c>
      <c r="D1929" s="5">
        <f>BDP(A1929&amp;" US Equity","VOLUME_AVG_20D")</f>
        <v/>
      </c>
      <c r="E1929" s="6">
        <f>BDP(A1929&amp;" US Equity","PX_LAST")</f>
        <v/>
      </c>
      <c r="F1929" s="5">
        <f>D1929*E1929</f>
        <v/>
      </c>
      <c r="G1929">
        <f>AND(B1929&gt;=50,B1929&lt;=10000)</f>
        <v/>
      </c>
      <c r="H1929">
        <f>OR(C1929="NAS",C1929="NYS",C1929="ASE")</f>
        <v/>
      </c>
      <c r="I1929">
        <f>F1929&gt;=500000</f>
        <v/>
      </c>
      <c r="J1929">
        <f>E1929&gt;=2</f>
        <v/>
      </c>
      <c r="K1929">
        <f>AND(G1929,H1929,I1929,J1929)</f>
        <v/>
      </c>
    </row>
    <row r="1930">
      <c r="B1930" s="5">
        <f>BDP(A1930&amp;" US Equity","CUR_MKT_CAP")</f>
        <v/>
      </c>
      <c r="C1930">
        <f>BDP(A1930&amp;" US Equity","EXCH_CODE")</f>
        <v/>
      </c>
      <c r="D1930" s="5">
        <f>BDP(A1930&amp;" US Equity","VOLUME_AVG_20D")</f>
        <v/>
      </c>
      <c r="E1930" s="6">
        <f>BDP(A1930&amp;" US Equity","PX_LAST")</f>
        <v/>
      </c>
      <c r="F1930" s="5">
        <f>D1930*E1930</f>
        <v/>
      </c>
      <c r="G1930">
        <f>AND(B1930&gt;=50,B1930&lt;=10000)</f>
        <v/>
      </c>
      <c r="H1930">
        <f>OR(C1930="NAS",C1930="NYS",C1930="ASE")</f>
        <v/>
      </c>
      <c r="I1930">
        <f>F1930&gt;=500000</f>
        <v/>
      </c>
      <c r="J1930">
        <f>E1930&gt;=2</f>
        <v/>
      </c>
      <c r="K1930">
        <f>AND(G1930,H1930,I1930,J1930)</f>
        <v/>
      </c>
    </row>
    <row r="1931">
      <c r="B1931" s="5">
        <f>BDP(A1931&amp;" US Equity","CUR_MKT_CAP")</f>
        <v/>
      </c>
      <c r="C1931">
        <f>BDP(A1931&amp;" US Equity","EXCH_CODE")</f>
        <v/>
      </c>
      <c r="D1931" s="5">
        <f>BDP(A1931&amp;" US Equity","VOLUME_AVG_20D")</f>
        <v/>
      </c>
      <c r="E1931" s="6">
        <f>BDP(A1931&amp;" US Equity","PX_LAST")</f>
        <v/>
      </c>
      <c r="F1931" s="5">
        <f>D1931*E1931</f>
        <v/>
      </c>
      <c r="G1931">
        <f>AND(B1931&gt;=50,B1931&lt;=10000)</f>
        <v/>
      </c>
      <c r="H1931">
        <f>OR(C1931="NAS",C1931="NYS",C1931="ASE")</f>
        <v/>
      </c>
      <c r="I1931">
        <f>F1931&gt;=500000</f>
        <v/>
      </c>
      <c r="J1931">
        <f>E1931&gt;=2</f>
        <v/>
      </c>
      <c r="K1931">
        <f>AND(G1931,H1931,I1931,J1931)</f>
        <v/>
      </c>
    </row>
    <row r="1932">
      <c r="B1932" s="5">
        <f>BDP(A1932&amp;" US Equity","CUR_MKT_CAP")</f>
        <v/>
      </c>
      <c r="C1932">
        <f>BDP(A1932&amp;" US Equity","EXCH_CODE")</f>
        <v/>
      </c>
      <c r="D1932" s="5">
        <f>BDP(A1932&amp;" US Equity","VOLUME_AVG_20D")</f>
        <v/>
      </c>
      <c r="E1932" s="6">
        <f>BDP(A1932&amp;" US Equity","PX_LAST")</f>
        <v/>
      </c>
      <c r="F1932" s="5">
        <f>D1932*E1932</f>
        <v/>
      </c>
      <c r="G1932">
        <f>AND(B1932&gt;=50,B1932&lt;=10000)</f>
        <v/>
      </c>
      <c r="H1932">
        <f>OR(C1932="NAS",C1932="NYS",C1932="ASE")</f>
        <v/>
      </c>
      <c r="I1932">
        <f>F1932&gt;=500000</f>
        <v/>
      </c>
      <c r="J1932">
        <f>E1932&gt;=2</f>
        <v/>
      </c>
      <c r="K1932">
        <f>AND(G1932,H1932,I1932,J1932)</f>
        <v/>
      </c>
    </row>
    <row r="1933">
      <c r="B1933" s="5">
        <f>BDP(A1933&amp;" US Equity","CUR_MKT_CAP")</f>
        <v/>
      </c>
      <c r="C1933">
        <f>BDP(A1933&amp;" US Equity","EXCH_CODE")</f>
        <v/>
      </c>
      <c r="D1933" s="5">
        <f>BDP(A1933&amp;" US Equity","VOLUME_AVG_20D")</f>
        <v/>
      </c>
      <c r="E1933" s="6">
        <f>BDP(A1933&amp;" US Equity","PX_LAST")</f>
        <v/>
      </c>
      <c r="F1933" s="5">
        <f>D1933*E1933</f>
        <v/>
      </c>
      <c r="G1933">
        <f>AND(B1933&gt;=50,B1933&lt;=10000)</f>
        <v/>
      </c>
      <c r="H1933">
        <f>OR(C1933="NAS",C1933="NYS",C1933="ASE")</f>
        <v/>
      </c>
      <c r="I1933">
        <f>F1933&gt;=500000</f>
        <v/>
      </c>
      <c r="J1933">
        <f>E1933&gt;=2</f>
        <v/>
      </c>
      <c r="K1933">
        <f>AND(G1933,H1933,I1933,J1933)</f>
        <v/>
      </c>
    </row>
    <row r="1934">
      <c r="B1934" s="5">
        <f>BDP(A1934&amp;" US Equity","CUR_MKT_CAP")</f>
        <v/>
      </c>
      <c r="C1934">
        <f>BDP(A1934&amp;" US Equity","EXCH_CODE")</f>
        <v/>
      </c>
      <c r="D1934" s="5">
        <f>BDP(A1934&amp;" US Equity","VOLUME_AVG_20D")</f>
        <v/>
      </c>
      <c r="E1934" s="6">
        <f>BDP(A1934&amp;" US Equity","PX_LAST")</f>
        <v/>
      </c>
      <c r="F1934" s="5">
        <f>D1934*E1934</f>
        <v/>
      </c>
      <c r="G1934">
        <f>AND(B1934&gt;=50,B1934&lt;=10000)</f>
        <v/>
      </c>
      <c r="H1934">
        <f>OR(C1934="NAS",C1934="NYS",C1934="ASE")</f>
        <v/>
      </c>
      <c r="I1934">
        <f>F1934&gt;=500000</f>
        <v/>
      </c>
      <c r="J1934">
        <f>E1934&gt;=2</f>
        <v/>
      </c>
      <c r="K1934">
        <f>AND(G1934,H1934,I1934,J1934)</f>
        <v/>
      </c>
    </row>
    <row r="1935">
      <c r="B1935" s="5">
        <f>BDP(A1935&amp;" US Equity","CUR_MKT_CAP")</f>
        <v/>
      </c>
      <c r="C1935">
        <f>BDP(A1935&amp;" US Equity","EXCH_CODE")</f>
        <v/>
      </c>
      <c r="D1935" s="5">
        <f>BDP(A1935&amp;" US Equity","VOLUME_AVG_20D")</f>
        <v/>
      </c>
      <c r="E1935" s="6">
        <f>BDP(A1935&amp;" US Equity","PX_LAST")</f>
        <v/>
      </c>
      <c r="F1935" s="5">
        <f>D1935*E1935</f>
        <v/>
      </c>
      <c r="G1935">
        <f>AND(B1935&gt;=50,B1935&lt;=10000)</f>
        <v/>
      </c>
      <c r="H1935">
        <f>OR(C1935="NAS",C1935="NYS",C1935="ASE")</f>
        <v/>
      </c>
      <c r="I1935">
        <f>F1935&gt;=500000</f>
        <v/>
      </c>
      <c r="J1935">
        <f>E1935&gt;=2</f>
        <v/>
      </c>
      <c r="K1935">
        <f>AND(G1935,H1935,I1935,J1935)</f>
        <v/>
      </c>
    </row>
    <row r="1936">
      <c r="B1936" s="5">
        <f>BDP(A1936&amp;" US Equity","CUR_MKT_CAP")</f>
        <v/>
      </c>
      <c r="C1936">
        <f>BDP(A1936&amp;" US Equity","EXCH_CODE")</f>
        <v/>
      </c>
      <c r="D1936" s="5">
        <f>BDP(A1936&amp;" US Equity","VOLUME_AVG_20D")</f>
        <v/>
      </c>
      <c r="E1936" s="6">
        <f>BDP(A1936&amp;" US Equity","PX_LAST")</f>
        <v/>
      </c>
      <c r="F1936" s="5">
        <f>D1936*E1936</f>
        <v/>
      </c>
      <c r="G1936">
        <f>AND(B1936&gt;=50,B1936&lt;=10000)</f>
        <v/>
      </c>
      <c r="H1936">
        <f>OR(C1936="NAS",C1936="NYS",C1936="ASE")</f>
        <v/>
      </c>
      <c r="I1936">
        <f>F1936&gt;=500000</f>
        <v/>
      </c>
      <c r="J1936">
        <f>E1936&gt;=2</f>
        <v/>
      </c>
      <c r="K1936">
        <f>AND(G1936,H1936,I1936,J1936)</f>
        <v/>
      </c>
    </row>
    <row r="1937">
      <c r="B1937" s="5">
        <f>BDP(A1937&amp;" US Equity","CUR_MKT_CAP")</f>
        <v/>
      </c>
      <c r="C1937">
        <f>BDP(A1937&amp;" US Equity","EXCH_CODE")</f>
        <v/>
      </c>
      <c r="D1937" s="5">
        <f>BDP(A1937&amp;" US Equity","VOLUME_AVG_20D")</f>
        <v/>
      </c>
      <c r="E1937" s="6">
        <f>BDP(A1937&amp;" US Equity","PX_LAST")</f>
        <v/>
      </c>
      <c r="F1937" s="5">
        <f>D1937*E1937</f>
        <v/>
      </c>
      <c r="G1937">
        <f>AND(B1937&gt;=50,B1937&lt;=10000)</f>
        <v/>
      </c>
      <c r="H1937">
        <f>OR(C1937="NAS",C1937="NYS",C1937="ASE")</f>
        <v/>
      </c>
      <c r="I1937">
        <f>F1937&gt;=500000</f>
        <v/>
      </c>
      <c r="J1937">
        <f>E1937&gt;=2</f>
        <v/>
      </c>
      <c r="K1937">
        <f>AND(G1937,H1937,I1937,J1937)</f>
        <v/>
      </c>
    </row>
    <row r="1938">
      <c r="B1938" s="5">
        <f>BDP(A1938&amp;" US Equity","CUR_MKT_CAP")</f>
        <v/>
      </c>
      <c r="C1938">
        <f>BDP(A1938&amp;" US Equity","EXCH_CODE")</f>
        <v/>
      </c>
      <c r="D1938" s="5">
        <f>BDP(A1938&amp;" US Equity","VOLUME_AVG_20D")</f>
        <v/>
      </c>
      <c r="E1938" s="6">
        <f>BDP(A1938&amp;" US Equity","PX_LAST")</f>
        <v/>
      </c>
      <c r="F1938" s="5">
        <f>D1938*E1938</f>
        <v/>
      </c>
      <c r="G1938">
        <f>AND(B1938&gt;=50,B1938&lt;=10000)</f>
        <v/>
      </c>
      <c r="H1938">
        <f>OR(C1938="NAS",C1938="NYS",C1938="ASE")</f>
        <v/>
      </c>
      <c r="I1938">
        <f>F1938&gt;=500000</f>
        <v/>
      </c>
      <c r="J1938">
        <f>E1938&gt;=2</f>
        <v/>
      </c>
      <c r="K1938">
        <f>AND(G1938,H1938,I1938,J1938)</f>
        <v/>
      </c>
    </row>
    <row r="1939">
      <c r="B1939" s="5">
        <f>BDP(A1939&amp;" US Equity","CUR_MKT_CAP")</f>
        <v/>
      </c>
      <c r="C1939">
        <f>BDP(A1939&amp;" US Equity","EXCH_CODE")</f>
        <v/>
      </c>
      <c r="D1939" s="5">
        <f>BDP(A1939&amp;" US Equity","VOLUME_AVG_20D")</f>
        <v/>
      </c>
      <c r="E1939" s="6">
        <f>BDP(A1939&amp;" US Equity","PX_LAST")</f>
        <v/>
      </c>
      <c r="F1939" s="5">
        <f>D1939*E1939</f>
        <v/>
      </c>
      <c r="G1939">
        <f>AND(B1939&gt;=50,B1939&lt;=10000)</f>
        <v/>
      </c>
      <c r="H1939">
        <f>OR(C1939="NAS",C1939="NYS",C1939="ASE")</f>
        <v/>
      </c>
      <c r="I1939">
        <f>F1939&gt;=500000</f>
        <v/>
      </c>
      <c r="J1939">
        <f>E1939&gt;=2</f>
        <v/>
      </c>
      <c r="K1939">
        <f>AND(G1939,H1939,I1939,J1939)</f>
        <v/>
      </c>
    </row>
    <row r="1940">
      <c r="B1940" s="5">
        <f>BDP(A1940&amp;" US Equity","CUR_MKT_CAP")</f>
        <v/>
      </c>
      <c r="C1940">
        <f>BDP(A1940&amp;" US Equity","EXCH_CODE")</f>
        <v/>
      </c>
      <c r="D1940" s="5">
        <f>BDP(A1940&amp;" US Equity","VOLUME_AVG_20D")</f>
        <v/>
      </c>
      <c r="E1940" s="6">
        <f>BDP(A1940&amp;" US Equity","PX_LAST")</f>
        <v/>
      </c>
      <c r="F1940" s="5">
        <f>D1940*E1940</f>
        <v/>
      </c>
      <c r="G1940">
        <f>AND(B1940&gt;=50,B1940&lt;=10000)</f>
        <v/>
      </c>
      <c r="H1940">
        <f>OR(C1940="NAS",C1940="NYS",C1940="ASE")</f>
        <v/>
      </c>
      <c r="I1940">
        <f>F1940&gt;=500000</f>
        <v/>
      </c>
      <c r="J1940">
        <f>E1940&gt;=2</f>
        <v/>
      </c>
      <c r="K1940">
        <f>AND(G1940,H1940,I1940,J1940)</f>
        <v/>
      </c>
    </row>
    <row r="1941">
      <c r="B1941" s="5">
        <f>BDP(A1941&amp;" US Equity","CUR_MKT_CAP")</f>
        <v/>
      </c>
      <c r="C1941">
        <f>BDP(A1941&amp;" US Equity","EXCH_CODE")</f>
        <v/>
      </c>
      <c r="D1941" s="5">
        <f>BDP(A1941&amp;" US Equity","VOLUME_AVG_20D")</f>
        <v/>
      </c>
      <c r="E1941" s="6">
        <f>BDP(A1941&amp;" US Equity","PX_LAST")</f>
        <v/>
      </c>
      <c r="F1941" s="5">
        <f>D1941*E1941</f>
        <v/>
      </c>
      <c r="G1941">
        <f>AND(B1941&gt;=50,B1941&lt;=10000)</f>
        <v/>
      </c>
      <c r="H1941">
        <f>OR(C1941="NAS",C1941="NYS",C1941="ASE")</f>
        <v/>
      </c>
      <c r="I1941">
        <f>F1941&gt;=500000</f>
        <v/>
      </c>
      <c r="J1941">
        <f>E1941&gt;=2</f>
        <v/>
      </c>
      <c r="K1941">
        <f>AND(G1941,H1941,I1941,J1941)</f>
        <v/>
      </c>
    </row>
    <row r="1942">
      <c r="B1942" s="5">
        <f>BDP(A1942&amp;" US Equity","CUR_MKT_CAP")</f>
        <v/>
      </c>
      <c r="C1942">
        <f>BDP(A1942&amp;" US Equity","EXCH_CODE")</f>
        <v/>
      </c>
      <c r="D1942" s="5">
        <f>BDP(A1942&amp;" US Equity","VOLUME_AVG_20D")</f>
        <v/>
      </c>
      <c r="E1942" s="6">
        <f>BDP(A1942&amp;" US Equity","PX_LAST")</f>
        <v/>
      </c>
      <c r="F1942" s="5">
        <f>D1942*E1942</f>
        <v/>
      </c>
      <c r="G1942">
        <f>AND(B1942&gt;=50,B1942&lt;=10000)</f>
        <v/>
      </c>
      <c r="H1942">
        <f>OR(C1942="NAS",C1942="NYS",C1942="ASE")</f>
        <v/>
      </c>
      <c r="I1942">
        <f>F1942&gt;=500000</f>
        <v/>
      </c>
      <c r="J1942">
        <f>E1942&gt;=2</f>
        <v/>
      </c>
      <c r="K1942">
        <f>AND(G1942,H1942,I1942,J1942)</f>
        <v/>
      </c>
    </row>
    <row r="1943">
      <c r="B1943" s="5">
        <f>BDP(A1943&amp;" US Equity","CUR_MKT_CAP")</f>
        <v/>
      </c>
      <c r="C1943">
        <f>BDP(A1943&amp;" US Equity","EXCH_CODE")</f>
        <v/>
      </c>
      <c r="D1943" s="5">
        <f>BDP(A1943&amp;" US Equity","VOLUME_AVG_20D")</f>
        <v/>
      </c>
      <c r="E1943" s="6">
        <f>BDP(A1943&amp;" US Equity","PX_LAST")</f>
        <v/>
      </c>
      <c r="F1943" s="5">
        <f>D1943*E1943</f>
        <v/>
      </c>
      <c r="G1943">
        <f>AND(B1943&gt;=50,B1943&lt;=10000)</f>
        <v/>
      </c>
      <c r="H1943">
        <f>OR(C1943="NAS",C1943="NYS",C1943="ASE")</f>
        <v/>
      </c>
      <c r="I1943">
        <f>F1943&gt;=500000</f>
        <v/>
      </c>
      <c r="J1943">
        <f>E1943&gt;=2</f>
        <v/>
      </c>
      <c r="K1943">
        <f>AND(G1943,H1943,I1943,J1943)</f>
        <v/>
      </c>
    </row>
    <row r="1944">
      <c r="B1944" s="5">
        <f>BDP(A1944&amp;" US Equity","CUR_MKT_CAP")</f>
        <v/>
      </c>
      <c r="C1944">
        <f>BDP(A1944&amp;" US Equity","EXCH_CODE")</f>
        <v/>
      </c>
      <c r="D1944" s="5">
        <f>BDP(A1944&amp;" US Equity","VOLUME_AVG_20D")</f>
        <v/>
      </c>
      <c r="E1944" s="6">
        <f>BDP(A1944&amp;" US Equity","PX_LAST")</f>
        <v/>
      </c>
      <c r="F1944" s="5">
        <f>D1944*E1944</f>
        <v/>
      </c>
      <c r="G1944">
        <f>AND(B1944&gt;=50,B1944&lt;=10000)</f>
        <v/>
      </c>
      <c r="H1944">
        <f>OR(C1944="NAS",C1944="NYS",C1944="ASE")</f>
        <v/>
      </c>
      <c r="I1944">
        <f>F1944&gt;=500000</f>
        <v/>
      </c>
      <c r="J1944">
        <f>E1944&gt;=2</f>
        <v/>
      </c>
      <c r="K1944">
        <f>AND(G1944,H1944,I1944,J1944)</f>
        <v/>
      </c>
    </row>
    <row r="1945">
      <c r="B1945" s="5">
        <f>BDP(A1945&amp;" US Equity","CUR_MKT_CAP")</f>
        <v/>
      </c>
      <c r="C1945">
        <f>BDP(A1945&amp;" US Equity","EXCH_CODE")</f>
        <v/>
      </c>
      <c r="D1945" s="5">
        <f>BDP(A1945&amp;" US Equity","VOLUME_AVG_20D")</f>
        <v/>
      </c>
      <c r="E1945" s="6">
        <f>BDP(A1945&amp;" US Equity","PX_LAST")</f>
        <v/>
      </c>
      <c r="F1945" s="5">
        <f>D1945*E1945</f>
        <v/>
      </c>
      <c r="G1945">
        <f>AND(B1945&gt;=50,B1945&lt;=10000)</f>
        <v/>
      </c>
      <c r="H1945">
        <f>OR(C1945="NAS",C1945="NYS",C1945="ASE")</f>
        <v/>
      </c>
      <c r="I1945">
        <f>F1945&gt;=500000</f>
        <v/>
      </c>
      <c r="J1945">
        <f>E1945&gt;=2</f>
        <v/>
      </c>
      <c r="K1945">
        <f>AND(G1945,H1945,I1945,J1945)</f>
        <v/>
      </c>
    </row>
    <row r="1946">
      <c r="B1946" s="5">
        <f>BDP(A1946&amp;" US Equity","CUR_MKT_CAP")</f>
        <v/>
      </c>
      <c r="C1946">
        <f>BDP(A1946&amp;" US Equity","EXCH_CODE")</f>
        <v/>
      </c>
      <c r="D1946" s="5">
        <f>BDP(A1946&amp;" US Equity","VOLUME_AVG_20D")</f>
        <v/>
      </c>
      <c r="E1946" s="6">
        <f>BDP(A1946&amp;" US Equity","PX_LAST")</f>
        <v/>
      </c>
      <c r="F1946" s="5">
        <f>D1946*E1946</f>
        <v/>
      </c>
      <c r="G1946">
        <f>AND(B1946&gt;=50,B1946&lt;=10000)</f>
        <v/>
      </c>
      <c r="H1946">
        <f>OR(C1946="NAS",C1946="NYS",C1946="ASE")</f>
        <v/>
      </c>
      <c r="I1946">
        <f>F1946&gt;=500000</f>
        <v/>
      </c>
      <c r="J1946">
        <f>E1946&gt;=2</f>
        <v/>
      </c>
      <c r="K1946">
        <f>AND(G1946,H1946,I1946,J1946)</f>
        <v/>
      </c>
    </row>
    <row r="1947">
      <c r="B1947" s="5">
        <f>BDP(A1947&amp;" US Equity","CUR_MKT_CAP")</f>
        <v/>
      </c>
      <c r="C1947">
        <f>BDP(A1947&amp;" US Equity","EXCH_CODE")</f>
        <v/>
      </c>
      <c r="D1947" s="5">
        <f>BDP(A1947&amp;" US Equity","VOLUME_AVG_20D")</f>
        <v/>
      </c>
      <c r="E1947" s="6">
        <f>BDP(A1947&amp;" US Equity","PX_LAST")</f>
        <v/>
      </c>
      <c r="F1947" s="5">
        <f>D1947*E1947</f>
        <v/>
      </c>
      <c r="G1947">
        <f>AND(B1947&gt;=50,B1947&lt;=10000)</f>
        <v/>
      </c>
      <c r="H1947">
        <f>OR(C1947="NAS",C1947="NYS",C1947="ASE")</f>
        <v/>
      </c>
      <c r="I1947">
        <f>F1947&gt;=500000</f>
        <v/>
      </c>
      <c r="J1947">
        <f>E1947&gt;=2</f>
        <v/>
      </c>
      <c r="K1947">
        <f>AND(G1947,H1947,I1947,J1947)</f>
        <v/>
      </c>
    </row>
    <row r="1948">
      <c r="B1948" s="5">
        <f>BDP(A1948&amp;" US Equity","CUR_MKT_CAP")</f>
        <v/>
      </c>
      <c r="C1948">
        <f>BDP(A1948&amp;" US Equity","EXCH_CODE")</f>
        <v/>
      </c>
      <c r="D1948" s="5">
        <f>BDP(A1948&amp;" US Equity","VOLUME_AVG_20D")</f>
        <v/>
      </c>
      <c r="E1948" s="6">
        <f>BDP(A1948&amp;" US Equity","PX_LAST")</f>
        <v/>
      </c>
      <c r="F1948" s="5">
        <f>D1948*E1948</f>
        <v/>
      </c>
      <c r="G1948">
        <f>AND(B1948&gt;=50,B1948&lt;=10000)</f>
        <v/>
      </c>
      <c r="H1948">
        <f>OR(C1948="NAS",C1948="NYS",C1948="ASE")</f>
        <v/>
      </c>
      <c r="I1948">
        <f>F1948&gt;=500000</f>
        <v/>
      </c>
      <c r="J1948">
        <f>E1948&gt;=2</f>
        <v/>
      </c>
      <c r="K1948">
        <f>AND(G1948,H1948,I1948,J1948)</f>
        <v/>
      </c>
    </row>
    <row r="1949">
      <c r="B1949" s="5">
        <f>BDP(A1949&amp;" US Equity","CUR_MKT_CAP")</f>
        <v/>
      </c>
      <c r="C1949">
        <f>BDP(A1949&amp;" US Equity","EXCH_CODE")</f>
        <v/>
      </c>
      <c r="D1949" s="5">
        <f>BDP(A1949&amp;" US Equity","VOLUME_AVG_20D")</f>
        <v/>
      </c>
      <c r="E1949" s="6">
        <f>BDP(A1949&amp;" US Equity","PX_LAST")</f>
        <v/>
      </c>
      <c r="F1949" s="5">
        <f>D1949*E1949</f>
        <v/>
      </c>
      <c r="G1949">
        <f>AND(B1949&gt;=50,B1949&lt;=10000)</f>
        <v/>
      </c>
      <c r="H1949">
        <f>OR(C1949="NAS",C1949="NYS",C1949="ASE")</f>
        <v/>
      </c>
      <c r="I1949">
        <f>F1949&gt;=500000</f>
        <v/>
      </c>
      <c r="J1949">
        <f>E1949&gt;=2</f>
        <v/>
      </c>
      <c r="K1949">
        <f>AND(G1949,H1949,I1949,J1949)</f>
        <v/>
      </c>
    </row>
    <row r="1950">
      <c r="B1950" s="5">
        <f>BDP(A1950&amp;" US Equity","CUR_MKT_CAP")</f>
        <v/>
      </c>
      <c r="C1950">
        <f>BDP(A1950&amp;" US Equity","EXCH_CODE")</f>
        <v/>
      </c>
      <c r="D1950" s="5">
        <f>BDP(A1950&amp;" US Equity","VOLUME_AVG_20D")</f>
        <v/>
      </c>
      <c r="E1950" s="6">
        <f>BDP(A1950&amp;" US Equity","PX_LAST")</f>
        <v/>
      </c>
      <c r="F1950" s="5">
        <f>D1950*E1950</f>
        <v/>
      </c>
      <c r="G1950">
        <f>AND(B1950&gt;=50,B1950&lt;=10000)</f>
        <v/>
      </c>
      <c r="H1950">
        <f>OR(C1950="NAS",C1950="NYS",C1950="ASE")</f>
        <v/>
      </c>
      <c r="I1950">
        <f>F1950&gt;=500000</f>
        <v/>
      </c>
      <c r="J1950">
        <f>E1950&gt;=2</f>
        <v/>
      </c>
      <c r="K1950">
        <f>AND(G1950,H1950,I1950,J1950)</f>
        <v/>
      </c>
    </row>
    <row r="1951">
      <c r="B1951" s="5">
        <f>BDP(A1951&amp;" US Equity","CUR_MKT_CAP")</f>
        <v/>
      </c>
      <c r="C1951">
        <f>BDP(A1951&amp;" US Equity","EXCH_CODE")</f>
        <v/>
      </c>
      <c r="D1951" s="5">
        <f>BDP(A1951&amp;" US Equity","VOLUME_AVG_20D")</f>
        <v/>
      </c>
      <c r="E1951" s="6">
        <f>BDP(A1951&amp;" US Equity","PX_LAST")</f>
        <v/>
      </c>
      <c r="F1951" s="5">
        <f>D1951*E1951</f>
        <v/>
      </c>
      <c r="G1951">
        <f>AND(B1951&gt;=50,B1951&lt;=10000)</f>
        <v/>
      </c>
      <c r="H1951">
        <f>OR(C1951="NAS",C1951="NYS",C1951="ASE")</f>
        <v/>
      </c>
      <c r="I1951">
        <f>F1951&gt;=500000</f>
        <v/>
      </c>
      <c r="J1951">
        <f>E1951&gt;=2</f>
        <v/>
      </c>
      <c r="K1951">
        <f>AND(G1951,H1951,I1951,J1951)</f>
        <v/>
      </c>
    </row>
    <row r="1952">
      <c r="B1952" s="5">
        <f>BDP(A1952&amp;" US Equity","CUR_MKT_CAP")</f>
        <v/>
      </c>
      <c r="C1952">
        <f>BDP(A1952&amp;" US Equity","EXCH_CODE")</f>
        <v/>
      </c>
      <c r="D1952" s="5">
        <f>BDP(A1952&amp;" US Equity","VOLUME_AVG_20D")</f>
        <v/>
      </c>
      <c r="E1952" s="6">
        <f>BDP(A1952&amp;" US Equity","PX_LAST")</f>
        <v/>
      </c>
      <c r="F1952" s="5">
        <f>D1952*E1952</f>
        <v/>
      </c>
      <c r="G1952">
        <f>AND(B1952&gt;=50,B1952&lt;=10000)</f>
        <v/>
      </c>
      <c r="H1952">
        <f>OR(C1952="NAS",C1952="NYS",C1952="ASE")</f>
        <v/>
      </c>
      <c r="I1952">
        <f>F1952&gt;=500000</f>
        <v/>
      </c>
      <c r="J1952">
        <f>E1952&gt;=2</f>
        <v/>
      </c>
      <c r="K1952">
        <f>AND(G1952,H1952,I1952,J1952)</f>
        <v/>
      </c>
    </row>
    <row r="1953">
      <c r="B1953" s="5">
        <f>BDP(A1953&amp;" US Equity","CUR_MKT_CAP")</f>
        <v/>
      </c>
      <c r="C1953">
        <f>BDP(A1953&amp;" US Equity","EXCH_CODE")</f>
        <v/>
      </c>
      <c r="D1953" s="5">
        <f>BDP(A1953&amp;" US Equity","VOLUME_AVG_20D")</f>
        <v/>
      </c>
      <c r="E1953" s="6">
        <f>BDP(A1953&amp;" US Equity","PX_LAST")</f>
        <v/>
      </c>
      <c r="F1953" s="5">
        <f>D1953*E1953</f>
        <v/>
      </c>
      <c r="G1953">
        <f>AND(B1953&gt;=50,B1953&lt;=10000)</f>
        <v/>
      </c>
      <c r="H1953">
        <f>OR(C1953="NAS",C1953="NYS",C1953="ASE")</f>
        <v/>
      </c>
      <c r="I1953">
        <f>F1953&gt;=500000</f>
        <v/>
      </c>
      <c r="J1953">
        <f>E1953&gt;=2</f>
        <v/>
      </c>
      <c r="K1953">
        <f>AND(G1953,H1953,I1953,J1953)</f>
        <v/>
      </c>
    </row>
    <row r="1954">
      <c r="B1954" s="5">
        <f>BDP(A1954&amp;" US Equity","CUR_MKT_CAP")</f>
        <v/>
      </c>
      <c r="C1954">
        <f>BDP(A1954&amp;" US Equity","EXCH_CODE")</f>
        <v/>
      </c>
      <c r="D1954" s="5">
        <f>BDP(A1954&amp;" US Equity","VOLUME_AVG_20D")</f>
        <v/>
      </c>
      <c r="E1954" s="6">
        <f>BDP(A1954&amp;" US Equity","PX_LAST")</f>
        <v/>
      </c>
      <c r="F1954" s="5">
        <f>D1954*E1954</f>
        <v/>
      </c>
      <c r="G1954">
        <f>AND(B1954&gt;=50,B1954&lt;=10000)</f>
        <v/>
      </c>
      <c r="H1954">
        <f>OR(C1954="NAS",C1954="NYS",C1954="ASE")</f>
        <v/>
      </c>
      <c r="I1954">
        <f>F1954&gt;=500000</f>
        <v/>
      </c>
      <c r="J1954">
        <f>E1954&gt;=2</f>
        <v/>
      </c>
      <c r="K1954">
        <f>AND(G1954,H1954,I1954,J1954)</f>
        <v/>
      </c>
    </row>
    <row r="1955">
      <c r="B1955" s="5">
        <f>BDP(A1955&amp;" US Equity","CUR_MKT_CAP")</f>
        <v/>
      </c>
      <c r="C1955">
        <f>BDP(A1955&amp;" US Equity","EXCH_CODE")</f>
        <v/>
      </c>
      <c r="D1955" s="5">
        <f>BDP(A1955&amp;" US Equity","VOLUME_AVG_20D")</f>
        <v/>
      </c>
      <c r="E1955" s="6">
        <f>BDP(A1955&amp;" US Equity","PX_LAST")</f>
        <v/>
      </c>
      <c r="F1955" s="5">
        <f>D1955*E1955</f>
        <v/>
      </c>
      <c r="G1955">
        <f>AND(B1955&gt;=50,B1955&lt;=10000)</f>
        <v/>
      </c>
      <c r="H1955">
        <f>OR(C1955="NAS",C1955="NYS",C1955="ASE")</f>
        <v/>
      </c>
      <c r="I1955">
        <f>F1955&gt;=500000</f>
        <v/>
      </c>
      <c r="J1955">
        <f>E1955&gt;=2</f>
        <v/>
      </c>
      <c r="K1955">
        <f>AND(G1955,H1955,I1955,J1955)</f>
        <v/>
      </c>
    </row>
    <row r="1956">
      <c r="B1956" s="5">
        <f>BDP(A1956&amp;" US Equity","CUR_MKT_CAP")</f>
        <v/>
      </c>
      <c r="C1956">
        <f>BDP(A1956&amp;" US Equity","EXCH_CODE")</f>
        <v/>
      </c>
      <c r="D1956" s="5">
        <f>BDP(A1956&amp;" US Equity","VOLUME_AVG_20D")</f>
        <v/>
      </c>
      <c r="E1956" s="6">
        <f>BDP(A1956&amp;" US Equity","PX_LAST")</f>
        <v/>
      </c>
      <c r="F1956" s="5">
        <f>D1956*E1956</f>
        <v/>
      </c>
      <c r="G1956">
        <f>AND(B1956&gt;=50,B1956&lt;=10000)</f>
        <v/>
      </c>
      <c r="H1956">
        <f>OR(C1956="NAS",C1956="NYS",C1956="ASE")</f>
        <v/>
      </c>
      <c r="I1956">
        <f>F1956&gt;=500000</f>
        <v/>
      </c>
      <c r="J1956">
        <f>E1956&gt;=2</f>
        <v/>
      </c>
      <c r="K1956">
        <f>AND(G1956,H1956,I1956,J1956)</f>
        <v/>
      </c>
    </row>
    <row r="1957">
      <c r="B1957" s="5">
        <f>BDP(A1957&amp;" US Equity","CUR_MKT_CAP")</f>
        <v/>
      </c>
      <c r="C1957">
        <f>BDP(A1957&amp;" US Equity","EXCH_CODE")</f>
        <v/>
      </c>
      <c r="D1957" s="5">
        <f>BDP(A1957&amp;" US Equity","VOLUME_AVG_20D")</f>
        <v/>
      </c>
      <c r="E1957" s="6">
        <f>BDP(A1957&amp;" US Equity","PX_LAST")</f>
        <v/>
      </c>
      <c r="F1957" s="5">
        <f>D1957*E1957</f>
        <v/>
      </c>
      <c r="G1957">
        <f>AND(B1957&gt;=50,B1957&lt;=10000)</f>
        <v/>
      </c>
      <c r="H1957">
        <f>OR(C1957="NAS",C1957="NYS",C1957="ASE")</f>
        <v/>
      </c>
      <c r="I1957">
        <f>F1957&gt;=500000</f>
        <v/>
      </c>
      <c r="J1957">
        <f>E1957&gt;=2</f>
        <v/>
      </c>
      <c r="K1957">
        <f>AND(G1957,H1957,I1957,J1957)</f>
        <v/>
      </c>
    </row>
    <row r="1958">
      <c r="B1958" s="5">
        <f>BDP(A1958&amp;" US Equity","CUR_MKT_CAP")</f>
        <v/>
      </c>
      <c r="C1958">
        <f>BDP(A1958&amp;" US Equity","EXCH_CODE")</f>
        <v/>
      </c>
      <c r="D1958" s="5">
        <f>BDP(A1958&amp;" US Equity","VOLUME_AVG_20D")</f>
        <v/>
      </c>
      <c r="E1958" s="6">
        <f>BDP(A1958&amp;" US Equity","PX_LAST")</f>
        <v/>
      </c>
      <c r="F1958" s="5">
        <f>D1958*E1958</f>
        <v/>
      </c>
      <c r="G1958">
        <f>AND(B1958&gt;=50,B1958&lt;=10000)</f>
        <v/>
      </c>
      <c r="H1958">
        <f>OR(C1958="NAS",C1958="NYS",C1958="ASE")</f>
        <v/>
      </c>
      <c r="I1958">
        <f>F1958&gt;=500000</f>
        <v/>
      </c>
      <c r="J1958">
        <f>E1958&gt;=2</f>
        <v/>
      </c>
      <c r="K1958">
        <f>AND(G1958,H1958,I1958,J1958)</f>
        <v/>
      </c>
    </row>
    <row r="1959">
      <c r="B1959" s="5">
        <f>BDP(A1959&amp;" US Equity","CUR_MKT_CAP")</f>
        <v/>
      </c>
      <c r="C1959">
        <f>BDP(A1959&amp;" US Equity","EXCH_CODE")</f>
        <v/>
      </c>
      <c r="D1959" s="5">
        <f>BDP(A1959&amp;" US Equity","VOLUME_AVG_20D")</f>
        <v/>
      </c>
      <c r="E1959" s="6">
        <f>BDP(A1959&amp;" US Equity","PX_LAST")</f>
        <v/>
      </c>
      <c r="F1959" s="5">
        <f>D1959*E1959</f>
        <v/>
      </c>
      <c r="G1959">
        <f>AND(B1959&gt;=50,B1959&lt;=10000)</f>
        <v/>
      </c>
      <c r="H1959">
        <f>OR(C1959="NAS",C1959="NYS",C1959="ASE")</f>
        <v/>
      </c>
      <c r="I1959">
        <f>F1959&gt;=500000</f>
        <v/>
      </c>
      <c r="J1959">
        <f>E1959&gt;=2</f>
        <v/>
      </c>
      <c r="K1959">
        <f>AND(G1959,H1959,I1959,J1959)</f>
        <v/>
      </c>
    </row>
    <row r="1960">
      <c r="B1960" s="5">
        <f>BDP(A1960&amp;" US Equity","CUR_MKT_CAP")</f>
        <v/>
      </c>
      <c r="C1960">
        <f>BDP(A1960&amp;" US Equity","EXCH_CODE")</f>
        <v/>
      </c>
      <c r="D1960" s="5">
        <f>BDP(A1960&amp;" US Equity","VOLUME_AVG_20D")</f>
        <v/>
      </c>
      <c r="E1960" s="6">
        <f>BDP(A1960&amp;" US Equity","PX_LAST")</f>
        <v/>
      </c>
      <c r="F1960" s="5">
        <f>D1960*E1960</f>
        <v/>
      </c>
      <c r="G1960">
        <f>AND(B1960&gt;=50,B1960&lt;=10000)</f>
        <v/>
      </c>
      <c r="H1960">
        <f>OR(C1960="NAS",C1960="NYS",C1960="ASE")</f>
        <v/>
      </c>
      <c r="I1960">
        <f>F1960&gt;=500000</f>
        <v/>
      </c>
      <c r="J1960">
        <f>E1960&gt;=2</f>
        <v/>
      </c>
      <c r="K1960">
        <f>AND(G1960,H1960,I1960,J1960)</f>
        <v/>
      </c>
    </row>
    <row r="1961">
      <c r="B1961" s="5">
        <f>BDP(A1961&amp;" US Equity","CUR_MKT_CAP")</f>
        <v/>
      </c>
      <c r="C1961">
        <f>BDP(A1961&amp;" US Equity","EXCH_CODE")</f>
        <v/>
      </c>
      <c r="D1961" s="5">
        <f>BDP(A1961&amp;" US Equity","VOLUME_AVG_20D")</f>
        <v/>
      </c>
      <c r="E1961" s="6">
        <f>BDP(A1961&amp;" US Equity","PX_LAST")</f>
        <v/>
      </c>
      <c r="F1961" s="5">
        <f>D1961*E1961</f>
        <v/>
      </c>
      <c r="G1961">
        <f>AND(B1961&gt;=50,B1961&lt;=10000)</f>
        <v/>
      </c>
      <c r="H1961">
        <f>OR(C1961="NAS",C1961="NYS",C1961="ASE")</f>
        <v/>
      </c>
      <c r="I1961">
        <f>F1961&gt;=500000</f>
        <v/>
      </c>
      <c r="J1961">
        <f>E1961&gt;=2</f>
        <v/>
      </c>
      <c r="K1961">
        <f>AND(G1961,H1961,I1961,J1961)</f>
        <v/>
      </c>
    </row>
    <row r="1962">
      <c r="B1962" s="5">
        <f>BDP(A1962&amp;" US Equity","CUR_MKT_CAP")</f>
        <v/>
      </c>
      <c r="C1962">
        <f>BDP(A1962&amp;" US Equity","EXCH_CODE")</f>
        <v/>
      </c>
      <c r="D1962" s="5">
        <f>BDP(A1962&amp;" US Equity","VOLUME_AVG_20D")</f>
        <v/>
      </c>
      <c r="E1962" s="6">
        <f>BDP(A1962&amp;" US Equity","PX_LAST")</f>
        <v/>
      </c>
      <c r="F1962" s="5">
        <f>D1962*E1962</f>
        <v/>
      </c>
      <c r="G1962">
        <f>AND(B1962&gt;=50,B1962&lt;=10000)</f>
        <v/>
      </c>
      <c r="H1962">
        <f>OR(C1962="NAS",C1962="NYS",C1962="ASE")</f>
        <v/>
      </c>
      <c r="I1962">
        <f>F1962&gt;=500000</f>
        <v/>
      </c>
      <c r="J1962">
        <f>E1962&gt;=2</f>
        <v/>
      </c>
      <c r="K1962">
        <f>AND(G1962,H1962,I1962,J1962)</f>
        <v/>
      </c>
    </row>
    <row r="1963">
      <c r="B1963" s="5">
        <f>BDP(A1963&amp;" US Equity","CUR_MKT_CAP")</f>
        <v/>
      </c>
      <c r="C1963">
        <f>BDP(A1963&amp;" US Equity","EXCH_CODE")</f>
        <v/>
      </c>
      <c r="D1963" s="5">
        <f>BDP(A1963&amp;" US Equity","VOLUME_AVG_20D")</f>
        <v/>
      </c>
      <c r="E1963" s="6">
        <f>BDP(A1963&amp;" US Equity","PX_LAST")</f>
        <v/>
      </c>
      <c r="F1963" s="5">
        <f>D1963*E1963</f>
        <v/>
      </c>
      <c r="G1963">
        <f>AND(B1963&gt;=50,B1963&lt;=10000)</f>
        <v/>
      </c>
      <c r="H1963">
        <f>OR(C1963="NAS",C1963="NYS",C1963="ASE")</f>
        <v/>
      </c>
      <c r="I1963">
        <f>F1963&gt;=500000</f>
        <v/>
      </c>
      <c r="J1963">
        <f>E1963&gt;=2</f>
        <v/>
      </c>
      <c r="K1963">
        <f>AND(G1963,H1963,I1963,J1963)</f>
        <v/>
      </c>
    </row>
    <row r="1964">
      <c r="B1964" s="5">
        <f>BDP(A1964&amp;" US Equity","CUR_MKT_CAP")</f>
        <v/>
      </c>
      <c r="C1964">
        <f>BDP(A1964&amp;" US Equity","EXCH_CODE")</f>
        <v/>
      </c>
      <c r="D1964" s="5">
        <f>BDP(A1964&amp;" US Equity","VOLUME_AVG_20D")</f>
        <v/>
      </c>
      <c r="E1964" s="6">
        <f>BDP(A1964&amp;" US Equity","PX_LAST")</f>
        <v/>
      </c>
      <c r="F1964" s="5">
        <f>D1964*E1964</f>
        <v/>
      </c>
      <c r="G1964">
        <f>AND(B1964&gt;=50,B1964&lt;=10000)</f>
        <v/>
      </c>
      <c r="H1964">
        <f>OR(C1964="NAS",C1964="NYS",C1964="ASE")</f>
        <v/>
      </c>
      <c r="I1964">
        <f>F1964&gt;=500000</f>
        <v/>
      </c>
      <c r="J1964">
        <f>E1964&gt;=2</f>
        <v/>
      </c>
      <c r="K1964">
        <f>AND(G1964,H1964,I1964,J1964)</f>
        <v/>
      </c>
    </row>
    <row r="1965">
      <c r="B1965" s="5">
        <f>BDP(A1965&amp;" US Equity","CUR_MKT_CAP")</f>
        <v/>
      </c>
      <c r="C1965">
        <f>BDP(A1965&amp;" US Equity","EXCH_CODE")</f>
        <v/>
      </c>
      <c r="D1965" s="5">
        <f>BDP(A1965&amp;" US Equity","VOLUME_AVG_20D")</f>
        <v/>
      </c>
      <c r="E1965" s="6">
        <f>BDP(A1965&amp;" US Equity","PX_LAST")</f>
        <v/>
      </c>
      <c r="F1965" s="5">
        <f>D1965*E1965</f>
        <v/>
      </c>
      <c r="G1965">
        <f>AND(B1965&gt;=50,B1965&lt;=10000)</f>
        <v/>
      </c>
      <c r="H1965">
        <f>OR(C1965="NAS",C1965="NYS",C1965="ASE")</f>
        <v/>
      </c>
      <c r="I1965">
        <f>F1965&gt;=500000</f>
        <v/>
      </c>
      <c r="J1965">
        <f>E1965&gt;=2</f>
        <v/>
      </c>
      <c r="K1965">
        <f>AND(G1965,H1965,I1965,J1965)</f>
        <v/>
      </c>
    </row>
    <row r="1966">
      <c r="B1966" s="5">
        <f>BDP(A1966&amp;" US Equity","CUR_MKT_CAP")</f>
        <v/>
      </c>
      <c r="C1966">
        <f>BDP(A1966&amp;" US Equity","EXCH_CODE")</f>
        <v/>
      </c>
      <c r="D1966" s="5">
        <f>BDP(A1966&amp;" US Equity","VOLUME_AVG_20D")</f>
        <v/>
      </c>
      <c r="E1966" s="6">
        <f>BDP(A1966&amp;" US Equity","PX_LAST")</f>
        <v/>
      </c>
      <c r="F1966" s="5">
        <f>D1966*E1966</f>
        <v/>
      </c>
      <c r="G1966">
        <f>AND(B1966&gt;=50,B1966&lt;=10000)</f>
        <v/>
      </c>
      <c r="H1966">
        <f>OR(C1966="NAS",C1966="NYS",C1966="ASE")</f>
        <v/>
      </c>
      <c r="I1966">
        <f>F1966&gt;=500000</f>
        <v/>
      </c>
      <c r="J1966">
        <f>E1966&gt;=2</f>
        <v/>
      </c>
      <c r="K1966">
        <f>AND(G1966,H1966,I1966,J1966)</f>
        <v/>
      </c>
    </row>
    <row r="1967">
      <c r="B1967" s="5">
        <f>BDP(A1967&amp;" US Equity","CUR_MKT_CAP")</f>
        <v/>
      </c>
      <c r="C1967">
        <f>BDP(A1967&amp;" US Equity","EXCH_CODE")</f>
        <v/>
      </c>
      <c r="D1967" s="5">
        <f>BDP(A1967&amp;" US Equity","VOLUME_AVG_20D")</f>
        <v/>
      </c>
      <c r="E1967" s="6">
        <f>BDP(A1967&amp;" US Equity","PX_LAST")</f>
        <v/>
      </c>
      <c r="F1967" s="5">
        <f>D1967*E1967</f>
        <v/>
      </c>
      <c r="G1967">
        <f>AND(B1967&gt;=50,B1967&lt;=10000)</f>
        <v/>
      </c>
      <c r="H1967">
        <f>OR(C1967="NAS",C1967="NYS",C1967="ASE")</f>
        <v/>
      </c>
      <c r="I1967">
        <f>F1967&gt;=500000</f>
        <v/>
      </c>
      <c r="J1967">
        <f>E1967&gt;=2</f>
        <v/>
      </c>
      <c r="K1967">
        <f>AND(G1967,H1967,I1967,J1967)</f>
        <v/>
      </c>
    </row>
    <row r="1968">
      <c r="B1968" s="5">
        <f>BDP(A1968&amp;" US Equity","CUR_MKT_CAP")</f>
        <v/>
      </c>
      <c r="C1968">
        <f>BDP(A1968&amp;" US Equity","EXCH_CODE")</f>
        <v/>
      </c>
      <c r="D1968" s="5">
        <f>BDP(A1968&amp;" US Equity","VOLUME_AVG_20D")</f>
        <v/>
      </c>
      <c r="E1968" s="6">
        <f>BDP(A1968&amp;" US Equity","PX_LAST")</f>
        <v/>
      </c>
      <c r="F1968" s="5">
        <f>D1968*E1968</f>
        <v/>
      </c>
      <c r="G1968">
        <f>AND(B1968&gt;=50,B1968&lt;=10000)</f>
        <v/>
      </c>
      <c r="H1968">
        <f>OR(C1968="NAS",C1968="NYS",C1968="ASE")</f>
        <v/>
      </c>
      <c r="I1968">
        <f>F1968&gt;=500000</f>
        <v/>
      </c>
      <c r="J1968">
        <f>E1968&gt;=2</f>
        <v/>
      </c>
      <c r="K1968">
        <f>AND(G1968,H1968,I1968,J1968)</f>
        <v/>
      </c>
    </row>
    <row r="1969">
      <c r="B1969" s="5">
        <f>BDP(A1969&amp;" US Equity","CUR_MKT_CAP")</f>
        <v/>
      </c>
      <c r="C1969">
        <f>BDP(A1969&amp;" US Equity","EXCH_CODE")</f>
        <v/>
      </c>
      <c r="D1969" s="5">
        <f>BDP(A1969&amp;" US Equity","VOLUME_AVG_20D")</f>
        <v/>
      </c>
      <c r="E1969" s="6">
        <f>BDP(A1969&amp;" US Equity","PX_LAST")</f>
        <v/>
      </c>
      <c r="F1969" s="5">
        <f>D1969*E1969</f>
        <v/>
      </c>
      <c r="G1969">
        <f>AND(B1969&gt;=50,B1969&lt;=10000)</f>
        <v/>
      </c>
      <c r="H1969">
        <f>OR(C1969="NAS",C1969="NYS",C1969="ASE")</f>
        <v/>
      </c>
      <c r="I1969">
        <f>F1969&gt;=500000</f>
        <v/>
      </c>
      <c r="J1969">
        <f>E1969&gt;=2</f>
        <v/>
      </c>
      <c r="K1969">
        <f>AND(G1969,H1969,I1969,J1969)</f>
        <v/>
      </c>
    </row>
    <row r="1970">
      <c r="B1970" s="5">
        <f>BDP(A1970&amp;" US Equity","CUR_MKT_CAP")</f>
        <v/>
      </c>
      <c r="C1970">
        <f>BDP(A1970&amp;" US Equity","EXCH_CODE")</f>
        <v/>
      </c>
      <c r="D1970" s="5">
        <f>BDP(A1970&amp;" US Equity","VOLUME_AVG_20D")</f>
        <v/>
      </c>
      <c r="E1970" s="6">
        <f>BDP(A1970&amp;" US Equity","PX_LAST")</f>
        <v/>
      </c>
      <c r="F1970" s="5">
        <f>D1970*E1970</f>
        <v/>
      </c>
      <c r="G1970">
        <f>AND(B1970&gt;=50,B1970&lt;=10000)</f>
        <v/>
      </c>
      <c r="H1970">
        <f>OR(C1970="NAS",C1970="NYS",C1970="ASE")</f>
        <v/>
      </c>
      <c r="I1970">
        <f>F1970&gt;=500000</f>
        <v/>
      </c>
      <c r="J1970">
        <f>E1970&gt;=2</f>
        <v/>
      </c>
      <c r="K1970">
        <f>AND(G1970,H1970,I1970,J1970)</f>
        <v/>
      </c>
    </row>
    <row r="1971">
      <c r="B1971" s="5">
        <f>BDP(A1971&amp;" US Equity","CUR_MKT_CAP")</f>
        <v/>
      </c>
      <c r="C1971">
        <f>BDP(A1971&amp;" US Equity","EXCH_CODE")</f>
        <v/>
      </c>
      <c r="D1971" s="5">
        <f>BDP(A1971&amp;" US Equity","VOLUME_AVG_20D")</f>
        <v/>
      </c>
      <c r="E1971" s="6">
        <f>BDP(A1971&amp;" US Equity","PX_LAST")</f>
        <v/>
      </c>
      <c r="F1971" s="5">
        <f>D1971*E1971</f>
        <v/>
      </c>
      <c r="G1971">
        <f>AND(B1971&gt;=50,B1971&lt;=10000)</f>
        <v/>
      </c>
      <c r="H1971">
        <f>OR(C1971="NAS",C1971="NYS",C1971="ASE")</f>
        <v/>
      </c>
      <c r="I1971">
        <f>F1971&gt;=500000</f>
        <v/>
      </c>
      <c r="J1971">
        <f>E1971&gt;=2</f>
        <v/>
      </c>
      <c r="K1971">
        <f>AND(G1971,H1971,I1971,J1971)</f>
        <v/>
      </c>
    </row>
    <row r="1972">
      <c r="B1972" s="5">
        <f>BDP(A1972&amp;" US Equity","CUR_MKT_CAP")</f>
        <v/>
      </c>
      <c r="C1972">
        <f>BDP(A1972&amp;" US Equity","EXCH_CODE")</f>
        <v/>
      </c>
      <c r="D1972" s="5">
        <f>BDP(A1972&amp;" US Equity","VOLUME_AVG_20D")</f>
        <v/>
      </c>
      <c r="E1972" s="6">
        <f>BDP(A1972&amp;" US Equity","PX_LAST")</f>
        <v/>
      </c>
      <c r="F1972" s="5">
        <f>D1972*E1972</f>
        <v/>
      </c>
      <c r="G1972">
        <f>AND(B1972&gt;=50,B1972&lt;=10000)</f>
        <v/>
      </c>
      <c r="H1972">
        <f>OR(C1972="NAS",C1972="NYS",C1972="ASE")</f>
        <v/>
      </c>
      <c r="I1972">
        <f>F1972&gt;=500000</f>
        <v/>
      </c>
      <c r="J1972">
        <f>E1972&gt;=2</f>
        <v/>
      </c>
      <c r="K1972">
        <f>AND(G1972,H1972,I1972,J1972)</f>
        <v/>
      </c>
    </row>
    <row r="1973">
      <c r="B1973" s="5">
        <f>BDP(A1973&amp;" US Equity","CUR_MKT_CAP")</f>
        <v/>
      </c>
      <c r="C1973">
        <f>BDP(A1973&amp;" US Equity","EXCH_CODE")</f>
        <v/>
      </c>
      <c r="D1973" s="5">
        <f>BDP(A1973&amp;" US Equity","VOLUME_AVG_20D")</f>
        <v/>
      </c>
      <c r="E1973" s="6">
        <f>BDP(A1973&amp;" US Equity","PX_LAST")</f>
        <v/>
      </c>
      <c r="F1973" s="5">
        <f>D1973*E1973</f>
        <v/>
      </c>
      <c r="G1973">
        <f>AND(B1973&gt;=50,B1973&lt;=10000)</f>
        <v/>
      </c>
      <c r="H1973">
        <f>OR(C1973="NAS",C1973="NYS",C1973="ASE")</f>
        <v/>
      </c>
      <c r="I1973">
        <f>F1973&gt;=500000</f>
        <v/>
      </c>
      <c r="J1973">
        <f>E1973&gt;=2</f>
        <v/>
      </c>
      <c r="K1973">
        <f>AND(G1973,H1973,I1973,J1973)</f>
        <v/>
      </c>
    </row>
    <row r="1974">
      <c r="B1974" s="5">
        <f>BDP(A1974&amp;" US Equity","CUR_MKT_CAP")</f>
        <v/>
      </c>
      <c r="C1974">
        <f>BDP(A1974&amp;" US Equity","EXCH_CODE")</f>
        <v/>
      </c>
      <c r="D1974" s="5">
        <f>BDP(A1974&amp;" US Equity","VOLUME_AVG_20D")</f>
        <v/>
      </c>
      <c r="E1974" s="6">
        <f>BDP(A1974&amp;" US Equity","PX_LAST")</f>
        <v/>
      </c>
      <c r="F1974" s="5">
        <f>D1974*E1974</f>
        <v/>
      </c>
      <c r="G1974">
        <f>AND(B1974&gt;=50,B1974&lt;=10000)</f>
        <v/>
      </c>
      <c r="H1974">
        <f>OR(C1974="NAS",C1974="NYS",C1974="ASE")</f>
        <v/>
      </c>
      <c r="I1974">
        <f>F1974&gt;=500000</f>
        <v/>
      </c>
      <c r="J1974">
        <f>E1974&gt;=2</f>
        <v/>
      </c>
      <c r="K1974">
        <f>AND(G1974,H1974,I1974,J1974)</f>
        <v/>
      </c>
    </row>
    <row r="1975">
      <c r="B1975" s="5">
        <f>BDP(A1975&amp;" US Equity","CUR_MKT_CAP")</f>
        <v/>
      </c>
      <c r="C1975">
        <f>BDP(A1975&amp;" US Equity","EXCH_CODE")</f>
        <v/>
      </c>
      <c r="D1975" s="5">
        <f>BDP(A1975&amp;" US Equity","VOLUME_AVG_20D")</f>
        <v/>
      </c>
      <c r="E1975" s="6">
        <f>BDP(A1975&amp;" US Equity","PX_LAST")</f>
        <v/>
      </c>
      <c r="F1975" s="5">
        <f>D1975*E1975</f>
        <v/>
      </c>
      <c r="G1975">
        <f>AND(B1975&gt;=50,B1975&lt;=10000)</f>
        <v/>
      </c>
      <c r="H1975">
        <f>OR(C1975="NAS",C1975="NYS",C1975="ASE")</f>
        <v/>
      </c>
      <c r="I1975">
        <f>F1975&gt;=500000</f>
        <v/>
      </c>
      <c r="J1975">
        <f>E1975&gt;=2</f>
        <v/>
      </c>
      <c r="K1975">
        <f>AND(G1975,H1975,I1975,J1975)</f>
        <v/>
      </c>
    </row>
    <row r="1976">
      <c r="B1976" s="5">
        <f>BDP(A1976&amp;" US Equity","CUR_MKT_CAP")</f>
        <v/>
      </c>
      <c r="C1976">
        <f>BDP(A1976&amp;" US Equity","EXCH_CODE")</f>
        <v/>
      </c>
      <c r="D1976" s="5">
        <f>BDP(A1976&amp;" US Equity","VOLUME_AVG_20D")</f>
        <v/>
      </c>
      <c r="E1976" s="6">
        <f>BDP(A1976&amp;" US Equity","PX_LAST")</f>
        <v/>
      </c>
      <c r="F1976" s="5">
        <f>D1976*E1976</f>
        <v/>
      </c>
      <c r="G1976">
        <f>AND(B1976&gt;=50,B1976&lt;=10000)</f>
        <v/>
      </c>
      <c r="H1976">
        <f>OR(C1976="NAS",C1976="NYS",C1976="ASE")</f>
        <v/>
      </c>
      <c r="I1976">
        <f>F1976&gt;=500000</f>
        <v/>
      </c>
      <c r="J1976">
        <f>E1976&gt;=2</f>
        <v/>
      </c>
      <c r="K1976">
        <f>AND(G1976,H1976,I1976,J1976)</f>
        <v/>
      </c>
    </row>
    <row r="1977">
      <c r="B1977" s="5">
        <f>BDP(A1977&amp;" US Equity","CUR_MKT_CAP")</f>
        <v/>
      </c>
      <c r="C1977">
        <f>BDP(A1977&amp;" US Equity","EXCH_CODE")</f>
        <v/>
      </c>
      <c r="D1977" s="5">
        <f>BDP(A1977&amp;" US Equity","VOLUME_AVG_20D")</f>
        <v/>
      </c>
      <c r="E1977" s="6">
        <f>BDP(A1977&amp;" US Equity","PX_LAST")</f>
        <v/>
      </c>
      <c r="F1977" s="5">
        <f>D1977*E1977</f>
        <v/>
      </c>
      <c r="G1977">
        <f>AND(B1977&gt;=50,B1977&lt;=10000)</f>
        <v/>
      </c>
      <c r="H1977">
        <f>OR(C1977="NAS",C1977="NYS",C1977="ASE")</f>
        <v/>
      </c>
      <c r="I1977">
        <f>F1977&gt;=500000</f>
        <v/>
      </c>
      <c r="J1977">
        <f>E1977&gt;=2</f>
        <v/>
      </c>
      <c r="K1977">
        <f>AND(G1977,H1977,I1977,J1977)</f>
        <v/>
      </c>
    </row>
    <row r="1978">
      <c r="B1978" s="5">
        <f>BDP(A1978&amp;" US Equity","CUR_MKT_CAP")</f>
        <v/>
      </c>
      <c r="C1978">
        <f>BDP(A1978&amp;" US Equity","EXCH_CODE")</f>
        <v/>
      </c>
      <c r="D1978" s="5">
        <f>BDP(A1978&amp;" US Equity","VOLUME_AVG_20D")</f>
        <v/>
      </c>
      <c r="E1978" s="6">
        <f>BDP(A1978&amp;" US Equity","PX_LAST")</f>
        <v/>
      </c>
      <c r="F1978" s="5">
        <f>D1978*E1978</f>
        <v/>
      </c>
      <c r="G1978">
        <f>AND(B1978&gt;=50,B1978&lt;=10000)</f>
        <v/>
      </c>
      <c r="H1978">
        <f>OR(C1978="NAS",C1978="NYS",C1978="ASE")</f>
        <v/>
      </c>
      <c r="I1978">
        <f>F1978&gt;=500000</f>
        <v/>
      </c>
      <c r="J1978">
        <f>E1978&gt;=2</f>
        <v/>
      </c>
      <c r="K1978">
        <f>AND(G1978,H1978,I1978,J1978)</f>
        <v/>
      </c>
    </row>
    <row r="1979">
      <c r="B1979" s="5">
        <f>BDP(A1979&amp;" US Equity","CUR_MKT_CAP")</f>
        <v/>
      </c>
      <c r="C1979">
        <f>BDP(A1979&amp;" US Equity","EXCH_CODE")</f>
        <v/>
      </c>
      <c r="D1979" s="5">
        <f>BDP(A1979&amp;" US Equity","VOLUME_AVG_20D")</f>
        <v/>
      </c>
      <c r="E1979" s="6">
        <f>BDP(A1979&amp;" US Equity","PX_LAST")</f>
        <v/>
      </c>
      <c r="F1979" s="5">
        <f>D1979*E1979</f>
        <v/>
      </c>
      <c r="G1979">
        <f>AND(B1979&gt;=50,B1979&lt;=10000)</f>
        <v/>
      </c>
      <c r="H1979">
        <f>OR(C1979="NAS",C1979="NYS",C1979="ASE")</f>
        <v/>
      </c>
      <c r="I1979">
        <f>F1979&gt;=500000</f>
        <v/>
      </c>
      <c r="J1979">
        <f>E1979&gt;=2</f>
        <v/>
      </c>
      <c r="K1979">
        <f>AND(G1979,H1979,I1979,J1979)</f>
        <v/>
      </c>
    </row>
    <row r="1980">
      <c r="B1980" s="5">
        <f>BDP(A1980&amp;" US Equity","CUR_MKT_CAP")</f>
        <v/>
      </c>
      <c r="C1980">
        <f>BDP(A1980&amp;" US Equity","EXCH_CODE")</f>
        <v/>
      </c>
      <c r="D1980" s="5">
        <f>BDP(A1980&amp;" US Equity","VOLUME_AVG_20D")</f>
        <v/>
      </c>
      <c r="E1980" s="6">
        <f>BDP(A1980&amp;" US Equity","PX_LAST")</f>
        <v/>
      </c>
      <c r="F1980" s="5">
        <f>D1980*E1980</f>
        <v/>
      </c>
      <c r="G1980">
        <f>AND(B1980&gt;=50,B1980&lt;=10000)</f>
        <v/>
      </c>
      <c r="H1980">
        <f>OR(C1980="NAS",C1980="NYS",C1980="ASE")</f>
        <v/>
      </c>
      <c r="I1980">
        <f>F1980&gt;=500000</f>
        <v/>
      </c>
      <c r="J1980">
        <f>E1980&gt;=2</f>
        <v/>
      </c>
      <c r="K1980">
        <f>AND(G1980,H1980,I1980,J1980)</f>
        <v/>
      </c>
    </row>
    <row r="1981">
      <c r="B1981" s="5">
        <f>BDP(A1981&amp;" US Equity","CUR_MKT_CAP")</f>
        <v/>
      </c>
      <c r="C1981">
        <f>BDP(A1981&amp;" US Equity","EXCH_CODE")</f>
        <v/>
      </c>
      <c r="D1981" s="5">
        <f>BDP(A1981&amp;" US Equity","VOLUME_AVG_20D")</f>
        <v/>
      </c>
      <c r="E1981" s="6">
        <f>BDP(A1981&amp;" US Equity","PX_LAST")</f>
        <v/>
      </c>
      <c r="F1981" s="5">
        <f>D1981*E1981</f>
        <v/>
      </c>
      <c r="G1981">
        <f>AND(B1981&gt;=50,B1981&lt;=10000)</f>
        <v/>
      </c>
      <c r="H1981">
        <f>OR(C1981="NAS",C1981="NYS",C1981="ASE")</f>
        <v/>
      </c>
      <c r="I1981">
        <f>F1981&gt;=500000</f>
        <v/>
      </c>
      <c r="J1981">
        <f>E1981&gt;=2</f>
        <v/>
      </c>
      <c r="K1981">
        <f>AND(G1981,H1981,I1981,J1981)</f>
        <v/>
      </c>
    </row>
    <row r="1982">
      <c r="B1982" s="5">
        <f>BDP(A1982&amp;" US Equity","CUR_MKT_CAP")</f>
        <v/>
      </c>
      <c r="C1982">
        <f>BDP(A1982&amp;" US Equity","EXCH_CODE")</f>
        <v/>
      </c>
      <c r="D1982" s="5">
        <f>BDP(A1982&amp;" US Equity","VOLUME_AVG_20D")</f>
        <v/>
      </c>
      <c r="E1982" s="6">
        <f>BDP(A1982&amp;" US Equity","PX_LAST")</f>
        <v/>
      </c>
      <c r="F1982" s="5">
        <f>D1982*E1982</f>
        <v/>
      </c>
      <c r="G1982">
        <f>AND(B1982&gt;=50,B1982&lt;=10000)</f>
        <v/>
      </c>
      <c r="H1982">
        <f>OR(C1982="NAS",C1982="NYS",C1982="ASE")</f>
        <v/>
      </c>
      <c r="I1982">
        <f>F1982&gt;=500000</f>
        <v/>
      </c>
      <c r="J1982">
        <f>E1982&gt;=2</f>
        <v/>
      </c>
      <c r="K1982">
        <f>AND(G1982,H1982,I1982,J1982)</f>
        <v/>
      </c>
    </row>
    <row r="1983">
      <c r="B1983" s="5">
        <f>BDP(A1983&amp;" US Equity","CUR_MKT_CAP")</f>
        <v/>
      </c>
      <c r="C1983">
        <f>BDP(A1983&amp;" US Equity","EXCH_CODE")</f>
        <v/>
      </c>
      <c r="D1983" s="5">
        <f>BDP(A1983&amp;" US Equity","VOLUME_AVG_20D")</f>
        <v/>
      </c>
      <c r="E1983" s="6">
        <f>BDP(A1983&amp;" US Equity","PX_LAST")</f>
        <v/>
      </c>
      <c r="F1983" s="5">
        <f>D1983*E1983</f>
        <v/>
      </c>
      <c r="G1983">
        <f>AND(B1983&gt;=50,B1983&lt;=10000)</f>
        <v/>
      </c>
      <c r="H1983">
        <f>OR(C1983="NAS",C1983="NYS",C1983="ASE")</f>
        <v/>
      </c>
      <c r="I1983">
        <f>F1983&gt;=500000</f>
        <v/>
      </c>
      <c r="J1983">
        <f>E1983&gt;=2</f>
        <v/>
      </c>
      <c r="K1983">
        <f>AND(G1983,H1983,I1983,J1983)</f>
        <v/>
      </c>
    </row>
    <row r="1984">
      <c r="B1984" s="5">
        <f>BDP(A1984&amp;" US Equity","CUR_MKT_CAP")</f>
        <v/>
      </c>
      <c r="C1984">
        <f>BDP(A1984&amp;" US Equity","EXCH_CODE")</f>
        <v/>
      </c>
      <c r="D1984" s="5">
        <f>BDP(A1984&amp;" US Equity","VOLUME_AVG_20D")</f>
        <v/>
      </c>
      <c r="E1984" s="6">
        <f>BDP(A1984&amp;" US Equity","PX_LAST")</f>
        <v/>
      </c>
      <c r="F1984" s="5">
        <f>D1984*E1984</f>
        <v/>
      </c>
      <c r="G1984">
        <f>AND(B1984&gt;=50,B1984&lt;=10000)</f>
        <v/>
      </c>
      <c r="H1984">
        <f>OR(C1984="NAS",C1984="NYS",C1984="ASE")</f>
        <v/>
      </c>
      <c r="I1984">
        <f>F1984&gt;=500000</f>
        <v/>
      </c>
      <c r="J1984">
        <f>E1984&gt;=2</f>
        <v/>
      </c>
      <c r="K1984">
        <f>AND(G1984,H1984,I1984,J1984)</f>
        <v/>
      </c>
    </row>
    <row r="1985">
      <c r="B1985" s="5">
        <f>BDP(A1985&amp;" US Equity","CUR_MKT_CAP")</f>
        <v/>
      </c>
      <c r="C1985">
        <f>BDP(A1985&amp;" US Equity","EXCH_CODE")</f>
        <v/>
      </c>
      <c r="D1985" s="5">
        <f>BDP(A1985&amp;" US Equity","VOLUME_AVG_20D")</f>
        <v/>
      </c>
      <c r="E1985" s="6">
        <f>BDP(A1985&amp;" US Equity","PX_LAST")</f>
        <v/>
      </c>
      <c r="F1985" s="5">
        <f>D1985*E1985</f>
        <v/>
      </c>
      <c r="G1985">
        <f>AND(B1985&gt;=50,B1985&lt;=10000)</f>
        <v/>
      </c>
      <c r="H1985">
        <f>OR(C1985="NAS",C1985="NYS",C1985="ASE")</f>
        <v/>
      </c>
      <c r="I1985">
        <f>F1985&gt;=500000</f>
        <v/>
      </c>
      <c r="J1985">
        <f>E1985&gt;=2</f>
        <v/>
      </c>
      <c r="K1985">
        <f>AND(G1985,H1985,I1985,J1985)</f>
        <v/>
      </c>
    </row>
    <row r="1986">
      <c r="B1986" s="5">
        <f>BDP(A1986&amp;" US Equity","CUR_MKT_CAP")</f>
        <v/>
      </c>
      <c r="C1986">
        <f>BDP(A1986&amp;" US Equity","EXCH_CODE")</f>
        <v/>
      </c>
      <c r="D1986" s="5">
        <f>BDP(A1986&amp;" US Equity","VOLUME_AVG_20D")</f>
        <v/>
      </c>
      <c r="E1986" s="6">
        <f>BDP(A1986&amp;" US Equity","PX_LAST")</f>
        <v/>
      </c>
      <c r="F1986" s="5">
        <f>D1986*E1986</f>
        <v/>
      </c>
      <c r="G1986">
        <f>AND(B1986&gt;=50,B1986&lt;=10000)</f>
        <v/>
      </c>
      <c r="H1986">
        <f>OR(C1986="NAS",C1986="NYS",C1986="ASE")</f>
        <v/>
      </c>
      <c r="I1986">
        <f>F1986&gt;=500000</f>
        <v/>
      </c>
      <c r="J1986">
        <f>E1986&gt;=2</f>
        <v/>
      </c>
      <c r="K1986">
        <f>AND(G1986,H1986,I1986,J1986)</f>
        <v/>
      </c>
    </row>
    <row r="1987">
      <c r="B1987" s="5">
        <f>BDP(A1987&amp;" US Equity","CUR_MKT_CAP")</f>
        <v/>
      </c>
      <c r="C1987">
        <f>BDP(A1987&amp;" US Equity","EXCH_CODE")</f>
        <v/>
      </c>
      <c r="D1987" s="5">
        <f>BDP(A1987&amp;" US Equity","VOLUME_AVG_20D")</f>
        <v/>
      </c>
      <c r="E1987" s="6">
        <f>BDP(A1987&amp;" US Equity","PX_LAST")</f>
        <v/>
      </c>
      <c r="F1987" s="5">
        <f>D1987*E1987</f>
        <v/>
      </c>
      <c r="G1987">
        <f>AND(B1987&gt;=50,B1987&lt;=10000)</f>
        <v/>
      </c>
      <c r="H1987">
        <f>OR(C1987="NAS",C1987="NYS",C1987="ASE")</f>
        <v/>
      </c>
      <c r="I1987">
        <f>F1987&gt;=500000</f>
        <v/>
      </c>
      <c r="J1987">
        <f>E1987&gt;=2</f>
        <v/>
      </c>
      <c r="K1987">
        <f>AND(G1987,H1987,I1987,J1987)</f>
        <v/>
      </c>
    </row>
    <row r="1988">
      <c r="B1988" s="5">
        <f>BDP(A1988&amp;" US Equity","CUR_MKT_CAP")</f>
        <v/>
      </c>
      <c r="C1988">
        <f>BDP(A1988&amp;" US Equity","EXCH_CODE")</f>
        <v/>
      </c>
      <c r="D1988" s="5">
        <f>BDP(A1988&amp;" US Equity","VOLUME_AVG_20D")</f>
        <v/>
      </c>
      <c r="E1988" s="6">
        <f>BDP(A1988&amp;" US Equity","PX_LAST")</f>
        <v/>
      </c>
      <c r="F1988" s="5">
        <f>D1988*E1988</f>
        <v/>
      </c>
      <c r="G1988">
        <f>AND(B1988&gt;=50,B1988&lt;=10000)</f>
        <v/>
      </c>
      <c r="H1988">
        <f>OR(C1988="NAS",C1988="NYS",C1988="ASE")</f>
        <v/>
      </c>
      <c r="I1988">
        <f>F1988&gt;=500000</f>
        <v/>
      </c>
      <c r="J1988">
        <f>E1988&gt;=2</f>
        <v/>
      </c>
      <c r="K1988">
        <f>AND(G1988,H1988,I1988,J1988)</f>
        <v/>
      </c>
    </row>
    <row r="1989">
      <c r="B1989" s="5">
        <f>BDP(A1989&amp;" US Equity","CUR_MKT_CAP")</f>
        <v/>
      </c>
      <c r="C1989">
        <f>BDP(A1989&amp;" US Equity","EXCH_CODE")</f>
        <v/>
      </c>
      <c r="D1989" s="5">
        <f>BDP(A1989&amp;" US Equity","VOLUME_AVG_20D")</f>
        <v/>
      </c>
      <c r="E1989" s="6">
        <f>BDP(A1989&amp;" US Equity","PX_LAST")</f>
        <v/>
      </c>
      <c r="F1989" s="5">
        <f>D1989*E1989</f>
        <v/>
      </c>
      <c r="G1989">
        <f>AND(B1989&gt;=50,B1989&lt;=10000)</f>
        <v/>
      </c>
      <c r="H1989">
        <f>OR(C1989="NAS",C1989="NYS",C1989="ASE")</f>
        <v/>
      </c>
      <c r="I1989">
        <f>F1989&gt;=500000</f>
        <v/>
      </c>
      <c r="J1989">
        <f>E1989&gt;=2</f>
        <v/>
      </c>
      <c r="K1989">
        <f>AND(G1989,H1989,I1989,J1989)</f>
        <v/>
      </c>
    </row>
    <row r="1990">
      <c r="B1990" s="5">
        <f>BDP(A1990&amp;" US Equity","CUR_MKT_CAP")</f>
        <v/>
      </c>
      <c r="C1990">
        <f>BDP(A1990&amp;" US Equity","EXCH_CODE")</f>
        <v/>
      </c>
      <c r="D1990" s="5">
        <f>BDP(A1990&amp;" US Equity","VOLUME_AVG_20D")</f>
        <v/>
      </c>
      <c r="E1990" s="6">
        <f>BDP(A1990&amp;" US Equity","PX_LAST")</f>
        <v/>
      </c>
      <c r="F1990" s="5">
        <f>D1990*E1990</f>
        <v/>
      </c>
      <c r="G1990">
        <f>AND(B1990&gt;=50,B1990&lt;=10000)</f>
        <v/>
      </c>
      <c r="H1990">
        <f>OR(C1990="NAS",C1990="NYS",C1990="ASE")</f>
        <v/>
      </c>
      <c r="I1990">
        <f>F1990&gt;=500000</f>
        <v/>
      </c>
      <c r="J1990">
        <f>E1990&gt;=2</f>
        <v/>
      </c>
      <c r="K1990">
        <f>AND(G1990,H1990,I1990,J1990)</f>
        <v/>
      </c>
    </row>
    <row r="1991">
      <c r="B1991" s="5">
        <f>BDP(A1991&amp;" US Equity","CUR_MKT_CAP")</f>
        <v/>
      </c>
      <c r="C1991">
        <f>BDP(A1991&amp;" US Equity","EXCH_CODE")</f>
        <v/>
      </c>
      <c r="D1991" s="5">
        <f>BDP(A1991&amp;" US Equity","VOLUME_AVG_20D")</f>
        <v/>
      </c>
      <c r="E1991" s="6">
        <f>BDP(A1991&amp;" US Equity","PX_LAST")</f>
        <v/>
      </c>
      <c r="F1991" s="5">
        <f>D1991*E1991</f>
        <v/>
      </c>
      <c r="G1991">
        <f>AND(B1991&gt;=50,B1991&lt;=10000)</f>
        <v/>
      </c>
      <c r="H1991">
        <f>OR(C1991="NAS",C1991="NYS",C1991="ASE")</f>
        <v/>
      </c>
      <c r="I1991">
        <f>F1991&gt;=500000</f>
        <v/>
      </c>
      <c r="J1991">
        <f>E1991&gt;=2</f>
        <v/>
      </c>
      <c r="K1991">
        <f>AND(G1991,H1991,I1991,J1991)</f>
        <v/>
      </c>
    </row>
    <row r="1992">
      <c r="B1992" s="5">
        <f>BDP(A1992&amp;" US Equity","CUR_MKT_CAP")</f>
        <v/>
      </c>
      <c r="C1992">
        <f>BDP(A1992&amp;" US Equity","EXCH_CODE")</f>
        <v/>
      </c>
      <c r="D1992" s="5">
        <f>BDP(A1992&amp;" US Equity","VOLUME_AVG_20D")</f>
        <v/>
      </c>
      <c r="E1992" s="6">
        <f>BDP(A1992&amp;" US Equity","PX_LAST")</f>
        <v/>
      </c>
      <c r="F1992" s="5">
        <f>D1992*E1992</f>
        <v/>
      </c>
      <c r="G1992">
        <f>AND(B1992&gt;=50,B1992&lt;=10000)</f>
        <v/>
      </c>
      <c r="H1992">
        <f>OR(C1992="NAS",C1992="NYS",C1992="ASE")</f>
        <v/>
      </c>
      <c r="I1992">
        <f>F1992&gt;=500000</f>
        <v/>
      </c>
      <c r="J1992">
        <f>E1992&gt;=2</f>
        <v/>
      </c>
      <c r="K1992">
        <f>AND(G1992,H1992,I1992,J1992)</f>
        <v/>
      </c>
    </row>
    <row r="1993">
      <c r="B1993" s="5">
        <f>BDP(A1993&amp;" US Equity","CUR_MKT_CAP")</f>
        <v/>
      </c>
      <c r="C1993">
        <f>BDP(A1993&amp;" US Equity","EXCH_CODE")</f>
        <v/>
      </c>
      <c r="D1993" s="5">
        <f>BDP(A1993&amp;" US Equity","VOLUME_AVG_20D")</f>
        <v/>
      </c>
      <c r="E1993" s="6">
        <f>BDP(A1993&amp;" US Equity","PX_LAST")</f>
        <v/>
      </c>
      <c r="F1993" s="5">
        <f>D1993*E1993</f>
        <v/>
      </c>
      <c r="G1993">
        <f>AND(B1993&gt;=50,B1993&lt;=10000)</f>
        <v/>
      </c>
      <c r="H1993">
        <f>OR(C1993="NAS",C1993="NYS",C1993="ASE")</f>
        <v/>
      </c>
      <c r="I1993">
        <f>F1993&gt;=500000</f>
        <v/>
      </c>
      <c r="J1993">
        <f>E1993&gt;=2</f>
        <v/>
      </c>
      <c r="K1993">
        <f>AND(G1993,H1993,I1993,J1993)</f>
        <v/>
      </c>
    </row>
    <row r="1994">
      <c r="B1994" s="5">
        <f>BDP(A1994&amp;" US Equity","CUR_MKT_CAP")</f>
        <v/>
      </c>
      <c r="C1994">
        <f>BDP(A1994&amp;" US Equity","EXCH_CODE")</f>
        <v/>
      </c>
      <c r="D1994" s="5">
        <f>BDP(A1994&amp;" US Equity","VOLUME_AVG_20D")</f>
        <v/>
      </c>
      <c r="E1994" s="6">
        <f>BDP(A1994&amp;" US Equity","PX_LAST")</f>
        <v/>
      </c>
      <c r="F1994" s="5">
        <f>D1994*E1994</f>
        <v/>
      </c>
      <c r="G1994">
        <f>AND(B1994&gt;=50,B1994&lt;=10000)</f>
        <v/>
      </c>
      <c r="H1994">
        <f>OR(C1994="NAS",C1994="NYS",C1994="ASE")</f>
        <v/>
      </c>
      <c r="I1994">
        <f>F1994&gt;=500000</f>
        <v/>
      </c>
      <c r="J1994">
        <f>E1994&gt;=2</f>
        <v/>
      </c>
      <c r="K1994">
        <f>AND(G1994,H1994,I1994,J1994)</f>
        <v/>
      </c>
    </row>
    <row r="1995">
      <c r="B1995" s="5">
        <f>BDP(A1995&amp;" US Equity","CUR_MKT_CAP")</f>
        <v/>
      </c>
      <c r="C1995">
        <f>BDP(A1995&amp;" US Equity","EXCH_CODE")</f>
        <v/>
      </c>
      <c r="D1995" s="5">
        <f>BDP(A1995&amp;" US Equity","VOLUME_AVG_20D")</f>
        <v/>
      </c>
      <c r="E1995" s="6">
        <f>BDP(A1995&amp;" US Equity","PX_LAST")</f>
        <v/>
      </c>
      <c r="F1995" s="5">
        <f>D1995*E1995</f>
        <v/>
      </c>
      <c r="G1995">
        <f>AND(B1995&gt;=50,B1995&lt;=10000)</f>
        <v/>
      </c>
      <c r="H1995">
        <f>OR(C1995="NAS",C1995="NYS",C1995="ASE")</f>
        <v/>
      </c>
      <c r="I1995">
        <f>F1995&gt;=500000</f>
        <v/>
      </c>
      <c r="J1995">
        <f>E1995&gt;=2</f>
        <v/>
      </c>
      <c r="K1995">
        <f>AND(G1995,H1995,I1995,J1995)</f>
        <v/>
      </c>
    </row>
    <row r="1996">
      <c r="B1996" s="5">
        <f>BDP(A1996&amp;" US Equity","CUR_MKT_CAP")</f>
        <v/>
      </c>
      <c r="C1996">
        <f>BDP(A1996&amp;" US Equity","EXCH_CODE")</f>
        <v/>
      </c>
      <c r="D1996" s="5">
        <f>BDP(A1996&amp;" US Equity","VOLUME_AVG_20D")</f>
        <v/>
      </c>
      <c r="E1996" s="6">
        <f>BDP(A1996&amp;" US Equity","PX_LAST")</f>
        <v/>
      </c>
      <c r="F1996" s="5">
        <f>D1996*E1996</f>
        <v/>
      </c>
      <c r="G1996">
        <f>AND(B1996&gt;=50,B1996&lt;=10000)</f>
        <v/>
      </c>
      <c r="H1996">
        <f>OR(C1996="NAS",C1996="NYS",C1996="ASE")</f>
        <v/>
      </c>
      <c r="I1996">
        <f>F1996&gt;=500000</f>
        <v/>
      </c>
      <c r="J1996">
        <f>E1996&gt;=2</f>
        <v/>
      </c>
      <c r="K1996">
        <f>AND(G1996,H1996,I1996,J1996)</f>
        <v/>
      </c>
    </row>
    <row r="1997">
      <c r="B1997" s="5">
        <f>BDP(A1997&amp;" US Equity","CUR_MKT_CAP")</f>
        <v/>
      </c>
      <c r="C1997">
        <f>BDP(A1997&amp;" US Equity","EXCH_CODE")</f>
        <v/>
      </c>
      <c r="D1997" s="5">
        <f>BDP(A1997&amp;" US Equity","VOLUME_AVG_20D")</f>
        <v/>
      </c>
      <c r="E1997" s="6">
        <f>BDP(A1997&amp;" US Equity","PX_LAST")</f>
        <v/>
      </c>
      <c r="F1997" s="5">
        <f>D1997*E1997</f>
        <v/>
      </c>
      <c r="G1997">
        <f>AND(B1997&gt;=50,B1997&lt;=10000)</f>
        <v/>
      </c>
      <c r="H1997">
        <f>OR(C1997="NAS",C1997="NYS",C1997="ASE")</f>
        <v/>
      </c>
      <c r="I1997">
        <f>F1997&gt;=500000</f>
        <v/>
      </c>
      <c r="J1997">
        <f>E1997&gt;=2</f>
        <v/>
      </c>
      <c r="K1997">
        <f>AND(G1997,H1997,I1997,J1997)</f>
        <v/>
      </c>
    </row>
    <row r="1998">
      <c r="B1998" s="5">
        <f>BDP(A1998&amp;" US Equity","CUR_MKT_CAP")</f>
        <v/>
      </c>
      <c r="C1998">
        <f>BDP(A1998&amp;" US Equity","EXCH_CODE")</f>
        <v/>
      </c>
      <c r="D1998" s="5">
        <f>BDP(A1998&amp;" US Equity","VOLUME_AVG_20D")</f>
        <v/>
      </c>
      <c r="E1998" s="6">
        <f>BDP(A1998&amp;" US Equity","PX_LAST")</f>
        <v/>
      </c>
      <c r="F1998" s="5">
        <f>D1998*E1998</f>
        <v/>
      </c>
      <c r="G1998">
        <f>AND(B1998&gt;=50,B1998&lt;=10000)</f>
        <v/>
      </c>
      <c r="H1998">
        <f>OR(C1998="NAS",C1998="NYS",C1998="ASE")</f>
        <v/>
      </c>
      <c r="I1998">
        <f>F1998&gt;=500000</f>
        <v/>
      </c>
      <c r="J1998">
        <f>E1998&gt;=2</f>
        <v/>
      </c>
      <c r="K1998">
        <f>AND(G1998,H1998,I1998,J1998)</f>
        <v/>
      </c>
    </row>
    <row r="1999">
      <c r="B1999" s="5">
        <f>BDP(A1999&amp;" US Equity","CUR_MKT_CAP")</f>
        <v/>
      </c>
      <c r="C1999">
        <f>BDP(A1999&amp;" US Equity","EXCH_CODE")</f>
        <v/>
      </c>
      <c r="D1999" s="5">
        <f>BDP(A1999&amp;" US Equity","VOLUME_AVG_20D")</f>
        <v/>
      </c>
      <c r="E1999" s="6">
        <f>BDP(A1999&amp;" US Equity","PX_LAST")</f>
        <v/>
      </c>
      <c r="F1999" s="5">
        <f>D1999*E1999</f>
        <v/>
      </c>
      <c r="G1999">
        <f>AND(B1999&gt;=50,B1999&lt;=10000)</f>
        <v/>
      </c>
      <c r="H1999">
        <f>OR(C1999="NAS",C1999="NYS",C1999="ASE")</f>
        <v/>
      </c>
      <c r="I1999">
        <f>F1999&gt;=500000</f>
        <v/>
      </c>
      <c r="J1999">
        <f>E1999&gt;=2</f>
        <v/>
      </c>
      <c r="K1999">
        <f>AND(G1999,H1999,I1999,J1999)</f>
        <v/>
      </c>
    </row>
    <row r="2000">
      <c r="B2000" s="5">
        <f>BDP(A2000&amp;" US Equity","CUR_MKT_CAP")</f>
        <v/>
      </c>
      <c r="C2000">
        <f>BDP(A2000&amp;" US Equity","EXCH_CODE")</f>
        <v/>
      </c>
      <c r="D2000" s="5">
        <f>BDP(A2000&amp;" US Equity","VOLUME_AVG_20D")</f>
        <v/>
      </c>
      <c r="E2000" s="6">
        <f>BDP(A2000&amp;" US Equity","PX_LAST")</f>
        <v/>
      </c>
      <c r="F2000" s="5">
        <f>D2000*E2000</f>
        <v/>
      </c>
      <c r="G2000">
        <f>AND(B2000&gt;=50,B2000&lt;=10000)</f>
        <v/>
      </c>
      <c r="H2000">
        <f>OR(C2000="NAS",C2000="NYS",C2000="ASE")</f>
        <v/>
      </c>
      <c r="I2000">
        <f>F2000&gt;=500000</f>
        <v/>
      </c>
      <c r="J2000">
        <f>E2000&gt;=2</f>
        <v/>
      </c>
      <c r="K2000">
        <f>AND(G2000,H2000,I2000,J2000)</f>
        <v/>
      </c>
    </row>
    <row r="2001">
      <c r="B2001" s="5">
        <f>BDP(A2001&amp;" US Equity","CUR_MKT_CAP")</f>
        <v/>
      </c>
      <c r="C2001">
        <f>BDP(A2001&amp;" US Equity","EXCH_CODE")</f>
        <v/>
      </c>
      <c r="D2001" s="5">
        <f>BDP(A2001&amp;" US Equity","VOLUME_AVG_20D")</f>
        <v/>
      </c>
      <c r="E2001" s="6">
        <f>BDP(A2001&amp;" US Equity","PX_LAST")</f>
        <v/>
      </c>
      <c r="F2001" s="5">
        <f>D2001*E2001</f>
        <v/>
      </c>
      <c r="G2001">
        <f>AND(B2001&gt;=50,B2001&lt;=10000)</f>
        <v/>
      </c>
      <c r="H2001">
        <f>OR(C2001="NAS",C2001="NYS",C2001="ASE")</f>
        <v/>
      </c>
      <c r="I2001">
        <f>F2001&gt;=500000</f>
        <v/>
      </c>
      <c r="J2001">
        <f>E2001&gt;=2</f>
        <v/>
      </c>
      <c r="K2001">
        <f>AND(G2001,H2001,I2001,J2001)</f>
        <v/>
      </c>
    </row>
    <row r="2002">
      <c r="B2002" s="5">
        <f>BDP(A2002&amp;" US Equity","CUR_MKT_CAP")</f>
        <v/>
      </c>
      <c r="C2002">
        <f>BDP(A2002&amp;" US Equity","EXCH_CODE")</f>
        <v/>
      </c>
      <c r="D2002" s="5">
        <f>BDP(A2002&amp;" US Equity","VOLUME_AVG_20D")</f>
        <v/>
      </c>
      <c r="E2002" s="6">
        <f>BDP(A2002&amp;" US Equity","PX_LAST")</f>
        <v/>
      </c>
      <c r="F2002" s="5">
        <f>D2002*E2002</f>
        <v/>
      </c>
      <c r="G2002">
        <f>AND(B2002&gt;=50,B2002&lt;=10000)</f>
        <v/>
      </c>
      <c r="H2002">
        <f>OR(C2002="NAS",C2002="NYS",C2002="ASE")</f>
        <v/>
      </c>
      <c r="I2002">
        <f>F2002&gt;=500000</f>
        <v/>
      </c>
      <c r="J2002">
        <f>E2002&gt;=2</f>
        <v/>
      </c>
      <c r="K2002">
        <f>AND(G2002,H2002,I2002,J2002)</f>
        <v/>
      </c>
    </row>
    <row r="2003">
      <c r="B2003" s="5">
        <f>BDP(A2003&amp;" US Equity","CUR_MKT_CAP")</f>
        <v/>
      </c>
      <c r="C2003">
        <f>BDP(A2003&amp;" US Equity","EXCH_CODE")</f>
        <v/>
      </c>
      <c r="D2003" s="5">
        <f>BDP(A2003&amp;" US Equity","VOLUME_AVG_20D")</f>
        <v/>
      </c>
      <c r="E2003" s="6">
        <f>BDP(A2003&amp;" US Equity","PX_LAST")</f>
        <v/>
      </c>
      <c r="F2003" s="5">
        <f>D2003*E2003</f>
        <v/>
      </c>
      <c r="G2003">
        <f>AND(B2003&gt;=50,B2003&lt;=10000)</f>
        <v/>
      </c>
      <c r="H2003">
        <f>OR(C2003="NAS",C2003="NYS",C2003="ASE")</f>
        <v/>
      </c>
      <c r="I2003">
        <f>F2003&gt;=500000</f>
        <v/>
      </c>
      <c r="J2003">
        <f>E2003&gt;=2</f>
        <v/>
      </c>
      <c r="K2003">
        <f>AND(G2003,H2003,I2003,J2003)</f>
        <v/>
      </c>
    </row>
    <row r="2004">
      <c r="B2004" s="5">
        <f>BDP(A2004&amp;" US Equity","CUR_MKT_CAP")</f>
        <v/>
      </c>
      <c r="C2004">
        <f>BDP(A2004&amp;" US Equity","EXCH_CODE")</f>
        <v/>
      </c>
      <c r="D2004" s="5">
        <f>BDP(A2004&amp;" US Equity","VOLUME_AVG_20D")</f>
        <v/>
      </c>
      <c r="E2004" s="6">
        <f>BDP(A2004&amp;" US Equity","PX_LAST")</f>
        <v/>
      </c>
      <c r="F2004" s="5">
        <f>D2004*E2004</f>
        <v/>
      </c>
      <c r="G2004">
        <f>AND(B2004&gt;=50,B2004&lt;=10000)</f>
        <v/>
      </c>
      <c r="H2004">
        <f>OR(C2004="NAS",C2004="NYS",C2004="ASE")</f>
        <v/>
      </c>
      <c r="I2004">
        <f>F2004&gt;=500000</f>
        <v/>
      </c>
      <c r="J2004">
        <f>E2004&gt;=2</f>
        <v/>
      </c>
      <c r="K2004">
        <f>AND(G2004,H2004,I2004,J2004)</f>
        <v/>
      </c>
    </row>
    <row r="2005">
      <c r="B2005" s="5">
        <f>BDP(A2005&amp;" US Equity","CUR_MKT_CAP")</f>
        <v/>
      </c>
      <c r="C2005">
        <f>BDP(A2005&amp;" US Equity","EXCH_CODE")</f>
        <v/>
      </c>
      <c r="D2005" s="5">
        <f>BDP(A2005&amp;" US Equity","VOLUME_AVG_20D")</f>
        <v/>
      </c>
      <c r="E2005" s="6">
        <f>BDP(A2005&amp;" US Equity","PX_LAST")</f>
        <v/>
      </c>
      <c r="F2005" s="5">
        <f>D2005*E2005</f>
        <v/>
      </c>
      <c r="G2005">
        <f>AND(B2005&gt;=50,B2005&lt;=10000)</f>
        <v/>
      </c>
      <c r="H2005">
        <f>OR(C2005="NAS",C2005="NYS",C2005="ASE")</f>
        <v/>
      </c>
      <c r="I2005">
        <f>F2005&gt;=500000</f>
        <v/>
      </c>
      <c r="J2005">
        <f>E2005&gt;=2</f>
        <v/>
      </c>
      <c r="K2005">
        <f>AND(G2005,H2005,I2005,J2005)</f>
        <v/>
      </c>
    </row>
    <row r="2006">
      <c r="B2006" s="5">
        <f>BDP(A2006&amp;" US Equity","CUR_MKT_CAP")</f>
        <v/>
      </c>
      <c r="C2006">
        <f>BDP(A2006&amp;" US Equity","EXCH_CODE")</f>
        <v/>
      </c>
      <c r="D2006" s="5">
        <f>BDP(A2006&amp;" US Equity","VOLUME_AVG_20D")</f>
        <v/>
      </c>
      <c r="E2006" s="6">
        <f>BDP(A2006&amp;" US Equity","PX_LAST")</f>
        <v/>
      </c>
      <c r="F2006" s="5">
        <f>D2006*E2006</f>
        <v/>
      </c>
      <c r="G2006">
        <f>AND(B2006&gt;=50,B2006&lt;=10000)</f>
        <v/>
      </c>
      <c r="H2006">
        <f>OR(C2006="NAS",C2006="NYS",C2006="ASE")</f>
        <v/>
      </c>
      <c r="I2006">
        <f>F2006&gt;=500000</f>
        <v/>
      </c>
      <c r="J2006">
        <f>E2006&gt;=2</f>
        <v/>
      </c>
      <c r="K2006">
        <f>AND(G2006,H2006,I2006,J2006)</f>
        <v/>
      </c>
    </row>
    <row r="2007">
      <c r="B2007" s="5">
        <f>BDP(A2007&amp;" US Equity","CUR_MKT_CAP")</f>
        <v/>
      </c>
      <c r="C2007">
        <f>BDP(A2007&amp;" US Equity","EXCH_CODE")</f>
        <v/>
      </c>
      <c r="D2007" s="5">
        <f>BDP(A2007&amp;" US Equity","VOLUME_AVG_20D")</f>
        <v/>
      </c>
      <c r="E2007" s="6">
        <f>BDP(A2007&amp;" US Equity","PX_LAST")</f>
        <v/>
      </c>
      <c r="F2007" s="5">
        <f>D2007*E2007</f>
        <v/>
      </c>
      <c r="G2007">
        <f>AND(B2007&gt;=50,B2007&lt;=10000)</f>
        <v/>
      </c>
      <c r="H2007">
        <f>OR(C2007="NAS",C2007="NYS",C2007="ASE")</f>
        <v/>
      </c>
      <c r="I2007">
        <f>F2007&gt;=500000</f>
        <v/>
      </c>
      <c r="J2007">
        <f>E2007&gt;=2</f>
        <v/>
      </c>
      <c r="K2007">
        <f>AND(G2007,H2007,I2007,J2007)</f>
        <v/>
      </c>
    </row>
    <row r="2008">
      <c r="B2008" s="5">
        <f>BDP(A2008&amp;" US Equity","CUR_MKT_CAP")</f>
        <v/>
      </c>
      <c r="C2008">
        <f>BDP(A2008&amp;" US Equity","EXCH_CODE")</f>
        <v/>
      </c>
      <c r="D2008" s="5">
        <f>BDP(A2008&amp;" US Equity","VOLUME_AVG_20D")</f>
        <v/>
      </c>
      <c r="E2008" s="6">
        <f>BDP(A2008&amp;" US Equity","PX_LAST")</f>
        <v/>
      </c>
      <c r="F2008" s="5">
        <f>D2008*E2008</f>
        <v/>
      </c>
      <c r="G2008">
        <f>AND(B2008&gt;=50,B2008&lt;=10000)</f>
        <v/>
      </c>
      <c r="H2008">
        <f>OR(C2008="NAS",C2008="NYS",C2008="ASE")</f>
        <v/>
      </c>
      <c r="I2008">
        <f>F2008&gt;=500000</f>
        <v/>
      </c>
      <c r="J2008">
        <f>E2008&gt;=2</f>
        <v/>
      </c>
      <c r="K2008">
        <f>AND(G2008,H2008,I2008,J2008)</f>
        <v/>
      </c>
    </row>
    <row r="2009">
      <c r="B2009" s="5">
        <f>BDP(A2009&amp;" US Equity","CUR_MKT_CAP")</f>
        <v/>
      </c>
      <c r="C2009">
        <f>BDP(A2009&amp;" US Equity","EXCH_CODE")</f>
        <v/>
      </c>
      <c r="D2009" s="5">
        <f>BDP(A2009&amp;" US Equity","VOLUME_AVG_20D")</f>
        <v/>
      </c>
      <c r="E2009" s="6">
        <f>BDP(A2009&amp;" US Equity","PX_LAST")</f>
        <v/>
      </c>
      <c r="F2009" s="5">
        <f>D2009*E2009</f>
        <v/>
      </c>
      <c r="G2009">
        <f>AND(B2009&gt;=50,B2009&lt;=10000)</f>
        <v/>
      </c>
      <c r="H2009">
        <f>OR(C2009="NAS",C2009="NYS",C2009="ASE")</f>
        <v/>
      </c>
      <c r="I2009">
        <f>F2009&gt;=500000</f>
        <v/>
      </c>
      <c r="J2009">
        <f>E2009&gt;=2</f>
        <v/>
      </c>
      <c r="K2009">
        <f>AND(G2009,H2009,I2009,J2009)</f>
        <v/>
      </c>
    </row>
    <row r="2010">
      <c r="B2010" s="5">
        <f>BDP(A2010&amp;" US Equity","CUR_MKT_CAP")</f>
        <v/>
      </c>
      <c r="C2010">
        <f>BDP(A2010&amp;" US Equity","EXCH_CODE")</f>
        <v/>
      </c>
      <c r="D2010" s="5">
        <f>BDP(A2010&amp;" US Equity","VOLUME_AVG_20D")</f>
        <v/>
      </c>
      <c r="E2010" s="6">
        <f>BDP(A2010&amp;" US Equity","PX_LAST")</f>
        <v/>
      </c>
      <c r="F2010" s="5">
        <f>D2010*E2010</f>
        <v/>
      </c>
      <c r="G2010">
        <f>AND(B2010&gt;=50,B2010&lt;=10000)</f>
        <v/>
      </c>
      <c r="H2010">
        <f>OR(C2010="NAS",C2010="NYS",C2010="ASE")</f>
        <v/>
      </c>
      <c r="I2010">
        <f>F2010&gt;=500000</f>
        <v/>
      </c>
      <c r="J2010">
        <f>E2010&gt;=2</f>
        <v/>
      </c>
      <c r="K2010">
        <f>AND(G2010,H2010,I2010,J2010)</f>
        <v/>
      </c>
    </row>
    <row r="2011">
      <c r="B2011" s="5">
        <f>BDP(A2011&amp;" US Equity","CUR_MKT_CAP")</f>
        <v/>
      </c>
      <c r="C2011">
        <f>BDP(A2011&amp;" US Equity","EXCH_CODE")</f>
        <v/>
      </c>
      <c r="D2011" s="5">
        <f>BDP(A2011&amp;" US Equity","VOLUME_AVG_20D")</f>
        <v/>
      </c>
      <c r="E2011" s="6">
        <f>BDP(A2011&amp;" US Equity","PX_LAST")</f>
        <v/>
      </c>
      <c r="F2011" s="5">
        <f>D2011*E2011</f>
        <v/>
      </c>
      <c r="G2011">
        <f>AND(B2011&gt;=50,B2011&lt;=10000)</f>
        <v/>
      </c>
      <c r="H2011">
        <f>OR(C2011="NAS",C2011="NYS",C2011="ASE")</f>
        <v/>
      </c>
      <c r="I2011">
        <f>F2011&gt;=500000</f>
        <v/>
      </c>
      <c r="J2011">
        <f>E2011&gt;=2</f>
        <v/>
      </c>
      <c r="K2011">
        <f>AND(G2011,H2011,I2011,J2011)</f>
        <v/>
      </c>
    </row>
    <row r="2012">
      <c r="B2012" s="5">
        <f>BDP(A2012&amp;" US Equity","CUR_MKT_CAP")</f>
        <v/>
      </c>
      <c r="C2012">
        <f>BDP(A2012&amp;" US Equity","EXCH_CODE")</f>
        <v/>
      </c>
      <c r="D2012" s="5">
        <f>BDP(A2012&amp;" US Equity","VOLUME_AVG_20D")</f>
        <v/>
      </c>
      <c r="E2012" s="6">
        <f>BDP(A2012&amp;" US Equity","PX_LAST")</f>
        <v/>
      </c>
      <c r="F2012" s="5">
        <f>D2012*E2012</f>
        <v/>
      </c>
      <c r="G2012">
        <f>AND(B2012&gt;=50,B2012&lt;=10000)</f>
        <v/>
      </c>
      <c r="H2012">
        <f>OR(C2012="NAS",C2012="NYS",C2012="ASE")</f>
        <v/>
      </c>
      <c r="I2012">
        <f>F2012&gt;=500000</f>
        <v/>
      </c>
      <c r="J2012">
        <f>E2012&gt;=2</f>
        <v/>
      </c>
      <c r="K2012">
        <f>AND(G2012,H2012,I2012,J2012)</f>
        <v/>
      </c>
    </row>
    <row r="2013">
      <c r="B2013" s="5">
        <f>BDP(A2013&amp;" US Equity","CUR_MKT_CAP")</f>
        <v/>
      </c>
      <c r="C2013">
        <f>BDP(A2013&amp;" US Equity","EXCH_CODE")</f>
        <v/>
      </c>
      <c r="D2013" s="5">
        <f>BDP(A2013&amp;" US Equity","VOLUME_AVG_20D")</f>
        <v/>
      </c>
      <c r="E2013" s="6">
        <f>BDP(A2013&amp;" US Equity","PX_LAST")</f>
        <v/>
      </c>
      <c r="F2013" s="5">
        <f>D2013*E2013</f>
        <v/>
      </c>
      <c r="G2013">
        <f>AND(B2013&gt;=50,B2013&lt;=10000)</f>
        <v/>
      </c>
      <c r="H2013">
        <f>OR(C2013="NAS",C2013="NYS",C2013="ASE")</f>
        <v/>
      </c>
      <c r="I2013">
        <f>F2013&gt;=500000</f>
        <v/>
      </c>
      <c r="J2013">
        <f>E2013&gt;=2</f>
        <v/>
      </c>
      <c r="K2013">
        <f>AND(G2013,H2013,I2013,J2013)</f>
        <v/>
      </c>
    </row>
    <row r="2014">
      <c r="B2014" s="5">
        <f>BDP(A2014&amp;" US Equity","CUR_MKT_CAP")</f>
        <v/>
      </c>
      <c r="C2014">
        <f>BDP(A2014&amp;" US Equity","EXCH_CODE")</f>
        <v/>
      </c>
      <c r="D2014" s="5">
        <f>BDP(A2014&amp;" US Equity","VOLUME_AVG_20D")</f>
        <v/>
      </c>
      <c r="E2014" s="6">
        <f>BDP(A2014&amp;" US Equity","PX_LAST")</f>
        <v/>
      </c>
      <c r="F2014" s="5">
        <f>D2014*E2014</f>
        <v/>
      </c>
      <c r="G2014">
        <f>AND(B2014&gt;=50,B2014&lt;=10000)</f>
        <v/>
      </c>
      <c r="H2014">
        <f>OR(C2014="NAS",C2014="NYS",C2014="ASE")</f>
        <v/>
      </c>
      <c r="I2014">
        <f>F2014&gt;=500000</f>
        <v/>
      </c>
      <c r="J2014">
        <f>E2014&gt;=2</f>
        <v/>
      </c>
      <c r="K2014">
        <f>AND(G2014,H2014,I2014,J2014)</f>
        <v/>
      </c>
    </row>
    <row r="2015">
      <c r="B2015" s="5">
        <f>BDP(A2015&amp;" US Equity","CUR_MKT_CAP")</f>
        <v/>
      </c>
      <c r="C2015">
        <f>BDP(A2015&amp;" US Equity","EXCH_CODE")</f>
        <v/>
      </c>
      <c r="D2015" s="5">
        <f>BDP(A2015&amp;" US Equity","VOLUME_AVG_20D")</f>
        <v/>
      </c>
      <c r="E2015" s="6">
        <f>BDP(A2015&amp;" US Equity","PX_LAST")</f>
        <v/>
      </c>
      <c r="F2015" s="5">
        <f>D2015*E2015</f>
        <v/>
      </c>
      <c r="G2015">
        <f>AND(B2015&gt;=50,B2015&lt;=10000)</f>
        <v/>
      </c>
      <c r="H2015">
        <f>OR(C2015="NAS",C2015="NYS",C2015="ASE")</f>
        <v/>
      </c>
      <c r="I2015">
        <f>F2015&gt;=500000</f>
        <v/>
      </c>
      <c r="J2015">
        <f>E2015&gt;=2</f>
        <v/>
      </c>
      <c r="K2015">
        <f>AND(G2015,H2015,I2015,J2015)</f>
        <v/>
      </c>
    </row>
    <row r="2016">
      <c r="B2016" s="5">
        <f>BDP(A2016&amp;" US Equity","CUR_MKT_CAP")</f>
        <v/>
      </c>
      <c r="C2016">
        <f>BDP(A2016&amp;" US Equity","EXCH_CODE")</f>
        <v/>
      </c>
      <c r="D2016" s="5">
        <f>BDP(A2016&amp;" US Equity","VOLUME_AVG_20D")</f>
        <v/>
      </c>
      <c r="E2016" s="6">
        <f>BDP(A2016&amp;" US Equity","PX_LAST")</f>
        <v/>
      </c>
      <c r="F2016" s="5">
        <f>D2016*E2016</f>
        <v/>
      </c>
      <c r="G2016">
        <f>AND(B2016&gt;=50,B2016&lt;=10000)</f>
        <v/>
      </c>
      <c r="H2016">
        <f>OR(C2016="NAS",C2016="NYS",C2016="ASE")</f>
        <v/>
      </c>
      <c r="I2016">
        <f>F2016&gt;=500000</f>
        <v/>
      </c>
      <c r="J2016">
        <f>E2016&gt;=2</f>
        <v/>
      </c>
      <c r="K2016">
        <f>AND(G2016,H2016,I2016,J2016)</f>
        <v/>
      </c>
    </row>
    <row r="2017">
      <c r="B2017" s="5">
        <f>BDP(A2017&amp;" US Equity","CUR_MKT_CAP")</f>
        <v/>
      </c>
      <c r="C2017">
        <f>BDP(A2017&amp;" US Equity","EXCH_CODE")</f>
        <v/>
      </c>
      <c r="D2017" s="5">
        <f>BDP(A2017&amp;" US Equity","VOLUME_AVG_20D")</f>
        <v/>
      </c>
      <c r="E2017" s="6">
        <f>BDP(A2017&amp;" US Equity","PX_LAST")</f>
        <v/>
      </c>
      <c r="F2017" s="5">
        <f>D2017*E2017</f>
        <v/>
      </c>
      <c r="G2017">
        <f>AND(B2017&gt;=50,B2017&lt;=10000)</f>
        <v/>
      </c>
      <c r="H2017">
        <f>OR(C2017="NAS",C2017="NYS",C2017="ASE")</f>
        <v/>
      </c>
      <c r="I2017">
        <f>F2017&gt;=500000</f>
        <v/>
      </c>
      <c r="J2017">
        <f>E2017&gt;=2</f>
        <v/>
      </c>
      <c r="K2017">
        <f>AND(G2017,H2017,I2017,J2017)</f>
        <v/>
      </c>
    </row>
    <row r="2018">
      <c r="B2018" s="5">
        <f>BDP(A2018&amp;" US Equity","CUR_MKT_CAP")</f>
        <v/>
      </c>
      <c r="C2018">
        <f>BDP(A2018&amp;" US Equity","EXCH_CODE")</f>
        <v/>
      </c>
      <c r="D2018" s="5">
        <f>BDP(A2018&amp;" US Equity","VOLUME_AVG_20D")</f>
        <v/>
      </c>
      <c r="E2018" s="6">
        <f>BDP(A2018&amp;" US Equity","PX_LAST")</f>
        <v/>
      </c>
      <c r="F2018" s="5">
        <f>D2018*E2018</f>
        <v/>
      </c>
      <c r="G2018">
        <f>AND(B2018&gt;=50,B2018&lt;=10000)</f>
        <v/>
      </c>
      <c r="H2018">
        <f>OR(C2018="NAS",C2018="NYS",C2018="ASE")</f>
        <v/>
      </c>
      <c r="I2018">
        <f>F2018&gt;=500000</f>
        <v/>
      </c>
      <c r="J2018">
        <f>E2018&gt;=2</f>
        <v/>
      </c>
      <c r="K2018">
        <f>AND(G2018,H2018,I2018,J2018)</f>
        <v/>
      </c>
    </row>
    <row r="2019">
      <c r="B2019" s="5">
        <f>BDP(A2019&amp;" US Equity","CUR_MKT_CAP")</f>
        <v/>
      </c>
      <c r="C2019">
        <f>BDP(A2019&amp;" US Equity","EXCH_CODE")</f>
        <v/>
      </c>
      <c r="D2019" s="5">
        <f>BDP(A2019&amp;" US Equity","VOLUME_AVG_20D")</f>
        <v/>
      </c>
      <c r="E2019" s="6">
        <f>BDP(A2019&amp;" US Equity","PX_LAST")</f>
        <v/>
      </c>
      <c r="F2019" s="5">
        <f>D2019*E2019</f>
        <v/>
      </c>
      <c r="G2019">
        <f>AND(B2019&gt;=50,B2019&lt;=10000)</f>
        <v/>
      </c>
      <c r="H2019">
        <f>OR(C2019="NAS",C2019="NYS",C2019="ASE")</f>
        <v/>
      </c>
      <c r="I2019">
        <f>F2019&gt;=500000</f>
        <v/>
      </c>
      <c r="J2019">
        <f>E2019&gt;=2</f>
        <v/>
      </c>
      <c r="K2019">
        <f>AND(G2019,H2019,I2019,J2019)</f>
        <v/>
      </c>
    </row>
    <row r="2020">
      <c r="B2020" s="5">
        <f>BDP(A2020&amp;" US Equity","CUR_MKT_CAP")</f>
        <v/>
      </c>
      <c r="C2020">
        <f>BDP(A2020&amp;" US Equity","EXCH_CODE")</f>
        <v/>
      </c>
      <c r="D2020" s="5">
        <f>BDP(A2020&amp;" US Equity","VOLUME_AVG_20D")</f>
        <v/>
      </c>
      <c r="E2020" s="6">
        <f>BDP(A2020&amp;" US Equity","PX_LAST")</f>
        <v/>
      </c>
      <c r="F2020" s="5">
        <f>D2020*E2020</f>
        <v/>
      </c>
      <c r="G2020">
        <f>AND(B2020&gt;=50,B2020&lt;=10000)</f>
        <v/>
      </c>
      <c r="H2020">
        <f>OR(C2020="NAS",C2020="NYS",C2020="ASE")</f>
        <v/>
      </c>
      <c r="I2020">
        <f>F2020&gt;=500000</f>
        <v/>
      </c>
      <c r="J2020">
        <f>E2020&gt;=2</f>
        <v/>
      </c>
      <c r="K2020">
        <f>AND(G2020,H2020,I2020,J2020)</f>
        <v/>
      </c>
    </row>
    <row r="2021">
      <c r="B2021" s="5">
        <f>BDP(A2021&amp;" US Equity","CUR_MKT_CAP")</f>
        <v/>
      </c>
      <c r="C2021">
        <f>BDP(A2021&amp;" US Equity","EXCH_CODE")</f>
        <v/>
      </c>
      <c r="D2021" s="5">
        <f>BDP(A2021&amp;" US Equity","VOLUME_AVG_20D")</f>
        <v/>
      </c>
      <c r="E2021" s="6">
        <f>BDP(A2021&amp;" US Equity","PX_LAST")</f>
        <v/>
      </c>
      <c r="F2021" s="5">
        <f>D2021*E2021</f>
        <v/>
      </c>
      <c r="G2021">
        <f>AND(B2021&gt;=50,B2021&lt;=10000)</f>
        <v/>
      </c>
      <c r="H2021">
        <f>OR(C2021="NAS",C2021="NYS",C2021="ASE")</f>
        <v/>
      </c>
      <c r="I2021">
        <f>F2021&gt;=500000</f>
        <v/>
      </c>
      <c r="J2021">
        <f>E2021&gt;=2</f>
        <v/>
      </c>
      <c r="K2021">
        <f>AND(G2021,H2021,I2021,J2021)</f>
        <v/>
      </c>
    </row>
    <row r="2022">
      <c r="B2022" s="5">
        <f>BDP(A2022&amp;" US Equity","CUR_MKT_CAP")</f>
        <v/>
      </c>
      <c r="C2022">
        <f>BDP(A2022&amp;" US Equity","EXCH_CODE")</f>
        <v/>
      </c>
      <c r="D2022" s="5">
        <f>BDP(A2022&amp;" US Equity","VOLUME_AVG_20D")</f>
        <v/>
      </c>
      <c r="E2022" s="6">
        <f>BDP(A2022&amp;" US Equity","PX_LAST")</f>
        <v/>
      </c>
      <c r="F2022" s="5">
        <f>D2022*E2022</f>
        <v/>
      </c>
      <c r="G2022">
        <f>AND(B2022&gt;=50,B2022&lt;=10000)</f>
        <v/>
      </c>
      <c r="H2022">
        <f>OR(C2022="NAS",C2022="NYS",C2022="ASE")</f>
        <v/>
      </c>
      <c r="I2022">
        <f>F2022&gt;=500000</f>
        <v/>
      </c>
      <c r="J2022">
        <f>E2022&gt;=2</f>
        <v/>
      </c>
      <c r="K2022">
        <f>AND(G2022,H2022,I2022,J2022)</f>
        <v/>
      </c>
    </row>
    <row r="2023">
      <c r="B2023" s="5">
        <f>BDP(A2023&amp;" US Equity","CUR_MKT_CAP")</f>
        <v/>
      </c>
      <c r="C2023">
        <f>BDP(A2023&amp;" US Equity","EXCH_CODE")</f>
        <v/>
      </c>
      <c r="D2023" s="5">
        <f>BDP(A2023&amp;" US Equity","VOLUME_AVG_20D")</f>
        <v/>
      </c>
      <c r="E2023" s="6">
        <f>BDP(A2023&amp;" US Equity","PX_LAST")</f>
        <v/>
      </c>
      <c r="F2023" s="5">
        <f>D2023*E2023</f>
        <v/>
      </c>
      <c r="G2023">
        <f>AND(B2023&gt;=50,B2023&lt;=10000)</f>
        <v/>
      </c>
      <c r="H2023">
        <f>OR(C2023="NAS",C2023="NYS",C2023="ASE")</f>
        <v/>
      </c>
      <c r="I2023">
        <f>F2023&gt;=500000</f>
        <v/>
      </c>
      <c r="J2023">
        <f>E2023&gt;=2</f>
        <v/>
      </c>
      <c r="K2023">
        <f>AND(G2023,H2023,I2023,J2023)</f>
        <v/>
      </c>
    </row>
    <row r="2024">
      <c r="B2024" s="5">
        <f>BDP(A2024&amp;" US Equity","CUR_MKT_CAP")</f>
        <v/>
      </c>
      <c r="C2024">
        <f>BDP(A2024&amp;" US Equity","EXCH_CODE")</f>
        <v/>
      </c>
      <c r="D2024" s="5">
        <f>BDP(A2024&amp;" US Equity","VOLUME_AVG_20D")</f>
        <v/>
      </c>
      <c r="E2024" s="6">
        <f>BDP(A2024&amp;" US Equity","PX_LAST")</f>
        <v/>
      </c>
      <c r="F2024" s="5">
        <f>D2024*E2024</f>
        <v/>
      </c>
      <c r="G2024">
        <f>AND(B2024&gt;=50,B2024&lt;=10000)</f>
        <v/>
      </c>
      <c r="H2024">
        <f>OR(C2024="NAS",C2024="NYS",C2024="ASE")</f>
        <v/>
      </c>
      <c r="I2024">
        <f>F2024&gt;=500000</f>
        <v/>
      </c>
      <c r="J2024">
        <f>E2024&gt;=2</f>
        <v/>
      </c>
      <c r="K2024">
        <f>AND(G2024,H2024,I2024,J2024)</f>
        <v/>
      </c>
    </row>
    <row r="2025">
      <c r="B2025" s="5">
        <f>BDP(A2025&amp;" US Equity","CUR_MKT_CAP")</f>
        <v/>
      </c>
      <c r="C2025">
        <f>BDP(A2025&amp;" US Equity","EXCH_CODE")</f>
        <v/>
      </c>
      <c r="D2025" s="5">
        <f>BDP(A2025&amp;" US Equity","VOLUME_AVG_20D")</f>
        <v/>
      </c>
      <c r="E2025" s="6">
        <f>BDP(A2025&amp;" US Equity","PX_LAST")</f>
        <v/>
      </c>
      <c r="F2025" s="5">
        <f>D2025*E2025</f>
        <v/>
      </c>
      <c r="G2025">
        <f>AND(B2025&gt;=50,B2025&lt;=10000)</f>
        <v/>
      </c>
      <c r="H2025">
        <f>OR(C2025="NAS",C2025="NYS",C2025="ASE")</f>
        <v/>
      </c>
      <c r="I2025">
        <f>F2025&gt;=500000</f>
        <v/>
      </c>
      <c r="J2025">
        <f>E2025&gt;=2</f>
        <v/>
      </c>
      <c r="K2025">
        <f>AND(G2025,H2025,I2025,J2025)</f>
        <v/>
      </c>
    </row>
    <row r="2026">
      <c r="B2026" s="5">
        <f>BDP(A2026&amp;" US Equity","CUR_MKT_CAP")</f>
        <v/>
      </c>
      <c r="C2026">
        <f>BDP(A2026&amp;" US Equity","EXCH_CODE")</f>
        <v/>
      </c>
      <c r="D2026" s="5">
        <f>BDP(A2026&amp;" US Equity","VOLUME_AVG_20D")</f>
        <v/>
      </c>
      <c r="E2026" s="6">
        <f>BDP(A2026&amp;" US Equity","PX_LAST")</f>
        <v/>
      </c>
      <c r="F2026" s="5">
        <f>D2026*E2026</f>
        <v/>
      </c>
      <c r="G2026">
        <f>AND(B2026&gt;=50,B2026&lt;=10000)</f>
        <v/>
      </c>
      <c r="H2026">
        <f>OR(C2026="NAS",C2026="NYS",C2026="ASE")</f>
        <v/>
      </c>
      <c r="I2026">
        <f>F2026&gt;=500000</f>
        <v/>
      </c>
      <c r="J2026">
        <f>E2026&gt;=2</f>
        <v/>
      </c>
      <c r="K2026">
        <f>AND(G2026,H2026,I2026,J2026)</f>
        <v/>
      </c>
    </row>
    <row r="2027">
      <c r="B2027" s="5">
        <f>BDP(A2027&amp;" US Equity","CUR_MKT_CAP")</f>
        <v/>
      </c>
      <c r="C2027">
        <f>BDP(A2027&amp;" US Equity","EXCH_CODE")</f>
        <v/>
      </c>
      <c r="D2027" s="5">
        <f>BDP(A2027&amp;" US Equity","VOLUME_AVG_20D")</f>
        <v/>
      </c>
      <c r="E2027" s="6">
        <f>BDP(A2027&amp;" US Equity","PX_LAST")</f>
        <v/>
      </c>
      <c r="F2027" s="5">
        <f>D2027*E2027</f>
        <v/>
      </c>
      <c r="G2027">
        <f>AND(B2027&gt;=50,B2027&lt;=10000)</f>
        <v/>
      </c>
      <c r="H2027">
        <f>OR(C2027="NAS",C2027="NYS",C2027="ASE")</f>
        <v/>
      </c>
      <c r="I2027">
        <f>F2027&gt;=500000</f>
        <v/>
      </c>
      <c r="J2027">
        <f>E2027&gt;=2</f>
        <v/>
      </c>
      <c r="K2027">
        <f>AND(G2027,H2027,I2027,J2027)</f>
        <v/>
      </c>
    </row>
    <row r="2028">
      <c r="B2028" s="5">
        <f>BDP(A2028&amp;" US Equity","CUR_MKT_CAP")</f>
        <v/>
      </c>
      <c r="C2028">
        <f>BDP(A2028&amp;" US Equity","EXCH_CODE")</f>
        <v/>
      </c>
      <c r="D2028" s="5">
        <f>BDP(A2028&amp;" US Equity","VOLUME_AVG_20D")</f>
        <v/>
      </c>
      <c r="E2028" s="6">
        <f>BDP(A2028&amp;" US Equity","PX_LAST")</f>
        <v/>
      </c>
      <c r="F2028" s="5">
        <f>D2028*E2028</f>
        <v/>
      </c>
      <c r="G2028">
        <f>AND(B2028&gt;=50,B2028&lt;=10000)</f>
        <v/>
      </c>
      <c r="H2028">
        <f>OR(C2028="NAS",C2028="NYS",C2028="ASE")</f>
        <v/>
      </c>
      <c r="I2028">
        <f>F2028&gt;=500000</f>
        <v/>
      </c>
      <c r="J2028">
        <f>E2028&gt;=2</f>
        <v/>
      </c>
      <c r="K2028">
        <f>AND(G2028,H2028,I2028,J2028)</f>
        <v/>
      </c>
    </row>
    <row r="2029">
      <c r="B2029" s="5">
        <f>BDP(A2029&amp;" US Equity","CUR_MKT_CAP")</f>
        <v/>
      </c>
      <c r="C2029">
        <f>BDP(A2029&amp;" US Equity","EXCH_CODE")</f>
        <v/>
      </c>
      <c r="D2029" s="5">
        <f>BDP(A2029&amp;" US Equity","VOLUME_AVG_20D")</f>
        <v/>
      </c>
      <c r="E2029" s="6">
        <f>BDP(A2029&amp;" US Equity","PX_LAST")</f>
        <v/>
      </c>
      <c r="F2029" s="5">
        <f>D2029*E2029</f>
        <v/>
      </c>
      <c r="G2029">
        <f>AND(B2029&gt;=50,B2029&lt;=10000)</f>
        <v/>
      </c>
      <c r="H2029">
        <f>OR(C2029="NAS",C2029="NYS",C2029="ASE")</f>
        <v/>
      </c>
      <c r="I2029">
        <f>F2029&gt;=500000</f>
        <v/>
      </c>
      <c r="J2029">
        <f>E2029&gt;=2</f>
        <v/>
      </c>
      <c r="K2029">
        <f>AND(G2029,H2029,I2029,J2029)</f>
        <v/>
      </c>
    </row>
    <row r="2030">
      <c r="B2030" s="5">
        <f>BDP(A2030&amp;" US Equity","CUR_MKT_CAP")</f>
        <v/>
      </c>
      <c r="C2030">
        <f>BDP(A2030&amp;" US Equity","EXCH_CODE")</f>
        <v/>
      </c>
      <c r="D2030" s="5">
        <f>BDP(A2030&amp;" US Equity","VOLUME_AVG_20D")</f>
        <v/>
      </c>
      <c r="E2030" s="6">
        <f>BDP(A2030&amp;" US Equity","PX_LAST")</f>
        <v/>
      </c>
      <c r="F2030" s="5">
        <f>D2030*E2030</f>
        <v/>
      </c>
      <c r="G2030">
        <f>AND(B2030&gt;=50,B2030&lt;=10000)</f>
        <v/>
      </c>
      <c r="H2030">
        <f>OR(C2030="NAS",C2030="NYS",C2030="ASE")</f>
        <v/>
      </c>
      <c r="I2030">
        <f>F2030&gt;=500000</f>
        <v/>
      </c>
      <c r="J2030">
        <f>E2030&gt;=2</f>
        <v/>
      </c>
      <c r="K2030">
        <f>AND(G2030,H2030,I2030,J2030)</f>
        <v/>
      </c>
    </row>
    <row r="2031">
      <c r="B2031" s="5">
        <f>BDP(A2031&amp;" US Equity","CUR_MKT_CAP")</f>
        <v/>
      </c>
      <c r="C2031">
        <f>BDP(A2031&amp;" US Equity","EXCH_CODE")</f>
        <v/>
      </c>
      <c r="D2031" s="5">
        <f>BDP(A2031&amp;" US Equity","VOLUME_AVG_20D")</f>
        <v/>
      </c>
      <c r="E2031" s="6">
        <f>BDP(A2031&amp;" US Equity","PX_LAST")</f>
        <v/>
      </c>
      <c r="F2031" s="5">
        <f>D2031*E2031</f>
        <v/>
      </c>
      <c r="G2031">
        <f>AND(B2031&gt;=50,B2031&lt;=10000)</f>
        <v/>
      </c>
      <c r="H2031">
        <f>OR(C2031="NAS",C2031="NYS",C2031="ASE")</f>
        <v/>
      </c>
      <c r="I2031">
        <f>F2031&gt;=500000</f>
        <v/>
      </c>
      <c r="J2031">
        <f>E2031&gt;=2</f>
        <v/>
      </c>
      <c r="K2031">
        <f>AND(G2031,H2031,I2031,J2031)</f>
        <v/>
      </c>
    </row>
    <row r="2032">
      <c r="B2032" s="5">
        <f>BDP(A2032&amp;" US Equity","CUR_MKT_CAP")</f>
        <v/>
      </c>
      <c r="C2032">
        <f>BDP(A2032&amp;" US Equity","EXCH_CODE")</f>
        <v/>
      </c>
      <c r="D2032" s="5">
        <f>BDP(A2032&amp;" US Equity","VOLUME_AVG_20D")</f>
        <v/>
      </c>
      <c r="E2032" s="6">
        <f>BDP(A2032&amp;" US Equity","PX_LAST")</f>
        <v/>
      </c>
      <c r="F2032" s="5">
        <f>D2032*E2032</f>
        <v/>
      </c>
      <c r="G2032">
        <f>AND(B2032&gt;=50,B2032&lt;=10000)</f>
        <v/>
      </c>
      <c r="H2032">
        <f>OR(C2032="NAS",C2032="NYS",C2032="ASE")</f>
        <v/>
      </c>
      <c r="I2032">
        <f>F2032&gt;=500000</f>
        <v/>
      </c>
      <c r="J2032">
        <f>E2032&gt;=2</f>
        <v/>
      </c>
      <c r="K2032">
        <f>AND(G2032,H2032,I2032,J2032)</f>
        <v/>
      </c>
    </row>
    <row r="2033">
      <c r="B2033" s="5">
        <f>BDP(A2033&amp;" US Equity","CUR_MKT_CAP")</f>
        <v/>
      </c>
      <c r="C2033">
        <f>BDP(A2033&amp;" US Equity","EXCH_CODE")</f>
        <v/>
      </c>
      <c r="D2033" s="5">
        <f>BDP(A2033&amp;" US Equity","VOLUME_AVG_20D")</f>
        <v/>
      </c>
      <c r="E2033" s="6">
        <f>BDP(A2033&amp;" US Equity","PX_LAST")</f>
        <v/>
      </c>
      <c r="F2033" s="5">
        <f>D2033*E2033</f>
        <v/>
      </c>
      <c r="G2033">
        <f>AND(B2033&gt;=50,B2033&lt;=10000)</f>
        <v/>
      </c>
      <c r="H2033">
        <f>OR(C2033="NAS",C2033="NYS",C2033="ASE")</f>
        <v/>
      </c>
      <c r="I2033">
        <f>F2033&gt;=500000</f>
        <v/>
      </c>
      <c r="J2033">
        <f>E2033&gt;=2</f>
        <v/>
      </c>
      <c r="K2033">
        <f>AND(G2033,H2033,I2033,J2033)</f>
        <v/>
      </c>
    </row>
    <row r="2034">
      <c r="B2034" s="5">
        <f>BDP(A2034&amp;" US Equity","CUR_MKT_CAP")</f>
        <v/>
      </c>
      <c r="C2034">
        <f>BDP(A2034&amp;" US Equity","EXCH_CODE")</f>
        <v/>
      </c>
      <c r="D2034" s="5">
        <f>BDP(A2034&amp;" US Equity","VOLUME_AVG_20D")</f>
        <v/>
      </c>
      <c r="E2034" s="6">
        <f>BDP(A2034&amp;" US Equity","PX_LAST")</f>
        <v/>
      </c>
      <c r="F2034" s="5">
        <f>D2034*E2034</f>
        <v/>
      </c>
      <c r="G2034">
        <f>AND(B2034&gt;=50,B2034&lt;=10000)</f>
        <v/>
      </c>
      <c r="H2034">
        <f>OR(C2034="NAS",C2034="NYS",C2034="ASE")</f>
        <v/>
      </c>
      <c r="I2034">
        <f>F2034&gt;=500000</f>
        <v/>
      </c>
      <c r="J2034">
        <f>E2034&gt;=2</f>
        <v/>
      </c>
      <c r="K2034">
        <f>AND(G2034,H2034,I2034,J2034)</f>
        <v/>
      </c>
    </row>
    <row r="2035">
      <c r="B2035" s="5">
        <f>BDP(A2035&amp;" US Equity","CUR_MKT_CAP")</f>
        <v/>
      </c>
      <c r="C2035">
        <f>BDP(A2035&amp;" US Equity","EXCH_CODE")</f>
        <v/>
      </c>
      <c r="D2035" s="5">
        <f>BDP(A2035&amp;" US Equity","VOLUME_AVG_20D")</f>
        <v/>
      </c>
      <c r="E2035" s="6">
        <f>BDP(A2035&amp;" US Equity","PX_LAST")</f>
        <v/>
      </c>
      <c r="F2035" s="5">
        <f>D2035*E2035</f>
        <v/>
      </c>
      <c r="G2035">
        <f>AND(B2035&gt;=50,B2035&lt;=10000)</f>
        <v/>
      </c>
      <c r="H2035">
        <f>OR(C2035="NAS",C2035="NYS",C2035="ASE")</f>
        <v/>
      </c>
      <c r="I2035">
        <f>F2035&gt;=500000</f>
        <v/>
      </c>
      <c r="J2035">
        <f>E2035&gt;=2</f>
        <v/>
      </c>
      <c r="K2035">
        <f>AND(G2035,H2035,I2035,J2035)</f>
        <v/>
      </c>
    </row>
    <row r="2036">
      <c r="B2036" s="5">
        <f>BDP(A2036&amp;" US Equity","CUR_MKT_CAP")</f>
        <v/>
      </c>
      <c r="C2036">
        <f>BDP(A2036&amp;" US Equity","EXCH_CODE")</f>
        <v/>
      </c>
      <c r="D2036" s="5">
        <f>BDP(A2036&amp;" US Equity","VOLUME_AVG_20D")</f>
        <v/>
      </c>
      <c r="E2036" s="6">
        <f>BDP(A2036&amp;" US Equity","PX_LAST")</f>
        <v/>
      </c>
      <c r="F2036" s="5">
        <f>D2036*E2036</f>
        <v/>
      </c>
      <c r="G2036">
        <f>AND(B2036&gt;=50,B2036&lt;=10000)</f>
        <v/>
      </c>
      <c r="H2036">
        <f>OR(C2036="NAS",C2036="NYS",C2036="ASE")</f>
        <v/>
      </c>
      <c r="I2036">
        <f>F2036&gt;=500000</f>
        <v/>
      </c>
      <c r="J2036">
        <f>E2036&gt;=2</f>
        <v/>
      </c>
      <c r="K2036">
        <f>AND(G2036,H2036,I2036,J2036)</f>
        <v/>
      </c>
    </row>
    <row r="2037">
      <c r="B2037" s="5">
        <f>BDP(A2037&amp;" US Equity","CUR_MKT_CAP")</f>
        <v/>
      </c>
      <c r="C2037">
        <f>BDP(A2037&amp;" US Equity","EXCH_CODE")</f>
        <v/>
      </c>
      <c r="D2037" s="5">
        <f>BDP(A2037&amp;" US Equity","VOLUME_AVG_20D")</f>
        <v/>
      </c>
      <c r="E2037" s="6">
        <f>BDP(A2037&amp;" US Equity","PX_LAST")</f>
        <v/>
      </c>
      <c r="F2037" s="5">
        <f>D2037*E2037</f>
        <v/>
      </c>
      <c r="G2037">
        <f>AND(B2037&gt;=50,B2037&lt;=10000)</f>
        <v/>
      </c>
      <c r="H2037">
        <f>OR(C2037="NAS",C2037="NYS",C2037="ASE")</f>
        <v/>
      </c>
      <c r="I2037">
        <f>F2037&gt;=500000</f>
        <v/>
      </c>
      <c r="J2037">
        <f>E2037&gt;=2</f>
        <v/>
      </c>
      <c r="K2037">
        <f>AND(G2037,H2037,I2037,J2037)</f>
        <v/>
      </c>
    </row>
    <row r="2038">
      <c r="B2038" s="5">
        <f>BDP(A2038&amp;" US Equity","CUR_MKT_CAP")</f>
        <v/>
      </c>
      <c r="C2038">
        <f>BDP(A2038&amp;" US Equity","EXCH_CODE")</f>
        <v/>
      </c>
      <c r="D2038" s="5">
        <f>BDP(A2038&amp;" US Equity","VOLUME_AVG_20D")</f>
        <v/>
      </c>
      <c r="E2038" s="6">
        <f>BDP(A2038&amp;" US Equity","PX_LAST")</f>
        <v/>
      </c>
      <c r="F2038" s="5">
        <f>D2038*E2038</f>
        <v/>
      </c>
      <c r="G2038">
        <f>AND(B2038&gt;=50,B2038&lt;=10000)</f>
        <v/>
      </c>
      <c r="H2038">
        <f>OR(C2038="NAS",C2038="NYS",C2038="ASE")</f>
        <v/>
      </c>
      <c r="I2038">
        <f>F2038&gt;=500000</f>
        <v/>
      </c>
      <c r="J2038">
        <f>E2038&gt;=2</f>
        <v/>
      </c>
      <c r="K2038">
        <f>AND(G2038,H2038,I2038,J2038)</f>
        <v/>
      </c>
    </row>
    <row r="2039">
      <c r="B2039" s="5">
        <f>BDP(A2039&amp;" US Equity","CUR_MKT_CAP")</f>
        <v/>
      </c>
      <c r="C2039">
        <f>BDP(A2039&amp;" US Equity","EXCH_CODE")</f>
        <v/>
      </c>
      <c r="D2039" s="5">
        <f>BDP(A2039&amp;" US Equity","VOLUME_AVG_20D")</f>
        <v/>
      </c>
      <c r="E2039" s="6">
        <f>BDP(A2039&amp;" US Equity","PX_LAST")</f>
        <v/>
      </c>
      <c r="F2039" s="5">
        <f>D2039*E2039</f>
        <v/>
      </c>
      <c r="G2039">
        <f>AND(B2039&gt;=50,B2039&lt;=10000)</f>
        <v/>
      </c>
      <c r="H2039">
        <f>OR(C2039="NAS",C2039="NYS",C2039="ASE")</f>
        <v/>
      </c>
      <c r="I2039">
        <f>F2039&gt;=500000</f>
        <v/>
      </c>
      <c r="J2039">
        <f>E2039&gt;=2</f>
        <v/>
      </c>
      <c r="K2039">
        <f>AND(G2039,H2039,I2039,J2039)</f>
        <v/>
      </c>
    </row>
    <row r="2040">
      <c r="B2040" s="5">
        <f>BDP(A2040&amp;" US Equity","CUR_MKT_CAP")</f>
        <v/>
      </c>
      <c r="C2040">
        <f>BDP(A2040&amp;" US Equity","EXCH_CODE")</f>
        <v/>
      </c>
      <c r="D2040" s="5">
        <f>BDP(A2040&amp;" US Equity","VOLUME_AVG_20D")</f>
        <v/>
      </c>
      <c r="E2040" s="6">
        <f>BDP(A2040&amp;" US Equity","PX_LAST")</f>
        <v/>
      </c>
      <c r="F2040" s="5">
        <f>D2040*E2040</f>
        <v/>
      </c>
      <c r="G2040">
        <f>AND(B2040&gt;=50,B2040&lt;=10000)</f>
        <v/>
      </c>
      <c r="H2040">
        <f>OR(C2040="NAS",C2040="NYS",C2040="ASE")</f>
        <v/>
      </c>
      <c r="I2040">
        <f>F2040&gt;=500000</f>
        <v/>
      </c>
      <c r="J2040">
        <f>E2040&gt;=2</f>
        <v/>
      </c>
      <c r="K2040">
        <f>AND(G2040,H2040,I2040,J2040)</f>
        <v/>
      </c>
    </row>
    <row r="2041">
      <c r="B2041" s="5">
        <f>BDP(A2041&amp;" US Equity","CUR_MKT_CAP")</f>
        <v/>
      </c>
      <c r="C2041">
        <f>BDP(A2041&amp;" US Equity","EXCH_CODE")</f>
        <v/>
      </c>
      <c r="D2041" s="5">
        <f>BDP(A2041&amp;" US Equity","VOLUME_AVG_20D")</f>
        <v/>
      </c>
      <c r="E2041" s="6">
        <f>BDP(A2041&amp;" US Equity","PX_LAST")</f>
        <v/>
      </c>
      <c r="F2041" s="5">
        <f>D2041*E2041</f>
        <v/>
      </c>
      <c r="G2041">
        <f>AND(B2041&gt;=50,B2041&lt;=10000)</f>
        <v/>
      </c>
      <c r="H2041">
        <f>OR(C2041="NAS",C2041="NYS",C2041="ASE")</f>
        <v/>
      </c>
      <c r="I2041">
        <f>F2041&gt;=500000</f>
        <v/>
      </c>
      <c r="J2041">
        <f>E2041&gt;=2</f>
        <v/>
      </c>
      <c r="K2041">
        <f>AND(G2041,H2041,I2041,J2041)</f>
        <v/>
      </c>
    </row>
    <row r="2042">
      <c r="B2042" s="5">
        <f>BDP(A2042&amp;" US Equity","CUR_MKT_CAP")</f>
        <v/>
      </c>
      <c r="C2042">
        <f>BDP(A2042&amp;" US Equity","EXCH_CODE")</f>
        <v/>
      </c>
      <c r="D2042" s="5">
        <f>BDP(A2042&amp;" US Equity","VOLUME_AVG_20D")</f>
        <v/>
      </c>
      <c r="E2042" s="6">
        <f>BDP(A2042&amp;" US Equity","PX_LAST")</f>
        <v/>
      </c>
      <c r="F2042" s="5">
        <f>D2042*E2042</f>
        <v/>
      </c>
      <c r="G2042">
        <f>AND(B2042&gt;=50,B2042&lt;=10000)</f>
        <v/>
      </c>
      <c r="H2042">
        <f>OR(C2042="NAS",C2042="NYS",C2042="ASE")</f>
        <v/>
      </c>
      <c r="I2042">
        <f>F2042&gt;=500000</f>
        <v/>
      </c>
      <c r="J2042">
        <f>E2042&gt;=2</f>
        <v/>
      </c>
      <c r="K2042">
        <f>AND(G2042,H2042,I2042,J2042)</f>
        <v/>
      </c>
    </row>
    <row r="2043">
      <c r="B2043" s="5">
        <f>BDP(A2043&amp;" US Equity","CUR_MKT_CAP")</f>
        <v/>
      </c>
      <c r="C2043">
        <f>BDP(A2043&amp;" US Equity","EXCH_CODE")</f>
        <v/>
      </c>
      <c r="D2043" s="5">
        <f>BDP(A2043&amp;" US Equity","VOLUME_AVG_20D")</f>
        <v/>
      </c>
      <c r="E2043" s="6">
        <f>BDP(A2043&amp;" US Equity","PX_LAST")</f>
        <v/>
      </c>
      <c r="F2043" s="5">
        <f>D2043*E2043</f>
        <v/>
      </c>
      <c r="G2043">
        <f>AND(B2043&gt;=50,B2043&lt;=10000)</f>
        <v/>
      </c>
      <c r="H2043">
        <f>OR(C2043="NAS",C2043="NYS",C2043="ASE")</f>
        <v/>
      </c>
      <c r="I2043">
        <f>F2043&gt;=500000</f>
        <v/>
      </c>
      <c r="J2043">
        <f>E2043&gt;=2</f>
        <v/>
      </c>
      <c r="K2043">
        <f>AND(G2043,H2043,I2043,J2043)</f>
        <v/>
      </c>
    </row>
    <row r="2044">
      <c r="B2044" s="5">
        <f>BDP(A2044&amp;" US Equity","CUR_MKT_CAP")</f>
        <v/>
      </c>
      <c r="C2044">
        <f>BDP(A2044&amp;" US Equity","EXCH_CODE")</f>
        <v/>
      </c>
      <c r="D2044" s="5">
        <f>BDP(A2044&amp;" US Equity","VOLUME_AVG_20D")</f>
        <v/>
      </c>
      <c r="E2044" s="6">
        <f>BDP(A2044&amp;" US Equity","PX_LAST")</f>
        <v/>
      </c>
      <c r="F2044" s="5">
        <f>D2044*E2044</f>
        <v/>
      </c>
      <c r="G2044">
        <f>AND(B2044&gt;=50,B2044&lt;=10000)</f>
        <v/>
      </c>
      <c r="H2044">
        <f>OR(C2044="NAS",C2044="NYS",C2044="ASE")</f>
        <v/>
      </c>
      <c r="I2044">
        <f>F2044&gt;=500000</f>
        <v/>
      </c>
      <c r="J2044">
        <f>E2044&gt;=2</f>
        <v/>
      </c>
      <c r="K2044">
        <f>AND(G2044,H2044,I2044,J2044)</f>
        <v/>
      </c>
    </row>
    <row r="2045">
      <c r="B2045" s="5">
        <f>BDP(A2045&amp;" US Equity","CUR_MKT_CAP")</f>
        <v/>
      </c>
      <c r="C2045">
        <f>BDP(A2045&amp;" US Equity","EXCH_CODE")</f>
        <v/>
      </c>
      <c r="D2045" s="5">
        <f>BDP(A2045&amp;" US Equity","VOLUME_AVG_20D")</f>
        <v/>
      </c>
      <c r="E2045" s="6">
        <f>BDP(A2045&amp;" US Equity","PX_LAST")</f>
        <v/>
      </c>
      <c r="F2045" s="5">
        <f>D2045*E2045</f>
        <v/>
      </c>
      <c r="G2045">
        <f>AND(B2045&gt;=50,B2045&lt;=10000)</f>
        <v/>
      </c>
      <c r="H2045">
        <f>OR(C2045="NAS",C2045="NYS",C2045="ASE")</f>
        <v/>
      </c>
      <c r="I2045">
        <f>F2045&gt;=500000</f>
        <v/>
      </c>
      <c r="J2045">
        <f>E2045&gt;=2</f>
        <v/>
      </c>
      <c r="K2045">
        <f>AND(G2045,H2045,I2045,J2045)</f>
        <v/>
      </c>
    </row>
    <row r="2046">
      <c r="B2046" s="5">
        <f>BDP(A2046&amp;" US Equity","CUR_MKT_CAP")</f>
        <v/>
      </c>
      <c r="C2046">
        <f>BDP(A2046&amp;" US Equity","EXCH_CODE")</f>
        <v/>
      </c>
      <c r="D2046" s="5">
        <f>BDP(A2046&amp;" US Equity","VOLUME_AVG_20D")</f>
        <v/>
      </c>
      <c r="E2046" s="6">
        <f>BDP(A2046&amp;" US Equity","PX_LAST")</f>
        <v/>
      </c>
      <c r="F2046" s="5">
        <f>D2046*E2046</f>
        <v/>
      </c>
      <c r="G2046">
        <f>AND(B2046&gt;=50,B2046&lt;=10000)</f>
        <v/>
      </c>
      <c r="H2046">
        <f>OR(C2046="NAS",C2046="NYS",C2046="ASE")</f>
        <v/>
      </c>
      <c r="I2046">
        <f>F2046&gt;=500000</f>
        <v/>
      </c>
      <c r="J2046">
        <f>E2046&gt;=2</f>
        <v/>
      </c>
      <c r="K2046">
        <f>AND(G2046,H2046,I2046,J2046)</f>
        <v/>
      </c>
    </row>
    <row r="2047">
      <c r="B2047" s="5">
        <f>BDP(A2047&amp;" US Equity","CUR_MKT_CAP")</f>
        <v/>
      </c>
      <c r="C2047">
        <f>BDP(A2047&amp;" US Equity","EXCH_CODE")</f>
        <v/>
      </c>
      <c r="D2047" s="5">
        <f>BDP(A2047&amp;" US Equity","VOLUME_AVG_20D")</f>
        <v/>
      </c>
      <c r="E2047" s="6">
        <f>BDP(A2047&amp;" US Equity","PX_LAST")</f>
        <v/>
      </c>
      <c r="F2047" s="5">
        <f>D2047*E2047</f>
        <v/>
      </c>
      <c r="G2047">
        <f>AND(B2047&gt;=50,B2047&lt;=10000)</f>
        <v/>
      </c>
      <c r="H2047">
        <f>OR(C2047="NAS",C2047="NYS",C2047="ASE")</f>
        <v/>
      </c>
      <c r="I2047">
        <f>F2047&gt;=500000</f>
        <v/>
      </c>
      <c r="J2047">
        <f>E2047&gt;=2</f>
        <v/>
      </c>
      <c r="K2047">
        <f>AND(G2047,H2047,I2047,J2047)</f>
        <v/>
      </c>
    </row>
    <row r="2048">
      <c r="B2048" s="5">
        <f>BDP(A2048&amp;" US Equity","CUR_MKT_CAP")</f>
        <v/>
      </c>
      <c r="C2048">
        <f>BDP(A2048&amp;" US Equity","EXCH_CODE")</f>
        <v/>
      </c>
      <c r="D2048" s="5">
        <f>BDP(A2048&amp;" US Equity","VOLUME_AVG_20D")</f>
        <v/>
      </c>
      <c r="E2048" s="6">
        <f>BDP(A2048&amp;" US Equity","PX_LAST")</f>
        <v/>
      </c>
      <c r="F2048" s="5">
        <f>D2048*E2048</f>
        <v/>
      </c>
      <c r="G2048">
        <f>AND(B2048&gt;=50,B2048&lt;=10000)</f>
        <v/>
      </c>
      <c r="H2048">
        <f>OR(C2048="NAS",C2048="NYS",C2048="ASE")</f>
        <v/>
      </c>
      <c r="I2048">
        <f>F2048&gt;=500000</f>
        <v/>
      </c>
      <c r="J2048">
        <f>E2048&gt;=2</f>
        <v/>
      </c>
      <c r="K2048">
        <f>AND(G2048,H2048,I2048,J2048)</f>
        <v/>
      </c>
    </row>
    <row r="2049">
      <c r="B2049" s="5">
        <f>BDP(A2049&amp;" US Equity","CUR_MKT_CAP")</f>
        <v/>
      </c>
      <c r="C2049">
        <f>BDP(A2049&amp;" US Equity","EXCH_CODE")</f>
        <v/>
      </c>
      <c r="D2049" s="5">
        <f>BDP(A2049&amp;" US Equity","VOLUME_AVG_20D")</f>
        <v/>
      </c>
      <c r="E2049" s="6">
        <f>BDP(A2049&amp;" US Equity","PX_LAST")</f>
        <v/>
      </c>
      <c r="F2049" s="5">
        <f>D2049*E2049</f>
        <v/>
      </c>
      <c r="G2049">
        <f>AND(B2049&gt;=50,B2049&lt;=10000)</f>
        <v/>
      </c>
      <c r="H2049">
        <f>OR(C2049="NAS",C2049="NYS",C2049="ASE")</f>
        <v/>
      </c>
      <c r="I2049">
        <f>F2049&gt;=500000</f>
        <v/>
      </c>
      <c r="J2049">
        <f>E2049&gt;=2</f>
        <v/>
      </c>
      <c r="K2049">
        <f>AND(G2049,H2049,I2049,J2049)</f>
        <v/>
      </c>
    </row>
    <row r="2050">
      <c r="B2050" s="5">
        <f>BDP(A2050&amp;" US Equity","CUR_MKT_CAP")</f>
        <v/>
      </c>
      <c r="C2050">
        <f>BDP(A2050&amp;" US Equity","EXCH_CODE")</f>
        <v/>
      </c>
      <c r="D2050" s="5">
        <f>BDP(A2050&amp;" US Equity","VOLUME_AVG_20D")</f>
        <v/>
      </c>
      <c r="E2050" s="6">
        <f>BDP(A2050&amp;" US Equity","PX_LAST")</f>
        <v/>
      </c>
      <c r="F2050" s="5">
        <f>D2050*E2050</f>
        <v/>
      </c>
      <c r="G2050">
        <f>AND(B2050&gt;=50,B2050&lt;=10000)</f>
        <v/>
      </c>
      <c r="H2050">
        <f>OR(C2050="NAS",C2050="NYS",C2050="ASE")</f>
        <v/>
      </c>
      <c r="I2050">
        <f>F2050&gt;=500000</f>
        <v/>
      </c>
      <c r="J2050">
        <f>E2050&gt;=2</f>
        <v/>
      </c>
      <c r="K2050">
        <f>AND(G2050,H2050,I2050,J2050)</f>
        <v/>
      </c>
    </row>
    <row r="2051">
      <c r="B2051" s="5">
        <f>BDP(A2051&amp;" US Equity","CUR_MKT_CAP")</f>
        <v/>
      </c>
      <c r="C2051">
        <f>BDP(A2051&amp;" US Equity","EXCH_CODE")</f>
        <v/>
      </c>
      <c r="D2051" s="5">
        <f>BDP(A2051&amp;" US Equity","VOLUME_AVG_20D")</f>
        <v/>
      </c>
      <c r="E2051" s="6">
        <f>BDP(A2051&amp;" US Equity","PX_LAST")</f>
        <v/>
      </c>
      <c r="F2051" s="5">
        <f>D2051*E2051</f>
        <v/>
      </c>
      <c r="G2051">
        <f>AND(B2051&gt;=50,B2051&lt;=10000)</f>
        <v/>
      </c>
      <c r="H2051">
        <f>OR(C2051="NAS",C2051="NYS",C2051="ASE")</f>
        <v/>
      </c>
      <c r="I2051">
        <f>F2051&gt;=500000</f>
        <v/>
      </c>
      <c r="J2051">
        <f>E2051&gt;=2</f>
        <v/>
      </c>
      <c r="K2051">
        <f>AND(G2051,H2051,I2051,J2051)</f>
        <v/>
      </c>
    </row>
    <row r="2052">
      <c r="B2052" s="5">
        <f>BDP(A2052&amp;" US Equity","CUR_MKT_CAP")</f>
        <v/>
      </c>
      <c r="C2052">
        <f>BDP(A2052&amp;" US Equity","EXCH_CODE")</f>
        <v/>
      </c>
      <c r="D2052" s="5">
        <f>BDP(A2052&amp;" US Equity","VOLUME_AVG_20D")</f>
        <v/>
      </c>
      <c r="E2052" s="6">
        <f>BDP(A2052&amp;" US Equity","PX_LAST")</f>
        <v/>
      </c>
      <c r="F2052" s="5">
        <f>D2052*E2052</f>
        <v/>
      </c>
      <c r="G2052">
        <f>AND(B2052&gt;=50,B2052&lt;=10000)</f>
        <v/>
      </c>
      <c r="H2052">
        <f>OR(C2052="NAS",C2052="NYS",C2052="ASE")</f>
        <v/>
      </c>
      <c r="I2052">
        <f>F2052&gt;=500000</f>
        <v/>
      </c>
      <c r="J2052">
        <f>E2052&gt;=2</f>
        <v/>
      </c>
      <c r="K2052">
        <f>AND(G2052,H2052,I2052,J2052)</f>
        <v/>
      </c>
    </row>
    <row r="2053">
      <c r="B2053" s="5">
        <f>BDP(A2053&amp;" US Equity","CUR_MKT_CAP")</f>
        <v/>
      </c>
      <c r="C2053">
        <f>BDP(A2053&amp;" US Equity","EXCH_CODE")</f>
        <v/>
      </c>
      <c r="D2053" s="5">
        <f>BDP(A2053&amp;" US Equity","VOLUME_AVG_20D")</f>
        <v/>
      </c>
      <c r="E2053" s="6">
        <f>BDP(A2053&amp;" US Equity","PX_LAST")</f>
        <v/>
      </c>
      <c r="F2053" s="5">
        <f>D2053*E2053</f>
        <v/>
      </c>
      <c r="G2053">
        <f>AND(B2053&gt;=50,B2053&lt;=10000)</f>
        <v/>
      </c>
      <c r="H2053">
        <f>OR(C2053="NAS",C2053="NYS",C2053="ASE")</f>
        <v/>
      </c>
      <c r="I2053">
        <f>F2053&gt;=500000</f>
        <v/>
      </c>
      <c r="J2053">
        <f>E2053&gt;=2</f>
        <v/>
      </c>
      <c r="K2053">
        <f>AND(G2053,H2053,I2053,J2053)</f>
        <v/>
      </c>
    </row>
    <row r="2054">
      <c r="B2054" s="5">
        <f>BDP(A2054&amp;" US Equity","CUR_MKT_CAP")</f>
        <v/>
      </c>
      <c r="C2054">
        <f>BDP(A2054&amp;" US Equity","EXCH_CODE")</f>
        <v/>
      </c>
      <c r="D2054" s="5">
        <f>BDP(A2054&amp;" US Equity","VOLUME_AVG_20D")</f>
        <v/>
      </c>
      <c r="E2054" s="6">
        <f>BDP(A2054&amp;" US Equity","PX_LAST")</f>
        <v/>
      </c>
      <c r="F2054" s="5">
        <f>D2054*E2054</f>
        <v/>
      </c>
      <c r="G2054">
        <f>AND(B2054&gt;=50,B2054&lt;=10000)</f>
        <v/>
      </c>
      <c r="H2054">
        <f>OR(C2054="NAS",C2054="NYS",C2054="ASE")</f>
        <v/>
      </c>
      <c r="I2054">
        <f>F2054&gt;=500000</f>
        <v/>
      </c>
      <c r="J2054">
        <f>E2054&gt;=2</f>
        <v/>
      </c>
      <c r="K2054">
        <f>AND(G2054,H2054,I2054,J2054)</f>
        <v/>
      </c>
    </row>
    <row r="2055">
      <c r="B2055" s="5">
        <f>BDP(A2055&amp;" US Equity","CUR_MKT_CAP")</f>
        <v/>
      </c>
      <c r="C2055">
        <f>BDP(A2055&amp;" US Equity","EXCH_CODE")</f>
        <v/>
      </c>
      <c r="D2055" s="5">
        <f>BDP(A2055&amp;" US Equity","VOLUME_AVG_20D")</f>
        <v/>
      </c>
      <c r="E2055" s="6">
        <f>BDP(A2055&amp;" US Equity","PX_LAST")</f>
        <v/>
      </c>
      <c r="F2055" s="5">
        <f>D2055*E2055</f>
        <v/>
      </c>
      <c r="G2055">
        <f>AND(B2055&gt;=50,B2055&lt;=10000)</f>
        <v/>
      </c>
      <c r="H2055">
        <f>OR(C2055="NAS",C2055="NYS",C2055="ASE")</f>
        <v/>
      </c>
      <c r="I2055">
        <f>F2055&gt;=500000</f>
        <v/>
      </c>
      <c r="J2055">
        <f>E2055&gt;=2</f>
        <v/>
      </c>
      <c r="K2055">
        <f>AND(G2055,H2055,I2055,J2055)</f>
        <v/>
      </c>
    </row>
    <row r="2056">
      <c r="B2056" s="5">
        <f>BDP(A2056&amp;" US Equity","CUR_MKT_CAP")</f>
        <v/>
      </c>
      <c r="C2056">
        <f>BDP(A2056&amp;" US Equity","EXCH_CODE")</f>
        <v/>
      </c>
      <c r="D2056" s="5">
        <f>BDP(A2056&amp;" US Equity","VOLUME_AVG_20D")</f>
        <v/>
      </c>
      <c r="E2056" s="6">
        <f>BDP(A2056&amp;" US Equity","PX_LAST")</f>
        <v/>
      </c>
      <c r="F2056" s="5">
        <f>D2056*E2056</f>
        <v/>
      </c>
      <c r="G2056">
        <f>AND(B2056&gt;=50,B2056&lt;=10000)</f>
        <v/>
      </c>
      <c r="H2056">
        <f>OR(C2056="NAS",C2056="NYS",C2056="ASE")</f>
        <v/>
      </c>
      <c r="I2056">
        <f>F2056&gt;=500000</f>
        <v/>
      </c>
      <c r="J2056">
        <f>E2056&gt;=2</f>
        <v/>
      </c>
      <c r="K2056">
        <f>AND(G2056,H2056,I2056,J2056)</f>
        <v/>
      </c>
    </row>
    <row r="2057">
      <c r="B2057" s="5">
        <f>BDP(A2057&amp;" US Equity","CUR_MKT_CAP")</f>
        <v/>
      </c>
      <c r="C2057">
        <f>BDP(A2057&amp;" US Equity","EXCH_CODE")</f>
        <v/>
      </c>
      <c r="D2057" s="5">
        <f>BDP(A2057&amp;" US Equity","VOLUME_AVG_20D")</f>
        <v/>
      </c>
      <c r="E2057" s="6">
        <f>BDP(A2057&amp;" US Equity","PX_LAST")</f>
        <v/>
      </c>
      <c r="F2057" s="5">
        <f>D2057*E2057</f>
        <v/>
      </c>
      <c r="G2057">
        <f>AND(B2057&gt;=50,B2057&lt;=10000)</f>
        <v/>
      </c>
      <c r="H2057">
        <f>OR(C2057="NAS",C2057="NYS",C2057="ASE")</f>
        <v/>
      </c>
      <c r="I2057">
        <f>F2057&gt;=500000</f>
        <v/>
      </c>
      <c r="J2057">
        <f>E2057&gt;=2</f>
        <v/>
      </c>
      <c r="K2057">
        <f>AND(G2057,H2057,I2057,J2057)</f>
        <v/>
      </c>
    </row>
    <row r="2058">
      <c r="B2058" s="5">
        <f>BDP(A2058&amp;" US Equity","CUR_MKT_CAP")</f>
        <v/>
      </c>
      <c r="C2058">
        <f>BDP(A2058&amp;" US Equity","EXCH_CODE")</f>
        <v/>
      </c>
      <c r="D2058" s="5">
        <f>BDP(A2058&amp;" US Equity","VOLUME_AVG_20D")</f>
        <v/>
      </c>
      <c r="E2058" s="6">
        <f>BDP(A2058&amp;" US Equity","PX_LAST")</f>
        <v/>
      </c>
      <c r="F2058" s="5">
        <f>D2058*E2058</f>
        <v/>
      </c>
      <c r="G2058">
        <f>AND(B2058&gt;=50,B2058&lt;=10000)</f>
        <v/>
      </c>
      <c r="H2058">
        <f>OR(C2058="NAS",C2058="NYS",C2058="ASE")</f>
        <v/>
      </c>
      <c r="I2058">
        <f>F2058&gt;=500000</f>
        <v/>
      </c>
      <c r="J2058">
        <f>E2058&gt;=2</f>
        <v/>
      </c>
      <c r="K2058">
        <f>AND(G2058,H2058,I2058,J2058)</f>
        <v/>
      </c>
    </row>
    <row r="2059">
      <c r="B2059" s="5">
        <f>BDP(A2059&amp;" US Equity","CUR_MKT_CAP")</f>
        <v/>
      </c>
      <c r="C2059">
        <f>BDP(A2059&amp;" US Equity","EXCH_CODE")</f>
        <v/>
      </c>
      <c r="D2059" s="5">
        <f>BDP(A2059&amp;" US Equity","VOLUME_AVG_20D")</f>
        <v/>
      </c>
      <c r="E2059" s="6">
        <f>BDP(A2059&amp;" US Equity","PX_LAST")</f>
        <v/>
      </c>
      <c r="F2059" s="5">
        <f>D2059*E2059</f>
        <v/>
      </c>
      <c r="G2059">
        <f>AND(B2059&gt;=50,B2059&lt;=10000)</f>
        <v/>
      </c>
      <c r="H2059">
        <f>OR(C2059="NAS",C2059="NYS",C2059="ASE")</f>
        <v/>
      </c>
      <c r="I2059">
        <f>F2059&gt;=500000</f>
        <v/>
      </c>
      <c r="J2059">
        <f>E2059&gt;=2</f>
        <v/>
      </c>
      <c r="K2059">
        <f>AND(G2059,H2059,I2059,J2059)</f>
        <v/>
      </c>
    </row>
    <row r="2060">
      <c r="B2060" s="5">
        <f>BDP(A2060&amp;" US Equity","CUR_MKT_CAP")</f>
        <v/>
      </c>
      <c r="C2060">
        <f>BDP(A2060&amp;" US Equity","EXCH_CODE")</f>
        <v/>
      </c>
      <c r="D2060" s="5">
        <f>BDP(A2060&amp;" US Equity","VOLUME_AVG_20D")</f>
        <v/>
      </c>
      <c r="E2060" s="6">
        <f>BDP(A2060&amp;" US Equity","PX_LAST")</f>
        <v/>
      </c>
      <c r="F2060" s="5">
        <f>D2060*E2060</f>
        <v/>
      </c>
      <c r="G2060">
        <f>AND(B2060&gt;=50,B2060&lt;=10000)</f>
        <v/>
      </c>
      <c r="H2060">
        <f>OR(C2060="NAS",C2060="NYS",C2060="ASE")</f>
        <v/>
      </c>
      <c r="I2060">
        <f>F2060&gt;=500000</f>
        <v/>
      </c>
      <c r="J2060">
        <f>E2060&gt;=2</f>
        <v/>
      </c>
      <c r="K2060">
        <f>AND(G2060,H2060,I2060,J2060)</f>
        <v/>
      </c>
    </row>
    <row r="2061">
      <c r="B2061" s="5">
        <f>BDP(A2061&amp;" US Equity","CUR_MKT_CAP")</f>
        <v/>
      </c>
      <c r="C2061">
        <f>BDP(A2061&amp;" US Equity","EXCH_CODE")</f>
        <v/>
      </c>
      <c r="D2061" s="5">
        <f>BDP(A2061&amp;" US Equity","VOLUME_AVG_20D")</f>
        <v/>
      </c>
      <c r="E2061" s="6">
        <f>BDP(A2061&amp;" US Equity","PX_LAST")</f>
        <v/>
      </c>
      <c r="F2061" s="5">
        <f>D2061*E2061</f>
        <v/>
      </c>
      <c r="G2061">
        <f>AND(B2061&gt;=50,B2061&lt;=10000)</f>
        <v/>
      </c>
      <c r="H2061">
        <f>OR(C2061="NAS",C2061="NYS",C2061="ASE")</f>
        <v/>
      </c>
      <c r="I2061">
        <f>F2061&gt;=500000</f>
        <v/>
      </c>
      <c r="J2061">
        <f>E2061&gt;=2</f>
        <v/>
      </c>
      <c r="K2061">
        <f>AND(G2061,H2061,I2061,J2061)</f>
        <v/>
      </c>
    </row>
    <row r="2062">
      <c r="B2062" s="5">
        <f>BDP(A2062&amp;" US Equity","CUR_MKT_CAP")</f>
        <v/>
      </c>
      <c r="C2062">
        <f>BDP(A2062&amp;" US Equity","EXCH_CODE")</f>
        <v/>
      </c>
      <c r="D2062" s="5">
        <f>BDP(A2062&amp;" US Equity","VOLUME_AVG_20D")</f>
        <v/>
      </c>
      <c r="E2062" s="6">
        <f>BDP(A2062&amp;" US Equity","PX_LAST")</f>
        <v/>
      </c>
      <c r="F2062" s="5">
        <f>D2062*E2062</f>
        <v/>
      </c>
      <c r="G2062">
        <f>AND(B2062&gt;=50,B2062&lt;=10000)</f>
        <v/>
      </c>
      <c r="H2062">
        <f>OR(C2062="NAS",C2062="NYS",C2062="ASE")</f>
        <v/>
      </c>
      <c r="I2062">
        <f>F2062&gt;=500000</f>
        <v/>
      </c>
      <c r="J2062">
        <f>E2062&gt;=2</f>
        <v/>
      </c>
      <c r="K2062">
        <f>AND(G2062,H2062,I2062,J2062)</f>
        <v/>
      </c>
    </row>
    <row r="2063">
      <c r="B2063" s="5">
        <f>BDP(A2063&amp;" US Equity","CUR_MKT_CAP")</f>
        <v/>
      </c>
      <c r="C2063">
        <f>BDP(A2063&amp;" US Equity","EXCH_CODE")</f>
        <v/>
      </c>
      <c r="D2063" s="5">
        <f>BDP(A2063&amp;" US Equity","VOLUME_AVG_20D")</f>
        <v/>
      </c>
      <c r="E2063" s="6">
        <f>BDP(A2063&amp;" US Equity","PX_LAST")</f>
        <v/>
      </c>
      <c r="F2063" s="5">
        <f>D2063*E2063</f>
        <v/>
      </c>
      <c r="G2063">
        <f>AND(B2063&gt;=50,B2063&lt;=10000)</f>
        <v/>
      </c>
      <c r="H2063">
        <f>OR(C2063="NAS",C2063="NYS",C2063="ASE")</f>
        <v/>
      </c>
      <c r="I2063">
        <f>F2063&gt;=500000</f>
        <v/>
      </c>
      <c r="J2063">
        <f>E2063&gt;=2</f>
        <v/>
      </c>
      <c r="K2063">
        <f>AND(G2063,H2063,I2063,J2063)</f>
        <v/>
      </c>
    </row>
    <row r="2064">
      <c r="B2064" s="5">
        <f>BDP(A2064&amp;" US Equity","CUR_MKT_CAP")</f>
        <v/>
      </c>
      <c r="C2064">
        <f>BDP(A2064&amp;" US Equity","EXCH_CODE")</f>
        <v/>
      </c>
      <c r="D2064" s="5">
        <f>BDP(A2064&amp;" US Equity","VOLUME_AVG_20D")</f>
        <v/>
      </c>
      <c r="E2064" s="6">
        <f>BDP(A2064&amp;" US Equity","PX_LAST")</f>
        <v/>
      </c>
      <c r="F2064" s="5">
        <f>D2064*E2064</f>
        <v/>
      </c>
      <c r="G2064">
        <f>AND(B2064&gt;=50,B2064&lt;=10000)</f>
        <v/>
      </c>
      <c r="H2064">
        <f>OR(C2064="NAS",C2064="NYS",C2064="ASE")</f>
        <v/>
      </c>
      <c r="I2064">
        <f>F2064&gt;=500000</f>
        <v/>
      </c>
      <c r="J2064">
        <f>E2064&gt;=2</f>
        <v/>
      </c>
      <c r="K2064">
        <f>AND(G2064,H2064,I2064,J2064)</f>
        <v/>
      </c>
    </row>
    <row r="2065">
      <c r="B2065" s="5">
        <f>BDP(A2065&amp;" US Equity","CUR_MKT_CAP")</f>
        <v/>
      </c>
      <c r="C2065">
        <f>BDP(A2065&amp;" US Equity","EXCH_CODE")</f>
        <v/>
      </c>
      <c r="D2065" s="5">
        <f>BDP(A2065&amp;" US Equity","VOLUME_AVG_20D")</f>
        <v/>
      </c>
      <c r="E2065" s="6">
        <f>BDP(A2065&amp;" US Equity","PX_LAST")</f>
        <v/>
      </c>
      <c r="F2065" s="5">
        <f>D2065*E2065</f>
        <v/>
      </c>
      <c r="G2065">
        <f>AND(B2065&gt;=50,B2065&lt;=10000)</f>
        <v/>
      </c>
      <c r="H2065">
        <f>OR(C2065="NAS",C2065="NYS",C2065="ASE")</f>
        <v/>
      </c>
      <c r="I2065">
        <f>F2065&gt;=500000</f>
        <v/>
      </c>
      <c r="J2065">
        <f>E2065&gt;=2</f>
        <v/>
      </c>
      <c r="K2065">
        <f>AND(G2065,H2065,I2065,J2065)</f>
        <v/>
      </c>
    </row>
    <row r="2066">
      <c r="B2066" s="5">
        <f>BDP(A2066&amp;" US Equity","CUR_MKT_CAP")</f>
        <v/>
      </c>
      <c r="C2066">
        <f>BDP(A2066&amp;" US Equity","EXCH_CODE")</f>
        <v/>
      </c>
      <c r="D2066" s="5">
        <f>BDP(A2066&amp;" US Equity","VOLUME_AVG_20D")</f>
        <v/>
      </c>
      <c r="E2066" s="6">
        <f>BDP(A2066&amp;" US Equity","PX_LAST")</f>
        <v/>
      </c>
      <c r="F2066" s="5">
        <f>D2066*E2066</f>
        <v/>
      </c>
      <c r="G2066">
        <f>AND(B2066&gt;=50,B2066&lt;=10000)</f>
        <v/>
      </c>
      <c r="H2066">
        <f>OR(C2066="NAS",C2066="NYS",C2066="ASE")</f>
        <v/>
      </c>
      <c r="I2066">
        <f>F2066&gt;=500000</f>
        <v/>
      </c>
      <c r="J2066">
        <f>E2066&gt;=2</f>
        <v/>
      </c>
      <c r="K2066">
        <f>AND(G2066,H2066,I2066,J2066)</f>
        <v/>
      </c>
    </row>
    <row r="2067">
      <c r="B2067" s="5">
        <f>BDP(A2067&amp;" US Equity","CUR_MKT_CAP")</f>
        <v/>
      </c>
      <c r="C2067">
        <f>BDP(A2067&amp;" US Equity","EXCH_CODE")</f>
        <v/>
      </c>
      <c r="D2067" s="5">
        <f>BDP(A2067&amp;" US Equity","VOLUME_AVG_20D")</f>
        <v/>
      </c>
      <c r="E2067" s="6">
        <f>BDP(A2067&amp;" US Equity","PX_LAST")</f>
        <v/>
      </c>
      <c r="F2067" s="5">
        <f>D2067*E2067</f>
        <v/>
      </c>
      <c r="G2067">
        <f>AND(B2067&gt;=50,B2067&lt;=10000)</f>
        <v/>
      </c>
      <c r="H2067">
        <f>OR(C2067="NAS",C2067="NYS",C2067="ASE")</f>
        <v/>
      </c>
      <c r="I2067">
        <f>F2067&gt;=500000</f>
        <v/>
      </c>
      <c r="J2067">
        <f>E2067&gt;=2</f>
        <v/>
      </c>
      <c r="K2067">
        <f>AND(G2067,H2067,I2067,J2067)</f>
        <v/>
      </c>
    </row>
    <row r="2068">
      <c r="B2068" s="5">
        <f>BDP(A2068&amp;" US Equity","CUR_MKT_CAP")</f>
        <v/>
      </c>
      <c r="C2068">
        <f>BDP(A2068&amp;" US Equity","EXCH_CODE")</f>
        <v/>
      </c>
      <c r="D2068" s="5">
        <f>BDP(A2068&amp;" US Equity","VOLUME_AVG_20D")</f>
        <v/>
      </c>
      <c r="E2068" s="6">
        <f>BDP(A2068&amp;" US Equity","PX_LAST")</f>
        <v/>
      </c>
      <c r="F2068" s="5">
        <f>D2068*E2068</f>
        <v/>
      </c>
      <c r="G2068">
        <f>AND(B2068&gt;=50,B2068&lt;=10000)</f>
        <v/>
      </c>
      <c r="H2068">
        <f>OR(C2068="NAS",C2068="NYS",C2068="ASE")</f>
        <v/>
      </c>
      <c r="I2068">
        <f>F2068&gt;=500000</f>
        <v/>
      </c>
      <c r="J2068">
        <f>E2068&gt;=2</f>
        <v/>
      </c>
      <c r="K2068">
        <f>AND(G2068,H2068,I2068,J2068)</f>
        <v/>
      </c>
    </row>
    <row r="2069">
      <c r="B2069" s="5">
        <f>BDP(A2069&amp;" US Equity","CUR_MKT_CAP")</f>
        <v/>
      </c>
      <c r="C2069">
        <f>BDP(A2069&amp;" US Equity","EXCH_CODE")</f>
        <v/>
      </c>
      <c r="D2069" s="5">
        <f>BDP(A2069&amp;" US Equity","VOLUME_AVG_20D")</f>
        <v/>
      </c>
      <c r="E2069" s="6">
        <f>BDP(A2069&amp;" US Equity","PX_LAST")</f>
        <v/>
      </c>
      <c r="F2069" s="5">
        <f>D2069*E2069</f>
        <v/>
      </c>
      <c r="G2069">
        <f>AND(B2069&gt;=50,B2069&lt;=10000)</f>
        <v/>
      </c>
      <c r="H2069">
        <f>OR(C2069="NAS",C2069="NYS",C2069="ASE")</f>
        <v/>
      </c>
      <c r="I2069">
        <f>F2069&gt;=500000</f>
        <v/>
      </c>
      <c r="J2069">
        <f>E2069&gt;=2</f>
        <v/>
      </c>
      <c r="K2069">
        <f>AND(G2069,H2069,I2069,J2069)</f>
        <v/>
      </c>
    </row>
    <row r="2070">
      <c r="B2070" s="5">
        <f>BDP(A2070&amp;" US Equity","CUR_MKT_CAP")</f>
        <v/>
      </c>
      <c r="C2070">
        <f>BDP(A2070&amp;" US Equity","EXCH_CODE")</f>
        <v/>
      </c>
      <c r="D2070" s="5">
        <f>BDP(A2070&amp;" US Equity","VOLUME_AVG_20D")</f>
        <v/>
      </c>
      <c r="E2070" s="6">
        <f>BDP(A2070&amp;" US Equity","PX_LAST")</f>
        <v/>
      </c>
      <c r="F2070" s="5">
        <f>D2070*E2070</f>
        <v/>
      </c>
      <c r="G2070">
        <f>AND(B2070&gt;=50,B2070&lt;=10000)</f>
        <v/>
      </c>
      <c r="H2070">
        <f>OR(C2070="NAS",C2070="NYS",C2070="ASE")</f>
        <v/>
      </c>
      <c r="I2070">
        <f>F2070&gt;=500000</f>
        <v/>
      </c>
      <c r="J2070">
        <f>E2070&gt;=2</f>
        <v/>
      </c>
      <c r="K2070">
        <f>AND(G2070,H2070,I2070,J2070)</f>
        <v/>
      </c>
    </row>
    <row r="2071">
      <c r="B2071" s="5">
        <f>BDP(A2071&amp;" US Equity","CUR_MKT_CAP")</f>
        <v/>
      </c>
      <c r="C2071">
        <f>BDP(A2071&amp;" US Equity","EXCH_CODE")</f>
        <v/>
      </c>
      <c r="D2071" s="5">
        <f>BDP(A2071&amp;" US Equity","VOLUME_AVG_20D")</f>
        <v/>
      </c>
      <c r="E2071" s="6">
        <f>BDP(A2071&amp;" US Equity","PX_LAST")</f>
        <v/>
      </c>
      <c r="F2071" s="5">
        <f>D2071*E2071</f>
        <v/>
      </c>
      <c r="G2071">
        <f>AND(B2071&gt;=50,B2071&lt;=10000)</f>
        <v/>
      </c>
      <c r="H2071">
        <f>OR(C2071="NAS",C2071="NYS",C2071="ASE")</f>
        <v/>
      </c>
      <c r="I2071">
        <f>F2071&gt;=500000</f>
        <v/>
      </c>
      <c r="J2071">
        <f>E2071&gt;=2</f>
        <v/>
      </c>
      <c r="K2071">
        <f>AND(G2071,H2071,I2071,J2071)</f>
        <v/>
      </c>
    </row>
    <row r="2072">
      <c r="B2072" s="5">
        <f>BDP(A2072&amp;" US Equity","CUR_MKT_CAP")</f>
        <v/>
      </c>
      <c r="C2072">
        <f>BDP(A2072&amp;" US Equity","EXCH_CODE")</f>
        <v/>
      </c>
      <c r="D2072" s="5">
        <f>BDP(A2072&amp;" US Equity","VOLUME_AVG_20D")</f>
        <v/>
      </c>
      <c r="E2072" s="6">
        <f>BDP(A2072&amp;" US Equity","PX_LAST")</f>
        <v/>
      </c>
      <c r="F2072" s="5">
        <f>D2072*E2072</f>
        <v/>
      </c>
      <c r="G2072">
        <f>AND(B2072&gt;=50,B2072&lt;=10000)</f>
        <v/>
      </c>
      <c r="H2072">
        <f>OR(C2072="NAS",C2072="NYS",C2072="ASE")</f>
        <v/>
      </c>
      <c r="I2072">
        <f>F2072&gt;=500000</f>
        <v/>
      </c>
      <c r="J2072">
        <f>E2072&gt;=2</f>
        <v/>
      </c>
      <c r="K2072">
        <f>AND(G2072,H2072,I2072,J2072)</f>
        <v/>
      </c>
    </row>
    <row r="2073">
      <c r="B2073" s="5">
        <f>BDP(A2073&amp;" US Equity","CUR_MKT_CAP")</f>
        <v/>
      </c>
      <c r="C2073">
        <f>BDP(A2073&amp;" US Equity","EXCH_CODE")</f>
        <v/>
      </c>
      <c r="D2073" s="5">
        <f>BDP(A2073&amp;" US Equity","VOLUME_AVG_20D")</f>
        <v/>
      </c>
      <c r="E2073" s="6">
        <f>BDP(A2073&amp;" US Equity","PX_LAST")</f>
        <v/>
      </c>
      <c r="F2073" s="5">
        <f>D2073*E2073</f>
        <v/>
      </c>
      <c r="G2073">
        <f>AND(B2073&gt;=50,B2073&lt;=10000)</f>
        <v/>
      </c>
      <c r="H2073">
        <f>OR(C2073="NAS",C2073="NYS",C2073="ASE")</f>
        <v/>
      </c>
      <c r="I2073">
        <f>F2073&gt;=500000</f>
        <v/>
      </c>
      <c r="J2073">
        <f>E2073&gt;=2</f>
        <v/>
      </c>
      <c r="K2073">
        <f>AND(G2073,H2073,I2073,J2073)</f>
        <v/>
      </c>
    </row>
    <row r="2074">
      <c r="B2074" s="5">
        <f>BDP(A2074&amp;" US Equity","CUR_MKT_CAP")</f>
        <v/>
      </c>
      <c r="C2074">
        <f>BDP(A2074&amp;" US Equity","EXCH_CODE")</f>
        <v/>
      </c>
      <c r="D2074" s="5">
        <f>BDP(A2074&amp;" US Equity","VOLUME_AVG_20D")</f>
        <v/>
      </c>
      <c r="E2074" s="6">
        <f>BDP(A2074&amp;" US Equity","PX_LAST")</f>
        <v/>
      </c>
      <c r="F2074" s="5">
        <f>D2074*E2074</f>
        <v/>
      </c>
      <c r="G2074">
        <f>AND(B2074&gt;=50,B2074&lt;=10000)</f>
        <v/>
      </c>
      <c r="H2074">
        <f>OR(C2074="NAS",C2074="NYS",C2074="ASE")</f>
        <v/>
      </c>
      <c r="I2074">
        <f>F2074&gt;=500000</f>
        <v/>
      </c>
      <c r="J2074">
        <f>E2074&gt;=2</f>
        <v/>
      </c>
      <c r="K2074">
        <f>AND(G2074,H2074,I2074,J2074)</f>
        <v/>
      </c>
    </row>
    <row r="2075">
      <c r="B2075" s="5">
        <f>BDP(A2075&amp;" US Equity","CUR_MKT_CAP")</f>
        <v/>
      </c>
      <c r="C2075">
        <f>BDP(A2075&amp;" US Equity","EXCH_CODE")</f>
        <v/>
      </c>
      <c r="D2075" s="5">
        <f>BDP(A2075&amp;" US Equity","VOLUME_AVG_20D")</f>
        <v/>
      </c>
      <c r="E2075" s="6">
        <f>BDP(A2075&amp;" US Equity","PX_LAST")</f>
        <v/>
      </c>
      <c r="F2075" s="5">
        <f>D2075*E2075</f>
        <v/>
      </c>
      <c r="G2075">
        <f>AND(B2075&gt;=50,B2075&lt;=10000)</f>
        <v/>
      </c>
      <c r="H2075">
        <f>OR(C2075="NAS",C2075="NYS",C2075="ASE")</f>
        <v/>
      </c>
      <c r="I2075">
        <f>F2075&gt;=500000</f>
        <v/>
      </c>
      <c r="J2075">
        <f>E2075&gt;=2</f>
        <v/>
      </c>
      <c r="K2075">
        <f>AND(G2075,H2075,I2075,J2075)</f>
        <v/>
      </c>
    </row>
    <row r="2076">
      <c r="B2076" s="5">
        <f>BDP(A2076&amp;" US Equity","CUR_MKT_CAP")</f>
        <v/>
      </c>
      <c r="C2076">
        <f>BDP(A2076&amp;" US Equity","EXCH_CODE")</f>
        <v/>
      </c>
      <c r="D2076" s="5">
        <f>BDP(A2076&amp;" US Equity","VOLUME_AVG_20D")</f>
        <v/>
      </c>
      <c r="E2076" s="6">
        <f>BDP(A2076&amp;" US Equity","PX_LAST")</f>
        <v/>
      </c>
      <c r="F2076" s="5">
        <f>D2076*E2076</f>
        <v/>
      </c>
      <c r="G2076">
        <f>AND(B2076&gt;=50,B2076&lt;=10000)</f>
        <v/>
      </c>
      <c r="H2076">
        <f>OR(C2076="NAS",C2076="NYS",C2076="ASE")</f>
        <v/>
      </c>
      <c r="I2076">
        <f>F2076&gt;=500000</f>
        <v/>
      </c>
      <c r="J2076">
        <f>E2076&gt;=2</f>
        <v/>
      </c>
      <c r="K2076">
        <f>AND(G2076,H2076,I2076,J2076)</f>
        <v/>
      </c>
    </row>
    <row r="2077">
      <c r="B2077" s="5">
        <f>BDP(A2077&amp;" US Equity","CUR_MKT_CAP")</f>
        <v/>
      </c>
      <c r="C2077">
        <f>BDP(A2077&amp;" US Equity","EXCH_CODE")</f>
        <v/>
      </c>
      <c r="D2077" s="5">
        <f>BDP(A2077&amp;" US Equity","VOLUME_AVG_20D")</f>
        <v/>
      </c>
      <c r="E2077" s="6">
        <f>BDP(A2077&amp;" US Equity","PX_LAST")</f>
        <v/>
      </c>
      <c r="F2077" s="5">
        <f>D2077*E2077</f>
        <v/>
      </c>
      <c r="G2077">
        <f>AND(B2077&gt;=50,B2077&lt;=10000)</f>
        <v/>
      </c>
      <c r="H2077">
        <f>OR(C2077="NAS",C2077="NYS",C2077="ASE")</f>
        <v/>
      </c>
      <c r="I2077">
        <f>F2077&gt;=500000</f>
        <v/>
      </c>
      <c r="J2077">
        <f>E2077&gt;=2</f>
        <v/>
      </c>
      <c r="K2077">
        <f>AND(G2077,H2077,I2077,J2077)</f>
        <v/>
      </c>
    </row>
    <row r="2078">
      <c r="B2078" s="5">
        <f>BDP(A2078&amp;" US Equity","CUR_MKT_CAP")</f>
        <v/>
      </c>
      <c r="C2078">
        <f>BDP(A2078&amp;" US Equity","EXCH_CODE")</f>
        <v/>
      </c>
      <c r="D2078" s="5">
        <f>BDP(A2078&amp;" US Equity","VOLUME_AVG_20D")</f>
        <v/>
      </c>
      <c r="E2078" s="6">
        <f>BDP(A2078&amp;" US Equity","PX_LAST")</f>
        <v/>
      </c>
      <c r="F2078" s="5">
        <f>D2078*E2078</f>
        <v/>
      </c>
      <c r="G2078">
        <f>AND(B2078&gt;=50,B2078&lt;=10000)</f>
        <v/>
      </c>
      <c r="H2078">
        <f>OR(C2078="NAS",C2078="NYS",C2078="ASE")</f>
        <v/>
      </c>
      <c r="I2078">
        <f>F2078&gt;=500000</f>
        <v/>
      </c>
      <c r="J2078">
        <f>E2078&gt;=2</f>
        <v/>
      </c>
      <c r="K2078">
        <f>AND(G2078,H2078,I2078,J2078)</f>
        <v/>
      </c>
    </row>
    <row r="2079">
      <c r="B2079" s="5">
        <f>BDP(A2079&amp;" US Equity","CUR_MKT_CAP")</f>
        <v/>
      </c>
      <c r="C2079">
        <f>BDP(A2079&amp;" US Equity","EXCH_CODE")</f>
        <v/>
      </c>
      <c r="D2079" s="5">
        <f>BDP(A2079&amp;" US Equity","VOLUME_AVG_20D")</f>
        <v/>
      </c>
      <c r="E2079" s="6">
        <f>BDP(A2079&amp;" US Equity","PX_LAST")</f>
        <v/>
      </c>
      <c r="F2079" s="5">
        <f>D2079*E2079</f>
        <v/>
      </c>
      <c r="G2079">
        <f>AND(B2079&gt;=50,B2079&lt;=10000)</f>
        <v/>
      </c>
      <c r="H2079">
        <f>OR(C2079="NAS",C2079="NYS",C2079="ASE")</f>
        <v/>
      </c>
      <c r="I2079">
        <f>F2079&gt;=500000</f>
        <v/>
      </c>
      <c r="J2079">
        <f>E2079&gt;=2</f>
        <v/>
      </c>
      <c r="K2079">
        <f>AND(G2079,H2079,I2079,J2079)</f>
        <v/>
      </c>
    </row>
    <row r="2080">
      <c r="B2080" s="5">
        <f>BDP(A2080&amp;" US Equity","CUR_MKT_CAP")</f>
        <v/>
      </c>
      <c r="C2080">
        <f>BDP(A2080&amp;" US Equity","EXCH_CODE")</f>
        <v/>
      </c>
      <c r="D2080" s="5">
        <f>BDP(A2080&amp;" US Equity","VOLUME_AVG_20D")</f>
        <v/>
      </c>
      <c r="E2080" s="6">
        <f>BDP(A2080&amp;" US Equity","PX_LAST")</f>
        <v/>
      </c>
      <c r="F2080" s="5">
        <f>D2080*E2080</f>
        <v/>
      </c>
      <c r="G2080">
        <f>AND(B2080&gt;=50,B2080&lt;=10000)</f>
        <v/>
      </c>
      <c r="H2080">
        <f>OR(C2080="NAS",C2080="NYS",C2080="ASE")</f>
        <v/>
      </c>
      <c r="I2080">
        <f>F2080&gt;=500000</f>
        <v/>
      </c>
      <c r="J2080">
        <f>E2080&gt;=2</f>
        <v/>
      </c>
      <c r="K2080">
        <f>AND(G2080,H2080,I2080,J2080)</f>
        <v/>
      </c>
    </row>
    <row r="2081">
      <c r="B2081" s="5">
        <f>BDP(A2081&amp;" US Equity","CUR_MKT_CAP")</f>
        <v/>
      </c>
      <c r="C2081">
        <f>BDP(A2081&amp;" US Equity","EXCH_CODE")</f>
        <v/>
      </c>
      <c r="D2081" s="5">
        <f>BDP(A2081&amp;" US Equity","VOLUME_AVG_20D")</f>
        <v/>
      </c>
      <c r="E2081" s="6">
        <f>BDP(A2081&amp;" US Equity","PX_LAST")</f>
        <v/>
      </c>
      <c r="F2081" s="5">
        <f>D2081*E2081</f>
        <v/>
      </c>
      <c r="G2081">
        <f>AND(B2081&gt;=50,B2081&lt;=10000)</f>
        <v/>
      </c>
      <c r="H2081">
        <f>OR(C2081="NAS",C2081="NYS",C2081="ASE")</f>
        <v/>
      </c>
      <c r="I2081">
        <f>F2081&gt;=500000</f>
        <v/>
      </c>
      <c r="J2081">
        <f>E2081&gt;=2</f>
        <v/>
      </c>
      <c r="K2081">
        <f>AND(G2081,H2081,I2081,J2081)</f>
        <v/>
      </c>
    </row>
    <row r="2082">
      <c r="B2082" s="5">
        <f>BDP(A2082&amp;" US Equity","CUR_MKT_CAP")</f>
        <v/>
      </c>
      <c r="C2082">
        <f>BDP(A2082&amp;" US Equity","EXCH_CODE")</f>
        <v/>
      </c>
      <c r="D2082" s="5">
        <f>BDP(A2082&amp;" US Equity","VOLUME_AVG_20D")</f>
        <v/>
      </c>
      <c r="E2082" s="6">
        <f>BDP(A2082&amp;" US Equity","PX_LAST")</f>
        <v/>
      </c>
      <c r="F2082" s="5">
        <f>D2082*E2082</f>
        <v/>
      </c>
      <c r="G2082">
        <f>AND(B2082&gt;=50,B2082&lt;=10000)</f>
        <v/>
      </c>
      <c r="H2082">
        <f>OR(C2082="NAS",C2082="NYS",C2082="ASE")</f>
        <v/>
      </c>
      <c r="I2082">
        <f>F2082&gt;=500000</f>
        <v/>
      </c>
      <c r="J2082">
        <f>E2082&gt;=2</f>
        <v/>
      </c>
      <c r="K2082">
        <f>AND(G2082,H2082,I2082,J2082)</f>
        <v/>
      </c>
    </row>
    <row r="2083">
      <c r="B2083" s="5">
        <f>BDP(A2083&amp;" US Equity","CUR_MKT_CAP")</f>
        <v/>
      </c>
      <c r="C2083">
        <f>BDP(A2083&amp;" US Equity","EXCH_CODE")</f>
        <v/>
      </c>
      <c r="D2083" s="5">
        <f>BDP(A2083&amp;" US Equity","VOLUME_AVG_20D")</f>
        <v/>
      </c>
      <c r="E2083" s="6">
        <f>BDP(A2083&amp;" US Equity","PX_LAST")</f>
        <v/>
      </c>
      <c r="F2083" s="5">
        <f>D2083*E2083</f>
        <v/>
      </c>
      <c r="G2083">
        <f>AND(B2083&gt;=50,B2083&lt;=10000)</f>
        <v/>
      </c>
      <c r="H2083">
        <f>OR(C2083="NAS",C2083="NYS",C2083="ASE")</f>
        <v/>
      </c>
      <c r="I2083">
        <f>F2083&gt;=500000</f>
        <v/>
      </c>
      <c r="J2083">
        <f>E2083&gt;=2</f>
        <v/>
      </c>
      <c r="K2083">
        <f>AND(G2083,H2083,I2083,J2083)</f>
        <v/>
      </c>
    </row>
    <row r="2084">
      <c r="B2084" s="5">
        <f>BDP(A2084&amp;" US Equity","CUR_MKT_CAP")</f>
        <v/>
      </c>
      <c r="C2084">
        <f>BDP(A2084&amp;" US Equity","EXCH_CODE")</f>
        <v/>
      </c>
      <c r="D2084" s="5">
        <f>BDP(A2084&amp;" US Equity","VOLUME_AVG_20D")</f>
        <v/>
      </c>
      <c r="E2084" s="6">
        <f>BDP(A2084&amp;" US Equity","PX_LAST")</f>
        <v/>
      </c>
      <c r="F2084" s="5">
        <f>D2084*E2084</f>
        <v/>
      </c>
      <c r="G2084">
        <f>AND(B2084&gt;=50,B2084&lt;=10000)</f>
        <v/>
      </c>
      <c r="H2084">
        <f>OR(C2084="NAS",C2084="NYS",C2084="ASE")</f>
        <v/>
      </c>
      <c r="I2084">
        <f>F2084&gt;=500000</f>
        <v/>
      </c>
      <c r="J2084">
        <f>E2084&gt;=2</f>
        <v/>
      </c>
      <c r="K2084">
        <f>AND(G2084,H2084,I2084,J2084)</f>
        <v/>
      </c>
    </row>
    <row r="2085">
      <c r="B2085" s="5">
        <f>BDP(A2085&amp;" US Equity","CUR_MKT_CAP")</f>
        <v/>
      </c>
      <c r="C2085">
        <f>BDP(A2085&amp;" US Equity","EXCH_CODE")</f>
        <v/>
      </c>
      <c r="D2085" s="5">
        <f>BDP(A2085&amp;" US Equity","VOLUME_AVG_20D")</f>
        <v/>
      </c>
      <c r="E2085" s="6">
        <f>BDP(A2085&amp;" US Equity","PX_LAST")</f>
        <v/>
      </c>
      <c r="F2085" s="5">
        <f>D2085*E2085</f>
        <v/>
      </c>
      <c r="G2085">
        <f>AND(B2085&gt;=50,B2085&lt;=10000)</f>
        <v/>
      </c>
      <c r="H2085">
        <f>OR(C2085="NAS",C2085="NYS",C2085="ASE")</f>
        <v/>
      </c>
      <c r="I2085">
        <f>F2085&gt;=500000</f>
        <v/>
      </c>
      <c r="J2085">
        <f>E2085&gt;=2</f>
        <v/>
      </c>
      <c r="K2085">
        <f>AND(G2085,H2085,I2085,J2085)</f>
        <v/>
      </c>
    </row>
    <row r="2086">
      <c r="B2086" s="5">
        <f>BDP(A2086&amp;" US Equity","CUR_MKT_CAP")</f>
        <v/>
      </c>
      <c r="C2086">
        <f>BDP(A2086&amp;" US Equity","EXCH_CODE")</f>
        <v/>
      </c>
      <c r="D2086" s="5">
        <f>BDP(A2086&amp;" US Equity","VOLUME_AVG_20D")</f>
        <v/>
      </c>
      <c r="E2086" s="6">
        <f>BDP(A2086&amp;" US Equity","PX_LAST")</f>
        <v/>
      </c>
      <c r="F2086" s="5">
        <f>D2086*E2086</f>
        <v/>
      </c>
      <c r="G2086">
        <f>AND(B2086&gt;=50,B2086&lt;=10000)</f>
        <v/>
      </c>
      <c r="H2086">
        <f>OR(C2086="NAS",C2086="NYS",C2086="ASE")</f>
        <v/>
      </c>
      <c r="I2086">
        <f>F2086&gt;=500000</f>
        <v/>
      </c>
      <c r="J2086">
        <f>E2086&gt;=2</f>
        <v/>
      </c>
      <c r="K2086">
        <f>AND(G2086,H2086,I2086,J2086)</f>
        <v/>
      </c>
    </row>
    <row r="2087">
      <c r="B2087" s="5">
        <f>BDP(A2087&amp;" US Equity","CUR_MKT_CAP")</f>
        <v/>
      </c>
      <c r="C2087">
        <f>BDP(A2087&amp;" US Equity","EXCH_CODE")</f>
        <v/>
      </c>
      <c r="D2087" s="5">
        <f>BDP(A2087&amp;" US Equity","VOLUME_AVG_20D")</f>
        <v/>
      </c>
      <c r="E2087" s="6">
        <f>BDP(A2087&amp;" US Equity","PX_LAST")</f>
        <v/>
      </c>
      <c r="F2087" s="5">
        <f>D2087*E2087</f>
        <v/>
      </c>
      <c r="G2087">
        <f>AND(B2087&gt;=50,B2087&lt;=10000)</f>
        <v/>
      </c>
      <c r="H2087">
        <f>OR(C2087="NAS",C2087="NYS",C2087="ASE")</f>
        <v/>
      </c>
      <c r="I2087">
        <f>F2087&gt;=500000</f>
        <v/>
      </c>
      <c r="J2087">
        <f>E2087&gt;=2</f>
        <v/>
      </c>
      <c r="K2087">
        <f>AND(G2087,H2087,I2087,J2087)</f>
        <v/>
      </c>
    </row>
    <row r="2088">
      <c r="B2088" s="5">
        <f>BDP(A2088&amp;" US Equity","CUR_MKT_CAP")</f>
        <v/>
      </c>
      <c r="C2088">
        <f>BDP(A2088&amp;" US Equity","EXCH_CODE")</f>
        <v/>
      </c>
      <c r="D2088" s="5">
        <f>BDP(A2088&amp;" US Equity","VOLUME_AVG_20D")</f>
        <v/>
      </c>
      <c r="E2088" s="6">
        <f>BDP(A2088&amp;" US Equity","PX_LAST")</f>
        <v/>
      </c>
      <c r="F2088" s="5">
        <f>D2088*E2088</f>
        <v/>
      </c>
      <c r="G2088">
        <f>AND(B2088&gt;=50,B2088&lt;=10000)</f>
        <v/>
      </c>
      <c r="H2088">
        <f>OR(C2088="NAS",C2088="NYS",C2088="ASE")</f>
        <v/>
      </c>
      <c r="I2088">
        <f>F2088&gt;=500000</f>
        <v/>
      </c>
      <c r="J2088">
        <f>E2088&gt;=2</f>
        <v/>
      </c>
      <c r="K2088">
        <f>AND(G2088,H2088,I2088,J2088)</f>
        <v/>
      </c>
    </row>
    <row r="2089">
      <c r="B2089" s="5">
        <f>BDP(A2089&amp;" US Equity","CUR_MKT_CAP")</f>
        <v/>
      </c>
      <c r="C2089">
        <f>BDP(A2089&amp;" US Equity","EXCH_CODE")</f>
        <v/>
      </c>
      <c r="D2089" s="5">
        <f>BDP(A2089&amp;" US Equity","VOLUME_AVG_20D")</f>
        <v/>
      </c>
      <c r="E2089" s="6">
        <f>BDP(A2089&amp;" US Equity","PX_LAST")</f>
        <v/>
      </c>
      <c r="F2089" s="5">
        <f>D2089*E2089</f>
        <v/>
      </c>
      <c r="G2089">
        <f>AND(B2089&gt;=50,B2089&lt;=10000)</f>
        <v/>
      </c>
      <c r="H2089">
        <f>OR(C2089="NAS",C2089="NYS",C2089="ASE")</f>
        <v/>
      </c>
      <c r="I2089">
        <f>F2089&gt;=500000</f>
        <v/>
      </c>
      <c r="J2089">
        <f>E2089&gt;=2</f>
        <v/>
      </c>
      <c r="K2089">
        <f>AND(G2089,H2089,I2089,J2089)</f>
        <v/>
      </c>
    </row>
    <row r="2090">
      <c r="B2090" s="5">
        <f>BDP(A2090&amp;" US Equity","CUR_MKT_CAP")</f>
        <v/>
      </c>
      <c r="C2090">
        <f>BDP(A2090&amp;" US Equity","EXCH_CODE")</f>
        <v/>
      </c>
      <c r="D2090" s="5">
        <f>BDP(A2090&amp;" US Equity","VOLUME_AVG_20D")</f>
        <v/>
      </c>
      <c r="E2090" s="6">
        <f>BDP(A2090&amp;" US Equity","PX_LAST")</f>
        <v/>
      </c>
      <c r="F2090" s="5">
        <f>D2090*E2090</f>
        <v/>
      </c>
      <c r="G2090">
        <f>AND(B2090&gt;=50,B2090&lt;=10000)</f>
        <v/>
      </c>
      <c r="H2090">
        <f>OR(C2090="NAS",C2090="NYS",C2090="ASE")</f>
        <v/>
      </c>
      <c r="I2090">
        <f>F2090&gt;=500000</f>
        <v/>
      </c>
      <c r="J2090">
        <f>E2090&gt;=2</f>
        <v/>
      </c>
      <c r="K2090">
        <f>AND(G2090,H2090,I2090,J2090)</f>
        <v/>
      </c>
    </row>
    <row r="2091">
      <c r="B2091" s="5">
        <f>BDP(A2091&amp;" US Equity","CUR_MKT_CAP")</f>
        <v/>
      </c>
      <c r="C2091">
        <f>BDP(A2091&amp;" US Equity","EXCH_CODE")</f>
        <v/>
      </c>
      <c r="D2091" s="5">
        <f>BDP(A2091&amp;" US Equity","VOLUME_AVG_20D")</f>
        <v/>
      </c>
      <c r="E2091" s="6">
        <f>BDP(A2091&amp;" US Equity","PX_LAST")</f>
        <v/>
      </c>
      <c r="F2091" s="5">
        <f>D2091*E2091</f>
        <v/>
      </c>
      <c r="G2091">
        <f>AND(B2091&gt;=50,B2091&lt;=10000)</f>
        <v/>
      </c>
      <c r="H2091">
        <f>OR(C2091="NAS",C2091="NYS",C2091="ASE")</f>
        <v/>
      </c>
      <c r="I2091">
        <f>F2091&gt;=500000</f>
        <v/>
      </c>
      <c r="J2091">
        <f>E2091&gt;=2</f>
        <v/>
      </c>
      <c r="K2091">
        <f>AND(G2091,H2091,I2091,J2091)</f>
        <v/>
      </c>
    </row>
    <row r="2092">
      <c r="B2092" s="5">
        <f>BDP(A2092&amp;" US Equity","CUR_MKT_CAP")</f>
        <v/>
      </c>
      <c r="C2092">
        <f>BDP(A2092&amp;" US Equity","EXCH_CODE")</f>
        <v/>
      </c>
      <c r="D2092" s="5">
        <f>BDP(A2092&amp;" US Equity","VOLUME_AVG_20D")</f>
        <v/>
      </c>
      <c r="E2092" s="6">
        <f>BDP(A2092&amp;" US Equity","PX_LAST")</f>
        <v/>
      </c>
      <c r="F2092" s="5">
        <f>D2092*E2092</f>
        <v/>
      </c>
      <c r="G2092">
        <f>AND(B2092&gt;=50,B2092&lt;=10000)</f>
        <v/>
      </c>
      <c r="H2092">
        <f>OR(C2092="NAS",C2092="NYS",C2092="ASE")</f>
        <v/>
      </c>
      <c r="I2092">
        <f>F2092&gt;=500000</f>
        <v/>
      </c>
      <c r="J2092">
        <f>E2092&gt;=2</f>
        <v/>
      </c>
      <c r="K2092">
        <f>AND(G2092,H2092,I2092,J2092)</f>
        <v/>
      </c>
    </row>
    <row r="2093">
      <c r="B2093" s="5">
        <f>BDP(A2093&amp;" US Equity","CUR_MKT_CAP")</f>
        <v/>
      </c>
      <c r="C2093">
        <f>BDP(A2093&amp;" US Equity","EXCH_CODE")</f>
        <v/>
      </c>
      <c r="D2093" s="5">
        <f>BDP(A2093&amp;" US Equity","VOLUME_AVG_20D")</f>
        <v/>
      </c>
      <c r="E2093" s="6">
        <f>BDP(A2093&amp;" US Equity","PX_LAST")</f>
        <v/>
      </c>
      <c r="F2093" s="5">
        <f>D2093*E2093</f>
        <v/>
      </c>
      <c r="G2093">
        <f>AND(B2093&gt;=50,B2093&lt;=10000)</f>
        <v/>
      </c>
      <c r="H2093">
        <f>OR(C2093="NAS",C2093="NYS",C2093="ASE")</f>
        <v/>
      </c>
      <c r="I2093">
        <f>F2093&gt;=500000</f>
        <v/>
      </c>
      <c r="J2093">
        <f>E2093&gt;=2</f>
        <v/>
      </c>
      <c r="K2093">
        <f>AND(G2093,H2093,I2093,J2093)</f>
        <v/>
      </c>
    </row>
    <row r="2094">
      <c r="B2094" s="5">
        <f>BDP(A2094&amp;" US Equity","CUR_MKT_CAP")</f>
        <v/>
      </c>
      <c r="C2094">
        <f>BDP(A2094&amp;" US Equity","EXCH_CODE")</f>
        <v/>
      </c>
      <c r="D2094" s="5">
        <f>BDP(A2094&amp;" US Equity","VOLUME_AVG_20D")</f>
        <v/>
      </c>
      <c r="E2094" s="6">
        <f>BDP(A2094&amp;" US Equity","PX_LAST")</f>
        <v/>
      </c>
      <c r="F2094" s="5">
        <f>D2094*E2094</f>
        <v/>
      </c>
      <c r="G2094">
        <f>AND(B2094&gt;=50,B2094&lt;=10000)</f>
        <v/>
      </c>
      <c r="H2094">
        <f>OR(C2094="NAS",C2094="NYS",C2094="ASE")</f>
        <v/>
      </c>
      <c r="I2094">
        <f>F2094&gt;=500000</f>
        <v/>
      </c>
      <c r="J2094">
        <f>E2094&gt;=2</f>
        <v/>
      </c>
      <c r="K2094">
        <f>AND(G2094,H2094,I2094,J2094)</f>
        <v/>
      </c>
    </row>
    <row r="2095">
      <c r="B2095" s="5">
        <f>BDP(A2095&amp;" US Equity","CUR_MKT_CAP")</f>
        <v/>
      </c>
      <c r="C2095">
        <f>BDP(A2095&amp;" US Equity","EXCH_CODE")</f>
        <v/>
      </c>
      <c r="D2095" s="5">
        <f>BDP(A2095&amp;" US Equity","VOLUME_AVG_20D")</f>
        <v/>
      </c>
      <c r="E2095" s="6">
        <f>BDP(A2095&amp;" US Equity","PX_LAST")</f>
        <v/>
      </c>
      <c r="F2095" s="5">
        <f>D2095*E2095</f>
        <v/>
      </c>
      <c r="G2095">
        <f>AND(B2095&gt;=50,B2095&lt;=10000)</f>
        <v/>
      </c>
      <c r="H2095">
        <f>OR(C2095="NAS",C2095="NYS",C2095="ASE")</f>
        <v/>
      </c>
      <c r="I2095">
        <f>F2095&gt;=500000</f>
        <v/>
      </c>
      <c r="J2095">
        <f>E2095&gt;=2</f>
        <v/>
      </c>
      <c r="K2095">
        <f>AND(G2095,H2095,I2095,J2095)</f>
        <v/>
      </c>
    </row>
    <row r="2096">
      <c r="B2096" s="5">
        <f>BDP(A2096&amp;" US Equity","CUR_MKT_CAP")</f>
        <v/>
      </c>
      <c r="C2096">
        <f>BDP(A2096&amp;" US Equity","EXCH_CODE")</f>
        <v/>
      </c>
      <c r="D2096" s="5">
        <f>BDP(A2096&amp;" US Equity","VOLUME_AVG_20D")</f>
        <v/>
      </c>
      <c r="E2096" s="6">
        <f>BDP(A2096&amp;" US Equity","PX_LAST")</f>
        <v/>
      </c>
      <c r="F2096" s="5">
        <f>D2096*E2096</f>
        <v/>
      </c>
      <c r="G2096">
        <f>AND(B2096&gt;=50,B2096&lt;=10000)</f>
        <v/>
      </c>
      <c r="H2096">
        <f>OR(C2096="NAS",C2096="NYS",C2096="ASE")</f>
        <v/>
      </c>
      <c r="I2096">
        <f>F2096&gt;=500000</f>
        <v/>
      </c>
      <c r="J2096">
        <f>E2096&gt;=2</f>
        <v/>
      </c>
      <c r="K2096">
        <f>AND(G2096,H2096,I2096,J2096)</f>
        <v/>
      </c>
    </row>
    <row r="2097">
      <c r="B2097" s="5">
        <f>BDP(A2097&amp;" US Equity","CUR_MKT_CAP")</f>
        <v/>
      </c>
      <c r="C2097">
        <f>BDP(A2097&amp;" US Equity","EXCH_CODE")</f>
        <v/>
      </c>
      <c r="D2097" s="5">
        <f>BDP(A2097&amp;" US Equity","VOLUME_AVG_20D")</f>
        <v/>
      </c>
      <c r="E2097" s="6">
        <f>BDP(A2097&amp;" US Equity","PX_LAST")</f>
        <v/>
      </c>
      <c r="F2097" s="5">
        <f>D2097*E2097</f>
        <v/>
      </c>
      <c r="G2097">
        <f>AND(B2097&gt;=50,B2097&lt;=10000)</f>
        <v/>
      </c>
      <c r="H2097">
        <f>OR(C2097="NAS",C2097="NYS",C2097="ASE")</f>
        <v/>
      </c>
      <c r="I2097">
        <f>F2097&gt;=500000</f>
        <v/>
      </c>
      <c r="J2097">
        <f>E2097&gt;=2</f>
        <v/>
      </c>
      <c r="K2097">
        <f>AND(G2097,H2097,I2097,J2097)</f>
        <v/>
      </c>
    </row>
    <row r="2098">
      <c r="B2098" s="5">
        <f>BDP(A2098&amp;" US Equity","CUR_MKT_CAP")</f>
        <v/>
      </c>
      <c r="C2098">
        <f>BDP(A2098&amp;" US Equity","EXCH_CODE")</f>
        <v/>
      </c>
      <c r="D2098" s="5">
        <f>BDP(A2098&amp;" US Equity","VOLUME_AVG_20D")</f>
        <v/>
      </c>
      <c r="E2098" s="6">
        <f>BDP(A2098&amp;" US Equity","PX_LAST")</f>
        <v/>
      </c>
      <c r="F2098" s="5">
        <f>D2098*E2098</f>
        <v/>
      </c>
      <c r="G2098">
        <f>AND(B2098&gt;=50,B2098&lt;=10000)</f>
        <v/>
      </c>
      <c r="H2098">
        <f>OR(C2098="NAS",C2098="NYS",C2098="ASE")</f>
        <v/>
      </c>
      <c r="I2098">
        <f>F2098&gt;=500000</f>
        <v/>
      </c>
      <c r="J2098">
        <f>E2098&gt;=2</f>
        <v/>
      </c>
      <c r="K2098">
        <f>AND(G2098,H2098,I2098,J2098)</f>
        <v/>
      </c>
    </row>
    <row r="2099">
      <c r="B2099" s="5">
        <f>BDP(A2099&amp;" US Equity","CUR_MKT_CAP")</f>
        <v/>
      </c>
      <c r="C2099">
        <f>BDP(A2099&amp;" US Equity","EXCH_CODE")</f>
        <v/>
      </c>
      <c r="D2099" s="5">
        <f>BDP(A2099&amp;" US Equity","VOLUME_AVG_20D")</f>
        <v/>
      </c>
      <c r="E2099" s="6">
        <f>BDP(A2099&amp;" US Equity","PX_LAST")</f>
        <v/>
      </c>
      <c r="F2099" s="5">
        <f>D2099*E2099</f>
        <v/>
      </c>
      <c r="G2099">
        <f>AND(B2099&gt;=50,B2099&lt;=10000)</f>
        <v/>
      </c>
      <c r="H2099">
        <f>OR(C2099="NAS",C2099="NYS",C2099="ASE")</f>
        <v/>
      </c>
      <c r="I2099">
        <f>F2099&gt;=500000</f>
        <v/>
      </c>
      <c r="J2099">
        <f>E2099&gt;=2</f>
        <v/>
      </c>
      <c r="K2099">
        <f>AND(G2099,H2099,I2099,J2099)</f>
        <v/>
      </c>
    </row>
    <row r="2100">
      <c r="B2100" s="5">
        <f>BDP(A2100&amp;" US Equity","CUR_MKT_CAP")</f>
        <v/>
      </c>
      <c r="C2100">
        <f>BDP(A2100&amp;" US Equity","EXCH_CODE")</f>
        <v/>
      </c>
      <c r="D2100" s="5">
        <f>BDP(A2100&amp;" US Equity","VOLUME_AVG_20D")</f>
        <v/>
      </c>
      <c r="E2100" s="6">
        <f>BDP(A2100&amp;" US Equity","PX_LAST")</f>
        <v/>
      </c>
      <c r="F2100" s="5">
        <f>D2100*E2100</f>
        <v/>
      </c>
      <c r="G2100">
        <f>AND(B2100&gt;=50,B2100&lt;=10000)</f>
        <v/>
      </c>
      <c r="H2100">
        <f>OR(C2100="NAS",C2100="NYS",C2100="ASE")</f>
        <v/>
      </c>
      <c r="I2100">
        <f>F2100&gt;=500000</f>
        <v/>
      </c>
      <c r="J2100">
        <f>E2100&gt;=2</f>
        <v/>
      </c>
      <c r="K2100">
        <f>AND(G2100,H2100,I2100,J2100)</f>
        <v/>
      </c>
    </row>
    <row r="2101">
      <c r="B2101" s="5">
        <f>BDP(A2101&amp;" US Equity","CUR_MKT_CAP")</f>
        <v/>
      </c>
      <c r="C2101">
        <f>BDP(A2101&amp;" US Equity","EXCH_CODE")</f>
        <v/>
      </c>
      <c r="D2101" s="5">
        <f>BDP(A2101&amp;" US Equity","VOLUME_AVG_20D")</f>
        <v/>
      </c>
      <c r="E2101" s="6">
        <f>BDP(A2101&amp;" US Equity","PX_LAST")</f>
        <v/>
      </c>
      <c r="F2101" s="5">
        <f>D2101*E2101</f>
        <v/>
      </c>
      <c r="G2101">
        <f>AND(B2101&gt;=50,B2101&lt;=10000)</f>
        <v/>
      </c>
      <c r="H2101">
        <f>OR(C2101="NAS",C2101="NYS",C2101="ASE")</f>
        <v/>
      </c>
      <c r="I2101">
        <f>F2101&gt;=500000</f>
        <v/>
      </c>
      <c r="J2101">
        <f>E2101&gt;=2</f>
        <v/>
      </c>
      <c r="K2101">
        <f>AND(G2101,H2101,I2101,J2101)</f>
        <v/>
      </c>
    </row>
    <row r="2102">
      <c r="B2102" s="5">
        <f>BDP(A2102&amp;" US Equity","CUR_MKT_CAP")</f>
        <v/>
      </c>
      <c r="C2102">
        <f>BDP(A2102&amp;" US Equity","EXCH_CODE")</f>
        <v/>
      </c>
      <c r="D2102" s="5">
        <f>BDP(A2102&amp;" US Equity","VOLUME_AVG_20D")</f>
        <v/>
      </c>
      <c r="E2102" s="6">
        <f>BDP(A2102&amp;" US Equity","PX_LAST")</f>
        <v/>
      </c>
      <c r="F2102" s="5">
        <f>D2102*E2102</f>
        <v/>
      </c>
      <c r="G2102">
        <f>AND(B2102&gt;=50,B2102&lt;=10000)</f>
        <v/>
      </c>
      <c r="H2102">
        <f>OR(C2102="NAS",C2102="NYS",C2102="ASE")</f>
        <v/>
      </c>
      <c r="I2102">
        <f>F2102&gt;=500000</f>
        <v/>
      </c>
      <c r="J2102">
        <f>E2102&gt;=2</f>
        <v/>
      </c>
      <c r="K2102">
        <f>AND(G2102,H2102,I2102,J2102)</f>
        <v/>
      </c>
    </row>
    <row r="2103">
      <c r="B2103" s="5">
        <f>BDP(A2103&amp;" US Equity","CUR_MKT_CAP")</f>
        <v/>
      </c>
      <c r="C2103">
        <f>BDP(A2103&amp;" US Equity","EXCH_CODE")</f>
        <v/>
      </c>
      <c r="D2103" s="5">
        <f>BDP(A2103&amp;" US Equity","VOLUME_AVG_20D")</f>
        <v/>
      </c>
      <c r="E2103" s="6">
        <f>BDP(A2103&amp;" US Equity","PX_LAST")</f>
        <v/>
      </c>
      <c r="F2103" s="5">
        <f>D2103*E2103</f>
        <v/>
      </c>
      <c r="G2103">
        <f>AND(B2103&gt;=50,B2103&lt;=10000)</f>
        <v/>
      </c>
      <c r="H2103">
        <f>OR(C2103="NAS",C2103="NYS",C2103="ASE")</f>
        <v/>
      </c>
      <c r="I2103">
        <f>F2103&gt;=500000</f>
        <v/>
      </c>
      <c r="J2103">
        <f>E2103&gt;=2</f>
        <v/>
      </c>
      <c r="K2103">
        <f>AND(G2103,H2103,I2103,J2103)</f>
        <v/>
      </c>
    </row>
    <row r="2104">
      <c r="B2104" s="5">
        <f>BDP(A2104&amp;" US Equity","CUR_MKT_CAP")</f>
        <v/>
      </c>
      <c r="C2104">
        <f>BDP(A2104&amp;" US Equity","EXCH_CODE")</f>
        <v/>
      </c>
      <c r="D2104" s="5">
        <f>BDP(A2104&amp;" US Equity","VOLUME_AVG_20D")</f>
        <v/>
      </c>
      <c r="E2104" s="6">
        <f>BDP(A2104&amp;" US Equity","PX_LAST")</f>
        <v/>
      </c>
      <c r="F2104" s="5">
        <f>D2104*E2104</f>
        <v/>
      </c>
      <c r="G2104">
        <f>AND(B2104&gt;=50,B2104&lt;=10000)</f>
        <v/>
      </c>
      <c r="H2104">
        <f>OR(C2104="NAS",C2104="NYS",C2104="ASE")</f>
        <v/>
      </c>
      <c r="I2104">
        <f>F2104&gt;=500000</f>
        <v/>
      </c>
      <c r="J2104">
        <f>E2104&gt;=2</f>
        <v/>
      </c>
      <c r="K2104">
        <f>AND(G2104,H2104,I2104,J2104)</f>
        <v/>
      </c>
    </row>
    <row r="2105">
      <c r="B2105" s="5">
        <f>BDP(A2105&amp;" US Equity","CUR_MKT_CAP")</f>
        <v/>
      </c>
      <c r="C2105">
        <f>BDP(A2105&amp;" US Equity","EXCH_CODE")</f>
        <v/>
      </c>
      <c r="D2105" s="5">
        <f>BDP(A2105&amp;" US Equity","VOLUME_AVG_20D")</f>
        <v/>
      </c>
      <c r="E2105" s="6">
        <f>BDP(A2105&amp;" US Equity","PX_LAST")</f>
        <v/>
      </c>
      <c r="F2105" s="5">
        <f>D2105*E2105</f>
        <v/>
      </c>
      <c r="G2105">
        <f>AND(B2105&gt;=50,B2105&lt;=10000)</f>
        <v/>
      </c>
      <c r="H2105">
        <f>OR(C2105="NAS",C2105="NYS",C2105="ASE")</f>
        <v/>
      </c>
      <c r="I2105">
        <f>F2105&gt;=500000</f>
        <v/>
      </c>
      <c r="J2105">
        <f>E2105&gt;=2</f>
        <v/>
      </c>
      <c r="K2105">
        <f>AND(G2105,H2105,I2105,J2105)</f>
        <v/>
      </c>
    </row>
    <row r="2106">
      <c r="B2106" s="5">
        <f>BDP(A2106&amp;" US Equity","CUR_MKT_CAP")</f>
        <v/>
      </c>
      <c r="C2106">
        <f>BDP(A2106&amp;" US Equity","EXCH_CODE")</f>
        <v/>
      </c>
      <c r="D2106" s="5">
        <f>BDP(A2106&amp;" US Equity","VOLUME_AVG_20D")</f>
        <v/>
      </c>
      <c r="E2106" s="6">
        <f>BDP(A2106&amp;" US Equity","PX_LAST")</f>
        <v/>
      </c>
      <c r="F2106" s="5">
        <f>D2106*E2106</f>
        <v/>
      </c>
      <c r="G2106">
        <f>AND(B2106&gt;=50,B2106&lt;=10000)</f>
        <v/>
      </c>
      <c r="H2106">
        <f>OR(C2106="NAS",C2106="NYS",C2106="ASE")</f>
        <v/>
      </c>
      <c r="I2106">
        <f>F2106&gt;=500000</f>
        <v/>
      </c>
      <c r="J2106">
        <f>E2106&gt;=2</f>
        <v/>
      </c>
      <c r="K2106">
        <f>AND(G2106,H2106,I2106,J2106)</f>
        <v/>
      </c>
    </row>
    <row r="2107">
      <c r="B2107" s="5">
        <f>BDP(A2107&amp;" US Equity","CUR_MKT_CAP")</f>
        <v/>
      </c>
      <c r="C2107">
        <f>BDP(A2107&amp;" US Equity","EXCH_CODE")</f>
        <v/>
      </c>
      <c r="D2107" s="5">
        <f>BDP(A2107&amp;" US Equity","VOLUME_AVG_20D")</f>
        <v/>
      </c>
      <c r="E2107" s="6">
        <f>BDP(A2107&amp;" US Equity","PX_LAST")</f>
        <v/>
      </c>
      <c r="F2107" s="5">
        <f>D2107*E2107</f>
        <v/>
      </c>
      <c r="G2107">
        <f>AND(B2107&gt;=50,B2107&lt;=10000)</f>
        <v/>
      </c>
      <c r="H2107">
        <f>OR(C2107="NAS",C2107="NYS",C2107="ASE")</f>
        <v/>
      </c>
      <c r="I2107">
        <f>F2107&gt;=500000</f>
        <v/>
      </c>
      <c r="J2107">
        <f>E2107&gt;=2</f>
        <v/>
      </c>
      <c r="K2107">
        <f>AND(G2107,H2107,I2107,J2107)</f>
        <v/>
      </c>
    </row>
    <row r="2108">
      <c r="B2108" s="5">
        <f>BDP(A2108&amp;" US Equity","CUR_MKT_CAP")</f>
        <v/>
      </c>
      <c r="C2108">
        <f>BDP(A2108&amp;" US Equity","EXCH_CODE")</f>
        <v/>
      </c>
      <c r="D2108" s="5">
        <f>BDP(A2108&amp;" US Equity","VOLUME_AVG_20D")</f>
        <v/>
      </c>
      <c r="E2108" s="6">
        <f>BDP(A2108&amp;" US Equity","PX_LAST")</f>
        <v/>
      </c>
      <c r="F2108" s="5">
        <f>D2108*E2108</f>
        <v/>
      </c>
      <c r="G2108">
        <f>AND(B2108&gt;=50,B2108&lt;=10000)</f>
        <v/>
      </c>
      <c r="H2108">
        <f>OR(C2108="NAS",C2108="NYS",C2108="ASE")</f>
        <v/>
      </c>
      <c r="I2108">
        <f>F2108&gt;=500000</f>
        <v/>
      </c>
      <c r="J2108">
        <f>E2108&gt;=2</f>
        <v/>
      </c>
      <c r="K2108">
        <f>AND(G2108,H2108,I2108,J2108)</f>
        <v/>
      </c>
    </row>
    <row r="2109">
      <c r="B2109" s="5">
        <f>BDP(A2109&amp;" US Equity","CUR_MKT_CAP")</f>
        <v/>
      </c>
      <c r="C2109">
        <f>BDP(A2109&amp;" US Equity","EXCH_CODE")</f>
        <v/>
      </c>
      <c r="D2109" s="5">
        <f>BDP(A2109&amp;" US Equity","VOLUME_AVG_20D")</f>
        <v/>
      </c>
      <c r="E2109" s="6">
        <f>BDP(A2109&amp;" US Equity","PX_LAST")</f>
        <v/>
      </c>
      <c r="F2109" s="5">
        <f>D2109*E2109</f>
        <v/>
      </c>
      <c r="G2109">
        <f>AND(B2109&gt;=50,B2109&lt;=10000)</f>
        <v/>
      </c>
      <c r="H2109">
        <f>OR(C2109="NAS",C2109="NYS",C2109="ASE")</f>
        <v/>
      </c>
      <c r="I2109">
        <f>F2109&gt;=500000</f>
        <v/>
      </c>
      <c r="J2109">
        <f>E2109&gt;=2</f>
        <v/>
      </c>
      <c r="K2109">
        <f>AND(G2109,H2109,I2109,J2109)</f>
        <v/>
      </c>
    </row>
    <row r="2110">
      <c r="B2110" s="5">
        <f>BDP(A2110&amp;" US Equity","CUR_MKT_CAP")</f>
        <v/>
      </c>
      <c r="C2110">
        <f>BDP(A2110&amp;" US Equity","EXCH_CODE")</f>
        <v/>
      </c>
      <c r="D2110" s="5">
        <f>BDP(A2110&amp;" US Equity","VOLUME_AVG_20D")</f>
        <v/>
      </c>
      <c r="E2110" s="6">
        <f>BDP(A2110&amp;" US Equity","PX_LAST")</f>
        <v/>
      </c>
      <c r="F2110" s="5">
        <f>D2110*E2110</f>
        <v/>
      </c>
      <c r="G2110">
        <f>AND(B2110&gt;=50,B2110&lt;=10000)</f>
        <v/>
      </c>
      <c r="H2110">
        <f>OR(C2110="NAS",C2110="NYS",C2110="ASE")</f>
        <v/>
      </c>
      <c r="I2110">
        <f>F2110&gt;=500000</f>
        <v/>
      </c>
      <c r="J2110">
        <f>E2110&gt;=2</f>
        <v/>
      </c>
      <c r="K2110">
        <f>AND(G2110,H2110,I2110,J2110)</f>
        <v/>
      </c>
    </row>
    <row r="2111">
      <c r="B2111" s="5">
        <f>BDP(A2111&amp;" US Equity","CUR_MKT_CAP")</f>
        <v/>
      </c>
      <c r="C2111">
        <f>BDP(A2111&amp;" US Equity","EXCH_CODE")</f>
        <v/>
      </c>
      <c r="D2111" s="5">
        <f>BDP(A2111&amp;" US Equity","VOLUME_AVG_20D")</f>
        <v/>
      </c>
      <c r="E2111" s="6">
        <f>BDP(A2111&amp;" US Equity","PX_LAST")</f>
        <v/>
      </c>
      <c r="F2111" s="5">
        <f>D2111*E2111</f>
        <v/>
      </c>
      <c r="G2111">
        <f>AND(B2111&gt;=50,B2111&lt;=10000)</f>
        <v/>
      </c>
      <c r="H2111">
        <f>OR(C2111="NAS",C2111="NYS",C2111="ASE")</f>
        <v/>
      </c>
      <c r="I2111">
        <f>F2111&gt;=500000</f>
        <v/>
      </c>
      <c r="J2111">
        <f>E2111&gt;=2</f>
        <v/>
      </c>
      <c r="K2111">
        <f>AND(G2111,H2111,I2111,J2111)</f>
        <v/>
      </c>
    </row>
    <row r="2112">
      <c r="B2112" s="5">
        <f>BDP(A2112&amp;" US Equity","CUR_MKT_CAP")</f>
        <v/>
      </c>
      <c r="C2112">
        <f>BDP(A2112&amp;" US Equity","EXCH_CODE")</f>
        <v/>
      </c>
      <c r="D2112" s="5">
        <f>BDP(A2112&amp;" US Equity","VOLUME_AVG_20D")</f>
        <v/>
      </c>
      <c r="E2112" s="6">
        <f>BDP(A2112&amp;" US Equity","PX_LAST")</f>
        <v/>
      </c>
      <c r="F2112" s="5">
        <f>D2112*E2112</f>
        <v/>
      </c>
      <c r="G2112">
        <f>AND(B2112&gt;=50,B2112&lt;=10000)</f>
        <v/>
      </c>
      <c r="H2112">
        <f>OR(C2112="NAS",C2112="NYS",C2112="ASE")</f>
        <v/>
      </c>
      <c r="I2112">
        <f>F2112&gt;=500000</f>
        <v/>
      </c>
      <c r="J2112">
        <f>E2112&gt;=2</f>
        <v/>
      </c>
      <c r="K2112">
        <f>AND(G2112,H2112,I2112,J2112)</f>
        <v/>
      </c>
    </row>
    <row r="2113">
      <c r="B2113" s="5">
        <f>BDP(A2113&amp;" US Equity","CUR_MKT_CAP")</f>
        <v/>
      </c>
      <c r="C2113">
        <f>BDP(A2113&amp;" US Equity","EXCH_CODE")</f>
        <v/>
      </c>
      <c r="D2113" s="5">
        <f>BDP(A2113&amp;" US Equity","VOLUME_AVG_20D")</f>
        <v/>
      </c>
      <c r="E2113" s="6">
        <f>BDP(A2113&amp;" US Equity","PX_LAST")</f>
        <v/>
      </c>
      <c r="F2113" s="5">
        <f>D2113*E2113</f>
        <v/>
      </c>
      <c r="G2113">
        <f>AND(B2113&gt;=50,B2113&lt;=10000)</f>
        <v/>
      </c>
      <c r="H2113">
        <f>OR(C2113="NAS",C2113="NYS",C2113="ASE")</f>
        <v/>
      </c>
      <c r="I2113">
        <f>F2113&gt;=500000</f>
        <v/>
      </c>
      <c r="J2113">
        <f>E2113&gt;=2</f>
        <v/>
      </c>
      <c r="K2113">
        <f>AND(G2113,H2113,I2113,J2113)</f>
        <v/>
      </c>
    </row>
    <row r="2114">
      <c r="B2114" s="5">
        <f>BDP(A2114&amp;" US Equity","CUR_MKT_CAP")</f>
        <v/>
      </c>
      <c r="C2114">
        <f>BDP(A2114&amp;" US Equity","EXCH_CODE")</f>
        <v/>
      </c>
      <c r="D2114" s="5">
        <f>BDP(A2114&amp;" US Equity","VOLUME_AVG_20D")</f>
        <v/>
      </c>
      <c r="E2114" s="6">
        <f>BDP(A2114&amp;" US Equity","PX_LAST")</f>
        <v/>
      </c>
      <c r="F2114" s="5">
        <f>D2114*E2114</f>
        <v/>
      </c>
      <c r="G2114">
        <f>AND(B2114&gt;=50,B2114&lt;=10000)</f>
        <v/>
      </c>
      <c r="H2114">
        <f>OR(C2114="NAS",C2114="NYS",C2114="ASE")</f>
        <v/>
      </c>
      <c r="I2114">
        <f>F2114&gt;=500000</f>
        <v/>
      </c>
      <c r="J2114">
        <f>E2114&gt;=2</f>
        <v/>
      </c>
      <c r="K2114">
        <f>AND(G2114,H2114,I2114,J2114)</f>
        <v/>
      </c>
    </row>
    <row r="2115">
      <c r="B2115" s="5">
        <f>BDP(A2115&amp;" US Equity","CUR_MKT_CAP")</f>
        <v/>
      </c>
      <c r="C2115">
        <f>BDP(A2115&amp;" US Equity","EXCH_CODE")</f>
        <v/>
      </c>
      <c r="D2115" s="5">
        <f>BDP(A2115&amp;" US Equity","VOLUME_AVG_20D")</f>
        <v/>
      </c>
      <c r="E2115" s="6">
        <f>BDP(A2115&amp;" US Equity","PX_LAST")</f>
        <v/>
      </c>
      <c r="F2115" s="5">
        <f>D2115*E2115</f>
        <v/>
      </c>
      <c r="G2115">
        <f>AND(B2115&gt;=50,B2115&lt;=10000)</f>
        <v/>
      </c>
      <c r="H2115">
        <f>OR(C2115="NAS",C2115="NYS",C2115="ASE")</f>
        <v/>
      </c>
      <c r="I2115">
        <f>F2115&gt;=500000</f>
        <v/>
      </c>
      <c r="J2115">
        <f>E2115&gt;=2</f>
        <v/>
      </c>
      <c r="K2115">
        <f>AND(G2115,H2115,I2115,J2115)</f>
        <v/>
      </c>
    </row>
    <row r="2116">
      <c r="B2116" s="5">
        <f>BDP(A2116&amp;" US Equity","CUR_MKT_CAP")</f>
        <v/>
      </c>
      <c r="C2116">
        <f>BDP(A2116&amp;" US Equity","EXCH_CODE")</f>
        <v/>
      </c>
      <c r="D2116" s="5">
        <f>BDP(A2116&amp;" US Equity","VOLUME_AVG_20D")</f>
        <v/>
      </c>
      <c r="E2116" s="6">
        <f>BDP(A2116&amp;" US Equity","PX_LAST")</f>
        <v/>
      </c>
      <c r="F2116" s="5">
        <f>D2116*E2116</f>
        <v/>
      </c>
      <c r="G2116">
        <f>AND(B2116&gt;=50,B2116&lt;=10000)</f>
        <v/>
      </c>
      <c r="H2116">
        <f>OR(C2116="NAS",C2116="NYS",C2116="ASE")</f>
        <v/>
      </c>
      <c r="I2116">
        <f>F2116&gt;=500000</f>
        <v/>
      </c>
      <c r="J2116">
        <f>E2116&gt;=2</f>
        <v/>
      </c>
      <c r="K2116">
        <f>AND(G2116,H2116,I2116,J2116)</f>
        <v/>
      </c>
    </row>
    <row r="2117">
      <c r="B2117" s="5">
        <f>BDP(A2117&amp;" US Equity","CUR_MKT_CAP")</f>
        <v/>
      </c>
      <c r="C2117">
        <f>BDP(A2117&amp;" US Equity","EXCH_CODE")</f>
        <v/>
      </c>
      <c r="D2117" s="5">
        <f>BDP(A2117&amp;" US Equity","VOLUME_AVG_20D")</f>
        <v/>
      </c>
      <c r="E2117" s="6">
        <f>BDP(A2117&amp;" US Equity","PX_LAST")</f>
        <v/>
      </c>
      <c r="F2117" s="5">
        <f>D2117*E2117</f>
        <v/>
      </c>
      <c r="G2117">
        <f>AND(B2117&gt;=50,B2117&lt;=10000)</f>
        <v/>
      </c>
      <c r="H2117">
        <f>OR(C2117="NAS",C2117="NYS",C2117="ASE")</f>
        <v/>
      </c>
      <c r="I2117">
        <f>F2117&gt;=500000</f>
        <v/>
      </c>
      <c r="J2117">
        <f>E2117&gt;=2</f>
        <v/>
      </c>
      <c r="K2117">
        <f>AND(G2117,H2117,I2117,J2117)</f>
        <v/>
      </c>
    </row>
    <row r="2118">
      <c r="B2118" s="5">
        <f>BDP(A2118&amp;" US Equity","CUR_MKT_CAP")</f>
        <v/>
      </c>
      <c r="C2118">
        <f>BDP(A2118&amp;" US Equity","EXCH_CODE")</f>
        <v/>
      </c>
      <c r="D2118" s="5">
        <f>BDP(A2118&amp;" US Equity","VOLUME_AVG_20D")</f>
        <v/>
      </c>
      <c r="E2118" s="6">
        <f>BDP(A2118&amp;" US Equity","PX_LAST")</f>
        <v/>
      </c>
      <c r="F2118" s="5">
        <f>D2118*E2118</f>
        <v/>
      </c>
      <c r="G2118">
        <f>AND(B2118&gt;=50,B2118&lt;=10000)</f>
        <v/>
      </c>
      <c r="H2118">
        <f>OR(C2118="NAS",C2118="NYS",C2118="ASE")</f>
        <v/>
      </c>
      <c r="I2118">
        <f>F2118&gt;=500000</f>
        <v/>
      </c>
      <c r="J2118">
        <f>E2118&gt;=2</f>
        <v/>
      </c>
      <c r="K2118">
        <f>AND(G2118,H2118,I2118,J2118)</f>
        <v/>
      </c>
    </row>
    <row r="2119">
      <c r="B2119" s="5">
        <f>BDP(A2119&amp;" US Equity","CUR_MKT_CAP")</f>
        <v/>
      </c>
      <c r="C2119">
        <f>BDP(A2119&amp;" US Equity","EXCH_CODE")</f>
        <v/>
      </c>
      <c r="D2119" s="5">
        <f>BDP(A2119&amp;" US Equity","VOLUME_AVG_20D")</f>
        <v/>
      </c>
      <c r="E2119" s="6">
        <f>BDP(A2119&amp;" US Equity","PX_LAST")</f>
        <v/>
      </c>
      <c r="F2119" s="5">
        <f>D2119*E2119</f>
        <v/>
      </c>
      <c r="G2119">
        <f>AND(B2119&gt;=50,B2119&lt;=10000)</f>
        <v/>
      </c>
      <c r="H2119">
        <f>OR(C2119="NAS",C2119="NYS",C2119="ASE")</f>
        <v/>
      </c>
      <c r="I2119">
        <f>F2119&gt;=500000</f>
        <v/>
      </c>
      <c r="J2119">
        <f>E2119&gt;=2</f>
        <v/>
      </c>
      <c r="K2119">
        <f>AND(G2119,H2119,I2119,J2119)</f>
        <v/>
      </c>
    </row>
    <row r="2120">
      <c r="B2120" s="5">
        <f>BDP(A2120&amp;" US Equity","CUR_MKT_CAP")</f>
        <v/>
      </c>
      <c r="C2120">
        <f>BDP(A2120&amp;" US Equity","EXCH_CODE")</f>
        <v/>
      </c>
      <c r="D2120" s="5">
        <f>BDP(A2120&amp;" US Equity","VOLUME_AVG_20D")</f>
        <v/>
      </c>
      <c r="E2120" s="6">
        <f>BDP(A2120&amp;" US Equity","PX_LAST")</f>
        <v/>
      </c>
      <c r="F2120" s="5">
        <f>D2120*E2120</f>
        <v/>
      </c>
      <c r="G2120">
        <f>AND(B2120&gt;=50,B2120&lt;=10000)</f>
        <v/>
      </c>
      <c r="H2120">
        <f>OR(C2120="NAS",C2120="NYS",C2120="ASE")</f>
        <v/>
      </c>
      <c r="I2120">
        <f>F2120&gt;=500000</f>
        <v/>
      </c>
      <c r="J2120">
        <f>E2120&gt;=2</f>
        <v/>
      </c>
      <c r="K2120">
        <f>AND(G2120,H2120,I2120,J2120)</f>
        <v/>
      </c>
    </row>
    <row r="2121">
      <c r="B2121" s="5">
        <f>BDP(A2121&amp;" US Equity","CUR_MKT_CAP")</f>
        <v/>
      </c>
      <c r="C2121">
        <f>BDP(A2121&amp;" US Equity","EXCH_CODE")</f>
        <v/>
      </c>
      <c r="D2121" s="5">
        <f>BDP(A2121&amp;" US Equity","VOLUME_AVG_20D")</f>
        <v/>
      </c>
      <c r="E2121" s="6">
        <f>BDP(A2121&amp;" US Equity","PX_LAST")</f>
        <v/>
      </c>
      <c r="F2121" s="5">
        <f>D2121*E2121</f>
        <v/>
      </c>
      <c r="G2121">
        <f>AND(B2121&gt;=50,B2121&lt;=10000)</f>
        <v/>
      </c>
      <c r="H2121">
        <f>OR(C2121="NAS",C2121="NYS",C2121="ASE")</f>
        <v/>
      </c>
      <c r="I2121">
        <f>F2121&gt;=500000</f>
        <v/>
      </c>
      <c r="J2121">
        <f>E2121&gt;=2</f>
        <v/>
      </c>
      <c r="K2121">
        <f>AND(G2121,H2121,I2121,J2121)</f>
        <v/>
      </c>
    </row>
    <row r="2122">
      <c r="B2122" s="5">
        <f>BDP(A2122&amp;" US Equity","CUR_MKT_CAP")</f>
        <v/>
      </c>
      <c r="C2122">
        <f>BDP(A2122&amp;" US Equity","EXCH_CODE")</f>
        <v/>
      </c>
      <c r="D2122" s="5">
        <f>BDP(A2122&amp;" US Equity","VOLUME_AVG_20D")</f>
        <v/>
      </c>
      <c r="E2122" s="6">
        <f>BDP(A2122&amp;" US Equity","PX_LAST")</f>
        <v/>
      </c>
      <c r="F2122" s="5">
        <f>D2122*E2122</f>
        <v/>
      </c>
      <c r="G2122">
        <f>AND(B2122&gt;=50,B2122&lt;=10000)</f>
        <v/>
      </c>
      <c r="H2122">
        <f>OR(C2122="NAS",C2122="NYS",C2122="ASE")</f>
        <v/>
      </c>
      <c r="I2122">
        <f>F2122&gt;=500000</f>
        <v/>
      </c>
      <c r="J2122">
        <f>E2122&gt;=2</f>
        <v/>
      </c>
      <c r="K2122">
        <f>AND(G2122,H2122,I2122,J2122)</f>
        <v/>
      </c>
    </row>
    <row r="2123">
      <c r="B2123" s="5">
        <f>BDP(A2123&amp;" US Equity","CUR_MKT_CAP")</f>
        <v/>
      </c>
      <c r="C2123">
        <f>BDP(A2123&amp;" US Equity","EXCH_CODE")</f>
        <v/>
      </c>
      <c r="D2123" s="5">
        <f>BDP(A2123&amp;" US Equity","VOLUME_AVG_20D")</f>
        <v/>
      </c>
      <c r="E2123" s="6">
        <f>BDP(A2123&amp;" US Equity","PX_LAST")</f>
        <v/>
      </c>
      <c r="F2123" s="5">
        <f>D2123*E2123</f>
        <v/>
      </c>
      <c r="G2123">
        <f>AND(B2123&gt;=50,B2123&lt;=10000)</f>
        <v/>
      </c>
      <c r="H2123">
        <f>OR(C2123="NAS",C2123="NYS",C2123="ASE")</f>
        <v/>
      </c>
      <c r="I2123">
        <f>F2123&gt;=500000</f>
        <v/>
      </c>
      <c r="J2123">
        <f>E2123&gt;=2</f>
        <v/>
      </c>
      <c r="K2123">
        <f>AND(G2123,H2123,I2123,J2123)</f>
        <v/>
      </c>
    </row>
    <row r="2124">
      <c r="B2124" s="5">
        <f>BDP(A2124&amp;" US Equity","CUR_MKT_CAP")</f>
        <v/>
      </c>
      <c r="C2124">
        <f>BDP(A2124&amp;" US Equity","EXCH_CODE")</f>
        <v/>
      </c>
      <c r="D2124" s="5">
        <f>BDP(A2124&amp;" US Equity","VOLUME_AVG_20D")</f>
        <v/>
      </c>
      <c r="E2124" s="6">
        <f>BDP(A2124&amp;" US Equity","PX_LAST")</f>
        <v/>
      </c>
      <c r="F2124" s="5">
        <f>D2124*E2124</f>
        <v/>
      </c>
      <c r="G2124">
        <f>AND(B2124&gt;=50,B2124&lt;=10000)</f>
        <v/>
      </c>
      <c r="H2124">
        <f>OR(C2124="NAS",C2124="NYS",C2124="ASE")</f>
        <v/>
      </c>
      <c r="I2124">
        <f>F2124&gt;=500000</f>
        <v/>
      </c>
      <c r="J2124">
        <f>E2124&gt;=2</f>
        <v/>
      </c>
      <c r="K2124">
        <f>AND(G2124,H2124,I2124,J2124)</f>
        <v/>
      </c>
    </row>
    <row r="2125">
      <c r="B2125" s="5">
        <f>BDP(A2125&amp;" US Equity","CUR_MKT_CAP")</f>
        <v/>
      </c>
      <c r="C2125">
        <f>BDP(A2125&amp;" US Equity","EXCH_CODE")</f>
        <v/>
      </c>
      <c r="D2125" s="5">
        <f>BDP(A2125&amp;" US Equity","VOLUME_AVG_20D")</f>
        <v/>
      </c>
      <c r="E2125" s="6">
        <f>BDP(A2125&amp;" US Equity","PX_LAST")</f>
        <v/>
      </c>
      <c r="F2125" s="5">
        <f>D2125*E2125</f>
        <v/>
      </c>
      <c r="G2125">
        <f>AND(B2125&gt;=50,B2125&lt;=10000)</f>
        <v/>
      </c>
      <c r="H2125">
        <f>OR(C2125="NAS",C2125="NYS",C2125="ASE")</f>
        <v/>
      </c>
      <c r="I2125">
        <f>F2125&gt;=500000</f>
        <v/>
      </c>
      <c r="J2125">
        <f>E2125&gt;=2</f>
        <v/>
      </c>
      <c r="K2125">
        <f>AND(G2125,H2125,I2125,J2125)</f>
        <v/>
      </c>
    </row>
    <row r="2126">
      <c r="B2126" s="5">
        <f>BDP(A2126&amp;" US Equity","CUR_MKT_CAP")</f>
        <v/>
      </c>
      <c r="C2126">
        <f>BDP(A2126&amp;" US Equity","EXCH_CODE")</f>
        <v/>
      </c>
      <c r="D2126" s="5">
        <f>BDP(A2126&amp;" US Equity","VOLUME_AVG_20D")</f>
        <v/>
      </c>
      <c r="E2126" s="6">
        <f>BDP(A2126&amp;" US Equity","PX_LAST")</f>
        <v/>
      </c>
      <c r="F2126" s="5">
        <f>D2126*E2126</f>
        <v/>
      </c>
      <c r="G2126">
        <f>AND(B2126&gt;=50,B2126&lt;=10000)</f>
        <v/>
      </c>
      <c r="H2126">
        <f>OR(C2126="NAS",C2126="NYS",C2126="ASE")</f>
        <v/>
      </c>
      <c r="I2126">
        <f>F2126&gt;=500000</f>
        <v/>
      </c>
      <c r="J2126">
        <f>E2126&gt;=2</f>
        <v/>
      </c>
      <c r="K2126">
        <f>AND(G2126,H2126,I2126,J2126)</f>
        <v/>
      </c>
    </row>
    <row r="2127">
      <c r="B2127" s="5">
        <f>BDP(A2127&amp;" US Equity","CUR_MKT_CAP")</f>
        <v/>
      </c>
      <c r="C2127">
        <f>BDP(A2127&amp;" US Equity","EXCH_CODE")</f>
        <v/>
      </c>
      <c r="D2127" s="5">
        <f>BDP(A2127&amp;" US Equity","VOLUME_AVG_20D")</f>
        <v/>
      </c>
      <c r="E2127" s="6">
        <f>BDP(A2127&amp;" US Equity","PX_LAST")</f>
        <v/>
      </c>
      <c r="F2127" s="5">
        <f>D2127*E2127</f>
        <v/>
      </c>
      <c r="G2127">
        <f>AND(B2127&gt;=50,B2127&lt;=10000)</f>
        <v/>
      </c>
      <c r="H2127">
        <f>OR(C2127="NAS",C2127="NYS",C2127="ASE")</f>
        <v/>
      </c>
      <c r="I2127">
        <f>F2127&gt;=500000</f>
        <v/>
      </c>
      <c r="J2127">
        <f>E2127&gt;=2</f>
        <v/>
      </c>
      <c r="K2127">
        <f>AND(G2127,H2127,I2127,J2127)</f>
        <v/>
      </c>
    </row>
    <row r="2128">
      <c r="B2128" s="5">
        <f>BDP(A2128&amp;" US Equity","CUR_MKT_CAP")</f>
        <v/>
      </c>
      <c r="C2128">
        <f>BDP(A2128&amp;" US Equity","EXCH_CODE")</f>
        <v/>
      </c>
      <c r="D2128" s="5">
        <f>BDP(A2128&amp;" US Equity","VOLUME_AVG_20D")</f>
        <v/>
      </c>
      <c r="E2128" s="6">
        <f>BDP(A2128&amp;" US Equity","PX_LAST")</f>
        <v/>
      </c>
      <c r="F2128" s="5">
        <f>D2128*E2128</f>
        <v/>
      </c>
      <c r="G2128">
        <f>AND(B2128&gt;=50,B2128&lt;=10000)</f>
        <v/>
      </c>
      <c r="H2128">
        <f>OR(C2128="NAS",C2128="NYS",C2128="ASE")</f>
        <v/>
      </c>
      <c r="I2128">
        <f>F2128&gt;=500000</f>
        <v/>
      </c>
      <c r="J2128">
        <f>E2128&gt;=2</f>
        <v/>
      </c>
      <c r="K2128">
        <f>AND(G2128,H2128,I2128,J2128)</f>
        <v/>
      </c>
    </row>
    <row r="2129">
      <c r="B2129" s="5">
        <f>BDP(A2129&amp;" US Equity","CUR_MKT_CAP")</f>
        <v/>
      </c>
      <c r="C2129">
        <f>BDP(A2129&amp;" US Equity","EXCH_CODE")</f>
        <v/>
      </c>
      <c r="D2129" s="5">
        <f>BDP(A2129&amp;" US Equity","VOLUME_AVG_20D")</f>
        <v/>
      </c>
      <c r="E2129" s="6">
        <f>BDP(A2129&amp;" US Equity","PX_LAST")</f>
        <v/>
      </c>
      <c r="F2129" s="5">
        <f>D2129*E2129</f>
        <v/>
      </c>
      <c r="G2129">
        <f>AND(B2129&gt;=50,B2129&lt;=10000)</f>
        <v/>
      </c>
      <c r="H2129">
        <f>OR(C2129="NAS",C2129="NYS",C2129="ASE")</f>
        <v/>
      </c>
      <c r="I2129">
        <f>F2129&gt;=500000</f>
        <v/>
      </c>
      <c r="J2129">
        <f>E2129&gt;=2</f>
        <v/>
      </c>
      <c r="K2129">
        <f>AND(G2129,H2129,I2129,J2129)</f>
        <v/>
      </c>
    </row>
    <row r="2130">
      <c r="B2130" s="5">
        <f>BDP(A2130&amp;" US Equity","CUR_MKT_CAP")</f>
        <v/>
      </c>
      <c r="C2130">
        <f>BDP(A2130&amp;" US Equity","EXCH_CODE")</f>
        <v/>
      </c>
      <c r="D2130" s="5">
        <f>BDP(A2130&amp;" US Equity","VOLUME_AVG_20D")</f>
        <v/>
      </c>
      <c r="E2130" s="6">
        <f>BDP(A2130&amp;" US Equity","PX_LAST")</f>
        <v/>
      </c>
      <c r="F2130" s="5">
        <f>D2130*E2130</f>
        <v/>
      </c>
      <c r="G2130">
        <f>AND(B2130&gt;=50,B2130&lt;=10000)</f>
        <v/>
      </c>
      <c r="H2130">
        <f>OR(C2130="NAS",C2130="NYS",C2130="ASE")</f>
        <v/>
      </c>
      <c r="I2130">
        <f>F2130&gt;=500000</f>
        <v/>
      </c>
      <c r="J2130">
        <f>E2130&gt;=2</f>
        <v/>
      </c>
      <c r="K2130">
        <f>AND(G2130,H2130,I2130,J2130)</f>
        <v/>
      </c>
    </row>
    <row r="2131">
      <c r="B2131" s="5">
        <f>BDP(A2131&amp;" US Equity","CUR_MKT_CAP")</f>
        <v/>
      </c>
      <c r="C2131">
        <f>BDP(A2131&amp;" US Equity","EXCH_CODE")</f>
        <v/>
      </c>
      <c r="D2131" s="5">
        <f>BDP(A2131&amp;" US Equity","VOLUME_AVG_20D")</f>
        <v/>
      </c>
      <c r="E2131" s="6">
        <f>BDP(A2131&amp;" US Equity","PX_LAST")</f>
        <v/>
      </c>
      <c r="F2131" s="5">
        <f>D2131*E2131</f>
        <v/>
      </c>
      <c r="G2131">
        <f>AND(B2131&gt;=50,B2131&lt;=10000)</f>
        <v/>
      </c>
      <c r="H2131">
        <f>OR(C2131="NAS",C2131="NYS",C2131="ASE")</f>
        <v/>
      </c>
      <c r="I2131">
        <f>F2131&gt;=500000</f>
        <v/>
      </c>
      <c r="J2131">
        <f>E2131&gt;=2</f>
        <v/>
      </c>
      <c r="K2131">
        <f>AND(G2131,H2131,I2131,J2131)</f>
        <v/>
      </c>
    </row>
    <row r="2132">
      <c r="B2132" s="5">
        <f>BDP(A2132&amp;" US Equity","CUR_MKT_CAP")</f>
        <v/>
      </c>
      <c r="C2132">
        <f>BDP(A2132&amp;" US Equity","EXCH_CODE")</f>
        <v/>
      </c>
      <c r="D2132" s="5">
        <f>BDP(A2132&amp;" US Equity","VOLUME_AVG_20D")</f>
        <v/>
      </c>
      <c r="E2132" s="6">
        <f>BDP(A2132&amp;" US Equity","PX_LAST")</f>
        <v/>
      </c>
      <c r="F2132" s="5">
        <f>D2132*E2132</f>
        <v/>
      </c>
      <c r="G2132">
        <f>AND(B2132&gt;=50,B2132&lt;=10000)</f>
        <v/>
      </c>
      <c r="H2132">
        <f>OR(C2132="NAS",C2132="NYS",C2132="ASE")</f>
        <v/>
      </c>
      <c r="I2132">
        <f>F2132&gt;=500000</f>
        <v/>
      </c>
      <c r="J2132">
        <f>E2132&gt;=2</f>
        <v/>
      </c>
      <c r="K2132">
        <f>AND(G2132,H2132,I2132,J2132)</f>
        <v/>
      </c>
    </row>
    <row r="2133">
      <c r="B2133" s="5">
        <f>BDP(A2133&amp;" US Equity","CUR_MKT_CAP")</f>
        <v/>
      </c>
      <c r="C2133">
        <f>BDP(A2133&amp;" US Equity","EXCH_CODE")</f>
        <v/>
      </c>
      <c r="D2133" s="5">
        <f>BDP(A2133&amp;" US Equity","VOLUME_AVG_20D")</f>
        <v/>
      </c>
      <c r="E2133" s="6">
        <f>BDP(A2133&amp;" US Equity","PX_LAST")</f>
        <v/>
      </c>
      <c r="F2133" s="5">
        <f>D2133*E2133</f>
        <v/>
      </c>
      <c r="G2133">
        <f>AND(B2133&gt;=50,B2133&lt;=10000)</f>
        <v/>
      </c>
      <c r="H2133">
        <f>OR(C2133="NAS",C2133="NYS",C2133="ASE")</f>
        <v/>
      </c>
      <c r="I2133">
        <f>F2133&gt;=500000</f>
        <v/>
      </c>
      <c r="J2133">
        <f>E2133&gt;=2</f>
        <v/>
      </c>
      <c r="K2133">
        <f>AND(G2133,H2133,I2133,J2133)</f>
        <v/>
      </c>
    </row>
    <row r="2134">
      <c r="B2134" s="5">
        <f>BDP(A2134&amp;" US Equity","CUR_MKT_CAP")</f>
        <v/>
      </c>
      <c r="C2134">
        <f>BDP(A2134&amp;" US Equity","EXCH_CODE")</f>
        <v/>
      </c>
      <c r="D2134" s="5">
        <f>BDP(A2134&amp;" US Equity","VOLUME_AVG_20D")</f>
        <v/>
      </c>
      <c r="E2134" s="6">
        <f>BDP(A2134&amp;" US Equity","PX_LAST")</f>
        <v/>
      </c>
      <c r="F2134" s="5">
        <f>D2134*E2134</f>
        <v/>
      </c>
      <c r="G2134">
        <f>AND(B2134&gt;=50,B2134&lt;=10000)</f>
        <v/>
      </c>
      <c r="H2134">
        <f>OR(C2134="NAS",C2134="NYS",C2134="ASE")</f>
        <v/>
      </c>
      <c r="I2134">
        <f>F2134&gt;=500000</f>
        <v/>
      </c>
      <c r="J2134">
        <f>E2134&gt;=2</f>
        <v/>
      </c>
      <c r="K2134">
        <f>AND(G2134,H2134,I2134,J2134)</f>
        <v/>
      </c>
    </row>
    <row r="2135">
      <c r="B2135" s="5">
        <f>BDP(A2135&amp;" US Equity","CUR_MKT_CAP")</f>
        <v/>
      </c>
      <c r="C2135">
        <f>BDP(A2135&amp;" US Equity","EXCH_CODE")</f>
        <v/>
      </c>
      <c r="D2135" s="5">
        <f>BDP(A2135&amp;" US Equity","VOLUME_AVG_20D")</f>
        <v/>
      </c>
      <c r="E2135" s="6">
        <f>BDP(A2135&amp;" US Equity","PX_LAST")</f>
        <v/>
      </c>
      <c r="F2135" s="5">
        <f>D2135*E2135</f>
        <v/>
      </c>
      <c r="G2135">
        <f>AND(B2135&gt;=50,B2135&lt;=10000)</f>
        <v/>
      </c>
      <c r="H2135">
        <f>OR(C2135="NAS",C2135="NYS",C2135="ASE")</f>
        <v/>
      </c>
      <c r="I2135">
        <f>F2135&gt;=500000</f>
        <v/>
      </c>
      <c r="J2135">
        <f>E2135&gt;=2</f>
        <v/>
      </c>
      <c r="K2135">
        <f>AND(G2135,H2135,I2135,J2135)</f>
        <v/>
      </c>
    </row>
    <row r="2136">
      <c r="B2136" s="5">
        <f>BDP(A2136&amp;" US Equity","CUR_MKT_CAP")</f>
        <v/>
      </c>
      <c r="C2136">
        <f>BDP(A2136&amp;" US Equity","EXCH_CODE")</f>
        <v/>
      </c>
      <c r="D2136" s="5">
        <f>BDP(A2136&amp;" US Equity","VOLUME_AVG_20D")</f>
        <v/>
      </c>
      <c r="E2136" s="6">
        <f>BDP(A2136&amp;" US Equity","PX_LAST")</f>
        <v/>
      </c>
      <c r="F2136" s="5">
        <f>D2136*E2136</f>
        <v/>
      </c>
      <c r="G2136">
        <f>AND(B2136&gt;=50,B2136&lt;=10000)</f>
        <v/>
      </c>
      <c r="H2136">
        <f>OR(C2136="NAS",C2136="NYS",C2136="ASE")</f>
        <v/>
      </c>
      <c r="I2136">
        <f>F2136&gt;=500000</f>
        <v/>
      </c>
      <c r="J2136">
        <f>E2136&gt;=2</f>
        <v/>
      </c>
      <c r="K2136">
        <f>AND(G2136,H2136,I2136,J2136)</f>
        <v/>
      </c>
    </row>
    <row r="2137">
      <c r="B2137" s="5">
        <f>BDP(A2137&amp;" US Equity","CUR_MKT_CAP")</f>
        <v/>
      </c>
      <c r="C2137">
        <f>BDP(A2137&amp;" US Equity","EXCH_CODE")</f>
        <v/>
      </c>
      <c r="D2137" s="5">
        <f>BDP(A2137&amp;" US Equity","VOLUME_AVG_20D")</f>
        <v/>
      </c>
      <c r="E2137" s="6">
        <f>BDP(A2137&amp;" US Equity","PX_LAST")</f>
        <v/>
      </c>
      <c r="F2137" s="5">
        <f>D2137*E2137</f>
        <v/>
      </c>
      <c r="G2137">
        <f>AND(B2137&gt;=50,B2137&lt;=10000)</f>
        <v/>
      </c>
      <c r="H2137">
        <f>OR(C2137="NAS",C2137="NYS",C2137="ASE")</f>
        <v/>
      </c>
      <c r="I2137">
        <f>F2137&gt;=500000</f>
        <v/>
      </c>
      <c r="J2137">
        <f>E2137&gt;=2</f>
        <v/>
      </c>
      <c r="K2137">
        <f>AND(G2137,H2137,I2137,J2137)</f>
        <v/>
      </c>
    </row>
    <row r="2138">
      <c r="B2138" s="5">
        <f>BDP(A2138&amp;" US Equity","CUR_MKT_CAP")</f>
        <v/>
      </c>
      <c r="C2138">
        <f>BDP(A2138&amp;" US Equity","EXCH_CODE")</f>
        <v/>
      </c>
      <c r="D2138" s="5">
        <f>BDP(A2138&amp;" US Equity","VOLUME_AVG_20D")</f>
        <v/>
      </c>
      <c r="E2138" s="6">
        <f>BDP(A2138&amp;" US Equity","PX_LAST")</f>
        <v/>
      </c>
      <c r="F2138" s="5">
        <f>D2138*E2138</f>
        <v/>
      </c>
      <c r="G2138">
        <f>AND(B2138&gt;=50,B2138&lt;=10000)</f>
        <v/>
      </c>
      <c r="H2138">
        <f>OR(C2138="NAS",C2138="NYS",C2138="ASE")</f>
        <v/>
      </c>
      <c r="I2138">
        <f>F2138&gt;=500000</f>
        <v/>
      </c>
      <c r="J2138">
        <f>E2138&gt;=2</f>
        <v/>
      </c>
      <c r="K2138">
        <f>AND(G2138,H2138,I2138,J2138)</f>
        <v/>
      </c>
    </row>
    <row r="2139">
      <c r="B2139" s="5">
        <f>BDP(A2139&amp;" US Equity","CUR_MKT_CAP")</f>
        <v/>
      </c>
      <c r="C2139">
        <f>BDP(A2139&amp;" US Equity","EXCH_CODE")</f>
        <v/>
      </c>
      <c r="D2139" s="5">
        <f>BDP(A2139&amp;" US Equity","VOLUME_AVG_20D")</f>
        <v/>
      </c>
      <c r="E2139" s="6">
        <f>BDP(A2139&amp;" US Equity","PX_LAST")</f>
        <v/>
      </c>
      <c r="F2139" s="5">
        <f>D2139*E2139</f>
        <v/>
      </c>
      <c r="G2139">
        <f>AND(B2139&gt;=50,B2139&lt;=10000)</f>
        <v/>
      </c>
      <c r="H2139">
        <f>OR(C2139="NAS",C2139="NYS",C2139="ASE")</f>
        <v/>
      </c>
      <c r="I2139">
        <f>F2139&gt;=500000</f>
        <v/>
      </c>
      <c r="J2139">
        <f>E2139&gt;=2</f>
        <v/>
      </c>
      <c r="K2139">
        <f>AND(G2139,H2139,I2139,J2139)</f>
        <v/>
      </c>
    </row>
    <row r="2140">
      <c r="B2140" s="5">
        <f>BDP(A2140&amp;" US Equity","CUR_MKT_CAP")</f>
        <v/>
      </c>
      <c r="C2140">
        <f>BDP(A2140&amp;" US Equity","EXCH_CODE")</f>
        <v/>
      </c>
      <c r="D2140" s="5">
        <f>BDP(A2140&amp;" US Equity","VOLUME_AVG_20D")</f>
        <v/>
      </c>
      <c r="E2140" s="6">
        <f>BDP(A2140&amp;" US Equity","PX_LAST")</f>
        <v/>
      </c>
      <c r="F2140" s="5">
        <f>D2140*E2140</f>
        <v/>
      </c>
      <c r="G2140">
        <f>AND(B2140&gt;=50,B2140&lt;=10000)</f>
        <v/>
      </c>
      <c r="H2140">
        <f>OR(C2140="NAS",C2140="NYS",C2140="ASE")</f>
        <v/>
      </c>
      <c r="I2140">
        <f>F2140&gt;=500000</f>
        <v/>
      </c>
      <c r="J2140">
        <f>E2140&gt;=2</f>
        <v/>
      </c>
      <c r="K2140">
        <f>AND(G2140,H2140,I2140,J2140)</f>
        <v/>
      </c>
    </row>
    <row r="2141">
      <c r="B2141" s="5">
        <f>BDP(A2141&amp;" US Equity","CUR_MKT_CAP")</f>
        <v/>
      </c>
      <c r="C2141">
        <f>BDP(A2141&amp;" US Equity","EXCH_CODE")</f>
        <v/>
      </c>
      <c r="D2141" s="5">
        <f>BDP(A2141&amp;" US Equity","VOLUME_AVG_20D")</f>
        <v/>
      </c>
      <c r="E2141" s="6">
        <f>BDP(A2141&amp;" US Equity","PX_LAST")</f>
        <v/>
      </c>
      <c r="F2141" s="5">
        <f>D2141*E2141</f>
        <v/>
      </c>
      <c r="G2141">
        <f>AND(B2141&gt;=50,B2141&lt;=10000)</f>
        <v/>
      </c>
      <c r="H2141">
        <f>OR(C2141="NAS",C2141="NYS",C2141="ASE")</f>
        <v/>
      </c>
      <c r="I2141">
        <f>F2141&gt;=500000</f>
        <v/>
      </c>
      <c r="J2141">
        <f>E2141&gt;=2</f>
        <v/>
      </c>
      <c r="K2141">
        <f>AND(G2141,H2141,I2141,J2141)</f>
        <v/>
      </c>
    </row>
    <row r="2142">
      <c r="B2142" s="5">
        <f>BDP(A2142&amp;" US Equity","CUR_MKT_CAP")</f>
        <v/>
      </c>
      <c r="C2142">
        <f>BDP(A2142&amp;" US Equity","EXCH_CODE")</f>
        <v/>
      </c>
      <c r="D2142" s="5">
        <f>BDP(A2142&amp;" US Equity","VOLUME_AVG_20D")</f>
        <v/>
      </c>
      <c r="E2142" s="6">
        <f>BDP(A2142&amp;" US Equity","PX_LAST")</f>
        <v/>
      </c>
      <c r="F2142" s="5">
        <f>D2142*E2142</f>
        <v/>
      </c>
      <c r="G2142">
        <f>AND(B2142&gt;=50,B2142&lt;=10000)</f>
        <v/>
      </c>
      <c r="H2142">
        <f>OR(C2142="NAS",C2142="NYS",C2142="ASE")</f>
        <v/>
      </c>
      <c r="I2142">
        <f>F2142&gt;=500000</f>
        <v/>
      </c>
      <c r="J2142">
        <f>E2142&gt;=2</f>
        <v/>
      </c>
      <c r="K2142">
        <f>AND(G2142,H2142,I2142,J2142)</f>
        <v/>
      </c>
    </row>
    <row r="2143">
      <c r="B2143" s="5">
        <f>BDP(A2143&amp;" US Equity","CUR_MKT_CAP")</f>
        <v/>
      </c>
      <c r="C2143">
        <f>BDP(A2143&amp;" US Equity","EXCH_CODE")</f>
        <v/>
      </c>
      <c r="D2143" s="5">
        <f>BDP(A2143&amp;" US Equity","VOLUME_AVG_20D")</f>
        <v/>
      </c>
      <c r="E2143" s="6">
        <f>BDP(A2143&amp;" US Equity","PX_LAST")</f>
        <v/>
      </c>
      <c r="F2143" s="5">
        <f>D2143*E2143</f>
        <v/>
      </c>
      <c r="G2143">
        <f>AND(B2143&gt;=50,B2143&lt;=10000)</f>
        <v/>
      </c>
      <c r="H2143">
        <f>OR(C2143="NAS",C2143="NYS",C2143="ASE")</f>
        <v/>
      </c>
      <c r="I2143">
        <f>F2143&gt;=500000</f>
        <v/>
      </c>
      <c r="J2143">
        <f>E2143&gt;=2</f>
        <v/>
      </c>
      <c r="K2143">
        <f>AND(G2143,H2143,I2143,J2143)</f>
        <v/>
      </c>
    </row>
    <row r="2144">
      <c r="B2144" s="5">
        <f>BDP(A2144&amp;" US Equity","CUR_MKT_CAP")</f>
        <v/>
      </c>
      <c r="C2144">
        <f>BDP(A2144&amp;" US Equity","EXCH_CODE")</f>
        <v/>
      </c>
      <c r="D2144" s="5">
        <f>BDP(A2144&amp;" US Equity","VOLUME_AVG_20D")</f>
        <v/>
      </c>
      <c r="E2144" s="6">
        <f>BDP(A2144&amp;" US Equity","PX_LAST")</f>
        <v/>
      </c>
      <c r="F2144" s="5">
        <f>D2144*E2144</f>
        <v/>
      </c>
      <c r="G2144">
        <f>AND(B2144&gt;=50,B2144&lt;=10000)</f>
        <v/>
      </c>
      <c r="H2144">
        <f>OR(C2144="NAS",C2144="NYS",C2144="ASE")</f>
        <v/>
      </c>
      <c r="I2144">
        <f>F2144&gt;=500000</f>
        <v/>
      </c>
      <c r="J2144">
        <f>E2144&gt;=2</f>
        <v/>
      </c>
      <c r="K2144">
        <f>AND(G2144,H2144,I2144,J2144)</f>
        <v/>
      </c>
    </row>
    <row r="2145">
      <c r="B2145" s="5">
        <f>BDP(A2145&amp;" US Equity","CUR_MKT_CAP")</f>
        <v/>
      </c>
      <c r="C2145">
        <f>BDP(A2145&amp;" US Equity","EXCH_CODE")</f>
        <v/>
      </c>
      <c r="D2145" s="5">
        <f>BDP(A2145&amp;" US Equity","VOLUME_AVG_20D")</f>
        <v/>
      </c>
      <c r="E2145" s="6">
        <f>BDP(A2145&amp;" US Equity","PX_LAST")</f>
        <v/>
      </c>
      <c r="F2145" s="5">
        <f>D2145*E2145</f>
        <v/>
      </c>
      <c r="G2145">
        <f>AND(B2145&gt;=50,B2145&lt;=10000)</f>
        <v/>
      </c>
      <c r="H2145">
        <f>OR(C2145="NAS",C2145="NYS",C2145="ASE")</f>
        <v/>
      </c>
      <c r="I2145">
        <f>F2145&gt;=500000</f>
        <v/>
      </c>
      <c r="J2145">
        <f>E2145&gt;=2</f>
        <v/>
      </c>
      <c r="K2145">
        <f>AND(G2145,H2145,I2145,J2145)</f>
        <v/>
      </c>
    </row>
    <row r="2146">
      <c r="B2146" s="5">
        <f>BDP(A2146&amp;" US Equity","CUR_MKT_CAP")</f>
        <v/>
      </c>
      <c r="C2146">
        <f>BDP(A2146&amp;" US Equity","EXCH_CODE")</f>
        <v/>
      </c>
      <c r="D2146" s="5">
        <f>BDP(A2146&amp;" US Equity","VOLUME_AVG_20D")</f>
        <v/>
      </c>
      <c r="E2146" s="6">
        <f>BDP(A2146&amp;" US Equity","PX_LAST")</f>
        <v/>
      </c>
      <c r="F2146" s="5">
        <f>D2146*E2146</f>
        <v/>
      </c>
      <c r="G2146">
        <f>AND(B2146&gt;=50,B2146&lt;=10000)</f>
        <v/>
      </c>
      <c r="H2146">
        <f>OR(C2146="NAS",C2146="NYS",C2146="ASE")</f>
        <v/>
      </c>
      <c r="I2146">
        <f>F2146&gt;=500000</f>
        <v/>
      </c>
      <c r="J2146">
        <f>E2146&gt;=2</f>
        <v/>
      </c>
      <c r="K2146">
        <f>AND(G2146,H2146,I2146,J2146)</f>
        <v/>
      </c>
    </row>
    <row r="2147">
      <c r="B2147" s="5">
        <f>BDP(A2147&amp;" US Equity","CUR_MKT_CAP")</f>
        <v/>
      </c>
      <c r="C2147">
        <f>BDP(A2147&amp;" US Equity","EXCH_CODE")</f>
        <v/>
      </c>
      <c r="D2147" s="5">
        <f>BDP(A2147&amp;" US Equity","VOLUME_AVG_20D")</f>
        <v/>
      </c>
      <c r="E2147" s="6">
        <f>BDP(A2147&amp;" US Equity","PX_LAST")</f>
        <v/>
      </c>
      <c r="F2147" s="5">
        <f>D2147*E2147</f>
        <v/>
      </c>
      <c r="G2147">
        <f>AND(B2147&gt;=50,B2147&lt;=10000)</f>
        <v/>
      </c>
      <c r="H2147">
        <f>OR(C2147="NAS",C2147="NYS",C2147="ASE")</f>
        <v/>
      </c>
      <c r="I2147">
        <f>F2147&gt;=500000</f>
        <v/>
      </c>
      <c r="J2147">
        <f>E2147&gt;=2</f>
        <v/>
      </c>
      <c r="K2147">
        <f>AND(G2147,H2147,I2147,J2147)</f>
        <v/>
      </c>
    </row>
    <row r="2148">
      <c r="B2148" s="5">
        <f>BDP(A2148&amp;" US Equity","CUR_MKT_CAP")</f>
        <v/>
      </c>
      <c r="C2148">
        <f>BDP(A2148&amp;" US Equity","EXCH_CODE")</f>
        <v/>
      </c>
      <c r="D2148" s="5">
        <f>BDP(A2148&amp;" US Equity","VOLUME_AVG_20D")</f>
        <v/>
      </c>
      <c r="E2148" s="6">
        <f>BDP(A2148&amp;" US Equity","PX_LAST")</f>
        <v/>
      </c>
      <c r="F2148" s="5">
        <f>D2148*E2148</f>
        <v/>
      </c>
      <c r="G2148">
        <f>AND(B2148&gt;=50,B2148&lt;=10000)</f>
        <v/>
      </c>
      <c r="H2148">
        <f>OR(C2148="NAS",C2148="NYS",C2148="ASE")</f>
        <v/>
      </c>
      <c r="I2148">
        <f>F2148&gt;=500000</f>
        <v/>
      </c>
      <c r="J2148">
        <f>E2148&gt;=2</f>
        <v/>
      </c>
      <c r="K2148">
        <f>AND(G2148,H2148,I2148,J2148)</f>
        <v/>
      </c>
    </row>
    <row r="2149">
      <c r="B2149" s="5">
        <f>BDP(A2149&amp;" US Equity","CUR_MKT_CAP")</f>
        <v/>
      </c>
      <c r="C2149">
        <f>BDP(A2149&amp;" US Equity","EXCH_CODE")</f>
        <v/>
      </c>
      <c r="D2149" s="5">
        <f>BDP(A2149&amp;" US Equity","VOLUME_AVG_20D")</f>
        <v/>
      </c>
      <c r="E2149" s="6">
        <f>BDP(A2149&amp;" US Equity","PX_LAST")</f>
        <v/>
      </c>
      <c r="F2149" s="5">
        <f>D2149*E2149</f>
        <v/>
      </c>
      <c r="G2149">
        <f>AND(B2149&gt;=50,B2149&lt;=10000)</f>
        <v/>
      </c>
      <c r="H2149">
        <f>OR(C2149="NAS",C2149="NYS",C2149="ASE")</f>
        <v/>
      </c>
      <c r="I2149">
        <f>F2149&gt;=500000</f>
        <v/>
      </c>
      <c r="J2149">
        <f>E2149&gt;=2</f>
        <v/>
      </c>
      <c r="K2149">
        <f>AND(G2149,H2149,I2149,J2149)</f>
        <v/>
      </c>
    </row>
    <row r="2150">
      <c r="B2150" s="5">
        <f>BDP(A2150&amp;" US Equity","CUR_MKT_CAP")</f>
        <v/>
      </c>
      <c r="C2150">
        <f>BDP(A2150&amp;" US Equity","EXCH_CODE")</f>
        <v/>
      </c>
      <c r="D2150" s="5">
        <f>BDP(A2150&amp;" US Equity","VOLUME_AVG_20D")</f>
        <v/>
      </c>
      <c r="E2150" s="6">
        <f>BDP(A2150&amp;" US Equity","PX_LAST")</f>
        <v/>
      </c>
      <c r="F2150" s="5">
        <f>D2150*E2150</f>
        <v/>
      </c>
      <c r="G2150">
        <f>AND(B2150&gt;=50,B2150&lt;=10000)</f>
        <v/>
      </c>
      <c r="H2150">
        <f>OR(C2150="NAS",C2150="NYS",C2150="ASE")</f>
        <v/>
      </c>
      <c r="I2150">
        <f>F2150&gt;=500000</f>
        <v/>
      </c>
      <c r="J2150">
        <f>E2150&gt;=2</f>
        <v/>
      </c>
      <c r="K2150">
        <f>AND(G2150,H2150,I2150,J2150)</f>
        <v/>
      </c>
    </row>
    <row r="2151">
      <c r="B2151" s="5">
        <f>BDP(A2151&amp;" US Equity","CUR_MKT_CAP")</f>
        <v/>
      </c>
      <c r="C2151">
        <f>BDP(A2151&amp;" US Equity","EXCH_CODE")</f>
        <v/>
      </c>
      <c r="D2151" s="5">
        <f>BDP(A2151&amp;" US Equity","VOLUME_AVG_20D")</f>
        <v/>
      </c>
      <c r="E2151" s="6">
        <f>BDP(A2151&amp;" US Equity","PX_LAST")</f>
        <v/>
      </c>
      <c r="F2151" s="5">
        <f>D2151*E2151</f>
        <v/>
      </c>
      <c r="G2151">
        <f>AND(B2151&gt;=50,B2151&lt;=10000)</f>
        <v/>
      </c>
      <c r="H2151">
        <f>OR(C2151="NAS",C2151="NYS",C2151="ASE")</f>
        <v/>
      </c>
      <c r="I2151">
        <f>F2151&gt;=500000</f>
        <v/>
      </c>
      <c r="J2151">
        <f>E2151&gt;=2</f>
        <v/>
      </c>
      <c r="K2151">
        <f>AND(G2151,H2151,I2151,J2151)</f>
        <v/>
      </c>
    </row>
    <row r="2152">
      <c r="B2152" s="5">
        <f>BDP(A2152&amp;" US Equity","CUR_MKT_CAP")</f>
        <v/>
      </c>
      <c r="C2152">
        <f>BDP(A2152&amp;" US Equity","EXCH_CODE")</f>
        <v/>
      </c>
      <c r="D2152" s="5">
        <f>BDP(A2152&amp;" US Equity","VOLUME_AVG_20D")</f>
        <v/>
      </c>
      <c r="E2152" s="6">
        <f>BDP(A2152&amp;" US Equity","PX_LAST")</f>
        <v/>
      </c>
      <c r="F2152" s="5">
        <f>D2152*E2152</f>
        <v/>
      </c>
      <c r="G2152">
        <f>AND(B2152&gt;=50,B2152&lt;=10000)</f>
        <v/>
      </c>
      <c r="H2152">
        <f>OR(C2152="NAS",C2152="NYS",C2152="ASE")</f>
        <v/>
      </c>
      <c r="I2152">
        <f>F2152&gt;=500000</f>
        <v/>
      </c>
      <c r="J2152">
        <f>E2152&gt;=2</f>
        <v/>
      </c>
      <c r="K2152">
        <f>AND(G2152,H2152,I2152,J2152)</f>
        <v/>
      </c>
    </row>
    <row r="2153">
      <c r="B2153" s="5">
        <f>BDP(A2153&amp;" US Equity","CUR_MKT_CAP")</f>
        <v/>
      </c>
      <c r="C2153">
        <f>BDP(A2153&amp;" US Equity","EXCH_CODE")</f>
        <v/>
      </c>
      <c r="D2153" s="5">
        <f>BDP(A2153&amp;" US Equity","VOLUME_AVG_20D")</f>
        <v/>
      </c>
      <c r="E2153" s="6">
        <f>BDP(A2153&amp;" US Equity","PX_LAST")</f>
        <v/>
      </c>
      <c r="F2153" s="5">
        <f>D2153*E2153</f>
        <v/>
      </c>
      <c r="G2153">
        <f>AND(B2153&gt;=50,B2153&lt;=10000)</f>
        <v/>
      </c>
      <c r="H2153">
        <f>OR(C2153="NAS",C2153="NYS",C2153="ASE")</f>
        <v/>
      </c>
      <c r="I2153">
        <f>F2153&gt;=500000</f>
        <v/>
      </c>
      <c r="J2153">
        <f>E2153&gt;=2</f>
        <v/>
      </c>
      <c r="K2153">
        <f>AND(G2153,H2153,I2153,J2153)</f>
        <v/>
      </c>
    </row>
    <row r="2154">
      <c r="B2154" s="5">
        <f>BDP(A2154&amp;" US Equity","CUR_MKT_CAP")</f>
        <v/>
      </c>
      <c r="C2154">
        <f>BDP(A2154&amp;" US Equity","EXCH_CODE")</f>
        <v/>
      </c>
      <c r="D2154" s="5">
        <f>BDP(A2154&amp;" US Equity","VOLUME_AVG_20D")</f>
        <v/>
      </c>
      <c r="E2154" s="6">
        <f>BDP(A2154&amp;" US Equity","PX_LAST")</f>
        <v/>
      </c>
      <c r="F2154" s="5">
        <f>D2154*E2154</f>
        <v/>
      </c>
      <c r="G2154">
        <f>AND(B2154&gt;=50,B2154&lt;=10000)</f>
        <v/>
      </c>
      <c r="H2154">
        <f>OR(C2154="NAS",C2154="NYS",C2154="ASE")</f>
        <v/>
      </c>
      <c r="I2154">
        <f>F2154&gt;=500000</f>
        <v/>
      </c>
      <c r="J2154">
        <f>E2154&gt;=2</f>
        <v/>
      </c>
      <c r="K2154">
        <f>AND(G2154,H2154,I2154,J2154)</f>
        <v/>
      </c>
    </row>
    <row r="2155">
      <c r="B2155" s="5">
        <f>BDP(A2155&amp;" US Equity","CUR_MKT_CAP")</f>
        <v/>
      </c>
      <c r="C2155">
        <f>BDP(A2155&amp;" US Equity","EXCH_CODE")</f>
        <v/>
      </c>
      <c r="D2155" s="5">
        <f>BDP(A2155&amp;" US Equity","VOLUME_AVG_20D")</f>
        <v/>
      </c>
      <c r="E2155" s="6">
        <f>BDP(A2155&amp;" US Equity","PX_LAST")</f>
        <v/>
      </c>
      <c r="F2155" s="5">
        <f>D2155*E2155</f>
        <v/>
      </c>
      <c r="G2155">
        <f>AND(B2155&gt;=50,B2155&lt;=10000)</f>
        <v/>
      </c>
      <c r="H2155">
        <f>OR(C2155="NAS",C2155="NYS",C2155="ASE")</f>
        <v/>
      </c>
      <c r="I2155">
        <f>F2155&gt;=500000</f>
        <v/>
      </c>
      <c r="J2155">
        <f>E2155&gt;=2</f>
        <v/>
      </c>
      <c r="K2155">
        <f>AND(G2155,H2155,I2155,J2155)</f>
        <v/>
      </c>
    </row>
    <row r="2156">
      <c r="B2156" s="5">
        <f>BDP(A2156&amp;" US Equity","CUR_MKT_CAP")</f>
        <v/>
      </c>
      <c r="C2156">
        <f>BDP(A2156&amp;" US Equity","EXCH_CODE")</f>
        <v/>
      </c>
      <c r="D2156" s="5">
        <f>BDP(A2156&amp;" US Equity","VOLUME_AVG_20D")</f>
        <v/>
      </c>
      <c r="E2156" s="6">
        <f>BDP(A2156&amp;" US Equity","PX_LAST")</f>
        <v/>
      </c>
      <c r="F2156" s="5">
        <f>D2156*E2156</f>
        <v/>
      </c>
      <c r="G2156">
        <f>AND(B2156&gt;=50,B2156&lt;=10000)</f>
        <v/>
      </c>
      <c r="H2156">
        <f>OR(C2156="NAS",C2156="NYS",C2156="ASE")</f>
        <v/>
      </c>
      <c r="I2156">
        <f>F2156&gt;=500000</f>
        <v/>
      </c>
      <c r="J2156">
        <f>E2156&gt;=2</f>
        <v/>
      </c>
      <c r="K2156">
        <f>AND(G2156,H2156,I2156,J2156)</f>
        <v/>
      </c>
    </row>
    <row r="2157">
      <c r="B2157" s="5">
        <f>BDP(A2157&amp;" US Equity","CUR_MKT_CAP")</f>
        <v/>
      </c>
      <c r="C2157">
        <f>BDP(A2157&amp;" US Equity","EXCH_CODE")</f>
        <v/>
      </c>
      <c r="D2157" s="5">
        <f>BDP(A2157&amp;" US Equity","VOLUME_AVG_20D")</f>
        <v/>
      </c>
      <c r="E2157" s="6">
        <f>BDP(A2157&amp;" US Equity","PX_LAST")</f>
        <v/>
      </c>
      <c r="F2157" s="5">
        <f>D2157*E2157</f>
        <v/>
      </c>
      <c r="G2157">
        <f>AND(B2157&gt;=50,B2157&lt;=10000)</f>
        <v/>
      </c>
      <c r="H2157">
        <f>OR(C2157="NAS",C2157="NYS",C2157="ASE")</f>
        <v/>
      </c>
      <c r="I2157">
        <f>F2157&gt;=500000</f>
        <v/>
      </c>
      <c r="J2157">
        <f>E2157&gt;=2</f>
        <v/>
      </c>
      <c r="K2157">
        <f>AND(G2157,H2157,I2157,J2157)</f>
        <v/>
      </c>
    </row>
    <row r="2158">
      <c r="B2158" s="5">
        <f>BDP(A2158&amp;" US Equity","CUR_MKT_CAP")</f>
        <v/>
      </c>
      <c r="C2158">
        <f>BDP(A2158&amp;" US Equity","EXCH_CODE")</f>
        <v/>
      </c>
      <c r="D2158" s="5">
        <f>BDP(A2158&amp;" US Equity","VOLUME_AVG_20D")</f>
        <v/>
      </c>
      <c r="E2158" s="6">
        <f>BDP(A2158&amp;" US Equity","PX_LAST")</f>
        <v/>
      </c>
      <c r="F2158" s="5">
        <f>D2158*E2158</f>
        <v/>
      </c>
      <c r="G2158">
        <f>AND(B2158&gt;=50,B2158&lt;=10000)</f>
        <v/>
      </c>
      <c r="H2158">
        <f>OR(C2158="NAS",C2158="NYS",C2158="ASE")</f>
        <v/>
      </c>
      <c r="I2158">
        <f>F2158&gt;=500000</f>
        <v/>
      </c>
      <c r="J2158">
        <f>E2158&gt;=2</f>
        <v/>
      </c>
      <c r="K2158">
        <f>AND(G2158,H2158,I2158,J2158)</f>
        <v/>
      </c>
    </row>
    <row r="2159">
      <c r="B2159" s="5">
        <f>BDP(A2159&amp;" US Equity","CUR_MKT_CAP")</f>
        <v/>
      </c>
      <c r="C2159">
        <f>BDP(A2159&amp;" US Equity","EXCH_CODE")</f>
        <v/>
      </c>
      <c r="D2159" s="5">
        <f>BDP(A2159&amp;" US Equity","VOLUME_AVG_20D")</f>
        <v/>
      </c>
      <c r="E2159" s="6">
        <f>BDP(A2159&amp;" US Equity","PX_LAST")</f>
        <v/>
      </c>
      <c r="F2159" s="5">
        <f>D2159*E2159</f>
        <v/>
      </c>
      <c r="G2159">
        <f>AND(B2159&gt;=50,B2159&lt;=10000)</f>
        <v/>
      </c>
      <c r="H2159">
        <f>OR(C2159="NAS",C2159="NYS",C2159="ASE")</f>
        <v/>
      </c>
      <c r="I2159">
        <f>F2159&gt;=500000</f>
        <v/>
      </c>
      <c r="J2159">
        <f>E2159&gt;=2</f>
        <v/>
      </c>
      <c r="K2159">
        <f>AND(G2159,H2159,I2159,J2159)</f>
        <v/>
      </c>
    </row>
    <row r="2160">
      <c r="B2160" s="5">
        <f>BDP(A2160&amp;" US Equity","CUR_MKT_CAP")</f>
        <v/>
      </c>
      <c r="C2160">
        <f>BDP(A2160&amp;" US Equity","EXCH_CODE")</f>
        <v/>
      </c>
      <c r="D2160" s="5">
        <f>BDP(A2160&amp;" US Equity","VOLUME_AVG_20D")</f>
        <v/>
      </c>
      <c r="E2160" s="6">
        <f>BDP(A2160&amp;" US Equity","PX_LAST")</f>
        <v/>
      </c>
      <c r="F2160" s="5">
        <f>D2160*E2160</f>
        <v/>
      </c>
      <c r="G2160">
        <f>AND(B2160&gt;=50,B2160&lt;=10000)</f>
        <v/>
      </c>
      <c r="H2160">
        <f>OR(C2160="NAS",C2160="NYS",C2160="ASE")</f>
        <v/>
      </c>
      <c r="I2160">
        <f>F2160&gt;=500000</f>
        <v/>
      </c>
      <c r="J2160">
        <f>E2160&gt;=2</f>
        <v/>
      </c>
      <c r="K2160">
        <f>AND(G2160,H2160,I2160,J2160)</f>
        <v/>
      </c>
    </row>
    <row r="2161">
      <c r="B2161" s="5">
        <f>BDP(A2161&amp;" US Equity","CUR_MKT_CAP")</f>
        <v/>
      </c>
      <c r="C2161">
        <f>BDP(A2161&amp;" US Equity","EXCH_CODE")</f>
        <v/>
      </c>
      <c r="D2161" s="5">
        <f>BDP(A2161&amp;" US Equity","VOLUME_AVG_20D")</f>
        <v/>
      </c>
      <c r="E2161" s="6">
        <f>BDP(A2161&amp;" US Equity","PX_LAST")</f>
        <v/>
      </c>
      <c r="F2161" s="5">
        <f>D2161*E2161</f>
        <v/>
      </c>
      <c r="G2161">
        <f>AND(B2161&gt;=50,B2161&lt;=10000)</f>
        <v/>
      </c>
      <c r="H2161">
        <f>OR(C2161="NAS",C2161="NYS",C2161="ASE")</f>
        <v/>
      </c>
      <c r="I2161">
        <f>F2161&gt;=500000</f>
        <v/>
      </c>
      <c r="J2161">
        <f>E2161&gt;=2</f>
        <v/>
      </c>
      <c r="K2161">
        <f>AND(G2161,H2161,I2161,J2161)</f>
        <v/>
      </c>
    </row>
    <row r="2162">
      <c r="B2162" s="5">
        <f>BDP(A2162&amp;" US Equity","CUR_MKT_CAP")</f>
        <v/>
      </c>
      <c r="C2162">
        <f>BDP(A2162&amp;" US Equity","EXCH_CODE")</f>
        <v/>
      </c>
      <c r="D2162" s="5">
        <f>BDP(A2162&amp;" US Equity","VOLUME_AVG_20D")</f>
        <v/>
      </c>
      <c r="E2162" s="6">
        <f>BDP(A2162&amp;" US Equity","PX_LAST")</f>
        <v/>
      </c>
      <c r="F2162" s="5">
        <f>D2162*E2162</f>
        <v/>
      </c>
      <c r="G2162">
        <f>AND(B2162&gt;=50,B2162&lt;=10000)</f>
        <v/>
      </c>
      <c r="H2162">
        <f>OR(C2162="NAS",C2162="NYS",C2162="ASE")</f>
        <v/>
      </c>
      <c r="I2162">
        <f>F2162&gt;=500000</f>
        <v/>
      </c>
      <c r="J2162">
        <f>E2162&gt;=2</f>
        <v/>
      </c>
      <c r="K2162">
        <f>AND(G2162,H2162,I2162,J2162)</f>
        <v/>
      </c>
    </row>
    <row r="2163">
      <c r="B2163" s="5">
        <f>BDP(A2163&amp;" US Equity","CUR_MKT_CAP")</f>
        <v/>
      </c>
      <c r="C2163">
        <f>BDP(A2163&amp;" US Equity","EXCH_CODE")</f>
        <v/>
      </c>
      <c r="D2163" s="5">
        <f>BDP(A2163&amp;" US Equity","VOLUME_AVG_20D")</f>
        <v/>
      </c>
      <c r="E2163" s="6">
        <f>BDP(A2163&amp;" US Equity","PX_LAST")</f>
        <v/>
      </c>
      <c r="F2163" s="5">
        <f>D2163*E2163</f>
        <v/>
      </c>
      <c r="G2163">
        <f>AND(B2163&gt;=50,B2163&lt;=10000)</f>
        <v/>
      </c>
      <c r="H2163">
        <f>OR(C2163="NAS",C2163="NYS",C2163="ASE")</f>
        <v/>
      </c>
      <c r="I2163">
        <f>F2163&gt;=500000</f>
        <v/>
      </c>
      <c r="J2163">
        <f>E2163&gt;=2</f>
        <v/>
      </c>
      <c r="K2163">
        <f>AND(G2163,H2163,I2163,J2163)</f>
        <v/>
      </c>
    </row>
    <row r="2164">
      <c r="B2164" s="5">
        <f>BDP(A2164&amp;" US Equity","CUR_MKT_CAP")</f>
        <v/>
      </c>
      <c r="C2164">
        <f>BDP(A2164&amp;" US Equity","EXCH_CODE")</f>
        <v/>
      </c>
      <c r="D2164" s="5">
        <f>BDP(A2164&amp;" US Equity","VOLUME_AVG_20D")</f>
        <v/>
      </c>
      <c r="E2164" s="6">
        <f>BDP(A2164&amp;" US Equity","PX_LAST")</f>
        <v/>
      </c>
      <c r="F2164" s="5">
        <f>D2164*E2164</f>
        <v/>
      </c>
      <c r="G2164">
        <f>AND(B2164&gt;=50,B2164&lt;=10000)</f>
        <v/>
      </c>
      <c r="H2164">
        <f>OR(C2164="NAS",C2164="NYS",C2164="ASE")</f>
        <v/>
      </c>
      <c r="I2164">
        <f>F2164&gt;=500000</f>
        <v/>
      </c>
      <c r="J2164">
        <f>E2164&gt;=2</f>
        <v/>
      </c>
      <c r="K2164">
        <f>AND(G2164,H2164,I2164,J2164)</f>
        <v/>
      </c>
    </row>
    <row r="2165">
      <c r="B2165" s="5">
        <f>BDP(A2165&amp;" US Equity","CUR_MKT_CAP")</f>
        <v/>
      </c>
      <c r="C2165">
        <f>BDP(A2165&amp;" US Equity","EXCH_CODE")</f>
        <v/>
      </c>
      <c r="D2165" s="5">
        <f>BDP(A2165&amp;" US Equity","VOLUME_AVG_20D")</f>
        <v/>
      </c>
      <c r="E2165" s="6">
        <f>BDP(A2165&amp;" US Equity","PX_LAST")</f>
        <v/>
      </c>
      <c r="F2165" s="5">
        <f>D2165*E2165</f>
        <v/>
      </c>
      <c r="G2165">
        <f>AND(B2165&gt;=50,B2165&lt;=10000)</f>
        <v/>
      </c>
      <c r="H2165">
        <f>OR(C2165="NAS",C2165="NYS",C2165="ASE")</f>
        <v/>
      </c>
      <c r="I2165">
        <f>F2165&gt;=500000</f>
        <v/>
      </c>
      <c r="J2165">
        <f>E2165&gt;=2</f>
        <v/>
      </c>
      <c r="K2165">
        <f>AND(G2165,H2165,I2165,J2165)</f>
        <v/>
      </c>
    </row>
    <row r="2166">
      <c r="B2166" s="5">
        <f>BDP(A2166&amp;" US Equity","CUR_MKT_CAP")</f>
        <v/>
      </c>
      <c r="C2166">
        <f>BDP(A2166&amp;" US Equity","EXCH_CODE")</f>
        <v/>
      </c>
      <c r="D2166" s="5">
        <f>BDP(A2166&amp;" US Equity","VOLUME_AVG_20D")</f>
        <v/>
      </c>
      <c r="E2166" s="6">
        <f>BDP(A2166&amp;" US Equity","PX_LAST")</f>
        <v/>
      </c>
      <c r="F2166" s="5">
        <f>D2166*E2166</f>
        <v/>
      </c>
      <c r="G2166">
        <f>AND(B2166&gt;=50,B2166&lt;=10000)</f>
        <v/>
      </c>
      <c r="H2166">
        <f>OR(C2166="NAS",C2166="NYS",C2166="ASE")</f>
        <v/>
      </c>
      <c r="I2166">
        <f>F2166&gt;=500000</f>
        <v/>
      </c>
      <c r="J2166">
        <f>E2166&gt;=2</f>
        <v/>
      </c>
      <c r="K2166">
        <f>AND(G2166,H2166,I2166,J2166)</f>
        <v/>
      </c>
    </row>
    <row r="2167">
      <c r="B2167" s="5">
        <f>BDP(A2167&amp;" US Equity","CUR_MKT_CAP")</f>
        <v/>
      </c>
      <c r="C2167">
        <f>BDP(A2167&amp;" US Equity","EXCH_CODE")</f>
        <v/>
      </c>
      <c r="D2167" s="5">
        <f>BDP(A2167&amp;" US Equity","VOLUME_AVG_20D")</f>
        <v/>
      </c>
      <c r="E2167" s="6">
        <f>BDP(A2167&amp;" US Equity","PX_LAST")</f>
        <v/>
      </c>
      <c r="F2167" s="5">
        <f>D2167*E2167</f>
        <v/>
      </c>
      <c r="G2167">
        <f>AND(B2167&gt;=50,B2167&lt;=10000)</f>
        <v/>
      </c>
      <c r="H2167">
        <f>OR(C2167="NAS",C2167="NYS",C2167="ASE")</f>
        <v/>
      </c>
      <c r="I2167">
        <f>F2167&gt;=500000</f>
        <v/>
      </c>
      <c r="J2167">
        <f>E2167&gt;=2</f>
        <v/>
      </c>
      <c r="K2167">
        <f>AND(G2167,H2167,I2167,J2167)</f>
        <v/>
      </c>
    </row>
    <row r="2168">
      <c r="B2168" s="5">
        <f>BDP(A2168&amp;" US Equity","CUR_MKT_CAP")</f>
        <v/>
      </c>
      <c r="C2168">
        <f>BDP(A2168&amp;" US Equity","EXCH_CODE")</f>
        <v/>
      </c>
      <c r="D2168" s="5">
        <f>BDP(A2168&amp;" US Equity","VOLUME_AVG_20D")</f>
        <v/>
      </c>
      <c r="E2168" s="6">
        <f>BDP(A2168&amp;" US Equity","PX_LAST")</f>
        <v/>
      </c>
      <c r="F2168" s="5">
        <f>D2168*E2168</f>
        <v/>
      </c>
      <c r="G2168">
        <f>AND(B2168&gt;=50,B2168&lt;=10000)</f>
        <v/>
      </c>
      <c r="H2168">
        <f>OR(C2168="NAS",C2168="NYS",C2168="ASE")</f>
        <v/>
      </c>
      <c r="I2168">
        <f>F2168&gt;=500000</f>
        <v/>
      </c>
      <c r="J2168">
        <f>E2168&gt;=2</f>
        <v/>
      </c>
      <c r="K2168">
        <f>AND(G2168,H2168,I2168,J2168)</f>
        <v/>
      </c>
    </row>
    <row r="2169">
      <c r="B2169" s="5">
        <f>BDP(A2169&amp;" US Equity","CUR_MKT_CAP")</f>
        <v/>
      </c>
      <c r="C2169">
        <f>BDP(A2169&amp;" US Equity","EXCH_CODE")</f>
        <v/>
      </c>
      <c r="D2169" s="5">
        <f>BDP(A2169&amp;" US Equity","VOLUME_AVG_20D")</f>
        <v/>
      </c>
      <c r="E2169" s="6">
        <f>BDP(A2169&amp;" US Equity","PX_LAST")</f>
        <v/>
      </c>
      <c r="F2169" s="5">
        <f>D2169*E2169</f>
        <v/>
      </c>
      <c r="G2169">
        <f>AND(B2169&gt;=50,B2169&lt;=10000)</f>
        <v/>
      </c>
      <c r="H2169">
        <f>OR(C2169="NAS",C2169="NYS",C2169="ASE")</f>
        <v/>
      </c>
      <c r="I2169">
        <f>F2169&gt;=500000</f>
        <v/>
      </c>
      <c r="J2169">
        <f>E2169&gt;=2</f>
        <v/>
      </c>
      <c r="K2169">
        <f>AND(G2169,H2169,I2169,J2169)</f>
        <v/>
      </c>
    </row>
    <row r="2170">
      <c r="B2170" s="5">
        <f>BDP(A2170&amp;" US Equity","CUR_MKT_CAP")</f>
        <v/>
      </c>
      <c r="C2170">
        <f>BDP(A2170&amp;" US Equity","EXCH_CODE")</f>
        <v/>
      </c>
      <c r="D2170" s="5">
        <f>BDP(A2170&amp;" US Equity","VOLUME_AVG_20D")</f>
        <v/>
      </c>
      <c r="E2170" s="6">
        <f>BDP(A2170&amp;" US Equity","PX_LAST")</f>
        <v/>
      </c>
      <c r="F2170" s="5">
        <f>D2170*E2170</f>
        <v/>
      </c>
      <c r="G2170">
        <f>AND(B2170&gt;=50,B2170&lt;=10000)</f>
        <v/>
      </c>
      <c r="H2170">
        <f>OR(C2170="NAS",C2170="NYS",C2170="ASE")</f>
        <v/>
      </c>
      <c r="I2170">
        <f>F2170&gt;=500000</f>
        <v/>
      </c>
      <c r="J2170">
        <f>E2170&gt;=2</f>
        <v/>
      </c>
      <c r="K2170">
        <f>AND(G2170,H2170,I2170,J2170)</f>
        <v/>
      </c>
    </row>
    <row r="2171">
      <c r="B2171" s="5">
        <f>BDP(A2171&amp;" US Equity","CUR_MKT_CAP")</f>
        <v/>
      </c>
      <c r="C2171">
        <f>BDP(A2171&amp;" US Equity","EXCH_CODE")</f>
        <v/>
      </c>
      <c r="D2171" s="5">
        <f>BDP(A2171&amp;" US Equity","VOLUME_AVG_20D")</f>
        <v/>
      </c>
      <c r="E2171" s="6">
        <f>BDP(A2171&amp;" US Equity","PX_LAST")</f>
        <v/>
      </c>
      <c r="F2171" s="5">
        <f>D2171*E2171</f>
        <v/>
      </c>
      <c r="G2171">
        <f>AND(B2171&gt;=50,B2171&lt;=10000)</f>
        <v/>
      </c>
      <c r="H2171">
        <f>OR(C2171="NAS",C2171="NYS",C2171="ASE")</f>
        <v/>
      </c>
      <c r="I2171">
        <f>F2171&gt;=500000</f>
        <v/>
      </c>
      <c r="J2171">
        <f>E2171&gt;=2</f>
        <v/>
      </c>
      <c r="K2171">
        <f>AND(G2171,H2171,I2171,J2171)</f>
        <v/>
      </c>
    </row>
    <row r="2172">
      <c r="B2172" s="5">
        <f>BDP(A2172&amp;" US Equity","CUR_MKT_CAP")</f>
        <v/>
      </c>
      <c r="C2172">
        <f>BDP(A2172&amp;" US Equity","EXCH_CODE")</f>
        <v/>
      </c>
      <c r="D2172" s="5">
        <f>BDP(A2172&amp;" US Equity","VOLUME_AVG_20D")</f>
        <v/>
      </c>
      <c r="E2172" s="6">
        <f>BDP(A2172&amp;" US Equity","PX_LAST")</f>
        <v/>
      </c>
      <c r="F2172" s="5">
        <f>D2172*E2172</f>
        <v/>
      </c>
      <c r="G2172">
        <f>AND(B2172&gt;=50,B2172&lt;=10000)</f>
        <v/>
      </c>
      <c r="H2172">
        <f>OR(C2172="NAS",C2172="NYS",C2172="ASE")</f>
        <v/>
      </c>
      <c r="I2172">
        <f>F2172&gt;=500000</f>
        <v/>
      </c>
      <c r="J2172">
        <f>E2172&gt;=2</f>
        <v/>
      </c>
      <c r="K2172">
        <f>AND(G2172,H2172,I2172,J2172)</f>
        <v/>
      </c>
    </row>
    <row r="2173">
      <c r="B2173" s="5">
        <f>BDP(A2173&amp;" US Equity","CUR_MKT_CAP")</f>
        <v/>
      </c>
      <c r="C2173">
        <f>BDP(A2173&amp;" US Equity","EXCH_CODE")</f>
        <v/>
      </c>
      <c r="D2173" s="5">
        <f>BDP(A2173&amp;" US Equity","VOLUME_AVG_20D")</f>
        <v/>
      </c>
      <c r="E2173" s="6">
        <f>BDP(A2173&amp;" US Equity","PX_LAST")</f>
        <v/>
      </c>
      <c r="F2173" s="5">
        <f>D2173*E2173</f>
        <v/>
      </c>
      <c r="G2173">
        <f>AND(B2173&gt;=50,B2173&lt;=10000)</f>
        <v/>
      </c>
      <c r="H2173">
        <f>OR(C2173="NAS",C2173="NYS",C2173="ASE")</f>
        <v/>
      </c>
      <c r="I2173">
        <f>F2173&gt;=500000</f>
        <v/>
      </c>
      <c r="J2173">
        <f>E2173&gt;=2</f>
        <v/>
      </c>
      <c r="K2173">
        <f>AND(G2173,H2173,I2173,J2173)</f>
        <v/>
      </c>
    </row>
    <row r="2174">
      <c r="B2174" s="5">
        <f>BDP(A2174&amp;" US Equity","CUR_MKT_CAP")</f>
        <v/>
      </c>
      <c r="C2174">
        <f>BDP(A2174&amp;" US Equity","EXCH_CODE")</f>
        <v/>
      </c>
      <c r="D2174" s="5">
        <f>BDP(A2174&amp;" US Equity","VOLUME_AVG_20D")</f>
        <v/>
      </c>
      <c r="E2174" s="6">
        <f>BDP(A2174&amp;" US Equity","PX_LAST")</f>
        <v/>
      </c>
      <c r="F2174" s="5">
        <f>D2174*E2174</f>
        <v/>
      </c>
      <c r="G2174">
        <f>AND(B2174&gt;=50,B2174&lt;=10000)</f>
        <v/>
      </c>
      <c r="H2174">
        <f>OR(C2174="NAS",C2174="NYS",C2174="ASE")</f>
        <v/>
      </c>
      <c r="I2174">
        <f>F2174&gt;=500000</f>
        <v/>
      </c>
      <c r="J2174">
        <f>E2174&gt;=2</f>
        <v/>
      </c>
      <c r="K2174">
        <f>AND(G2174,H2174,I2174,J2174)</f>
        <v/>
      </c>
    </row>
    <row r="2175">
      <c r="B2175" s="5">
        <f>BDP(A2175&amp;" US Equity","CUR_MKT_CAP")</f>
        <v/>
      </c>
      <c r="C2175">
        <f>BDP(A2175&amp;" US Equity","EXCH_CODE")</f>
        <v/>
      </c>
      <c r="D2175" s="5">
        <f>BDP(A2175&amp;" US Equity","VOLUME_AVG_20D")</f>
        <v/>
      </c>
      <c r="E2175" s="6">
        <f>BDP(A2175&amp;" US Equity","PX_LAST")</f>
        <v/>
      </c>
      <c r="F2175" s="5">
        <f>D2175*E2175</f>
        <v/>
      </c>
      <c r="G2175">
        <f>AND(B2175&gt;=50,B2175&lt;=10000)</f>
        <v/>
      </c>
      <c r="H2175">
        <f>OR(C2175="NAS",C2175="NYS",C2175="ASE")</f>
        <v/>
      </c>
      <c r="I2175">
        <f>F2175&gt;=500000</f>
        <v/>
      </c>
      <c r="J2175">
        <f>E2175&gt;=2</f>
        <v/>
      </c>
      <c r="K2175">
        <f>AND(G2175,H2175,I2175,J2175)</f>
        <v/>
      </c>
    </row>
    <row r="2176">
      <c r="B2176" s="5">
        <f>BDP(A2176&amp;" US Equity","CUR_MKT_CAP")</f>
        <v/>
      </c>
      <c r="C2176">
        <f>BDP(A2176&amp;" US Equity","EXCH_CODE")</f>
        <v/>
      </c>
      <c r="D2176" s="5">
        <f>BDP(A2176&amp;" US Equity","VOLUME_AVG_20D")</f>
        <v/>
      </c>
      <c r="E2176" s="6">
        <f>BDP(A2176&amp;" US Equity","PX_LAST")</f>
        <v/>
      </c>
      <c r="F2176" s="5">
        <f>D2176*E2176</f>
        <v/>
      </c>
      <c r="G2176">
        <f>AND(B2176&gt;=50,B2176&lt;=10000)</f>
        <v/>
      </c>
      <c r="H2176">
        <f>OR(C2176="NAS",C2176="NYS",C2176="ASE")</f>
        <v/>
      </c>
      <c r="I2176">
        <f>F2176&gt;=500000</f>
        <v/>
      </c>
      <c r="J2176">
        <f>E2176&gt;=2</f>
        <v/>
      </c>
      <c r="K2176">
        <f>AND(G2176,H2176,I2176,J2176)</f>
        <v/>
      </c>
    </row>
    <row r="2177">
      <c r="B2177" s="5">
        <f>BDP(A2177&amp;" US Equity","CUR_MKT_CAP")</f>
        <v/>
      </c>
      <c r="C2177">
        <f>BDP(A2177&amp;" US Equity","EXCH_CODE")</f>
        <v/>
      </c>
      <c r="D2177" s="5">
        <f>BDP(A2177&amp;" US Equity","VOLUME_AVG_20D")</f>
        <v/>
      </c>
      <c r="E2177" s="6">
        <f>BDP(A2177&amp;" US Equity","PX_LAST")</f>
        <v/>
      </c>
      <c r="F2177" s="5">
        <f>D2177*E2177</f>
        <v/>
      </c>
      <c r="G2177">
        <f>AND(B2177&gt;=50,B2177&lt;=10000)</f>
        <v/>
      </c>
      <c r="H2177">
        <f>OR(C2177="NAS",C2177="NYS",C2177="ASE")</f>
        <v/>
      </c>
      <c r="I2177">
        <f>F2177&gt;=500000</f>
        <v/>
      </c>
      <c r="J2177">
        <f>E2177&gt;=2</f>
        <v/>
      </c>
      <c r="K2177">
        <f>AND(G2177,H2177,I2177,J2177)</f>
        <v/>
      </c>
    </row>
    <row r="2178">
      <c r="B2178" s="5">
        <f>BDP(A2178&amp;" US Equity","CUR_MKT_CAP")</f>
        <v/>
      </c>
      <c r="C2178">
        <f>BDP(A2178&amp;" US Equity","EXCH_CODE")</f>
        <v/>
      </c>
      <c r="D2178" s="5">
        <f>BDP(A2178&amp;" US Equity","VOLUME_AVG_20D")</f>
        <v/>
      </c>
      <c r="E2178" s="6">
        <f>BDP(A2178&amp;" US Equity","PX_LAST")</f>
        <v/>
      </c>
      <c r="F2178" s="5">
        <f>D2178*E2178</f>
        <v/>
      </c>
      <c r="G2178">
        <f>AND(B2178&gt;=50,B2178&lt;=10000)</f>
        <v/>
      </c>
      <c r="H2178">
        <f>OR(C2178="NAS",C2178="NYS",C2178="ASE")</f>
        <v/>
      </c>
      <c r="I2178">
        <f>F2178&gt;=500000</f>
        <v/>
      </c>
      <c r="J2178">
        <f>E2178&gt;=2</f>
        <v/>
      </c>
      <c r="K2178">
        <f>AND(G2178,H2178,I2178,J2178)</f>
        <v/>
      </c>
    </row>
    <row r="2179">
      <c r="B2179" s="5">
        <f>BDP(A2179&amp;" US Equity","CUR_MKT_CAP")</f>
        <v/>
      </c>
      <c r="C2179">
        <f>BDP(A2179&amp;" US Equity","EXCH_CODE")</f>
        <v/>
      </c>
      <c r="D2179" s="5">
        <f>BDP(A2179&amp;" US Equity","VOLUME_AVG_20D")</f>
        <v/>
      </c>
      <c r="E2179" s="6">
        <f>BDP(A2179&amp;" US Equity","PX_LAST")</f>
        <v/>
      </c>
      <c r="F2179" s="5">
        <f>D2179*E2179</f>
        <v/>
      </c>
      <c r="G2179">
        <f>AND(B2179&gt;=50,B2179&lt;=10000)</f>
        <v/>
      </c>
      <c r="H2179">
        <f>OR(C2179="NAS",C2179="NYS",C2179="ASE")</f>
        <v/>
      </c>
      <c r="I2179">
        <f>F2179&gt;=500000</f>
        <v/>
      </c>
      <c r="J2179">
        <f>E2179&gt;=2</f>
        <v/>
      </c>
      <c r="K2179">
        <f>AND(G2179,H2179,I2179,J2179)</f>
        <v/>
      </c>
    </row>
    <row r="2180">
      <c r="B2180" s="5">
        <f>BDP(A2180&amp;" US Equity","CUR_MKT_CAP")</f>
        <v/>
      </c>
      <c r="C2180">
        <f>BDP(A2180&amp;" US Equity","EXCH_CODE")</f>
        <v/>
      </c>
      <c r="D2180" s="5">
        <f>BDP(A2180&amp;" US Equity","VOLUME_AVG_20D")</f>
        <v/>
      </c>
      <c r="E2180" s="6">
        <f>BDP(A2180&amp;" US Equity","PX_LAST")</f>
        <v/>
      </c>
      <c r="F2180" s="5">
        <f>D2180*E2180</f>
        <v/>
      </c>
      <c r="G2180">
        <f>AND(B2180&gt;=50,B2180&lt;=10000)</f>
        <v/>
      </c>
      <c r="H2180">
        <f>OR(C2180="NAS",C2180="NYS",C2180="ASE")</f>
        <v/>
      </c>
      <c r="I2180">
        <f>F2180&gt;=500000</f>
        <v/>
      </c>
      <c r="J2180">
        <f>E2180&gt;=2</f>
        <v/>
      </c>
      <c r="K2180">
        <f>AND(G2180,H2180,I2180,J2180)</f>
        <v/>
      </c>
    </row>
    <row r="2181">
      <c r="B2181" s="5">
        <f>BDP(A2181&amp;" US Equity","CUR_MKT_CAP")</f>
        <v/>
      </c>
      <c r="C2181">
        <f>BDP(A2181&amp;" US Equity","EXCH_CODE")</f>
        <v/>
      </c>
      <c r="D2181" s="5">
        <f>BDP(A2181&amp;" US Equity","VOLUME_AVG_20D")</f>
        <v/>
      </c>
      <c r="E2181" s="6">
        <f>BDP(A2181&amp;" US Equity","PX_LAST")</f>
        <v/>
      </c>
      <c r="F2181" s="5">
        <f>D2181*E2181</f>
        <v/>
      </c>
      <c r="G2181">
        <f>AND(B2181&gt;=50,B2181&lt;=10000)</f>
        <v/>
      </c>
      <c r="H2181">
        <f>OR(C2181="NAS",C2181="NYS",C2181="ASE")</f>
        <v/>
      </c>
      <c r="I2181">
        <f>F2181&gt;=500000</f>
        <v/>
      </c>
      <c r="J2181">
        <f>E2181&gt;=2</f>
        <v/>
      </c>
      <c r="K2181">
        <f>AND(G2181,H2181,I2181,J2181)</f>
        <v/>
      </c>
    </row>
    <row r="2182">
      <c r="B2182" s="5">
        <f>BDP(A2182&amp;" US Equity","CUR_MKT_CAP")</f>
        <v/>
      </c>
      <c r="C2182">
        <f>BDP(A2182&amp;" US Equity","EXCH_CODE")</f>
        <v/>
      </c>
      <c r="D2182" s="5">
        <f>BDP(A2182&amp;" US Equity","VOLUME_AVG_20D")</f>
        <v/>
      </c>
      <c r="E2182" s="6">
        <f>BDP(A2182&amp;" US Equity","PX_LAST")</f>
        <v/>
      </c>
      <c r="F2182" s="5">
        <f>D2182*E2182</f>
        <v/>
      </c>
      <c r="G2182">
        <f>AND(B2182&gt;=50,B2182&lt;=10000)</f>
        <v/>
      </c>
      <c r="H2182">
        <f>OR(C2182="NAS",C2182="NYS",C2182="ASE")</f>
        <v/>
      </c>
      <c r="I2182">
        <f>F2182&gt;=500000</f>
        <v/>
      </c>
      <c r="J2182">
        <f>E2182&gt;=2</f>
        <v/>
      </c>
      <c r="K2182">
        <f>AND(G2182,H2182,I2182,J2182)</f>
        <v/>
      </c>
    </row>
    <row r="2183">
      <c r="B2183" s="5">
        <f>BDP(A2183&amp;" US Equity","CUR_MKT_CAP")</f>
        <v/>
      </c>
      <c r="C2183">
        <f>BDP(A2183&amp;" US Equity","EXCH_CODE")</f>
        <v/>
      </c>
      <c r="D2183" s="5">
        <f>BDP(A2183&amp;" US Equity","VOLUME_AVG_20D")</f>
        <v/>
      </c>
      <c r="E2183" s="6">
        <f>BDP(A2183&amp;" US Equity","PX_LAST")</f>
        <v/>
      </c>
      <c r="F2183" s="5">
        <f>D2183*E2183</f>
        <v/>
      </c>
      <c r="G2183">
        <f>AND(B2183&gt;=50,B2183&lt;=10000)</f>
        <v/>
      </c>
      <c r="H2183">
        <f>OR(C2183="NAS",C2183="NYS",C2183="ASE")</f>
        <v/>
      </c>
      <c r="I2183">
        <f>F2183&gt;=500000</f>
        <v/>
      </c>
      <c r="J2183">
        <f>E2183&gt;=2</f>
        <v/>
      </c>
      <c r="K2183">
        <f>AND(G2183,H2183,I2183,J2183)</f>
        <v/>
      </c>
    </row>
    <row r="2184">
      <c r="B2184" s="5">
        <f>BDP(A2184&amp;" US Equity","CUR_MKT_CAP")</f>
        <v/>
      </c>
      <c r="C2184">
        <f>BDP(A2184&amp;" US Equity","EXCH_CODE")</f>
        <v/>
      </c>
      <c r="D2184" s="5">
        <f>BDP(A2184&amp;" US Equity","VOLUME_AVG_20D")</f>
        <v/>
      </c>
      <c r="E2184" s="6">
        <f>BDP(A2184&amp;" US Equity","PX_LAST")</f>
        <v/>
      </c>
      <c r="F2184" s="5">
        <f>D2184*E2184</f>
        <v/>
      </c>
      <c r="G2184">
        <f>AND(B2184&gt;=50,B2184&lt;=10000)</f>
        <v/>
      </c>
      <c r="H2184">
        <f>OR(C2184="NAS",C2184="NYS",C2184="ASE")</f>
        <v/>
      </c>
      <c r="I2184">
        <f>F2184&gt;=500000</f>
        <v/>
      </c>
      <c r="J2184">
        <f>E2184&gt;=2</f>
        <v/>
      </c>
      <c r="K2184">
        <f>AND(G2184,H2184,I2184,J2184)</f>
        <v/>
      </c>
    </row>
    <row r="2185">
      <c r="B2185" s="5">
        <f>BDP(A2185&amp;" US Equity","CUR_MKT_CAP")</f>
        <v/>
      </c>
      <c r="C2185">
        <f>BDP(A2185&amp;" US Equity","EXCH_CODE")</f>
        <v/>
      </c>
      <c r="D2185" s="5">
        <f>BDP(A2185&amp;" US Equity","VOLUME_AVG_20D")</f>
        <v/>
      </c>
      <c r="E2185" s="6">
        <f>BDP(A2185&amp;" US Equity","PX_LAST")</f>
        <v/>
      </c>
      <c r="F2185" s="5">
        <f>D2185*E2185</f>
        <v/>
      </c>
      <c r="G2185">
        <f>AND(B2185&gt;=50,B2185&lt;=10000)</f>
        <v/>
      </c>
      <c r="H2185">
        <f>OR(C2185="NAS",C2185="NYS",C2185="ASE")</f>
        <v/>
      </c>
      <c r="I2185">
        <f>F2185&gt;=500000</f>
        <v/>
      </c>
      <c r="J2185">
        <f>E2185&gt;=2</f>
        <v/>
      </c>
      <c r="K2185">
        <f>AND(G2185,H2185,I2185,J2185)</f>
        <v/>
      </c>
    </row>
    <row r="2186">
      <c r="B2186" s="5">
        <f>BDP(A2186&amp;" US Equity","CUR_MKT_CAP")</f>
        <v/>
      </c>
      <c r="C2186">
        <f>BDP(A2186&amp;" US Equity","EXCH_CODE")</f>
        <v/>
      </c>
      <c r="D2186" s="5">
        <f>BDP(A2186&amp;" US Equity","VOLUME_AVG_20D")</f>
        <v/>
      </c>
      <c r="E2186" s="6">
        <f>BDP(A2186&amp;" US Equity","PX_LAST")</f>
        <v/>
      </c>
      <c r="F2186" s="5">
        <f>D2186*E2186</f>
        <v/>
      </c>
      <c r="G2186">
        <f>AND(B2186&gt;=50,B2186&lt;=10000)</f>
        <v/>
      </c>
      <c r="H2186">
        <f>OR(C2186="NAS",C2186="NYS",C2186="ASE")</f>
        <v/>
      </c>
      <c r="I2186">
        <f>F2186&gt;=500000</f>
        <v/>
      </c>
      <c r="J2186">
        <f>E2186&gt;=2</f>
        <v/>
      </c>
      <c r="K2186">
        <f>AND(G2186,H2186,I2186,J2186)</f>
        <v/>
      </c>
    </row>
    <row r="2187">
      <c r="B2187" s="5">
        <f>BDP(A2187&amp;" US Equity","CUR_MKT_CAP")</f>
        <v/>
      </c>
      <c r="C2187">
        <f>BDP(A2187&amp;" US Equity","EXCH_CODE")</f>
        <v/>
      </c>
      <c r="D2187" s="5">
        <f>BDP(A2187&amp;" US Equity","VOLUME_AVG_20D")</f>
        <v/>
      </c>
      <c r="E2187" s="6">
        <f>BDP(A2187&amp;" US Equity","PX_LAST")</f>
        <v/>
      </c>
      <c r="F2187" s="5">
        <f>D2187*E2187</f>
        <v/>
      </c>
      <c r="G2187">
        <f>AND(B2187&gt;=50,B2187&lt;=10000)</f>
        <v/>
      </c>
      <c r="H2187">
        <f>OR(C2187="NAS",C2187="NYS",C2187="ASE")</f>
        <v/>
      </c>
      <c r="I2187">
        <f>F2187&gt;=500000</f>
        <v/>
      </c>
      <c r="J2187">
        <f>E2187&gt;=2</f>
        <v/>
      </c>
      <c r="K2187">
        <f>AND(G2187,H2187,I2187,J2187)</f>
        <v/>
      </c>
    </row>
    <row r="2188">
      <c r="B2188" s="5">
        <f>BDP(A2188&amp;" US Equity","CUR_MKT_CAP")</f>
        <v/>
      </c>
      <c r="C2188">
        <f>BDP(A2188&amp;" US Equity","EXCH_CODE")</f>
        <v/>
      </c>
      <c r="D2188" s="5">
        <f>BDP(A2188&amp;" US Equity","VOLUME_AVG_20D")</f>
        <v/>
      </c>
      <c r="E2188" s="6">
        <f>BDP(A2188&amp;" US Equity","PX_LAST")</f>
        <v/>
      </c>
      <c r="F2188" s="5">
        <f>D2188*E2188</f>
        <v/>
      </c>
      <c r="G2188">
        <f>AND(B2188&gt;=50,B2188&lt;=10000)</f>
        <v/>
      </c>
      <c r="H2188">
        <f>OR(C2188="NAS",C2188="NYS",C2188="ASE")</f>
        <v/>
      </c>
      <c r="I2188">
        <f>F2188&gt;=500000</f>
        <v/>
      </c>
      <c r="J2188">
        <f>E2188&gt;=2</f>
        <v/>
      </c>
      <c r="K2188">
        <f>AND(G2188,H2188,I2188,J2188)</f>
        <v/>
      </c>
    </row>
    <row r="2189">
      <c r="B2189" s="5">
        <f>BDP(A2189&amp;" US Equity","CUR_MKT_CAP")</f>
        <v/>
      </c>
      <c r="C2189">
        <f>BDP(A2189&amp;" US Equity","EXCH_CODE")</f>
        <v/>
      </c>
      <c r="D2189" s="5">
        <f>BDP(A2189&amp;" US Equity","VOLUME_AVG_20D")</f>
        <v/>
      </c>
      <c r="E2189" s="6">
        <f>BDP(A2189&amp;" US Equity","PX_LAST")</f>
        <v/>
      </c>
      <c r="F2189" s="5">
        <f>D2189*E2189</f>
        <v/>
      </c>
      <c r="G2189">
        <f>AND(B2189&gt;=50,B2189&lt;=10000)</f>
        <v/>
      </c>
      <c r="H2189">
        <f>OR(C2189="NAS",C2189="NYS",C2189="ASE")</f>
        <v/>
      </c>
      <c r="I2189">
        <f>F2189&gt;=500000</f>
        <v/>
      </c>
      <c r="J2189">
        <f>E2189&gt;=2</f>
        <v/>
      </c>
      <c r="K2189">
        <f>AND(G2189,H2189,I2189,J2189)</f>
        <v/>
      </c>
    </row>
    <row r="2190">
      <c r="B2190" s="5">
        <f>BDP(A2190&amp;" US Equity","CUR_MKT_CAP")</f>
        <v/>
      </c>
      <c r="C2190">
        <f>BDP(A2190&amp;" US Equity","EXCH_CODE")</f>
        <v/>
      </c>
      <c r="D2190" s="5">
        <f>BDP(A2190&amp;" US Equity","VOLUME_AVG_20D")</f>
        <v/>
      </c>
      <c r="E2190" s="6">
        <f>BDP(A2190&amp;" US Equity","PX_LAST")</f>
        <v/>
      </c>
      <c r="F2190" s="5">
        <f>D2190*E2190</f>
        <v/>
      </c>
      <c r="G2190">
        <f>AND(B2190&gt;=50,B2190&lt;=10000)</f>
        <v/>
      </c>
      <c r="H2190">
        <f>OR(C2190="NAS",C2190="NYS",C2190="ASE")</f>
        <v/>
      </c>
      <c r="I2190">
        <f>F2190&gt;=500000</f>
        <v/>
      </c>
      <c r="J2190">
        <f>E2190&gt;=2</f>
        <v/>
      </c>
      <c r="K2190">
        <f>AND(G2190,H2190,I2190,J2190)</f>
        <v/>
      </c>
    </row>
    <row r="2191">
      <c r="B2191" s="5">
        <f>BDP(A2191&amp;" US Equity","CUR_MKT_CAP")</f>
        <v/>
      </c>
      <c r="C2191">
        <f>BDP(A2191&amp;" US Equity","EXCH_CODE")</f>
        <v/>
      </c>
      <c r="D2191" s="5">
        <f>BDP(A2191&amp;" US Equity","VOLUME_AVG_20D")</f>
        <v/>
      </c>
      <c r="E2191" s="6">
        <f>BDP(A2191&amp;" US Equity","PX_LAST")</f>
        <v/>
      </c>
      <c r="F2191" s="5">
        <f>D2191*E2191</f>
        <v/>
      </c>
      <c r="G2191">
        <f>AND(B2191&gt;=50,B2191&lt;=10000)</f>
        <v/>
      </c>
      <c r="H2191">
        <f>OR(C2191="NAS",C2191="NYS",C2191="ASE")</f>
        <v/>
      </c>
      <c r="I2191">
        <f>F2191&gt;=500000</f>
        <v/>
      </c>
      <c r="J2191">
        <f>E2191&gt;=2</f>
        <v/>
      </c>
      <c r="K2191">
        <f>AND(G2191,H2191,I2191,J2191)</f>
        <v/>
      </c>
    </row>
    <row r="2192">
      <c r="B2192" s="5">
        <f>BDP(A2192&amp;" US Equity","CUR_MKT_CAP")</f>
        <v/>
      </c>
      <c r="C2192">
        <f>BDP(A2192&amp;" US Equity","EXCH_CODE")</f>
        <v/>
      </c>
      <c r="D2192" s="5">
        <f>BDP(A2192&amp;" US Equity","VOLUME_AVG_20D")</f>
        <v/>
      </c>
      <c r="E2192" s="6">
        <f>BDP(A2192&amp;" US Equity","PX_LAST")</f>
        <v/>
      </c>
      <c r="F2192" s="5">
        <f>D2192*E2192</f>
        <v/>
      </c>
      <c r="G2192">
        <f>AND(B2192&gt;=50,B2192&lt;=10000)</f>
        <v/>
      </c>
      <c r="H2192">
        <f>OR(C2192="NAS",C2192="NYS",C2192="ASE")</f>
        <v/>
      </c>
      <c r="I2192">
        <f>F2192&gt;=500000</f>
        <v/>
      </c>
      <c r="J2192">
        <f>E2192&gt;=2</f>
        <v/>
      </c>
      <c r="K2192">
        <f>AND(G2192,H2192,I2192,J2192)</f>
        <v/>
      </c>
    </row>
    <row r="2193">
      <c r="B2193" s="5">
        <f>BDP(A2193&amp;" US Equity","CUR_MKT_CAP")</f>
        <v/>
      </c>
      <c r="C2193">
        <f>BDP(A2193&amp;" US Equity","EXCH_CODE")</f>
        <v/>
      </c>
      <c r="D2193" s="5">
        <f>BDP(A2193&amp;" US Equity","VOLUME_AVG_20D")</f>
        <v/>
      </c>
      <c r="E2193" s="6">
        <f>BDP(A2193&amp;" US Equity","PX_LAST")</f>
        <v/>
      </c>
      <c r="F2193" s="5">
        <f>D2193*E2193</f>
        <v/>
      </c>
      <c r="G2193">
        <f>AND(B2193&gt;=50,B2193&lt;=10000)</f>
        <v/>
      </c>
      <c r="H2193">
        <f>OR(C2193="NAS",C2193="NYS",C2193="ASE")</f>
        <v/>
      </c>
      <c r="I2193">
        <f>F2193&gt;=500000</f>
        <v/>
      </c>
      <c r="J2193">
        <f>E2193&gt;=2</f>
        <v/>
      </c>
      <c r="K2193">
        <f>AND(G2193,H2193,I2193,J2193)</f>
        <v/>
      </c>
    </row>
    <row r="2194">
      <c r="B2194" s="5">
        <f>BDP(A2194&amp;" US Equity","CUR_MKT_CAP")</f>
        <v/>
      </c>
      <c r="C2194">
        <f>BDP(A2194&amp;" US Equity","EXCH_CODE")</f>
        <v/>
      </c>
      <c r="D2194" s="5">
        <f>BDP(A2194&amp;" US Equity","VOLUME_AVG_20D")</f>
        <v/>
      </c>
      <c r="E2194" s="6">
        <f>BDP(A2194&amp;" US Equity","PX_LAST")</f>
        <v/>
      </c>
      <c r="F2194" s="5">
        <f>D2194*E2194</f>
        <v/>
      </c>
      <c r="G2194">
        <f>AND(B2194&gt;=50,B2194&lt;=10000)</f>
        <v/>
      </c>
      <c r="H2194">
        <f>OR(C2194="NAS",C2194="NYS",C2194="ASE")</f>
        <v/>
      </c>
      <c r="I2194">
        <f>F2194&gt;=500000</f>
        <v/>
      </c>
      <c r="J2194">
        <f>E2194&gt;=2</f>
        <v/>
      </c>
      <c r="K2194">
        <f>AND(G2194,H2194,I2194,J2194)</f>
        <v/>
      </c>
    </row>
    <row r="2195">
      <c r="B2195" s="5">
        <f>BDP(A2195&amp;" US Equity","CUR_MKT_CAP")</f>
        <v/>
      </c>
      <c r="C2195">
        <f>BDP(A2195&amp;" US Equity","EXCH_CODE")</f>
        <v/>
      </c>
      <c r="D2195" s="5">
        <f>BDP(A2195&amp;" US Equity","VOLUME_AVG_20D")</f>
        <v/>
      </c>
      <c r="E2195" s="6">
        <f>BDP(A2195&amp;" US Equity","PX_LAST")</f>
        <v/>
      </c>
      <c r="F2195" s="5">
        <f>D2195*E2195</f>
        <v/>
      </c>
      <c r="G2195">
        <f>AND(B2195&gt;=50,B2195&lt;=10000)</f>
        <v/>
      </c>
      <c r="H2195">
        <f>OR(C2195="NAS",C2195="NYS",C2195="ASE")</f>
        <v/>
      </c>
      <c r="I2195">
        <f>F2195&gt;=500000</f>
        <v/>
      </c>
      <c r="J2195">
        <f>E2195&gt;=2</f>
        <v/>
      </c>
      <c r="K2195">
        <f>AND(G2195,H2195,I2195,J2195)</f>
        <v/>
      </c>
    </row>
    <row r="2196">
      <c r="B2196" s="5">
        <f>BDP(A2196&amp;" US Equity","CUR_MKT_CAP")</f>
        <v/>
      </c>
      <c r="C2196">
        <f>BDP(A2196&amp;" US Equity","EXCH_CODE")</f>
        <v/>
      </c>
      <c r="D2196" s="5">
        <f>BDP(A2196&amp;" US Equity","VOLUME_AVG_20D")</f>
        <v/>
      </c>
      <c r="E2196" s="6">
        <f>BDP(A2196&amp;" US Equity","PX_LAST")</f>
        <v/>
      </c>
      <c r="F2196" s="5">
        <f>D2196*E2196</f>
        <v/>
      </c>
      <c r="G2196">
        <f>AND(B2196&gt;=50,B2196&lt;=10000)</f>
        <v/>
      </c>
      <c r="H2196">
        <f>OR(C2196="NAS",C2196="NYS",C2196="ASE")</f>
        <v/>
      </c>
      <c r="I2196">
        <f>F2196&gt;=500000</f>
        <v/>
      </c>
      <c r="J2196">
        <f>E2196&gt;=2</f>
        <v/>
      </c>
      <c r="K2196">
        <f>AND(G2196,H2196,I2196,J2196)</f>
        <v/>
      </c>
    </row>
    <row r="2197">
      <c r="B2197" s="5">
        <f>BDP(A2197&amp;" US Equity","CUR_MKT_CAP")</f>
        <v/>
      </c>
      <c r="C2197">
        <f>BDP(A2197&amp;" US Equity","EXCH_CODE")</f>
        <v/>
      </c>
      <c r="D2197" s="5">
        <f>BDP(A2197&amp;" US Equity","VOLUME_AVG_20D")</f>
        <v/>
      </c>
      <c r="E2197" s="6">
        <f>BDP(A2197&amp;" US Equity","PX_LAST")</f>
        <v/>
      </c>
      <c r="F2197" s="5">
        <f>D2197*E2197</f>
        <v/>
      </c>
      <c r="G2197">
        <f>AND(B2197&gt;=50,B2197&lt;=10000)</f>
        <v/>
      </c>
      <c r="H2197">
        <f>OR(C2197="NAS",C2197="NYS",C2197="ASE")</f>
        <v/>
      </c>
      <c r="I2197">
        <f>F2197&gt;=500000</f>
        <v/>
      </c>
      <c r="J2197">
        <f>E2197&gt;=2</f>
        <v/>
      </c>
      <c r="K2197">
        <f>AND(G2197,H2197,I2197,J2197)</f>
        <v/>
      </c>
    </row>
    <row r="2198">
      <c r="B2198" s="5">
        <f>BDP(A2198&amp;" US Equity","CUR_MKT_CAP")</f>
        <v/>
      </c>
      <c r="C2198">
        <f>BDP(A2198&amp;" US Equity","EXCH_CODE")</f>
        <v/>
      </c>
      <c r="D2198" s="5">
        <f>BDP(A2198&amp;" US Equity","VOLUME_AVG_20D")</f>
        <v/>
      </c>
      <c r="E2198" s="6">
        <f>BDP(A2198&amp;" US Equity","PX_LAST")</f>
        <v/>
      </c>
      <c r="F2198" s="5">
        <f>D2198*E2198</f>
        <v/>
      </c>
      <c r="G2198">
        <f>AND(B2198&gt;=50,B2198&lt;=10000)</f>
        <v/>
      </c>
      <c r="H2198">
        <f>OR(C2198="NAS",C2198="NYS",C2198="ASE")</f>
        <v/>
      </c>
      <c r="I2198">
        <f>F2198&gt;=500000</f>
        <v/>
      </c>
      <c r="J2198">
        <f>E2198&gt;=2</f>
        <v/>
      </c>
      <c r="K2198">
        <f>AND(G2198,H2198,I2198,J2198)</f>
        <v/>
      </c>
    </row>
    <row r="2199">
      <c r="B2199" s="5">
        <f>BDP(A2199&amp;" US Equity","CUR_MKT_CAP")</f>
        <v/>
      </c>
      <c r="C2199">
        <f>BDP(A2199&amp;" US Equity","EXCH_CODE")</f>
        <v/>
      </c>
      <c r="D2199" s="5">
        <f>BDP(A2199&amp;" US Equity","VOLUME_AVG_20D")</f>
        <v/>
      </c>
      <c r="E2199" s="6">
        <f>BDP(A2199&amp;" US Equity","PX_LAST")</f>
        <v/>
      </c>
      <c r="F2199" s="5">
        <f>D2199*E2199</f>
        <v/>
      </c>
      <c r="G2199">
        <f>AND(B2199&gt;=50,B2199&lt;=10000)</f>
        <v/>
      </c>
      <c r="H2199">
        <f>OR(C2199="NAS",C2199="NYS",C2199="ASE")</f>
        <v/>
      </c>
      <c r="I2199">
        <f>F2199&gt;=500000</f>
        <v/>
      </c>
      <c r="J2199">
        <f>E2199&gt;=2</f>
        <v/>
      </c>
      <c r="K2199">
        <f>AND(G2199,H2199,I2199,J2199)</f>
        <v/>
      </c>
    </row>
    <row r="2200">
      <c r="B2200" s="5">
        <f>BDP(A2200&amp;" US Equity","CUR_MKT_CAP")</f>
        <v/>
      </c>
      <c r="C2200">
        <f>BDP(A2200&amp;" US Equity","EXCH_CODE")</f>
        <v/>
      </c>
      <c r="D2200" s="5">
        <f>BDP(A2200&amp;" US Equity","VOLUME_AVG_20D")</f>
        <v/>
      </c>
      <c r="E2200" s="6">
        <f>BDP(A2200&amp;" US Equity","PX_LAST")</f>
        <v/>
      </c>
      <c r="F2200" s="5">
        <f>D2200*E2200</f>
        <v/>
      </c>
      <c r="G2200">
        <f>AND(B2200&gt;=50,B2200&lt;=10000)</f>
        <v/>
      </c>
      <c r="H2200">
        <f>OR(C2200="NAS",C2200="NYS",C2200="ASE")</f>
        <v/>
      </c>
      <c r="I2200">
        <f>F2200&gt;=500000</f>
        <v/>
      </c>
      <c r="J2200">
        <f>E2200&gt;=2</f>
        <v/>
      </c>
      <c r="K2200">
        <f>AND(G2200,H2200,I2200,J2200)</f>
        <v/>
      </c>
    </row>
    <row r="2201">
      <c r="B2201" s="5">
        <f>BDP(A2201&amp;" US Equity","CUR_MKT_CAP")</f>
        <v/>
      </c>
      <c r="C2201">
        <f>BDP(A2201&amp;" US Equity","EXCH_CODE")</f>
        <v/>
      </c>
      <c r="D2201" s="5">
        <f>BDP(A2201&amp;" US Equity","VOLUME_AVG_20D")</f>
        <v/>
      </c>
      <c r="E2201" s="6">
        <f>BDP(A2201&amp;" US Equity","PX_LAST")</f>
        <v/>
      </c>
      <c r="F2201" s="5">
        <f>D2201*E2201</f>
        <v/>
      </c>
      <c r="G2201">
        <f>AND(B2201&gt;=50,B2201&lt;=10000)</f>
        <v/>
      </c>
      <c r="H2201">
        <f>OR(C2201="NAS",C2201="NYS",C2201="ASE")</f>
        <v/>
      </c>
      <c r="I2201">
        <f>F2201&gt;=500000</f>
        <v/>
      </c>
      <c r="J2201">
        <f>E2201&gt;=2</f>
        <v/>
      </c>
      <c r="K2201">
        <f>AND(G2201,H2201,I2201,J2201)</f>
        <v/>
      </c>
    </row>
    <row r="2202">
      <c r="B2202" s="5">
        <f>BDP(A2202&amp;" US Equity","CUR_MKT_CAP")</f>
        <v/>
      </c>
      <c r="C2202">
        <f>BDP(A2202&amp;" US Equity","EXCH_CODE")</f>
        <v/>
      </c>
      <c r="D2202" s="5">
        <f>BDP(A2202&amp;" US Equity","VOLUME_AVG_20D")</f>
        <v/>
      </c>
      <c r="E2202" s="6">
        <f>BDP(A2202&amp;" US Equity","PX_LAST")</f>
        <v/>
      </c>
      <c r="F2202" s="5">
        <f>D2202*E2202</f>
        <v/>
      </c>
      <c r="G2202">
        <f>AND(B2202&gt;=50,B2202&lt;=10000)</f>
        <v/>
      </c>
      <c r="H2202">
        <f>OR(C2202="NAS",C2202="NYS",C2202="ASE")</f>
        <v/>
      </c>
      <c r="I2202">
        <f>F2202&gt;=500000</f>
        <v/>
      </c>
      <c r="J2202">
        <f>E2202&gt;=2</f>
        <v/>
      </c>
      <c r="K2202">
        <f>AND(G2202,H2202,I2202,J2202)</f>
        <v/>
      </c>
    </row>
    <row r="2203">
      <c r="B2203" s="5">
        <f>BDP(A2203&amp;" US Equity","CUR_MKT_CAP")</f>
        <v/>
      </c>
      <c r="C2203">
        <f>BDP(A2203&amp;" US Equity","EXCH_CODE")</f>
        <v/>
      </c>
      <c r="D2203" s="5">
        <f>BDP(A2203&amp;" US Equity","VOLUME_AVG_20D")</f>
        <v/>
      </c>
      <c r="E2203" s="6">
        <f>BDP(A2203&amp;" US Equity","PX_LAST")</f>
        <v/>
      </c>
      <c r="F2203" s="5">
        <f>D2203*E2203</f>
        <v/>
      </c>
      <c r="G2203">
        <f>AND(B2203&gt;=50,B2203&lt;=10000)</f>
        <v/>
      </c>
      <c r="H2203">
        <f>OR(C2203="NAS",C2203="NYS",C2203="ASE")</f>
        <v/>
      </c>
      <c r="I2203">
        <f>F2203&gt;=500000</f>
        <v/>
      </c>
      <c r="J2203">
        <f>E2203&gt;=2</f>
        <v/>
      </c>
      <c r="K2203">
        <f>AND(G2203,H2203,I2203,J2203)</f>
        <v/>
      </c>
    </row>
    <row r="2204">
      <c r="B2204" s="5">
        <f>BDP(A2204&amp;" US Equity","CUR_MKT_CAP")</f>
        <v/>
      </c>
      <c r="C2204">
        <f>BDP(A2204&amp;" US Equity","EXCH_CODE")</f>
        <v/>
      </c>
      <c r="D2204" s="5">
        <f>BDP(A2204&amp;" US Equity","VOLUME_AVG_20D")</f>
        <v/>
      </c>
      <c r="E2204" s="6">
        <f>BDP(A2204&amp;" US Equity","PX_LAST")</f>
        <v/>
      </c>
      <c r="F2204" s="5">
        <f>D2204*E2204</f>
        <v/>
      </c>
      <c r="G2204">
        <f>AND(B2204&gt;=50,B2204&lt;=10000)</f>
        <v/>
      </c>
      <c r="H2204">
        <f>OR(C2204="NAS",C2204="NYS",C2204="ASE")</f>
        <v/>
      </c>
      <c r="I2204">
        <f>F2204&gt;=500000</f>
        <v/>
      </c>
      <c r="J2204">
        <f>E2204&gt;=2</f>
        <v/>
      </c>
      <c r="K2204">
        <f>AND(G2204,H2204,I2204,J2204)</f>
        <v/>
      </c>
    </row>
    <row r="2205">
      <c r="B2205" s="5">
        <f>BDP(A2205&amp;" US Equity","CUR_MKT_CAP")</f>
        <v/>
      </c>
      <c r="C2205">
        <f>BDP(A2205&amp;" US Equity","EXCH_CODE")</f>
        <v/>
      </c>
      <c r="D2205" s="5">
        <f>BDP(A2205&amp;" US Equity","VOLUME_AVG_20D")</f>
        <v/>
      </c>
      <c r="E2205" s="6">
        <f>BDP(A2205&amp;" US Equity","PX_LAST")</f>
        <v/>
      </c>
      <c r="F2205" s="5">
        <f>D2205*E2205</f>
        <v/>
      </c>
      <c r="G2205">
        <f>AND(B2205&gt;=50,B2205&lt;=10000)</f>
        <v/>
      </c>
      <c r="H2205">
        <f>OR(C2205="NAS",C2205="NYS",C2205="ASE")</f>
        <v/>
      </c>
      <c r="I2205">
        <f>F2205&gt;=500000</f>
        <v/>
      </c>
      <c r="J2205">
        <f>E2205&gt;=2</f>
        <v/>
      </c>
      <c r="K2205">
        <f>AND(G2205,H2205,I2205,J2205)</f>
        <v/>
      </c>
    </row>
    <row r="2206">
      <c r="B2206" s="5">
        <f>BDP(A2206&amp;" US Equity","CUR_MKT_CAP")</f>
        <v/>
      </c>
      <c r="C2206">
        <f>BDP(A2206&amp;" US Equity","EXCH_CODE")</f>
        <v/>
      </c>
      <c r="D2206" s="5">
        <f>BDP(A2206&amp;" US Equity","VOLUME_AVG_20D")</f>
        <v/>
      </c>
      <c r="E2206" s="6">
        <f>BDP(A2206&amp;" US Equity","PX_LAST")</f>
        <v/>
      </c>
      <c r="F2206" s="5">
        <f>D2206*E2206</f>
        <v/>
      </c>
      <c r="G2206">
        <f>AND(B2206&gt;=50,B2206&lt;=10000)</f>
        <v/>
      </c>
      <c r="H2206">
        <f>OR(C2206="NAS",C2206="NYS",C2206="ASE")</f>
        <v/>
      </c>
      <c r="I2206">
        <f>F2206&gt;=500000</f>
        <v/>
      </c>
      <c r="J2206">
        <f>E2206&gt;=2</f>
        <v/>
      </c>
      <c r="K2206">
        <f>AND(G2206,H2206,I2206,J2206)</f>
        <v/>
      </c>
    </row>
    <row r="2207">
      <c r="B2207" s="5">
        <f>BDP(A2207&amp;" US Equity","CUR_MKT_CAP")</f>
        <v/>
      </c>
      <c r="C2207">
        <f>BDP(A2207&amp;" US Equity","EXCH_CODE")</f>
        <v/>
      </c>
      <c r="D2207" s="5">
        <f>BDP(A2207&amp;" US Equity","VOLUME_AVG_20D")</f>
        <v/>
      </c>
      <c r="E2207" s="6">
        <f>BDP(A2207&amp;" US Equity","PX_LAST")</f>
        <v/>
      </c>
      <c r="F2207" s="5">
        <f>D2207*E2207</f>
        <v/>
      </c>
      <c r="G2207">
        <f>AND(B2207&gt;=50,B2207&lt;=10000)</f>
        <v/>
      </c>
      <c r="H2207">
        <f>OR(C2207="NAS",C2207="NYS",C2207="ASE")</f>
        <v/>
      </c>
      <c r="I2207">
        <f>F2207&gt;=500000</f>
        <v/>
      </c>
      <c r="J2207">
        <f>E2207&gt;=2</f>
        <v/>
      </c>
      <c r="K2207">
        <f>AND(G2207,H2207,I2207,J2207)</f>
        <v/>
      </c>
    </row>
    <row r="2208">
      <c r="B2208" s="5">
        <f>BDP(A2208&amp;" US Equity","CUR_MKT_CAP")</f>
        <v/>
      </c>
      <c r="C2208">
        <f>BDP(A2208&amp;" US Equity","EXCH_CODE")</f>
        <v/>
      </c>
      <c r="D2208" s="5">
        <f>BDP(A2208&amp;" US Equity","VOLUME_AVG_20D")</f>
        <v/>
      </c>
      <c r="E2208" s="6">
        <f>BDP(A2208&amp;" US Equity","PX_LAST")</f>
        <v/>
      </c>
      <c r="F2208" s="5">
        <f>D2208*E2208</f>
        <v/>
      </c>
      <c r="G2208">
        <f>AND(B2208&gt;=50,B2208&lt;=10000)</f>
        <v/>
      </c>
      <c r="H2208">
        <f>OR(C2208="NAS",C2208="NYS",C2208="ASE")</f>
        <v/>
      </c>
      <c r="I2208">
        <f>F2208&gt;=500000</f>
        <v/>
      </c>
      <c r="J2208">
        <f>E2208&gt;=2</f>
        <v/>
      </c>
      <c r="K2208">
        <f>AND(G2208,H2208,I2208,J2208)</f>
        <v/>
      </c>
    </row>
    <row r="2209">
      <c r="B2209" s="5">
        <f>BDP(A2209&amp;" US Equity","CUR_MKT_CAP")</f>
        <v/>
      </c>
      <c r="C2209">
        <f>BDP(A2209&amp;" US Equity","EXCH_CODE")</f>
        <v/>
      </c>
      <c r="D2209" s="5">
        <f>BDP(A2209&amp;" US Equity","VOLUME_AVG_20D")</f>
        <v/>
      </c>
      <c r="E2209" s="6">
        <f>BDP(A2209&amp;" US Equity","PX_LAST")</f>
        <v/>
      </c>
      <c r="F2209" s="5">
        <f>D2209*E2209</f>
        <v/>
      </c>
      <c r="G2209">
        <f>AND(B2209&gt;=50,B2209&lt;=10000)</f>
        <v/>
      </c>
      <c r="H2209">
        <f>OR(C2209="NAS",C2209="NYS",C2209="ASE")</f>
        <v/>
      </c>
      <c r="I2209">
        <f>F2209&gt;=500000</f>
        <v/>
      </c>
      <c r="J2209">
        <f>E2209&gt;=2</f>
        <v/>
      </c>
      <c r="K2209">
        <f>AND(G2209,H2209,I2209,J2209)</f>
        <v/>
      </c>
    </row>
    <row r="2210">
      <c r="B2210" s="5">
        <f>BDP(A2210&amp;" US Equity","CUR_MKT_CAP")</f>
        <v/>
      </c>
      <c r="C2210">
        <f>BDP(A2210&amp;" US Equity","EXCH_CODE")</f>
        <v/>
      </c>
      <c r="D2210" s="5">
        <f>BDP(A2210&amp;" US Equity","VOLUME_AVG_20D")</f>
        <v/>
      </c>
      <c r="E2210" s="6">
        <f>BDP(A2210&amp;" US Equity","PX_LAST")</f>
        <v/>
      </c>
      <c r="F2210" s="5">
        <f>D2210*E2210</f>
        <v/>
      </c>
      <c r="G2210">
        <f>AND(B2210&gt;=50,B2210&lt;=10000)</f>
        <v/>
      </c>
      <c r="H2210">
        <f>OR(C2210="NAS",C2210="NYS",C2210="ASE")</f>
        <v/>
      </c>
      <c r="I2210">
        <f>F2210&gt;=500000</f>
        <v/>
      </c>
      <c r="J2210">
        <f>E2210&gt;=2</f>
        <v/>
      </c>
      <c r="K2210">
        <f>AND(G2210,H2210,I2210,J2210)</f>
        <v/>
      </c>
    </row>
    <row r="2211">
      <c r="B2211" s="5">
        <f>BDP(A2211&amp;" US Equity","CUR_MKT_CAP")</f>
        <v/>
      </c>
      <c r="C2211">
        <f>BDP(A2211&amp;" US Equity","EXCH_CODE")</f>
        <v/>
      </c>
      <c r="D2211" s="5">
        <f>BDP(A2211&amp;" US Equity","VOLUME_AVG_20D")</f>
        <v/>
      </c>
      <c r="E2211" s="6">
        <f>BDP(A2211&amp;" US Equity","PX_LAST")</f>
        <v/>
      </c>
      <c r="F2211" s="5">
        <f>D2211*E2211</f>
        <v/>
      </c>
      <c r="G2211">
        <f>AND(B2211&gt;=50,B2211&lt;=10000)</f>
        <v/>
      </c>
      <c r="H2211">
        <f>OR(C2211="NAS",C2211="NYS",C2211="ASE")</f>
        <v/>
      </c>
      <c r="I2211">
        <f>F2211&gt;=500000</f>
        <v/>
      </c>
      <c r="J2211">
        <f>E2211&gt;=2</f>
        <v/>
      </c>
      <c r="K2211">
        <f>AND(G2211,H2211,I2211,J2211)</f>
        <v/>
      </c>
    </row>
    <row r="2212">
      <c r="B2212" s="5">
        <f>BDP(A2212&amp;" US Equity","CUR_MKT_CAP")</f>
        <v/>
      </c>
      <c r="C2212">
        <f>BDP(A2212&amp;" US Equity","EXCH_CODE")</f>
        <v/>
      </c>
      <c r="D2212" s="5">
        <f>BDP(A2212&amp;" US Equity","VOLUME_AVG_20D")</f>
        <v/>
      </c>
      <c r="E2212" s="6">
        <f>BDP(A2212&amp;" US Equity","PX_LAST")</f>
        <v/>
      </c>
      <c r="F2212" s="5">
        <f>D2212*E2212</f>
        <v/>
      </c>
      <c r="G2212">
        <f>AND(B2212&gt;=50,B2212&lt;=10000)</f>
        <v/>
      </c>
      <c r="H2212">
        <f>OR(C2212="NAS",C2212="NYS",C2212="ASE")</f>
        <v/>
      </c>
      <c r="I2212">
        <f>F2212&gt;=500000</f>
        <v/>
      </c>
      <c r="J2212">
        <f>E2212&gt;=2</f>
        <v/>
      </c>
      <c r="K2212">
        <f>AND(G2212,H2212,I2212,J2212)</f>
        <v/>
      </c>
    </row>
    <row r="2213">
      <c r="B2213" s="5">
        <f>BDP(A2213&amp;" US Equity","CUR_MKT_CAP")</f>
        <v/>
      </c>
      <c r="C2213">
        <f>BDP(A2213&amp;" US Equity","EXCH_CODE")</f>
        <v/>
      </c>
      <c r="D2213" s="5">
        <f>BDP(A2213&amp;" US Equity","VOLUME_AVG_20D")</f>
        <v/>
      </c>
      <c r="E2213" s="6">
        <f>BDP(A2213&amp;" US Equity","PX_LAST")</f>
        <v/>
      </c>
      <c r="F2213" s="5">
        <f>D2213*E2213</f>
        <v/>
      </c>
      <c r="G2213">
        <f>AND(B2213&gt;=50,B2213&lt;=10000)</f>
        <v/>
      </c>
      <c r="H2213">
        <f>OR(C2213="NAS",C2213="NYS",C2213="ASE")</f>
        <v/>
      </c>
      <c r="I2213">
        <f>F2213&gt;=500000</f>
        <v/>
      </c>
      <c r="J2213">
        <f>E2213&gt;=2</f>
        <v/>
      </c>
      <c r="K2213">
        <f>AND(G2213,H2213,I2213,J2213)</f>
        <v/>
      </c>
    </row>
    <row r="2214">
      <c r="B2214" s="5">
        <f>BDP(A2214&amp;" US Equity","CUR_MKT_CAP")</f>
        <v/>
      </c>
      <c r="C2214">
        <f>BDP(A2214&amp;" US Equity","EXCH_CODE")</f>
        <v/>
      </c>
      <c r="D2214" s="5">
        <f>BDP(A2214&amp;" US Equity","VOLUME_AVG_20D")</f>
        <v/>
      </c>
      <c r="E2214" s="6">
        <f>BDP(A2214&amp;" US Equity","PX_LAST")</f>
        <v/>
      </c>
      <c r="F2214" s="5">
        <f>D2214*E2214</f>
        <v/>
      </c>
      <c r="G2214">
        <f>AND(B2214&gt;=50,B2214&lt;=10000)</f>
        <v/>
      </c>
      <c r="H2214">
        <f>OR(C2214="NAS",C2214="NYS",C2214="ASE")</f>
        <v/>
      </c>
      <c r="I2214">
        <f>F2214&gt;=500000</f>
        <v/>
      </c>
      <c r="J2214">
        <f>E2214&gt;=2</f>
        <v/>
      </c>
      <c r="K2214">
        <f>AND(G2214,H2214,I2214,J2214)</f>
        <v/>
      </c>
    </row>
    <row r="2215">
      <c r="B2215" s="5">
        <f>BDP(A2215&amp;" US Equity","CUR_MKT_CAP")</f>
        <v/>
      </c>
      <c r="C2215">
        <f>BDP(A2215&amp;" US Equity","EXCH_CODE")</f>
        <v/>
      </c>
      <c r="D2215" s="5">
        <f>BDP(A2215&amp;" US Equity","VOLUME_AVG_20D")</f>
        <v/>
      </c>
      <c r="E2215" s="6">
        <f>BDP(A2215&amp;" US Equity","PX_LAST")</f>
        <v/>
      </c>
      <c r="F2215" s="5">
        <f>D2215*E2215</f>
        <v/>
      </c>
      <c r="G2215">
        <f>AND(B2215&gt;=50,B2215&lt;=10000)</f>
        <v/>
      </c>
      <c r="H2215">
        <f>OR(C2215="NAS",C2215="NYS",C2215="ASE")</f>
        <v/>
      </c>
      <c r="I2215">
        <f>F2215&gt;=500000</f>
        <v/>
      </c>
      <c r="J2215">
        <f>E2215&gt;=2</f>
        <v/>
      </c>
      <c r="K2215">
        <f>AND(G2215,H2215,I2215,J2215)</f>
        <v/>
      </c>
    </row>
    <row r="2216">
      <c r="B2216" s="5">
        <f>BDP(A2216&amp;" US Equity","CUR_MKT_CAP")</f>
        <v/>
      </c>
      <c r="C2216">
        <f>BDP(A2216&amp;" US Equity","EXCH_CODE")</f>
        <v/>
      </c>
      <c r="D2216" s="5">
        <f>BDP(A2216&amp;" US Equity","VOLUME_AVG_20D")</f>
        <v/>
      </c>
      <c r="E2216" s="6">
        <f>BDP(A2216&amp;" US Equity","PX_LAST")</f>
        <v/>
      </c>
      <c r="F2216" s="5">
        <f>D2216*E2216</f>
        <v/>
      </c>
      <c r="G2216">
        <f>AND(B2216&gt;=50,B2216&lt;=10000)</f>
        <v/>
      </c>
      <c r="H2216">
        <f>OR(C2216="NAS",C2216="NYS",C2216="ASE")</f>
        <v/>
      </c>
      <c r="I2216">
        <f>F2216&gt;=500000</f>
        <v/>
      </c>
      <c r="J2216">
        <f>E2216&gt;=2</f>
        <v/>
      </c>
      <c r="K2216">
        <f>AND(G2216,H2216,I2216,J2216)</f>
        <v/>
      </c>
    </row>
    <row r="2217">
      <c r="B2217" s="5">
        <f>BDP(A2217&amp;" US Equity","CUR_MKT_CAP")</f>
        <v/>
      </c>
      <c r="C2217">
        <f>BDP(A2217&amp;" US Equity","EXCH_CODE")</f>
        <v/>
      </c>
      <c r="D2217" s="5">
        <f>BDP(A2217&amp;" US Equity","VOLUME_AVG_20D")</f>
        <v/>
      </c>
      <c r="E2217" s="6">
        <f>BDP(A2217&amp;" US Equity","PX_LAST")</f>
        <v/>
      </c>
      <c r="F2217" s="5">
        <f>D2217*E2217</f>
        <v/>
      </c>
      <c r="G2217">
        <f>AND(B2217&gt;=50,B2217&lt;=10000)</f>
        <v/>
      </c>
      <c r="H2217">
        <f>OR(C2217="NAS",C2217="NYS",C2217="ASE")</f>
        <v/>
      </c>
      <c r="I2217">
        <f>F2217&gt;=500000</f>
        <v/>
      </c>
      <c r="J2217">
        <f>E2217&gt;=2</f>
        <v/>
      </c>
      <c r="K2217">
        <f>AND(G2217,H2217,I2217,J2217)</f>
        <v/>
      </c>
    </row>
    <row r="2218">
      <c r="B2218" s="5">
        <f>BDP(A2218&amp;" US Equity","CUR_MKT_CAP")</f>
        <v/>
      </c>
      <c r="C2218">
        <f>BDP(A2218&amp;" US Equity","EXCH_CODE")</f>
        <v/>
      </c>
      <c r="D2218" s="5">
        <f>BDP(A2218&amp;" US Equity","VOLUME_AVG_20D")</f>
        <v/>
      </c>
      <c r="E2218" s="6">
        <f>BDP(A2218&amp;" US Equity","PX_LAST")</f>
        <v/>
      </c>
      <c r="F2218" s="5">
        <f>D2218*E2218</f>
        <v/>
      </c>
      <c r="G2218">
        <f>AND(B2218&gt;=50,B2218&lt;=10000)</f>
        <v/>
      </c>
      <c r="H2218">
        <f>OR(C2218="NAS",C2218="NYS",C2218="ASE")</f>
        <v/>
      </c>
      <c r="I2218">
        <f>F2218&gt;=500000</f>
        <v/>
      </c>
      <c r="J2218">
        <f>E2218&gt;=2</f>
        <v/>
      </c>
      <c r="K2218">
        <f>AND(G2218,H2218,I2218,J2218)</f>
        <v/>
      </c>
    </row>
    <row r="2219">
      <c r="B2219" s="5">
        <f>BDP(A2219&amp;" US Equity","CUR_MKT_CAP")</f>
        <v/>
      </c>
      <c r="C2219">
        <f>BDP(A2219&amp;" US Equity","EXCH_CODE")</f>
        <v/>
      </c>
      <c r="D2219" s="5">
        <f>BDP(A2219&amp;" US Equity","VOLUME_AVG_20D")</f>
        <v/>
      </c>
      <c r="E2219" s="6">
        <f>BDP(A2219&amp;" US Equity","PX_LAST")</f>
        <v/>
      </c>
      <c r="F2219" s="5">
        <f>D2219*E2219</f>
        <v/>
      </c>
      <c r="G2219">
        <f>AND(B2219&gt;=50,B2219&lt;=10000)</f>
        <v/>
      </c>
      <c r="H2219">
        <f>OR(C2219="NAS",C2219="NYS",C2219="ASE")</f>
        <v/>
      </c>
      <c r="I2219">
        <f>F2219&gt;=500000</f>
        <v/>
      </c>
      <c r="J2219">
        <f>E2219&gt;=2</f>
        <v/>
      </c>
      <c r="K2219">
        <f>AND(G2219,H2219,I2219,J2219)</f>
        <v/>
      </c>
    </row>
    <row r="2220">
      <c r="B2220" s="5">
        <f>BDP(A2220&amp;" US Equity","CUR_MKT_CAP")</f>
        <v/>
      </c>
      <c r="C2220">
        <f>BDP(A2220&amp;" US Equity","EXCH_CODE")</f>
        <v/>
      </c>
      <c r="D2220" s="5">
        <f>BDP(A2220&amp;" US Equity","VOLUME_AVG_20D")</f>
        <v/>
      </c>
      <c r="E2220" s="6">
        <f>BDP(A2220&amp;" US Equity","PX_LAST")</f>
        <v/>
      </c>
      <c r="F2220" s="5">
        <f>D2220*E2220</f>
        <v/>
      </c>
      <c r="G2220">
        <f>AND(B2220&gt;=50,B2220&lt;=10000)</f>
        <v/>
      </c>
      <c r="H2220">
        <f>OR(C2220="NAS",C2220="NYS",C2220="ASE")</f>
        <v/>
      </c>
      <c r="I2220">
        <f>F2220&gt;=500000</f>
        <v/>
      </c>
      <c r="J2220">
        <f>E2220&gt;=2</f>
        <v/>
      </c>
      <c r="K2220">
        <f>AND(G2220,H2220,I2220,J2220)</f>
        <v/>
      </c>
    </row>
    <row r="2221">
      <c r="B2221" s="5">
        <f>BDP(A2221&amp;" US Equity","CUR_MKT_CAP")</f>
        <v/>
      </c>
      <c r="C2221">
        <f>BDP(A2221&amp;" US Equity","EXCH_CODE")</f>
        <v/>
      </c>
      <c r="D2221" s="5">
        <f>BDP(A2221&amp;" US Equity","VOLUME_AVG_20D")</f>
        <v/>
      </c>
      <c r="E2221" s="6">
        <f>BDP(A2221&amp;" US Equity","PX_LAST")</f>
        <v/>
      </c>
      <c r="F2221" s="5">
        <f>D2221*E2221</f>
        <v/>
      </c>
      <c r="G2221">
        <f>AND(B2221&gt;=50,B2221&lt;=10000)</f>
        <v/>
      </c>
      <c r="H2221">
        <f>OR(C2221="NAS",C2221="NYS",C2221="ASE")</f>
        <v/>
      </c>
      <c r="I2221">
        <f>F2221&gt;=500000</f>
        <v/>
      </c>
      <c r="J2221">
        <f>E2221&gt;=2</f>
        <v/>
      </c>
      <c r="K2221">
        <f>AND(G2221,H2221,I2221,J2221)</f>
        <v/>
      </c>
    </row>
    <row r="2222">
      <c r="B2222" s="5">
        <f>BDP(A2222&amp;" US Equity","CUR_MKT_CAP")</f>
        <v/>
      </c>
      <c r="C2222">
        <f>BDP(A2222&amp;" US Equity","EXCH_CODE")</f>
        <v/>
      </c>
      <c r="D2222" s="5">
        <f>BDP(A2222&amp;" US Equity","VOLUME_AVG_20D")</f>
        <v/>
      </c>
      <c r="E2222" s="6">
        <f>BDP(A2222&amp;" US Equity","PX_LAST")</f>
        <v/>
      </c>
      <c r="F2222" s="5">
        <f>D2222*E2222</f>
        <v/>
      </c>
      <c r="G2222">
        <f>AND(B2222&gt;=50,B2222&lt;=10000)</f>
        <v/>
      </c>
      <c r="H2222">
        <f>OR(C2222="NAS",C2222="NYS",C2222="ASE")</f>
        <v/>
      </c>
      <c r="I2222">
        <f>F2222&gt;=500000</f>
        <v/>
      </c>
      <c r="J2222">
        <f>E2222&gt;=2</f>
        <v/>
      </c>
      <c r="K2222">
        <f>AND(G2222,H2222,I2222,J2222)</f>
        <v/>
      </c>
    </row>
    <row r="2223">
      <c r="B2223" s="5">
        <f>BDP(A2223&amp;" US Equity","CUR_MKT_CAP")</f>
        <v/>
      </c>
      <c r="C2223">
        <f>BDP(A2223&amp;" US Equity","EXCH_CODE")</f>
        <v/>
      </c>
      <c r="D2223" s="5">
        <f>BDP(A2223&amp;" US Equity","VOLUME_AVG_20D")</f>
        <v/>
      </c>
      <c r="E2223" s="6">
        <f>BDP(A2223&amp;" US Equity","PX_LAST")</f>
        <v/>
      </c>
      <c r="F2223" s="5">
        <f>D2223*E2223</f>
        <v/>
      </c>
      <c r="G2223">
        <f>AND(B2223&gt;=50,B2223&lt;=10000)</f>
        <v/>
      </c>
      <c r="H2223">
        <f>OR(C2223="NAS",C2223="NYS",C2223="ASE")</f>
        <v/>
      </c>
      <c r="I2223">
        <f>F2223&gt;=500000</f>
        <v/>
      </c>
      <c r="J2223">
        <f>E2223&gt;=2</f>
        <v/>
      </c>
      <c r="K2223">
        <f>AND(G2223,H2223,I2223,J2223)</f>
        <v/>
      </c>
    </row>
    <row r="2224">
      <c r="B2224" s="5">
        <f>BDP(A2224&amp;" US Equity","CUR_MKT_CAP")</f>
        <v/>
      </c>
      <c r="C2224">
        <f>BDP(A2224&amp;" US Equity","EXCH_CODE")</f>
        <v/>
      </c>
      <c r="D2224" s="5">
        <f>BDP(A2224&amp;" US Equity","VOLUME_AVG_20D")</f>
        <v/>
      </c>
      <c r="E2224" s="6">
        <f>BDP(A2224&amp;" US Equity","PX_LAST")</f>
        <v/>
      </c>
      <c r="F2224" s="5">
        <f>D2224*E2224</f>
        <v/>
      </c>
      <c r="G2224">
        <f>AND(B2224&gt;=50,B2224&lt;=10000)</f>
        <v/>
      </c>
      <c r="H2224">
        <f>OR(C2224="NAS",C2224="NYS",C2224="ASE")</f>
        <v/>
      </c>
      <c r="I2224">
        <f>F2224&gt;=500000</f>
        <v/>
      </c>
      <c r="J2224">
        <f>E2224&gt;=2</f>
        <v/>
      </c>
      <c r="K2224">
        <f>AND(G2224,H2224,I2224,J2224)</f>
        <v/>
      </c>
    </row>
    <row r="2225">
      <c r="B2225" s="5">
        <f>BDP(A2225&amp;" US Equity","CUR_MKT_CAP")</f>
        <v/>
      </c>
      <c r="C2225">
        <f>BDP(A2225&amp;" US Equity","EXCH_CODE")</f>
        <v/>
      </c>
      <c r="D2225" s="5">
        <f>BDP(A2225&amp;" US Equity","VOLUME_AVG_20D")</f>
        <v/>
      </c>
      <c r="E2225" s="6">
        <f>BDP(A2225&amp;" US Equity","PX_LAST")</f>
        <v/>
      </c>
      <c r="F2225" s="5">
        <f>D2225*E2225</f>
        <v/>
      </c>
      <c r="G2225">
        <f>AND(B2225&gt;=50,B2225&lt;=10000)</f>
        <v/>
      </c>
      <c r="H2225">
        <f>OR(C2225="NAS",C2225="NYS",C2225="ASE")</f>
        <v/>
      </c>
      <c r="I2225">
        <f>F2225&gt;=500000</f>
        <v/>
      </c>
      <c r="J2225">
        <f>E2225&gt;=2</f>
        <v/>
      </c>
      <c r="K2225">
        <f>AND(G2225,H2225,I2225,J2225)</f>
        <v/>
      </c>
    </row>
    <row r="2226">
      <c r="B2226" s="5">
        <f>BDP(A2226&amp;" US Equity","CUR_MKT_CAP")</f>
        <v/>
      </c>
      <c r="C2226">
        <f>BDP(A2226&amp;" US Equity","EXCH_CODE")</f>
        <v/>
      </c>
      <c r="D2226" s="5">
        <f>BDP(A2226&amp;" US Equity","VOLUME_AVG_20D")</f>
        <v/>
      </c>
      <c r="E2226" s="6">
        <f>BDP(A2226&amp;" US Equity","PX_LAST")</f>
        <v/>
      </c>
      <c r="F2226" s="5">
        <f>D2226*E2226</f>
        <v/>
      </c>
      <c r="G2226">
        <f>AND(B2226&gt;=50,B2226&lt;=10000)</f>
        <v/>
      </c>
      <c r="H2226">
        <f>OR(C2226="NAS",C2226="NYS",C2226="ASE")</f>
        <v/>
      </c>
      <c r="I2226">
        <f>F2226&gt;=500000</f>
        <v/>
      </c>
      <c r="J2226">
        <f>E2226&gt;=2</f>
        <v/>
      </c>
      <c r="K2226">
        <f>AND(G2226,H2226,I2226,J2226)</f>
        <v/>
      </c>
    </row>
    <row r="2227">
      <c r="B2227" s="5">
        <f>BDP(A2227&amp;" US Equity","CUR_MKT_CAP")</f>
        <v/>
      </c>
      <c r="C2227">
        <f>BDP(A2227&amp;" US Equity","EXCH_CODE")</f>
        <v/>
      </c>
      <c r="D2227" s="5">
        <f>BDP(A2227&amp;" US Equity","VOLUME_AVG_20D")</f>
        <v/>
      </c>
      <c r="E2227" s="6">
        <f>BDP(A2227&amp;" US Equity","PX_LAST")</f>
        <v/>
      </c>
      <c r="F2227" s="5">
        <f>D2227*E2227</f>
        <v/>
      </c>
      <c r="G2227">
        <f>AND(B2227&gt;=50,B2227&lt;=10000)</f>
        <v/>
      </c>
      <c r="H2227">
        <f>OR(C2227="NAS",C2227="NYS",C2227="ASE")</f>
        <v/>
      </c>
      <c r="I2227">
        <f>F2227&gt;=500000</f>
        <v/>
      </c>
      <c r="J2227">
        <f>E2227&gt;=2</f>
        <v/>
      </c>
      <c r="K2227">
        <f>AND(G2227,H2227,I2227,J2227)</f>
        <v/>
      </c>
    </row>
    <row r="2228">
      <c r="B2228" s="5">
        <f>BDP(A2228&amp;" US Equity","CUR_MKT_CAP")</f>
        <v/>
      </c>
      <c r="C2228">
        <f>BDP(A2228&amp;" US Equity","EXCH_CODE")</f>
        <v/>
      </c>
      <c r="D2228" s="5">
        <f>BDP(A2228&amp;" US Equity","VOLUME_AVG_20D")</f>
        <v/>
      </c>
      <c r="E2228" s="6">
        <f>BDP(A2228&amp;" US Equity","PX_LAST")</f>
        <v/>
      </c>
      <c r="F2228" s="5">
        <f>D2228*E2228</f>
        <v/>
      </c>
      <c r="G2228">
        <f>AND(B2228&gt;=50,B2228&lt;=10000)</f>
        <v/>
      </c>
      <c r="H2228">
        <f>OR(C2228="NAS",C2228="NYS",C2228="ASE")</f>
        <v/>
      </c>
      <c r="I2228">
        <f>F2228&gt;=500000</f>
        <v/>
      </c>
      <c r="J2228">
        <f>E2228&gt;=2</f>
        <v/>
      </c>
      <c r="K2228">
        <f>AND(G2228,H2228,I2228,J2228)</f>
        <v/>
      </c>
    </row>
    <row r="2229">
      <c r="B2229" s="5">
        <f>BDP(A2229&amp;" US Equity","CUR_MKT_CAP")</f>
        <v/>
      </c>
      <c r="C2229">
        <f>BDP(A2229&amp;" US Equity","EXCH_CODE")</f>
        <v/>
      </c>
      <c r="D2229" s="5">
        <f>BDP(A2229&amp;" US Equity","VOLUME_AVG_20D")</f>
        <v/>
      </c>
      <c r="E2229" s="6">
        <f>BDP(A2229&amp;" US Equity","PX_LAST")</f>
        <v/>
      </c>
      <c r="F2229" s="5">
        <f>D2229*E2229</f>
        <v/>
      </c>
      <c r="G2229">
        <f>AND(B2229&gt;=50,B2229&lt;=10000)</f>
        <v/>
      </c>
      <c r="H2229">
        <f>OR(C2229="NAS",C2229="NYS",C2229="ASE")</f>
        <v/>
      </c>
      <c r="I2229">
        <f>F2229&gt;=500000</f>
        <v/>
      </c>
      <c r="J2229">
        <f>E2229&gt;=2</f>
        <v/>
      </c>
      <c r="K2229">
        <f>AND(G2229,H2229,I2229,J2229)</f>
        <v/>
      </c>
    </row>
    <row r="2230">
      <c r="B2230" s="5">
        <f>BDP(A2230&amp;" US Equity","CUR_MKT_CAP")</f>
        <v/>
      </c>
      <c r="C2230">
        <f>BDP(A2230&amp;" US Equity","EXCH_CODE")</f>
        <v/>
      </c>
      <c r="D2230" s="5">
        <f>BDP(A2230&amp;" US Equity","VOLUME_AVG_20D")</f>
        <v/>
      </c>
      <c r="E2230" s="6">
        <f>BDP(A2230&amp;" US Equity","PX_LAST")</f>
        <v/>
      </c>
      <c r="F2230" s="5">
        <f>D2230*E2230</f>
        <v/>
      </c>
      <c r="G2230">
        <f>AND(B2230&gt;=50,B2230&lt;=10000)</f>
        <v/>
      </c>
      <c r="H2230">
        <f>OR(C2230="NAS",C2230="NYS",C2230="ASE")</f>
        <v/>
      </c>
      <c r="I2230">
        <f>F2230&gt;=500000</f>
        <v/>
      </c>
      <c r="J2230">
        <f>E2230&gt;=2</f>
        <v/>
      </c>
      <c r="K2230">
        <f>AND(G2230,H2230,I2230,J2230)</f>
        <v/>
      </c>
    </row>
    <row r="2231">
      <c r="B2231" s="5">
        <f>BDP(A2231&amp;" US Equity","CUR_MKT_CAP")</f>
        <v/>
      </c>
      <c r="C2231">
        <f>BDP(A2231&amp;" US Equity","EXCH_CODE")</f>
        <v/>
      </c>
      <c r="D2231" s="5">
        <f>BDP(A2231&amp;" US Equity","VOLUME_AVG_20D")</f>
        <v/>
      </c>
      <c r="E2231" s="6">
        <f>BDP(A2231&amp;" US Equity","PX_LAST")</f>
        <v/>
      </c>
      <c r="F2231" s="5">
        <f>D2231*E2231</f>
        <v/>
      </c>
      <c r="G2231">
        <f>AND(B2231&gt;=50,B2231&lt;=10000)</f>
        <v/>
      </c>
      <c r="H2231">
        <f>OR(C2231="NAS",C2231="NYS",C2231="ASE")</f>
        <v/>
      </c>
      <c r="I2231">
        <f>F2231&gt;=500000</f>
        <v/>
      </c>
      <c r="J2231">
        <f>E2231&gt;=2</f>
        <v/>
      </c>
      <c r="K2231">
        <f>AND(G2231,H2231,I2231,J2231)</f>
        <v/>
      </c>
    </row>
    <row r="2232">
      <c r="B2232" s="5">
        <f>BDP(A2232&amp;" US Equity","CUR_MKT_CAP")</f>
        <v/>
      </c>
      <c r="C2232">
        <f>BDP(A2232&amp;" US Equity","EXCH_CODE")</f>
        <v/>
      </c>
      <c r="D2232" s="5">
        <f>BDP(A2232&amp;" US Equity","VOLUME_AVG_20D")</f>
        <v/>
      </c>
      <c r="E2232" s="6">
        <f>BDP(A2232&amp;" US Equity","PX_LAST")</f>
        <v/>
      </c>
      <c r="F2232" s="5">
        <f>D2232*E2232</f>
        <v/>
      </c>
      <c r="G2232">
        <f>AND(B2232&gt;=50,B2232&lt;=10000)</f>
        <v/>
      </c>
      <c r="H2232">
        <f>OR(C2232="NAS",C2232="NYS",C2232="ASE")</f>
        <v/>
      </c>
      <c r="I2232">
        <f>F2232&gt;=500000</f>
        <v/>
      </c>
      <c r="J2232">
        <f>E2232&gt;=2</f>
        <v/>
      </c>
      <c r="K2232">
        <f>AND(G2232,H2232,I2232,J2232)</f>
        <v/>
      </c>
    </row>
    <row r="2233">
      <c r="B2233" s="5">
        <f>BDP(A2233&amp;" US Equity","CUR_MKT_CAP")</f>
        <v/>
      </c>
      <c r="C2233">
        <f>BDP(A2233&amp;" US Equity","EXCH_CODE")</f>
        <v/>
      </c>
      <c r="D2233" s="5">
        <f>BDP(A2233&amp;" US Equity","VOLUME_AVG_20D")</f>
        <v/>
      </c>
      <c r="E2233" s="6">
        <f>BDP(A2233&amp;" US Equity","PX_LAST")</f>
        <v/>
      </c>
      <c r="F2233" s="5">
        <f>D2233*E2233</f>
        <v/>
      </c>
      <c r="G2233">
        <f>AND(B2233&gt;=50,B2233&lt;=10000)</f>
        <v/>
      </c>
      <c r="H2233">
        <f>OR(C2233="NAS",C2233="NYS",C2233="ASE")</f>
        <v/>
      </c>
      <c r="I2233">
        <f>F2233&gt;=500000</f>
        <v/>
      </c>
      <c r="J2233">
        <f>E2233&gt;=2</f>
        <v/>
      </c>
      <c r="K2233">
        <f>AND(G2233,H2233,I2233,J2233)</f>
        <v/>
      </c>
    </row>
    <row r="2234">
      <c r="B2234" s="5">
        <f>BDP(A2234&amp;" US Equity","CUR_MKT_CAP")</f>
        <v/>
      </c>
      <c r="C2234">
        <f>BDP(A2234&amp;" US Equity","EXCH_CODE")</f>
        <v/>
      </c>
      <c r="D2234" s="5">
        <f>BDP(A2234&amp;" US Equity","VOLUME_AVG_20D")</f>
        <v/>
      </c>
      <c r="E2234" s="6">
        <f>BDP(A2234&amp;" US Equity","PX_LAST")</f>
        <v/>
      </c>
      <c r="F2234" s="5">
        <f>D2234*E2234</f>
        <v/>
      </c>
      <c r="G2234">
        <f>AND(B2234&gt;=50,B2234&lt;=10000)</f>
        <v/>
      </c>
      <c r="H2234">
        <f>OR(C2234="NAS",C2234="NYS",C2234="ASE")</f>
        <v/>
      </c>
      <c r="I2234">
        <f>F2234&gt;=500000</f>
        <v/>
      </c>
      <c r="J2234">
        <f>E2234&gt;=2</f>
        <v/>
      </c>
      <c r="K2234">
        <f>AND(G2234,H2234,I2234,J2234)</f>
        <v/>
      </c>
    </row>
    <row r="2235">
      <c r="B2235" s="5">
        <f>BDP(A2235&amp;" US Equity","CUR_MKT_CAP")</f>
        <v/>
      </c>
      <c r="C2235">
        <f>BDP(A2235&amp;" US Equity","EXCH_CODE")</f>
        <v/>
      </c>
      <c r="D2235" s="5">
        <f>BDP(A2235&amp;" US Equity","VOLUME_AVG_20D")</f>
        <v/>
      </c>
      <c r="E2235" s="6">
        <f>BDP(A2235&amp;" US Equity","PX_LAST")</f>
        <v/>
      </c>
      <c r="F2235" s="5">
        <f>D2235*E2235</f>
        <v/>
      </c>
      <c r="G2235">
        <f>AND(B2235&gt;=50,B2235&lt;=10000)</f>
        <v/>
      </c>
      <c r="H2235">
        <f>OR(C2235="NAS",C2235="NYS",C2235="ASE")</f>
        <v/>
      </c>
      <c r="I2235">
        <f>F2235&gt;=500000</f>
        <v/>
      </c>
      <c r="J2235">
        <f>E2235&gt;=2</f>
        <v/>
      </c>
      <c r="K2235">
        <f>AND(G2235,H2235,I2235,J2235)</f>
        <v/>
      </c>
    </row>
    <row r="2236">
      <c r="B2236" s="5">
        <f>BDP(A2236&amp;" US Equity","CUR_MKT_CAP")</f>
        <v/>
      </c>
      <c r="C2236">
        <f>BDP(A2236&amp;" US Equity","EXCH_CODE")</f>
        <v/>
      </c>
      <c r="D2236" s="5">
        <f>BDP(A2236&amp;" US Equity","VOLUME_AVG_20D")</f>
        <v/>
      </c>
      <c r="E2236" s="6">
        <f>BDP(A2236&amp;" US Equity","PX_LAST")</f>
        <v/>
      </c>
      <c r="F2236" s="5">
        <f>D2236*E2236</f>
        <v/>
      </c>
      <c r="G2236">
        <f>AND(B2236&gt;=50,B2236&lt;=10000)</f>
        <v/>
      </c>
      <c r="H2236">
        <f>OR(C2236="NAS",C2236="NYS",C2236="ASE")</f>
        <v/>
      </c>
      <c r="I2236">
        <f>F2236&gt;=500000</f>
        <v/>
      </c>
      <c r="J2236">
        <f>E2236&gt;=2</f>
        <v/>
      </c>
      <c r="K2236">
        <f>AND(G2236,H2236,I2236,J2236)</f>
        <v/>
      </c>
    </row>
    <row r="2237">
      <c r="B2237" s="5">
        <f>BDP(A2237&amp;" US Equity","CUR_MKT_CAP")</f>
        <v/>
      </c>
      <c r="C2237">
        <f>BDP(A2237&amp;" US Equity","EXCH_CODE")</f>
        <v/>
      </c>
      <c r="D2237" s="5">
        <f>BDP(A2237&amp;" US Equity","VOLUME_AVG_20D")</f>
        <v/>
      </c>
      <c r="E2237" s="6">
        <f>BDP(A2237&amp;" US Equity","PX_LAST")</f>
        <v/>
      </c>
      <c r="F2237" s="5">
        <f>D2237*E2237</f>
        <v/>
      </c>
      <c r="G2237">
        <f>AND(B2237&gt;=50,B2237&lt;=10000)</f>
        <v/>
      </c>
      <c r="H2237">
        <f>OR(C2237="NAS",C2237="NYS",C2237="ASE")</f>
        <v/>
      </c>
      <c r="I2237">
        <f>F2237&gt;=500000</f>
        <v/>
      </c>
      <c r="J2237">
        <f>E2237&gt;=2</f>
        <v/>
      </c>
      <c r="K2237">
        <f>AND(G2237,H2237,I2237,J2237)</f>
        <v/>
      </c>
    </row>
    <row r="2238">
      <c r="B2238" s="5">
        <f>BDP(A2238&amp;" US Equity","CUR_MKT_CAP")</f>
        <v/>
      </c>
      <c r="C2238">
        <f>BDP(A2238&amp;" US Equity","EXCH_CODE")</f>
        <v/>
      </c>
      <c r="D2238" s="5">
        <f>BDP(A2238&amp;" US Equity","VOLUME_AVG_20D")</f>
        <v/>
      </c>
      <c r="E2238" s="6">
        <f>BDP(A2238&amp;" US Equity","PX_LAST")</f>
        <v/>
      </c>
      <c r="F2238" s="5">
        <f>D2238*E2238</f>
        <v/>
      </c>
      <c r="G2238">
        <f>AND(B2238&gt;=50,B2238&lt;=10000)</f>
        <v/>
      </c>
      <c r="H2238">
        <f>OR(C2238="NAS",C2238="NYS",C2238="ASE")</f>
        <v/>
      </c>
      <c r="I2238">
        <f>F2238&gt;=500000</f>
        <v/>
      </c>
      <c r="J2238">
        <f>E2238&gt;=2</f>
        <v/>
      </c>
      <c r="K2238">
        <f>AND(G2238,H2238,I2238,J2238)</f>
        <v/>
      </c>
    </row>
    <row r="2239">
      <c r="B2239" s="5">
        <f>BDP(A2239&amp;" US Equity","CUR_MKT_CAP")</f>
        <v/>
      </c>
      <c r="C2239">
        <f>BDP(A2239&amp;" US Equity","EXCH_CODE")</f>
        <v/>
      </c>
      <c r="D2239" s="5">
        <f>BDP(A2239&amp;" US Equity","VOLUME_AVG_20D")</f>
        <v/>
      </c>
      <c r="E2239" s="6">
        <f>BDP(A2239&amp;" US Equity","PX_LAST")</f>
        <v/>
      </c>
      <c r="F2239" s="5">
        <f>D2239*E2239</f>
        <v/>
      </c>
      <c r="G2239">
        <f>AND(B2239&gt;=50,B2239&lt;=10000)</f>
        <v/>
      </c>
      <c r="H2239">
        <f>OR(C2239="NAS",C2239="NYS",C2239="ASE")</f>
        <v/>
      </c>
      <c r="I2239">
        <f>F2239&gt;=500000</f>
        <v/>
      </c>
      <c r="J2239">
        <f>E2239&gt;=2</f>
        <v/>
      </c>
      <c r="K2239">
        <f>AND(G2239,H2239,I2239,J2239)</f>
        <v/>
      </c>
    </row>
    <row r="2240">
      <c r="B2240" s="5">
        <f>BDP(A2240&amp;" US Equity","CUR_MKT_CAP")</f>
        <v/>
      </c>
      <c r="C2240">
        <f>BDP(A2240&amp;" US Equity","EXCH_CODE")</f>
        <v/>
      </c>
      <c r="D2240" s="5">
        <f>BDP(A2240&amp;" US Equity","VOLUME_AVG_20D")</f>
        <v/>
      </c>
      <c r="E2240" s="6">
        <f>BDP(A2240&amp;" US Equity","PX_LAST")</f>
        <v/>
      </c>
      <c r="F2240" s="5">
        <f>D2240*E2240</f>
        <v/>
      </c>
      <c r="G2240">
        <f>AND(B2240&gt;=50,B2240&lt;=10000)</f>
        <v/>
      </c>
      <c r="H2240">
        <f>OR(C2240="NAS",C2240="NYS",C2240="ASE")</f>
        <v/>
      </c>
      <c r="I2240">
        <f>F2240&gt;=500000</f>
        <v/>
      </c>
      <c r="J2240">
        <f>E2240&gt;=2</f>
        <v/>
      </c>
      <c r="K2240">
        <f>AND(G2240,H2240,I2240,J2240)</f>
        <v/>
      </c>
    </row>
    <row r="2241">
      <c r="B2241" s="5">
        <f>BDP(A2241&amp;" US Equity","CUR_MKT_CAP")</f>
        <v/>
      </c>
      <c r="C2241">
        <f>BDP(A2241&amp;" US Equity","EXCH_CODE")</f>
        <v/>
      </c>
      <c r="D2241" s="5">
        <f>BDP(A2241&amp;" US Equity","VOLUME_AVG_20D")</f>
        <v/>
      </c>
      <c r="E2241" s="6">
        <f>BDP(A2241&amp;" US Equity","PX_LAST")</f>
        <v/>
      </c>
      <c r="F2241" s="5">
        <f>D2241*E2241</f>
        <v/>
      </c>
      <c r="G2241">
        <f>AND(B2241&gt;=50,B2241&lt;=10000)</f>
        <v/>
      </c>
      <c r="H2241">
        <f>OR(C2241="NAS",C2241="NYS",C2241="ASE")</f>
        <v/>
      </c>
      <c r="I2241">
        <f>F2241&gt;=500000</f>
        <v/>
      </c>
      <c r="J2241">
        <f>E2241&gt;=2</f>
        <v/>
      </c>
      <c r="K2241">
        <f>AND(G2241,H2241,I2241,J2241)</f>
        <v/>
      </c>
    </row>
    <row r="2242">
      <c r="B2242" s="5">
        <f>BDP(A2242&amp;" US Equity","CUR_MKT_CAP")</f>
        <v/>
      </c>
      <c r="C2242">
        <f>BDP(A2242&amp;" US Equity","EXCH_CODE")</f>
        <v/>
      </c>
      <c r="D2242" s="5">
        <f>BDP(A2242&amp;" US Equity","VOLUME_AVG_20D")</f>
        <v/>
      </c>
      <c r="E2242" s="6">
        <f>BDP(A2242&amp;" US Equity","PX_LAST")</f>
        <v/>
      </c>
      <c r="F2242" s="5">
        <f>D2242*E2242</f>
        <v/>
      </c>
      <c r="G2242">
        <f>AND(B2242&gt;=50,B2242&lt;=10000)</f>
        <v/>
      </c>
      <c r="H2242">
        <f>OR(C2242="NAS",C2242="NYS",C2242="ASE")</f>
        <v/>
      </c>
      <c r="I2242">
        <f>F2242&gt;=500000</f>
        <v/>
      </c>
      <c r="J2242">
        <f>E2242&gt;=2</f>
        <v/>
      </c>
      <c r="K2242">
        <f>AND(G2242,H2242,I2242,J2242)</f>
        <v/>
      </c>
    </row>
    <row r="2243">
      <c r="B2243" s="5">
        <f>BDP(A2243&amp;" US Equity","CUR_MKT_CAP")</f>
        <v/>
      </c>
      <c r="C2243">
        <f>BDP(A2243&amp;" US Equity","EXCH_CODE")</f>
        <v/>
      </c>
      <c r="D2243" s="5">
        <f>BDP(A2243&amp;" US Equity","VOLUME_AVG_20D")</f>
        <v/>
      </c>
      <c r="E2243" s="6">
        <f>BDP(A2243&amp;" US Equity","PX_LAST")</f>
        <v/>
      </c>
      <c r="F2243" s="5">
        <f>D2243*E2243</f>
        <v/>
      </c>
      <c r="G2243">
        <f>AND(B2243&gt;=50,B2243&lt;=10000)</f>
        <v/>
      </c>
      <c r="H2243">
        <f>OR(C2243="NAS",C2243="NYS",C2243="ASE")</f>
        <v/>
      </c>
      <c r="I2243">
        <f>F2243&gt;=500000</f>
        <v/>
      </c>
      <c r="J2243">
        <f>E2243&gt;=2</f>
        <v/>
      </c>
      <c r="K2243">
        <f>AND(G2243,H2243,I2243,J2243)</f>
        <v/>
      </c>
    </row>
    <row r="2244">
      <c r="B2244" s="5">
        <f>BDP(A2244&amp;" US Equity","CUR_MKT_CAP")</f>
        <v/>
      </c>
      <c r="C2244">
        <f>BDP(A2244&amp;" US Equity","EXCH_CODE")</f>
        <v/>
      </c>
      <c r="D2244" s="5">
        <f>BDP(A2244&amp;" US Equity","VOLUME_AVG_20D")</f>
        <v/>
      </c>
      <c r="E2244" s="6">
        <f>BDP(A2244&amp;" US Equity","PX_LAST")</f>
        <v/>
      </c>
      <c r="F2244" s="5">
        <f>D2244*E2244</f>
        <v/>
      </c>
      <c r="G2244">
        <f>AND(B2244&gt;=50,B2244&lt;=10000)</f>
        <v/>
      </c>
      <c r="H2244">
        <f>OR(C2244="NAS",C2244="NYS",C2244="ASE")</f>
        <v/>
      </c>
      <c r="I2244">
        <f>F2244&gt;=500000</f>
        <v/>
      </c>
      <c r="J2244">
        <f>E2244&gt;=2</f>
        <v/>
      </c>
      <c r="K2244">
        <f>AND(G2244,H2244,I2244,J2244)</f>
        <v/>
      </c>
    </row>
    <row r="2245">
      <c r="B2245" s="5">
        <f>BDP(A2245&amp;" US Equity","CUR_MKT_CAP")</f>
        <v/>
      </c>
      <c r="C2245">
        <f>BDP(A2245&amp;" US Equity","EXCH_CODE")</f>
        <v/>
      </c>
      <c r="D2245" s="5">
        <f>BDP(A2245&amp;" US Equity","VOLUME_AVG_20D")</f>
        <v/>
      </c>
      <c r="E2245" s="6">
        <f>BDP(A2245&amp;" US Equity","PX_LAST")</f>
        <v/>
      </c>
      <c r="F2245" s="5">
        <f>D2245*E2245</f>
        <v/>
      </c>
      <c r="G2245">
        <f>AND(B2245&gt;=50,B2245&lt;=10000)</f>
        <v/>
      </c>
      <c r="H2245">
        <f>OR(C2245="NAS",C2245="NYS",C2245="ASE")</f>
        <v/>
      </c>
      <c r="I2245">
        <f>F2245&gt;=500000</f>
        <v/>
      </c>
      <c r="J2245">
        <f>E2245&gt;=2</f>
        <v/>
      </c>
      <c r="K2245">
        <f>AND(G2245,H2245,I2245,J2245)</f>
        <v/>
      </c>
    </row>
    <row r="2246">
      <c r="B2246" s="5">
        <f>BDP(A2246&amp;" US Equity","CUR_MKT_CAP")</f>
        <v/>
      </c>
      <c r="C2246">
        <f>BDP(A2246&amp;" US Equity","EXCH_CODE")</f>
        <v/>
      </c>
      <c r="D2246" s="5">
        <f>BDP(A2246&amp;" US Equity","VOLUME_AVG_20D")</f>
        <v/>
      </c>
      <c r="E2246" s="6">
        <f>BDP(A2246&amp;" US Equity","PX_LAST")</f>
        <v/>
      </c>
      <c r="F2246" s="5">
        <f>D2246*E2246</f>
        <v/>
      </c>
      <c r="G2246">
        <f>AND(B2246&gt;=50,B2246&lt;=10000)</f>
        <v/>
      </c>
      <c r="H2246">
        <f>OR(C2246="NAS",C2246="NYS",C2246="ASE")</f>
        <v/>
      </c>
      <c r="I2246">
        <f>F2246&gt;=500000</f>
        <v/>
      </c>
      <c r="J2246">
        <f>E2246&gt;=2</f>
        <v/>
      </c>
      <c r="K2246">
        <f>AND(G2246,H2246,I2246,J2246)</f>
        <v/>
      </c>
    </row>
    <row r="2247">
      <c r="B2247" s="5">
        <f>BDP(A2247&amp;" US Equity","CUR_MKT_CAP")</f>
        <v/>
      </c>
      <c r="C2247">
        <f>BDP(A2247&amp;" US Equity","EXCH_CODE")</f>
        <v/>
      </c>
      <c r="D2247" s="5">
        <f>BDP(A2247&amp;" US Equity","VOLUME_AVG_20D")</f>
        <v/>
      </c>
      <c r="E2247" s="6">
        <f>BDP(A2247&amp;" US Equity","PX_LAST")</f>
        <v/>
      </c>
      <c r="F2247" s="5">
        <f>D2247*E2247</f>
        <v/>
      </c>
      <c r="G2247">
        <f>AND(B2247&gt;=50,B2247&lt;=10000)</f>
        <v/>
      </c>
      <c r="H2247">
        <f>OR(C2247="NAS",C2247="NYS",C2247="ASE")</f>
        <v/>
      </c>
      <c r="I2247">
        <f>F2247&gt;=500000</f>
        <v/>
      </c>
      <c r="J2247">
        <f>E2247&gt;=2</f>
        <v/>
      </c>
      <c r="K2247">
        <f>AND(G2247,H2247,I2247,J2247)</f>
        <v/>
      </c>
    </row>
    <row r="2248">
      <c r="B2248" s="5">
        <f>BDP(A2248&amp;" US Equity","CUR_MKT_CAP")</f>
        <v/>
      </c>
      <c r="C2248">
        <f>BDP(A2248&amp;" US Equity","EXCH_CODE")</f>
        <v/>
      </c>
      <c r="D2248" s="5">
        <f>BDP(A2248&amp;" US Equity","VOLUME_AVG_20D")</f>
        <v/>
      </c>
      <c r="E2248" s="6">
        <f>BDP(A2248&amp;" US Equity","PX_LAST")</f>
        <v/>
      </c>
      <c r="F2248" s="5">
        <f>D2248*E2248</f>
        <v/>
      </c>
      <c r="G2248">
        <f>AND(B2248&gt;=50,B2248&lt;=10000)</f>
        <v/>
      </c>
      <c r="H2248">
        <f>OR(C2248="NAS",C2248="NYS",C2248="ASE")</f>
        <v/>
      </c>
      <c r="I2248">
        <f>F2248&gt;=500000</f>
        <v/>
      </c>
      <c r="J2248">
        <f>E2248&gt;=2</f>
        <v/>
      </c>
      <c r="K2248">
        <f>AND(G2248,H2248,I2248,J2248)</f>
        <v/>
      </c>
    </row>
    <row r="2249">
      <c r="B2249" s="5">
        <f>BDP(A2249&amp;" US Equity","CUR_MKT_CAP")</f>
        <v/>
      </c>
      <c r="C2249">
        <f>BDP(A2249&amp;" US Equity","EXCH_CODE")</f>
        <v/>
      </c>
      <c r="D2249" s="5">
        <f>BDP(A2249&amp;" US Equity","VOLUME_AVG_20D")</f>
        <v/>
      </c>
      <c r="E2249" s="6">
        <f>BDP(A2249&amp;" US Equity","PX_LAST")</f>
        <v/>
      </c>
      <c r="F2249" s="5">
        <f>D2249*E2249</f>
        <v/>
      </c>
      <c r="G2249">
        <f>AND(B2249&gt;=50,B2249&lt;=10000)</f>
        <v/>
      </c>
      <c r="H2249">
        <f>OR(C2249="NAS",C2249="NYS",C2249="ASE")</f>
        <v/>
      </c>
      <c r="I2249">
        <f>F2249&gt;=500000</f>
        <v/>
      </c>
      <c r="J2249">
        <f>E2249&gt;=2</f>
        <v/>
      </c>
      <c r="K2249">
        <f>AND(G2249,H2249,I2249,J2249)</f>
        <v/>
      </c>
    </row>
    <row r="2250">
      <c r="B2250" s="5">
        <f>BDP(A2250&amp;" US Equity","CUR_MKT_CAP")</f>
        <v/>
      </c>
      <c r="C2250">
        <f>BDP(A2250&amp;" US Equity","EXCH_CODE")</f>
        <v/>
      </c>
      <c r="D2250" s="5">
        <f>BDP(A2250&amp;" US Equity","VOLUME_AVG_20D")</f>
        <v/>
      </c>
      <c r="E2250" s="6">
        <f>BDP(A2250&amp;" US Equity","PX_LAST")</f>
        <v/>
      </c>
      <c r="F2250" s="5">
        <f>D2250*E2250</f>
        <v/>
      </c>
      <c r="G2250">
        <f>AND(B2250&gt;=50,B2250&lt;=10000)</f>
        <v/>
      </c>
      <c r="H2250">
        <f>OR(C2250="NAS",C2250="NYS",C2250="ASE")</f>
        <v/>
      </c>
      <c r="I2250">
        <f>F2250&gt;=500000</f>
        <v/>
      </c>
      <c r="J2250">
        <f>E2250&gt;=2</f>
        <v/>
      </c>
      <c r="K2250">
        <f>AND(G2250,H2250,I2250,J2250)</f>
        <v/>
      </c>
    </row>
    <row r="2251">
      <c r="B2251" s="5">
        <f>BDP(A2251&amp;" US Equity","CUR_MKT_CAP")</f>
        <v/>
      </c>
      <c r="C2251">
        <f>BDP(A2251&amp;" US Equity","EXCH_CODE")</f>
        <v/>
      </c>
      <c r="D2251" s="5">
        <f>BDP(A2251&amp;" US Equity","VOLUME_AVG_20D")</f>
        <v/>
      </c>
      <c r="E2251" s="6">
        <f>BDP(A2251&amp;" US Equity","PX_LAST")</f>
        <v/>
      </c>
      <c r="F2251" s="5">
        <f>D2251*E2251</f>
        <v/>
      </c>
      <c r="G2251">
        <f>AND(B2251&gt;=50,B2251&lt;=10000)</f>
        <v/>
      </c>
      <c r="H2251">
        <f>OR(C2251="NAS",C2251="NYS",C2251="ASE")</f>
        <v/>
      </c>
      <c r="I2251">
        <f>F2251&gt;=500000</f>
        <v/>
      </c>
      <c r="J2251">
        <f>E2251&gt;=2</f>
        <v/>
      </c>
      <c r="K2251">
        <f>AND(G2251,H2251,I2251,J2251)</f>
        <v/>
      </c>
    </row>
    <row r="2252">
      <c r="B2252" s="5">
        <f>BDP(A2252&amp;" US Equity","CUR_MKT_CAP")</f>
        <v/>
      </c>
      <c r="C2252">
        <f>BDP(A2252&amp;" US Equity","EXCH_CODE")</f>
        <v/>
      </c>
      <c r="D2252" s="5">
        <f>BDP(A2252&amp;" US Equity","VOLUME_AVG_20D")</f>
        <v/>
      </c>
      <c r="E2252" s="6">
        <f>BDP(A2252&amp;" US Equity","PX_LAST")</f>
        <v/>
      </c>
      <c r="F2252" s="5">
        <f>D2252*E2252</f>
        <v/>
      </c>
      <c r="G2252">
        <f>AND(B2252&gt;=50,B2252&lt;=10000)</f>
        <v/>
      </c>
      <c r="H2252">
        <f>OR(C2252="NAS",C2252="NYS",C2252="ASE")</f>
        <v/>
      </c>
      <c r="I2252">
        <f>F2252&gt;=500000</f>
        <v/>
      </c>
      <c r="J2252">
        <f>E2252&gt;=2</f>
        <v/>
      </c>
      <c r="K2252">
        <f>AND(G2252,H2252,I2252,J2252)</f>
        <v/>
      </c>
    </row>
    <row r="2253">
      <c r="B2253" s="5">
        <f>BDP(A2253&amp;" US Equity","CUR_MKT_CAP")</f>
        <v/>
      </c>
      <c r="C2253">
        <f>BDP(A2253&amp;" US Equity","EXCH_CODE")</f>
        <v/>
      </c>
      <c r="D2253" s="5">
        <f>BDP(A2253&amp;" US Equity","VOLUME_AVG_20D")</f>
        <v/>
      </c>
      <c r="E2253" s="6">
        <f>BDP(A2253&amp;" US Equity","PX_LAST")</f>
        <v/>
      </c>
      <c r="F2253" s="5">
        <f>D2253*E2253</f>
        <v/>
      </c>
      <c r="G2253">
        <f>AND(B2253&gt;=50,B2253&lt;=10000)</f>
        <v/>
      </c>
      <c r="H2253">
        <f>OR(C2253="NAS",C2253="NYS",C2253="ASE")</f>
        <v/>
      </c>
      <c r="I2253">
        <f>F2253&gt;=500000</f>
        <v/>
      </c>
      <c r="J2253">
        <f>E2253&gt;=2</f>
        <v/>
      </c>
      <c r="K2253">
        <f>AND(G2253,H2253,I2253,J2253)</f>
        <v/>
      </c>
    </row>
    <row r="2254">
      <c r="B2254" s="5">
        <f>BDP(A2254&amp;" US Equity","CUR_MKT_CAP")</f>
        <v/>
      </c>
      <c r="C2254">
        <f>BDP(A2254&amp;" US Equity","EXCH_CODE")</f>
        <v/>
      </c>
      <c r="D2254" s="5">
        <f>BDP(A2254&amp;" US Equity","VOLUME_AVG_20D")</f>
        <v/>
      </c>
      <c r="E2254" s="6">
        <f>BDP(A2254&amp;" US Equity","PX_LAST")</f>
        <v/>
      </c>
      <c r="F2254" s="5">
        <f>D2254*E2254</f>
        <v/>
      </c>
      <c r="G2254">
        <f>AND(B2254&gt;=50,B2254&lt;=10000)</f>
        <v/>
      </c>
      <c r="H2254">
        <f>OR(C2254="NAS",C2254="NYS",C2254="ASE")</f>
        <v/>
      </c>
      <c r="I2254">
        <f>F2254&gt;=500000</f>
        <v/>
      </c>
      <c r="J2254">
        <f>E2254&gt;=2</f>
        <v/>
      </c>
      <c r="K2254">
        <f>AND(G2254,H2254,I2254,J2254)</f>
        <v/>
      </c>
    </row>
    <row r="2255">
      <c r="B2255" s="5">
        <f>BDP(A2255&amp;" US Equity","CUR_MKT_CAP")</f>
        <v/>
      </c>
      <c r="C2255">
        <f>BDP(A2255&amp;" US Equity","EXCH_CODE")</f>
        <v/>
      </c>
      <c r="D2255" s="5">
        <f>BDP(A2255&amp;" US Equity","VOLUME_AVG_20D")</f>
        <v/>
      </c>
      <c r="E2255" s="6">
        <f>BDP(A2255&amp;" US Equity","PX_LAST")</f>
        <v/>
      </c>
      <c r="F2255" s="5">
        <f>D2255*E2255</f>
        <v/>
      </c>
      <c r="G2255">
        <f>AND(B2255&gt;=50,B2255&lt;=10000)</f>
        <v/>
      </c>
      <c r="H2255">
        <f>OR(C2255="NAS",C2255="NYS",C2255="ASE")</f>
        <v/>
      </c>
      <c r="I2255">
        <f>F2255&gt;=500000</f>
        <v/>
      </c>
      <c r="J2255">
        <f>E2255&gt;=2</f>
        <v/>
      </c>
      <c r="K2255">
        <f>AND(G2255,H2255,I2255,J2255)</f>
        <v/>
      </c>
    </row>
    <row r="2256">
      <c r="B2256" s="5">
        <f>BDP(A2256&amp;" US Equity","CUR_MKT_CAP")</f>
        <v/>
      </c>
      <c r="C2256">
        <f>BDP(A2256&amp;" US Equity","EXCH_CODE")</f>
        <v/>
      </c>
      <c r="D2256" s="5">
        <f>BDP(A2256&amp;" US Equity","VOLUME_AVG_20D")</f>
        <v/>
      </c>
      <c r="E2256" s="6">
        <f>BDP(A2256&amp;" US Equity","PX_LAST")</f>
        <v/>
      </c>
      <c r="F2256" s="5">
        <f>D2256*E2256</f>
        <v/>
      </c>
      <c r="G2256">
        <f>AND(B2256&gt;=50,B2256&lt;=10000)</f>
        <v/>
      </c>
      <c r="H2256">
        <f>OR(C2256="NAS",C2256="NYS",C2256="ASE")</f>
        <v/>
      </c>
      <c r="I2256">
        <f>F2256&gt;=500000</f>
        <v/>
      </c>
      <c r="J2256">
        <f>E2256&gt;=2</f>
        <v/>
      </c>
      <c r="K2256">
        <f>AND(G2256,H2256,I2256,J2256)</f>
        <v/>
      </c>
    </row>
    <row r="2257">
      <c r="B2257" s="5">
        <f>BDP(A2257&amp;" US Equity","CUR_MKT_CAP")</f>
        <v/>
      </c>
      <c r="C2257">
        <f>BDP(A2257&amp;" US Equity","EXCH_CODE")</f>
        <v/>
      </c>
      <c r="D2257" s="5">
        <f>BDP(A2257&amp;" US Equity","VOLUME_AVG_20D")</f>
        <v/>
      </c>
      <c r="E2257" s="6">
        <f>BDP(A2257&amp;" US Equity","PX_LAST")</f>
        <v/>
      </c>
      <c r="F2257" s="5">
        <f>D2257*E2257</f>
        <v/>
      </c>
      <c r="G2257">
        <f>AND(B2257&gt;=50,B2257&lt;=10000)</f>
        <v/>
      </c>
      <c r="H2257">
        <f>OR(C2257="NAS",C2257="NYS",C2257="ASE")</f>
        <v/>
      </c>
      <c r="I2257">
        <f>F2257&gt;=500000</f>
        <v/>
      </c>
      <c r="J2257">
        <f>E2257&gt;=2</f>
        <v/>
      </c>
      <c r="K2257">
        <f>AND(G2257,H2257,I2257,J2257)</f>
        <v/>
      </c>
    </row>
    <row r="2258">
      <c r="B2258" s="5">
        <f>BDP(A2258&amp;" US Equity","CUR_MKT_CAP")</f>
        <v/>
      </c>
      <c r="C2258">
        <f>BDP(A2258&amp;" US Equity","EXCH_CODE")</f>
        <v/>
      </c>
      <c r="D2258" s="5">
        <f>BDP(A2258&amp;" US Equity","VOLUME_AVG_20D")</f>
        <v/>
      </c>
      <c r="E2258" s="6">
        <f>BDP(A2258&amp;" US Equity","PX_LAST")</f>
        <v/>
      </c>
      <c r="F2258" s="5">
        <f>D2258*E2258</f>
        <v/>
      </c>
      <c r="G2258">
        <f>AND(B2258&gt;=50,B2258&lt;=10000)</f>
        <v/>
      </c>
      <c r="H2258">
        <f>OR(C2258="NAS",C2258="NYS",C2258="ASE")</f>
        <v/>
      </c>
      <c r="I2258">
        <f>F2258&gt;=500000</f>
        <v/>
      </c>
      <c r="J2258">
        <f>E2258&gt;=2</f>
        <v/>
      </c>
      <c r="K2258">
        <f>AND(G2258,H2258,I2258,J2258)</f>
        <v/>
      </c>
    </row>
    <row r="2259">
      <c r="B2259" s="5">
        <f>BDP(A2259&amp;" US Equity","CUR_MKT_CAP")</f>
        <v/>
      </c>
      <c r="C2259">
        <f>BDP(A2259&amp;" US Equity","EXCH_CODE")</f>
        <v/>
      </c>
      <c r="D2259" s="5">
        <f>BDP(A2259&amp;" US Equity","VOLUME_AVG_20D")</f>
        <v/>
      </c>
      <c r="E2259" s="6">
        <f>BDP(A2259&amp;" US Equity","PX_LAST")</f>
        <v/>
      </c>
      <c r="F2259" s="5">
        <f>D2259*E2259</f>
        <v/>
      </c>
      <c r="G2259">
        <f>AND(B2259&gt;=50,B2259&lt;=10000)</f>
        <v/>
      </c>
      <c r="H2259">
        <f>OR(C2259="NAS",C2259="NYS",C2259="ASE")</f>
        <v/>
      </c>
      <c r="I2259">
        <f>F2259&gt;=500000</f>
        <v/>
      </c>
      <c r="J2259">
        <f>E2259&gt;=2</f>
        <v/>
      </c>
      <c r="K2259">
        <f>AND(G2259,H2259,I2259,J2259)</f>
        <v/>
      </c>
    </row>
    <row r="2260">
      <c r="B2260" s="5">
        <f>BDP(A2260&amp;" US Equity","CUR_MKT_CAP")</f>
        <v/>
      </c>
      <c r="C2260">
        <f>BDP(A2260&amp;" US Equity","EXCH_CODE")</f>
        <v/>
      </c>
      <c r="D2260" s="5">
        <f>BDP(A2260&amp;" US Equity","VOLUME_AVG_20D")</f>
        <v/>
      </c>
      <c r="E2260" s="6">
        <f>BDP(A2260&amp;" US Equity","PX_LAST")</f>
        <v/>
      </c>
      <c r="F2260" s="5">
        <f>D2260*E2260</f>
        <v/>
      </c>
      <c r="G2260">
        <f>AND(B2260&gt;=50,B2260&lt;=10000)</f>
        <v/>
      </c>
      <c r="H2260">
        <f>OR(C2260="NAS",C2260="NYS",C2260="ASE")</f>
        <v/>
      </c>
      <c r="I2260">
        <f>F2260&gt;=500000</f>
        <v/>
      </c>
      <c r="J2260">
        <f>E2260&gt;=2</f>
        <v/>
      </c>
      <c r="K2260">
        <f>AND(G2260,H2260,I2260,J2260)</f>
        <v/>
      </c>
    </row>
    <row r="2261">
      <c r="B2261" s="5">
        <f>BDP(A2261&amp;" US Equity","CUR_MKT_CAP")</f>
        <v/>
      </c>
      <c r="C2261">
        <f>BDP(A2261&amp;" US Equity","EXCH_CODE")</f>
        <v/>
      </c>
      <c r="D2261" s="5">
        <f>BDP(A2261&amp;" US Equity","VOLUME_AVG_20D")</f>
        <v/>
      </c>
      <c r="E2261" s="6">
        <f>BDP(A2261&amp;" US Equity","PX_LAST")</f>
        <v/>
      </c>
      <c r="F2261" s="5">
        <f>D2261*E2261</f>
        <v/>
      </c>
      <c r="G2261">
        <f>AND(B2261&gt;=50,B2261&lt;=10000)</f>
        <v/>
      </c>
      <c r="H2261">
        <f>OR(C2261="NAS",C2261="NYS",C2261="ASE")</f>
        <v/>
      </c>
      <c r="I2261">
        <f>F2261&gt;=500000</f>
        <v/>
      </c>
      <c r="J2261">
        <f>E2261&gt;=2</f>
        <v/>
      </c>
      <c r="K2261">
        <f>AND(G2261,H2261,I2261,J2261)</f>
        <v/>
      </c>
    </row>
    <row r="2262">
      <c r="B2262" s="5">
        <f>BDP(A2262&amp;" US Equity","CUR_MKT_CAP")</f>
        <v/>
      </c>
      <c r="C2262">
        <f>BDP(A2262&amp;" US Equity","EXCH_CODE")</f>
        <v/>
      </c>
      <c r="D2262" s="5">
        <f>BDP(A2262&amp;" US Equity","VOLUME_AVG_20D")</f>
        <v/>
      </c>
      <c r="E2262" s="6">
        <f>BDP(A2262&amp;" US Equity","PX_LAST")</f>
        <v/>
      </c>
      <c r="F2262" s="5">
        <f>D2262*E2262</f>
        <v/>
      </c>
      <c r="G2262">
        <f>AND(B2262&gt;=50,B2262&lt;=10000)</f>
        <v/>
      </c>
      <c r="H2262">
        <f>OR(C2262="NAS",C2262="NYS",C2262="ASE")</f>
        <v/>
      </c>
      <c r="I2262">
        <f>F2262&gt;=500000</f>
        <v/>
      </c>
      <c r="J2262">
        <f>E2262&gt;=2</f>
        <v/>
      </c>
      <c r="K2262">
        <f>AND(G2262,H2262,I2262,J2262)</f>
        <v/>
      </c>
    </row>
    <row r="2263">
      <c r="B2263" s="5">
        <f>BDP(A2263&amp;" US Equity","CUR_MKT_CAP")</f>
        <v/>
      </c>
      <c r="C2263">
        <f>BDP(A2263&amp;" US Equity","EXCH_CODE")</f>
        <v/>
      </c>
      <c r="D2263" s="5">
        <f>BDP(A2263&amp;" US Equity","VOLUME_AVG_20D")</f>
        <v/>
      </c>
      <c r="E2263" s="6">
        <f>BDP(A2263&amp;" US Equity","PX_LAST")</f>
        <v/>
      </c>
      <c r="F2263" s="5">
        <f>D2263*E2263</f>
        <v/>
      </c>
      <c r="G2263">
        <f>AND(B2263&gt;=50,B2263&lt;=10000)</f>
        <v/>
      </c>
      <c r="H2263">
        <f>OR(C2263="NAS",C2263="NYS",C2263="ASE")</f>
        <v/>
      </c>
      <c r="I2263">
        <f>F2263&gt;=500000</f>
        <v/>
      </c>
      <c r="J2263">
        <f>E2263&gt;=2</f>
        <v/>
      </c>
      <c r="K2263">
        <f>AND(G2263,H2263,I2263,J2263)</f>
        <v/>
      </c>
    </row>
    <row r="2264">
      <c r="B2264" s="5">
        <f>BDP(A2264&amp;" US Equity","CUR_MKT_CAP")</f>
        <v/>
      </c>
      <c r="C2264">
        <f>BDP(A2264&amp;" US Equity","EXCH_CODE")</f>
        <v/>
      </c>
      <c r="D2264" s="5">
        <f>BDP(A2264&amp;" US Equity","VOLUME_AVG_20D")</f>
        <v/>
      </c>
      <c r="E2264" s="6">
        <f>BDP(A2264&amp;" US Equity","PX_LAST")</f>
        <v/>
      </c>
      <c r="F2264" s="5">
        <f>D2264*E2264</f>
        <v/>
      </c>
      <c r="G2264">
        <f>AND(B2264&gt;=50,B2264&lt;=10000)</f>
        <v/>
      </c>
      <c r="H2264">
        <f>OR(C2264="NAS",C2264="NYS",C2264="ASE")</f>
        <v/>
      </c>
      <c r="I2264">
        <f>F2264&gt;=500000</f>
        <v/>
      </c>
      <c r="J2264">
        <f>E2264&gt;=2</f>
        <v/>
      </c>
      <c r="K2264">
        <f>AND(G2264,H2264,I2264,J2264)</f>
        <v/>
      </c>
    </row>
    <row r="2265">
      <c r="B2265" s="5">
        <f>BDP(A2265&amp;" US Equity","CUR_MKT_CAP")</f>
        <v/>
      </c>
      <c r="C2265">
        <f>BDP(A2265&amp;" US Equity","EXCH_CODE")</f>
        <v/>
      </c>
      <c r="D2265" s="5">
        <f>BDP(A2265&amp;" US Equity","VOLUME_AVG_20D")</f>
        <v/>
      </c>
      <c r="E2265" s="6">
        <f>BDP(A2265&amp;" US Equity","PX_LAST")</f>
        <v/>
      </c>
      <c r="F2265" s="5">
        <f>D2265*E2265</f>
        <v/>
      </c>
      <c r="G2265">
        <f>AND(B2265&gt;=50,B2265&lt;=10000)</f>
        <v/>
      </c>
      <c r="H2265">
        <f>OR(C2265="NAS",C2265="NYS",C2265="ASE")</f>
        <v/>
      </c>
      <c r="I2265">
        <f>F2265&gt;=500000</f>
        <v/>
      </c>
      <c r="J2265">
        <f>E2265&gt;=2</f>
        <v/>
      </c>
      <c r="K2265">
        <f>AND(G2265,H2265,I2265,J2265)</f>
        <v/>
      </c>
    </row>
    <row r="2266">
      <c r="B2266" s="5">
        <f>BDP(A2266&amp;" US Equity","CUR_MKT_CAP")</f>
        <v/>
      </c>
      <c r="C2266">
        <f>BDP(A2266&amp;" US Equity","EXCH_CODE")</f>
        <v/>
      </c>
      <c r="D2266" s="5">
        <f>BDP(A2266&amp;" US Equity","VOLUME_AVG_20D")</f>
        <v/>
      </c>
      <c r="E2266" s="6">
        <f>BDP(A2266&amp;" US Equity","PX_LAST")</f>
        <v/>
      </c>
      <c r="F2266" s="5">
        <f>D2266*E2266</f>
        <v/>
      </c>
      <c r="G2266">
        <f>AND(B2266&gt;=50,B2266&lt;=10000)</f>
        <v/>
      </c>
      <c r="H2266">
        <f>OR(C2266="NAS",C2266="NYS",C2266="ASE")</f>
        <v/>
      </c>
      <c r="I2266">
        <f>F2266&gt;=500000</f>
        <v/>
      </c>
      <c r="J2266">
        <f>E2266&gt;=2</f>
        <v/>
      </c>
      <c r="K2266">
        <f>AND(G2266,H2266,I2266,J2266)</f>
        <v/>
      </c>
    </row>
    <row r="2267">
      <c r="B2267" s="5">
        <f>BDP(A2267&amp;" US Equity","CUR_MKT_CAP")</f>
        <v/>
      </c>
      <c r="C2267">
        <f>BDP(A2267&amp;" US Equity","EXCH_CODE")</f>
        <v/>
      </c>
      <c r="D2267" s="5">
        <f>BDP(A2267&amp;" US Equity","VOLUME_AVG_20D")</f>
        <v/>
      </c>
      <c r="E2267" s="6">
        <f>BDP(A2267&amp;" US Equity","PX_LAST")</f>
        <v/>
      </c>
      <c r="F2267" s="5">
        <f>D2267*E2267</f>
        <v/>
      </c>
      <c r="G2267">
        <f>AND(B2267&gt;=50,B2267&lt;=10000)</f>
        <v/>
      </c>
      <c r="H2267">
        <f>OR(C2267="NAS",C2267="NYS",C2267="ASE")</f>
        <v/>
      </c>
      <c r="I2267">
        <f>F2267&gt;=500000</f>
        <v/>
      </c>
      <c r="J2267">
        <f>E2267&gt;=2</f>
        <v/>
      </c>
      <c r="K2267">
        <f>AND(G2267,H2267,I2267,J2267)</f>
        <v/>
      </c>
    </row>
    <row r="2268">
      <c r="B2268" s="5">
        <f>BDP(A2268&amp;" US Equity","CUR_MKT_CAP")</f>
        <v/>
      </c>
      <c r="C2268">
        <f>BDP(A2268&amp;" US Equity","EXCH_CODE")</f>
        <v/>
      </c>
      <c r="D2268" s="5">
        <f>BDP(A2268&amp;" US Equity","VOLUME_AVG_20D")</f>
        <v/>
      </c>
      <c r="E2268" s="6">
        <f>BDP(A2268&amp;" US Equity","PX_LAST")</f>
        <v/>
      </c>
      <c r="F2268" s="5">
        <f>D2268*E2268</f>
        <v/>
      </c>
      <c r="G2268">
        <f>AND(B2268&gt;=50,B2268&lt;=10000)</f>
        <v/>
      </c>
      <c r="H2268">
        <f>OR(C2268="NAS",C2268="NYS",C2268="ASE")</f>
        <v/>
      </c>
      <c r="I2268">
        <f>F2268&gt;=500000</f>
        <v/>
      </c>
      <c r="J2268">
        <f>E2268&gt;=2</f>
        <v/>
      </c>
      <c r="K2268">
        <f>AND(G2268,H2268,I2268,J2268)</f>
        <v/>
      </c>
    </row>
    <row r="2269">
      <c r="B2269" s="5">
        <f>BDP(A2269&amp;" US Equity","CUR_MKT_CAP")</f>
        <v/>
      </c>
      <c r="C2269">
        <f>BDP(A2269&amp;" US Equity","EXCH_CODE")</f>
        <v/>
      </c>
      <c r="D2269" s="5">
        <f>BDP(A2269&amp;" US Equity","VOLUME_AVG_20D")</f>
        <v/>
      </c>
      <c r="E2269" s="6">
        <f>BDP(A2269&amp;" US Equity","PX_LAST")</f>
        <v/>
      </c>
      <c r="F2269" s="5">
        <f>D2269*E2269</f>
        <v/>
      </c>
      <c r="G2269">
        <f>AND(B2269&gt;=50,B2269&lt;=10000)</f>
        <v/>
      </c>
      <c r="H2269">
        <f>OR(C2269="NAS",C2269="NYS",C2269="ASE")</f>
        <v/>
      </c>
      <c r="I2269">
        <f>F2269&gt;=500000</f>
        <v/>
      </c>
      <c r="J2269">
        <f>E2269&gt;=2</f>
        <v/>
      </c>
      <c r="K2269">
        <f>AND(G2269,H2269,I2269,J2269)</f>
        <v/>
      </c>
    </row>
    <row r="2270">
      <c r="B2270" s="5">
        <f>BDP(A2270&amp;" US Equity","CUR_MKT_CAP")</f>
        <v/>
      </c>
      <c r="C2270">
        <f>BDP(A2270&amp;" US Equity","EXCH_CODE")</f>
        <v/>
      </c>
      <c r="D2270" s="5">
        <f>BDP(A2270&amp;" US Equity","VOLUME_AVG_20D")</f>
        <v/>
      </c>
      <c r="E2270" s="6">
        <f>BDP(A2270&amp;" US Equity","PX_LAST")</f>
        <v/>
      </c>
      <c r="F2270" s="5">
        <f>D2270*E2270</f>
        <v/>
      </c>
      <c r="G2270">
        <f>AND(B2270&gt;=50,B2270&lt;=10000)</f>
        <v/>
      </c>
      <c r="H2270">
        <f>OR(C2270="NAS",C2270="NYS",C2270="ASE")</f>
        <v/>
      </c>
      <c r="I2270">
        <f>F2270&gt;=500000</f>
        <v/>
      </c>
      <c r="J2270">
        <f>E2270&gt;=2</f>
        <v/>
      </c>
      <c r="K2270">
        <f>AND(G2270,H2270,I2270,J2270)</f>
        <v/>
      </c>
    </row>
    <row r="2271">
      <c r="B2271" s="5">
        <f>BDP(A2271&amp;" US Equity","CUR_MKT_CAP")</f>
        <v/>
      </c>
      <c r="C2271">
        <f>BDP(A2271&amp;" US Equity","EXCH_CODE")</f>
        <v/>
      </c>
      <c r="D2271" s="5">
        <f>BDP(A2271&amp;" US Equity","VOLUME_AVG_20D")</f>
        <v/>
      </c>
      <c r="E2271" s="6">
        <f>BDP(A2271&amp;" US Equity","PX_LAST")</f>
        <v/>
      </c>
      <c r="F2271" s="5">
        <f>D2271*E2271</f>
        <v/>
      </c>
      <c r="G2271">
        <f>AND(B2271&gt;=50,B2271&lt;=10000)</f>
        <v/>
      </c>
      <c r="H2271">
        <f>OR(C2271="NAS",C2271="NYS",C2271="ASE")</f>
        <v/>
      </c>
      <c r="I2271">
        <f>F2271&gt;=500000</f>
        <v/>
      </c>
      <c r="J2271">
        <f>E2271&gt;=2</f>
        <v/>
      </c>
      <c r="K2271">
        <f>AND(G2271,H2271,I2271,J2271)</f>
        <v/>
      </c>
    </row>
    <row r="2272">
      <c r="B2272" s="5">
        <f>BDP(A2272&amp;" US Equity","CUR_MKT_CAP")</f>
        <v/>
      </c>
      <c r="C2272">
        <f>BDP(A2272&amp;" US Equity","EXCH_CODE")</f>
        <v/>
      </c>
      <c r="D2272" s="5">
        <f>BDP(A2272&amp;" US Equity","VOLUME_AVG_20D")</f>
        <v/>
      </c>
      <c r="E2272" s="6">
        <f>BDP(A2272&amp;" US Equity","PX_LAST")</f>
        <v/>
      </c>
      <c r="F2272" s="5">
        <f>D2272*E2272</f>
        <v/>
      </c>
      <c r="G2272">
        <f>AND(B2272&gt;=50,B2272&lt;=10000)</f>
        <v/>
      </c>
      <c r="H2272">
        <f>OR(C2272="NAS",C2272="NYS",C2272="ASE")</f>
        <v/>
      </c>
      <c r="I2272">
        <f>F2272&gt;=500000</f>
        <v/>
      </c>
      <c r="J2272">
        <f>E2272&gt;=2</f>
        <v/>
      </c>
      <c r="K2272">
        <f>AND(G2272,H2272,I2272,J2272)</f>
        <v/>
      </c>
    </row>
    <row r="2273">
      <c r="B2273" s="5">
        <f>BDP(A2273&amp;" US Equity","CUR_MKT_CAP")</f>
        <v/>
      </c>
      <c r="C2273">
        <f>BDP(A2273&amp;" US Equity","EXCH_CODE")</f>
        <v/>
      </c>
      <c r="D2273" s="5">
        <f>BDP(A2273&amp;" US Equity","VOLUME_AVG_20D")</f>
        <v/>
      </c>
      <c r="E2273" s="6">
        <f>BDP(A2273&amp;" US Equity","PX_LAST")</f>
        <v/>
      </c>
      <c r="F2273" s="5">
        <f>D2273*E2273</f>
        <v/>
      </c>
      <c r="G2273">
        <f>AND(B2273&gt;=50,B2273&lt;=10000)</f>
        <v/>
      </c>
      <c r="H2273">
        <f>OR(C2273="NAS",C2273="NYS",C2273="ASE")</f>
        <v/>
      </c>
      <c r="I2273">
        <f>F2273&gt;=500000</f>
        <v/>
      </c>
      <c r="J2273">
        <f>E2273&gt;=2</f>
        <v/>
      </c>
      <c r="K2273">
        <f>AND(G2273,H2273,I2273,J2273)</f>
        <v/>
      </c>
    </row>
    <row r="2274">
      <c r="B2274" s="5">
        <f>BDP(A2274&amp;" US Equity","CUR_MKT_CAP")</f>
        <v/>
      </c>
      <c r="C2274">
        <f>BDP(A2274&amp;" US Equity","EXCH_CODE")</f>
        <v/>
      </c>
      <c r="D2274" s="5">
        <f>BDP(A2274&amp;" US Equity","VOLUME_AVG_20D")</f>
        <v/>
      </c>
      <c r="E2274" s="6">
        <f>BDP(A2274&amp;" US Equity","PX_LAST")</f>
        <v/>
      </c>
      <c r="F2274" s="5">
        <f>D2274*E2274</f>
        <v/>
      </c>
      <c r="G2274">
        <f>AND(B2274&gt;=50,B2274&lt;=10000)</f>
        <v/>
      </c>
      <c r="H2274">
        <f>OR(C2274="NAS",C2274="NYS",C2274="ASE")</f>
        <v/>
      </c>
      <c r="I2274">
        <f>F2274&gt;=500000</f>
        <v/>
      </c>
      <c r="J2274">
        <f>E2274&gt;=2</f>
        <v/>
      </c>
      <c r="K2274">
        <f>AND(G2274,H2274,I2274,J2274)</f>
        <v/>
      </c>
    </row>
    <row r="2275">
      <c r="B2275" s="5">
        <f>BDP(A2275&amp;" US Equity","CUR_MKT_CAP")</f>
        <v/>
      </c>
      <c r="C2275">
        <f>BDP(A2275&amp;" US Equity","EXCH_CODE")</f>
        <v/>
      </c>
      <c r="D2275" s="5">
        <f>BDP(A2275&amp;" US Equity","VOLUME_AVG_20D")</f>
        <v/>
      </c>
      <c r="E2275" s="6">
        <f>BDP(A2275&amp;" US Equity","PX_LAST")</f>
        <v/>
      </c>
      <c r="F2275" s="5">
        <f>D2275*E2275</f>
        <v/>
      </c>
      <c r="G2275">
        <f>AND(B2275&gt;=50,B2275&lt;=10000)</f>
        <v/>
      </c>
      <c r="H2275">
        <f>OR(C2275="NAS",C2275="NYS",C2275="ASE")</f>
        <v/>
      </c>
      <c r="I2275">
        <f>F2275&gt;=500000</f>
        <v/>
      </c>
      <c r="J2275">
        <f>E2275&gt;=2</f>
        <v/>
      </c>
      <c r="K2275">
        <f>AND(G2275,H2275,I2275,J2275)</f>
        <v/>
      </c>
    </row>
    <row r="2276">
      <c r="B2276" s="5">
        <f>BDP(A2276&amp;" US Equity","CUR_MKT_CAP")</f>
        <v/>
      </c>
      <c r="C2276">
        <f>BDP(A2276&amp;" US Equity","EXCH_CODE")</f>
        <v/>
      </c>
      <c r="D2276" s="5">
        <f>BDP(A2276&amp;" US Equity","VOLUME_AVG_20D")</f>
        <v/>
      </c>
      <c r="E2276" s="6">
        <f>BDP(A2276&amp;" US Equity","PX_LAST")</f>
        <v/>
      </c>
      <c r="F2276" s="5">
        <f>D2276*E2276</f>
        <v/>
      </c>
      <c r="G2276">
        <f>AND(B2276&gt;=50,B2276&lt;=10000)</f>
        <v/>
      </c>
      <c r="H2276">
        <f>OR(C2276="NAS",C2276="NYS",C2276="ASE")</f>
        <v/>
      </c>
      <c r="I2276">
        <f>F2276&gt;=500000</f>
        <v/>
      </c>
      <c r="J2276">
        <f>E2276&gt;=2</f>
        <v/>
      </c>
      <c r="K2276">
        <f>AND(G2276,H2276,I2276,J2276)</f>
        <v/>
      </c>
    </row>
    <row r="2277">
      <c r="B2277" s="5">
        <f>BDP(A2277&amp;" US Equity","CUR_MKT_CAP")</f>
        <v/>
      </c>
      <c r="C2277">
        <f>BDP(A2277&amp;" US Equity","EXCH_CODE")</f>
        <v/>
      </c>
      <c r="D2277" s="5">
        <f>BDP(A2277&amp;" US Equity","VOLUME_AVG_20D")</f>
        <v/>
      </c>
      <c r="E2277" s="6">
        <f>BDP(A2277&amp;" US Equity","PX_LAST")</f>
        <v/>
      </c>
      <c r="F2277" s="5">
        <f>D2277*E2277</f>
        <v/>
      </c>
      <c r="G2277">
        <f>AND(B2277&gt;=50,B2277&lt;=10000)</f>
        <v/>
      </c>
      <c r="H2277">
        <f>OR(C2277="NAS",C2277="NYS",C2277="ASE")</f>
        <v/>
      </c>
      <c r="I2277">
        <f>F2277&gt;=500000</f>
        <v/>
      </c>
      <c r="J2277">
        <f>E2277&gt;=2</f>
        <v/>
      </c>
      <c r="K2277">
        <f>AND(G2277,H2277,I2277,J2277)</f>
        <v/>
      </c>
    </row>
    <row r="2278">
      <c r="B2278" s="5">
        <f>BDP(A2278&amp;" US Equity","CUR_MKT_CAP")</f>
        <v/>
      </c>
      <c r="C2278">
        <f>BDP(A2278&amp;" US Equity","EXCH_CODE")</f>
        <v/>
      </c>
      <c r="D2278" s="5">
        <f>BDP(A2278&amp;" US Equity","VOLUME_AVG_20D")</f>
        <v/>
      </c>
      <c r="E2278" s="6">
        <f>BDP(A2278&amp;" US Equity","PX_LAST")</f>
        <v/>
      </c>
      <c r="F2278" s="5">
        <f>D2278*E2278</f>
        <v/>
      </c>
      <c r="G2278">
        <f>AND(B2278&gt;=50,B2278&lt;=10000)</f>
        <v/>
      </c>
      <c r="H2278">
        <f>OR(C2278="NAS",C2278="NYS",C2278="ASE")</f>
        <v/>
      </c>
      <c r="I2278">
        <f>F2278&gt;=500000</f>
        <v/>
      </c>
      <c r="J2278">
        <f>E2278&gt;=2</f>
        <v/>
      </c>
      <c r="K2278">
        <f>AND(G2278,H2278,I2278,J2278)</f>
        <v/>
      </c>
    </row>
    <row r="2279">
      <c r="B2279" s="5">
        <f>BDP(A2279&amp;" US Equity","CUR_MKT_CAP")</f>
        <v/>
      </c>
      <c r="C2279">
        <f>BDP(A2279&amp;" US Equity","EXCH_CODE")</f>
        <v/>
      </c>
      <c r="D2279" s="5">
        <f>BDP(A2279&amp;" US Equity","VOLUME_AVG_20D")</f>
        <v/>
      </c>
      <c r="E2279" s="6">
        <f>BDP(A2279&amp;" US Equity","PX_LAST")</f>
        <v/>
      </c>
      <c r="F2279" s="5">
        <f>D2279*E2279</f>
        <v/>
      </c>
      <c r="G2279">
        <f>AND(B2279&gt;=50,B2279&lt;=10000)</f>
        <v/>
      </c>
      <c r="H2279">
        <f>OR(C2279="NAS",C2279="NYS",C2279="ASE")</f>
        <v/>
      </c>
      <c r="I2279">
        <f>F2279&gt;=500000</f>
        <v/>
      </c>
      <c r="J2279">
        <f>E2279&gt;=2</f>
        <v/>
      </c>
      <c r="K2279">
        <f>AND(G2279,H2279,I2279,J2279)</f>
        <v/>
      </c>
    </row>
    <row r="2280">
      <c r="B2280" s="5">
        <f>BDP(A2280&amp;" US Equity","CUR_MKT_CAP")</f>
        <v/>
      </c>
      <c r="C2280">
        <f>BDP(A2280&amp;" US Equity","EXCH_CODE")</f>
        <v/>
      </c>
      <c r="D2280" s="5">
        <f>BDP(A2280&amp;" US Equity","VOLUME_AVG_20D")</f>
        <v/>
      </c>
      <c r="E2280" s="6">
        <f>BDP(A2280&amp;" US Equity","PX_LAST")</f>
        <v/>
      </c>
      <c r="F2280" s="5">
        <f>D2280*E2280</f>
        <v/>
      </c>
      <c r="G2280">
        <f>AND(B2280&gt;=50,B2280&lt;=10000)</f>
        <v/>
      </c>
      <c r="H2280">
        <f>OR(C2280="NAS",C2280="NYS",C2280="ASE")</f>
        <v/>
      </c>
      <c r="I2280">
        <f>F2280&gt;=500000</f>
        <v/>
      </c>
      <c r="J2280">
        <f>E2280&gt;=2</f>
        <v/>
      </c>
      <c r="K2280">
        <f>AND(G2280,H2280,I2280,J2280)</f>
        <v/>
      </c>
    </row>
    <row r="2281">
      <c r="B2281" s="5">
        <f>BDP(A2281&amp;" US Equity","CUR_MKT_CAP")</f>
        <v/>
      </c>
      <c r="C2281">
        <f>BDP(A2281&amp;" US Equity","EXCH_CODE")</f>
        <v/>
      </c>
      <c r="D2281" s="5">
        <f>BDP(A2281&amp;" US Equity","VOLUME_AVG_20D")</f>
        <v/>
      </c>
      <c r="E2281" s="6">
        <f>BDP(A2281&amp;" US Equity","PX_LAST")</f>
        <v/>
      </c>
      <c r="F2281" s="5">
        <f>D2281*E2281</f>
        <v/>
      </c>
      <c r="G2281">
        <f>AND(B2281&gt;=50,B2281&lt;=10000)</f>
        <v/>
      </c>
      <c r="H2281">
        <f>OR(C2281="NAS",C2281="NYS",C2281="ASE")</f>
        <v/>
      </c>
      <c r="I2281">
        <f>F2281&gt;=500000</f>
        <v/>
      </c>
      <c r="J2281">
        <f>E2281&gt;=2</f>
        <v/>
      </c>
      <c r="K2281">
        <f>AND(G2281,H2281,I2281,J2281)</f>
        <v/>
      </c>
    </row>
    <row r="2282">
      <c r="B2282" s="5">
        <f>BDP(A2282&amp;" US Equity","CUR_MKT_CAP")</f>
        <v/>
      </c>
      <c r="C2282">
        <f>BDP(A2282&amp;" US Equity","EXCH_CODE")</f>
        <v/>
      </c>
      <c r="D2282" s="5">
        <f>BDP(A2282&amp;" US Equity","VOLUME_AVG_20D")</f>
        <v/>
      </c>
      <c r="E2282" s="6">
        <f>BDP(A2282&amp;" US Equity","PX_LAST")</f>
        <v/>
      </c>
      <c r="F2282" s="5">
        <f>D2282*E2282</f>
        <v/>
      </c>
      <c r="G2282">
        <f>AND(B2282&gt;=50,B2282&lt;=10000)</f>
        <v/>
      </c>
      <c r="H2282">
        <f>OR(C2282="NAS",C2282="NYS",C2282="ASE")</f>
        <v/>
      </c>
      <c r="I2282">
        <f>F2282&gt;=500000</f>
        <v/>
      </c>
      <c r="J2282">
        <f>E2282&gt;=2</f>
        <v/>
      </c>
      <c r="K2282">
        <f>AND(G2282,H2282,I2282,J2282)</f>
        <v/>
      </c>
    </row>
    <row r="2283">
      <c r="B2283" s="5">
        <f>BDP(A2283&amp;" US Equity","CUR_MKT_CAP")</f>
        <v/>
      </c>
      <c r="C2283">
        <f>BDP(A2283&amp;" US Equity","EXCH_CODE")</f>
        <v/>
      </c>
      <c r="D2283" s="5">
        <f>BDP(A2283&amp;" US Equity","VOLUME_AVG_20D")</f>
        <v/>
      </c>
      <c r="E2283" s="6">
        <f>BDP(A2283&amp;" US Equity","PX_LAST")</f>
        <v/>
      </c>
      <c r="F2283" s="5">
        <f>D2283*E2283</f>
        <v/>
      </c>
      <c r="G2283">
        <f>AND(B2283&gt;=50,B2283&lt;=10000)</f>
        <v/>
      </c>
      <c r="H2283">
        <f>OR(C2283="NAS",C2283="NYS",C2283="ASE")</f>
        <v/>
      </c>
      <c r="I2283">
        <f>F2283&gt;=500000</f>
        <v/>
      </c>
      <c r="J2283">
        <f>E2283&gt;=2</f>
        <v/>
      </c>
      <c r="K2283">
        <f>AND(G2283,H2283,I2283,J2283)</f>
        <v/>
      </c>
    </row>
    <row r="2284">
      <c r="B2284" s="5">
        <f>BDP(A2284&amp;" US Equity","CUR_MKT_CAP")</f>
        <v/>
      </c>
      <c r="C2284">
        <f>BDP(A2284&amp;" US Equity","EXCH_CODE")</f>
        <v/>
      </c>
      <c r="D2284" s="5">
        <f>BDP(A2284&amp;" US Equity","VOLUME_AVG_20D")</f>
        <v/>
      </c>
      <c r="E2284" s="6">
        <f>BDP(A2284&amp;" US Equity","PX_LAST")</f>
        <v/>
      </c>
      <c r="F2284" s="5">
        <f>D2284*E2284</f>
        <v/>
      </c>
      <c r="G2284">
        <f>AND(B2284&gt;=50,B2284&lt;=10000)</f>
        <v/>
      </c>
      <c r="H2284">
        <f>OR(C2284="NAS",C2284="NYS",C2284="ASE")</f>
        <v/>
      </c>
      <c r="I2284">
        <f>F2284&gt;=500000</f>
        <v/>
      </c>
      <c r="J2284">
        <f>E2284&gt;=2</f>
        <v/>
      </c>
      <c r="K2284">
        <f>AND(G2284,H2284,I2284,J2284)</f>
        <v/>
      </c>
    </row>
    <row r="2285">
      <c r="B2285" s="5">
        <f>BDP(A2285&amp;" US Equity","CUR_MKT_CAP")</f>
        <v/>
      </c>
      <c r="C2285">
        <f>BDP(A2285&amp;" US Equity","EXCH_CODE")</f>
        <v/>
      </c>
      <c r="D2285" s="5">
        <f>BDP(A2285&amp;" US Equity","VOLUME_AVG_20D")</f>
        <v/>
      </c>
      <c r="E2285" s="6">
        <f>BDP(A2285&amp;" US Equity","PX_LAST")</f>
        <v/>
      </c>
      <c r="F2285" s="5">
        <f>D2285*E2285</f>
        <v/>
      </c>
      <c r="G2285">
        <f>AND(B2285&gt;=50,B2285&lt;=10000)</f>
        <v/>
      </c>
      <c r="H2285">
        <f>OR(C2285="NAS",C2285="NYS",C2285="ASE")</f>
        <v/>
      </c>
      <c r="I2285">
        <f>F2285&gt;=500000</f>
        <v/>
      </c>
      <c r="J2285">
        <f>E2285&gt;=2</f>
        <v/>
      </c>
      <c r="K2285">
        <f>AND(G2285,H2285,I2285,J2285)</f>
        <v/>
      </c>
    </row>
    <row r="2286">
      <c r="B2286" s="5">
        <f>BDP(A2286&amp;" US Equity","CUR_MKT_CAP")</f>
        <v/>
      </c>
      <c r="C2286">
        <f>BDP(A2286&amp;" US Equity","EXCH_CODE")</f>
        <v/>
      </c>
      <c r="D2286" s="5">
        <f>BDP(A2286&amp;" US Equity","VOLUME_AVG_20D")</f>
        <v/>
      </c>
      <c r="E2286" s="6">
        <f>BDP(A2286&amp;" US Equity","PX_LAST")</f>
        <v/>
      </c>
      <c r="F2286" s="5">
        <f>D2286*E2286</f>
        <v/>
      </c>
      <c r="G2286">
        <f>AND(B2286&gt;=50,B2286&lt;=10000)</f>
        <v/>
      </c>
      <c r="H2286">
        <f>OR(C2286="NAS",C2286="NYS",C2286="ASE")</f>
        <v/>
      </c>
      <c r="I2286">
        <f>F2286&gt;=500000</f>
        <v/>
      </c>
      <c r="J2286">
        <f>E2286&gt;=2</f>
        <v/>
      </c>
      <c r="K2286">
        <f>AND(G2286,H2286,I2286,J2286)</f>
        <v/>
      </c>
    </row>
    <row r="2287">
      <c r="B2287" s="5">
        <f>BDP(A2287&amp;" US Equity","CUR_MKT_CAP")</f>
        <v/>
      </c>
      <c r="C2287">
        <f>BDP(A2287&amp;" US Equity","EXCH_CODE")</f>
        <v/>
      </c>
      <c r="D2287" s="5">
        <f>BDP(A2287&amp;" US Equity","VOLUME_AVG_20D")</f>
        <v/>
      </c>
      <c r="E2287" s="6">
        <f>BDP(A2287&amp;" US Equity","PX_LAST")</f>
        <v/>
      </c>
      <c r="F2287" s="5">
        <f>D2287*E2287</f>
        <v/>
      </c>
      <c r="G2287">
        <f>AND(B2287&gt;=50,B2287&lt;=10000)</f>
        <v/>
      </c>
      <c r="H2287">
        <f>OR(C2287="NAS",C2287="NYS",C2287="ASE")</f>
        <v/>
      </c>
      <c r="I2287">
        <f>F2287&gt;=500000</f>
        <v/>
      </c>
      <c r="J2287">
        <f>E2287&gt;=2</f>
        <v/>
      </c>
      <c r="K2287">
        <f>AND(G2287,H2287,I2287,J2287)</f>
        <v/>
      </c>
    </row>
    <row r="2288">
      <c r="B2288" s="5">
        <f>BDP(A2288&amp;" US Equity","CUR_MKT_CAP")</f>
        <v/>
      </c>
      <c r="C2288">
        <f>BDP(A2288&amp;" US Equity","EXCH_CODE")</f>
        <v/>
      </c>
      <c r="D2288" s="5">
        <f>BDP(A2288&amp;" US Equity","VOLUME_AVG_20D")</f>
        <v/>
      </c>
      <c r="E2288" s="6">
        <f>BDP(A2288&amp;" US Equity","PX_LAST")</f>
        <v/>
      </c>
      <c r="F2288" s="5">
        <f>D2288*E2288</f>
        <v/>
      </c>
      <c r="G2288">
        <f>AND(B2288&gt;=50,B2288&lt;=10000)</f>
        <v/>
      </c>
      <c r="H2288">
        <f>OR(C2288="NAS",C2288="NYS",C2288="ASE")</f>
        <v/>
      </c>
      <c r="I2288">
        <f>F2288&gt;=500000</f>
        <v/>
      </c>
      <c r="J2288">
        <f>E2288&gt;=2</f>
        <v/>
      </c>
      <c r="K2288">
        <f>AND(G2288,H2288,I2288,J2288)</f>
        <v/>
      </c>
    </row>
    <row r="2289">
      <c r="B2289" s="5">
        <f>BDP(A2289&amp;" US Equity","CUR_MKT_CAP")</f>
        <v/>
      </c>
      <c r="C2289">
        <f>BDP(A2289&amp;" US Equity","EXCH_CODE")</f>
        <v/>
      </c>
      <c r="D2289" s="5">
        <f>BDP(A2289&amp;" US Equity","VOLUME_AVG_20D")</f>
        <v/>
      </c>
      <c r="E2289" s="6">
        <f>BDP(A2289&amp;" US Equity","PX_LAST")</f>
        <v/>
      </c>
      <c r="F2289" s="5">
        <f>D2289*E2289</f>
        <v/>
      </c>
      <c r="G2289">
        <f>AND(B2289&gt;=50,B2289&lt;=10000)</f>
        <v/>
      </c>
      <c r="H2289">
        <f>OR(C2289="NAS",C2289="NYS",C2289="ASE")</f>
        <v/>
      </c>
      <c r="I2289">
        <f>F2289&gt;=500000</f>
        <v/>
      </c>
      <c r="J2289">
        <f>E2289&gt;=2</f>
        <v/>
      </c>
      <c r="K2289">
        <f>AND(G2289,H2289,I2289,J2289)</f>
        <v/>
      </c>
    </row>
    <row r="2290">
      <c r="B2290" s="5">
        <f>BDP(A2290&amp;" US Equity","CUR_MKT_CAP")</f>
        <v/>
      </c>
      <c r="C2290">
        <f>BDP(A2290&amp;" US Equity","EXCH_CODE")</f>
        <v/>
      </c>
      <c r="D2290" s="5">
        <f>BDP(A2290&amp;" US Equity","VOLUME_AVG_20D")</f>
        <v/>
      </c>
      <c r="E2290" s="6">
        <f>BDP(A2290&amp;" US Equity","PX_LAST")</f>
        <v/>
      </c>
      <c r="F2290" s="5">
        <f>D2290*E2290</f>
        <v/>
      </c>
      <c r="G2290">
        <f>AND(B2290&gt;=50,B2290&lt;=10000)</f>
        <v/>
      </c>
      <c r="H2290">
        <f>OR(C2290="NAS",C2290="NYS",C2290="ASE")</f>
        <v/>
      </c>
      <c r="I2290">
        <f>F2290&gt;=500000</f>
        <v/>
      </c>
      <c r="J2290">
        <f>E2290&gt;=2</f>
        <v/>
      </c>
      <c r="K2290">
        <f>AND(G2290,H2290,I2290,J2290)</f>
        <v/>
      </c>
    </row>
    <row r="2291">
      <c r="B2291" s="5">
        <f>BDP(A2291&amp;" US Equity","CUR_MKT_CAP")</f>
        <v/>
      </c>
      <c r="C2291">
        <f>BDP(A2291&amp;" US Equity","EXCH_CODE")</f>
        <v/>
      </c>
      <c r="D2291" s="5">
        <f>BDP(A2291&amp;" US Equity","VOLUME_AVG_20D")</f>
        <v/>
      </c>
      <c r="E2291" s="6">
        <f>BDP(A2291&amp;" US Equity","PX_LAST")</f>
        <v/>
      </c>
      <c r="F2291" s="5">
        <f>D2291*E2291</f>
        <v/>
      </c>
      <c r="G2291">
        <f>AND(B2291&gt;=50,B2291&lt;=10000)</f>
        <v/>
      </c>
      <c r="H2291">
        <f>OR(C2291="NAS",C2291="NYS",C2291="ASE")</f>
        <v/>
      </c>
      <c r="I2291">
        <f>F2291&gt;=500000</f>
        <v/>
      </c>
      <c r="J2291">
        <f>E2291&gt;=2</f>
        <v/>
      </c>
      <c r="K2291">
        <f>AND(G2291,H2291,I2291,J2291)</f>
        <v/>
      </c>
    </row>
    <row r="2292">
      <c r="B2292" s="5">
        <f>BDP(A2292&amp;" US Equity","CUR_MKT_CAP")</f>
        <v/>
      </c>
      <c r="C2292">
        <f>BDP(A2292&amp;" US Equity","EXCH_CODE")</f>
        <v/>
      </c>
      <c r="D2292" s="5">
        <f>BDP(A2292&amp;" US Equity","VOLUME_AVG_20D")</f>
        <v/>
      </c>
      <c r="E2292" s="6">
        <f>BDP(A2292&amp;" US Equity","PX_LAST")</f>
        <v/>
      </c>
      <c r="F2292" s="5">
        <f>D2292*E2292</f>
        <v/>
      </c>
      <c r="G2292">
        <f>AND(B2292&gt;=50,B2292&lt;=10000)</f>
        <v/>
      </c>
      <c r="H2292">
        <f>OR(C2292="NAS",C2292="NYS",C2292="ASE")</f>
        <v/>
      </c>
      <c r="I2292">
        <f>F2292&gt;=500000</f>
        <v/>
      </c>
      <c r="J2292">
        <f>E2292&gt;=2</f>
        <v/>
      </c>
      <c r="K2292">
        <f>AND(G2292,H2292,I2292,J2292)</f>
        <v/>
      </c>
    </row>
    <row r="2293">
      <c r="B2293" s="5">
        <f>BDP(A2293&amp;" US Equity","CUR_MKT_CAP")</f>
        <v/>
      </c>
      <c r="C2293">
        <f>BDP(A2293&amp;" US Equity","EXCH_CODE")</f>
        <v/>
      </c>
      <c r="D2293" s="5">
        <f>BDP(A2293&amp;" US Equity","VOLUME_AVG_20D")</f>
        <v/>
      </c>
      <c r="E2293" s="6">
        <f>BDP(A2293&amp;" US Equity","PX_LAST")</f>
        <v/>
      </c>
      <c r="F2293" s="5">
        <f>D2293*E2293</f>
        <v/>
      </c>
      <c r="G2293">
        <f>AND(B2293&gt;=50,B2293&lt;=10000)</f>
        <v/>
      </c>
      <c r="H2293">
        <f>OR(C2293="NAS",C2293="NYS",C2293="ASE")</f>
        <v/>
      </c>
      <c r="I2293">
        <f>F2293&gt;=500000</f>
        <v/>
      </c>
      <c r="J2293">
        <f>E2293&gt;=2</f>
        <v/>
      </c>
      <c r="K2293">
        <f>AND(G2293,H2293,I2293,J2293)</f>
        <v/>
      </c>
    </row>
    <row r="2294">
      <c r="B2294" s="5">
        <f>BDP(A2294&amp;" US Equity","CUR_MKT_CAP")</f>
        <v/>
      </c>
      <c r="C2294">
        <f>BDP(A2294&amp;" US Equity","EXCH_CODE")</f>
        <v/>
      </c>
      <c r="D2294" s="5">
        <f>BDP(A2294&amp;" US Equity","VOLUME_AVG_20D")</f>
        <v/>
      </c>
      <c r="E2294" s="6">
        <f>BDP(A2294&amp;" US Equity","PX_LAST")</f>
        <v/>
      </c>
      <c r="F2294" s="5">
        <f>D2294*E2294</f>
        <v/>
      </c>
      <c r="G2294">
        <f>AND(B2294&gt;=50,B2294&lt;=10000)</f>
        <v/>
      </c>
      <c r="H2294">
        <f>OR(C2294="NAS",C2294="NYS",C2294="ASE")</f>
        <v/>
      </c>
      <c r="I2294">
        <f>F2294&gt;=500000</f>
        <v/>
      </c>
      <c r="J2294">
        <f>E2294&gt;=2</f>
        <v/>
      </c>
      <c r="K2294">
        <f>AND(G2294,H2294,I2294,J2294)</f>
        <v/>
      </c>
    </row>
    <row r="2295">
      <c r="B2295" s="5">
        <f>BDP(A2295&amp;" US Equity","CUR_MKT_CAP")</f>
        <v/>
      </c>
      <c r="C2295">
        <f>BDP(A2295&amp;" US Equity","EXCH_CODE")</f>
        <v/>
      </c>
      <c r="D2295" s="5">
        <f>BDP(A2295&amp;" US Equity","VOLUME_AVG_20D")</f>
        <v/>
      </c>
      <c r="E2295" s="6">
        <f>BDP(A2295&amp;" US Equity","PX_LAST")</f>
        <v/>
      </c>
      <c r="F2295" s="5">
        <f>D2295*E2295</f>
        <v/>
      </c>
      <c r="G2295">
        <f>AND(B2295&gt;=50,B2295&lt;=10000)</f>
        <v/>
      </c>
      <c r="H2295">
        <f>OR(C2295="NAS",C2295="NYS",C2295="ASE")</f>
        <v/>
      </c>
      <c r="I2295">
        <f>F2295&gt;=500000</f>
        <v/>
      </c>
      <c r="J2295">
        <f>E2295&gt;=2</f>
        <v/>
      </c>
      <c r="K2295">
        <f>AND(G2295,H2295,I2295,J2295)</f>
        <v/>
      </c>
    </row>
    <row r="2296">
      <c r="B2296" s="5">
        <f>BDP(A2296&amp;" US Equity","CUR_MKT_CAP")</f>
        <v/>
      </c>
      <c r="C2296">
        <f>BDP(A2296&amp;" US Equity","EXCH_CODE")</f>
        <v/>
      </c>
      <c r="D2296" s="5">
        <f>BDP(A2296&amp;" US Equity","VOLUME_AVG_20D")</f>
        <v/>
      </c>
      <c r="E2296" s="6">
        <f>BDP(A2296&amp;" US Equity","PX_LAST")</f>
        <v/>
      </c>
      <c r="F2296" s="5">
        <f>D2296*E2296</f>
        <v/>
      </c>
      <c r="G2296">
        <f>AND(B2296&gt;=50,B2296&lt;=10000)</f>
        <v/>
      </c>
      <c r="H2296">
        <f>OR(C2296="NAS",C2296="NYS",C2296="ASE")</f>
        <v/>
      </c>
      <c r="I2296">
        <f>F2296&gt;=500000</f>
        <v/>
      </c>
      <c r="J2296">
        <f>E2296&gt;=2</f>
        <v/>
      </c>
      <c r="K2296">
        <f>AND(G2296,H2296,I2296,J2296)</f>
        <v/>
      </c>
    </row>
    <row r="2297">
      <c r="B2297" s="5">
        <f>BDP(A2297&amp;" US Equity","CUR_MKT_CAP")</f>
        <v/>
      </c>
      <c r="C2297">
        <f>BDP(A2297&amp;" US Equity","EXCH_CODE")</f>
        <v/>
      </c>
      <c r="D2297" s="5">
        <f>BDP(A2297&amp;" US Equity","VOLUME_AVG_20D")</f>
        <v/>
      </c>
      <c r="E2297" s="6">
        <f>BDP(A2297&amp;" US Equity","PX_LAST")</f>
        <v/>
      </c>
      <c r="F2297" s="5">
        <f>D2297*E2297</f>
        <v/>
      </c>
      <c r="G2297">
        <f>AND(B2297&gt;=50,B2297&lt;=10000)</f>
        <v/>
      </c>
      <c r="H2297">
        <f>OR(C2297="NAS",C2297="NYS",C2297="ASE")</f>
        <v/>
      </c>
      <c r="I2297">
        <f>F2297&gt;=500000</f>
        <v/>
      </c>
      <c r="J2297">
        <f>E2297&gt;=2</f>
        <v/>
      </c>
      <c r="K2297">
        <f>AND(G2297,H2297,I2297,J2297)</f>
        <v/>
      </c>
    </row>
    <row r="2298">
      <c r="B2298" s="5">
        <f>BDP(A2298&amp;" US Equity","CUR_MKT_CAP")</f>
        <v/>
      </c>
      <c r="C2298">
        <f>BDP(A2298&amp;" US Equity","EXCH_CODE")</f>
        <v/>
      </c>
      <c r="D2298" s="5">
        <f>BDP(A2298&amp;" US Equity","VOLUME_AVG_20D")</f>
        <v/>
      </c>
      <c r="E2298" s="6">
        <f>BDP(A2298&amp;" US Equity","PX_LAST")</f>
        <v/>
      </c>
      <c r="F2298" s="5">
        <f>D2298*E2298</f>
        <v/>
      </c>
      <c r="G2298">
        <f>AND(B2298&gt;=50,B2298&lt;=10000)</f>
        <v/>
      </c>
      <c r="H2298">
        <f>OR(C2298="NAS",C2298="NYS",C2298="ASE")</f>
        <v/>
      </c>
      <c r="I2298">
        <f>F2298&gt;=500000</f>
        <v/>
      </c>
      <c r="J2298">
        <f>E2298&gt;=2</f>
        <v/>
      </c>
      <c r="K2298">
        <f>AND(G2298,H2298,I2298,J2298)</f>
        <v/>
      </c>
    </row>
    <row r="2299">
      <c r="B2299" s="5">
        <f>BDP(A2299&amp;" US Equity","CUR_MKT_CAP")</f>
        <v/>
      </c>
      <c r="C2299">
        <f>BDP(A2299&amp;" US Equity","EXCH_CODE")</f>
        <v/>
      </c>
      <c r="D2299" s="5">
        <f>BDP(A2299&amp;" US Equity","VOLUME_AVG_20D")</f>
        <v/>
      </c>
      <c r="E2299" s="6">
        <f>BDP(A2299&amp;" US Equity","PX_LAST")</f>
        <v/>
      </c>
      <c r="F2299" s="5">
        <f>D2299*E2299</f>
        <v/>
      </c>
      <c r="G2299">
        <f>AND(B2299&gt;=50,B2299&lt;=10000)</f>
        <v/>
      </c>
      <c r="H2299">
        <f>OR(C2299="NAS",C2299="NYS",C2299="ASE")</f>
        <v/>
      </c>
      <c r="I2299">
        <f>F2299&gt;=500000</f>
        <v/>
      </c>
      <c r="J2299">
        <f>E2299&gt;=2</f>
        <v/>
      </c>
      <c r="K2299">
        <f>AND(G2299,H2299,I2299,J2299)</f>
        <v/>
      </c>
    </row>
    <row r="2300">
      <c r="B2300" s="5">
        <f>BDP(A2300&amp;" US Equity","CUR_MKT_CAP")</f>
        <v/>
      </c>
      <c r="C2300">
        <f>BDP(A2300&amp;" US Equity","EXCH_CODE")</f>
        <v/>
      </c>
      <c r="D2300" s="5">
        <f>BDP(A2300&amp;" US Equity","VOLUME_AVG_20D")</f>
        <v/>
      </c>
      <c r="E2300" s="6">
        <f>BDP(A2300&amp;" US Equity","PX_LAST")</f>
        <v/>
      </c>
      <c r="F2300" s="5">
        <f>D2300*E2300</f>
        <v/>
      </c>
      <c r="G2300">
        <f>AND(B2300&gt;=50,B2300&lt;=10000)</f>
        <v/>
      </c>
      <c r="H2300">
        <f>OR(C2300="NAS",C2300="NYS",C2300="ASE")</f>
        <v/>
      </c>
      <c r="I2300">
        <f>F2300&gt;=500000</f>
        <v/>
      </c>
      <c r="J2300">
        <f>E2300&gt;=2</f>
        <v/>
      </c>
      <c r="K2300">
        <f>AND(G2300,H2300,I2300,J2300)</f>
        <v/>
      </c>
    </row>
    <row r="2301">
      <c r="B2301" s="5">
        <f>BDP(A2301&amp;" US Equity","CUR_MKT_CAP")</f>
        <v/>
      </c>
      <c r="C2301">
        <f>BDP(A2301&amp;" US Equity","EXCH_CODE")</f>
        <v/>
      </c>
      <c r="D2301" s="5">
        <f>BDP(A2301&amp;" US Equity","VOLUME_AVG_20D")</f>
        <v/>
      </c>
      <c r="E2301" s="6">
        <f>BDP(A2301&amp;" US Equity","PX_LAST")</f>
        <v/>
      </c>
      <c r="F2301" s="5">
        <f>D2301*E2301</f>
        <v/>
      </c>
      <c r="G2301">
        <f>AND(B2301&gt;=50,B2301&lt;=10000)</f>
        <v/>
      </c>
      <c r="H2301">
        <f>OR(C2301="NAS",C2301="NYS",C2301="ASE")</f>
        <v/>
      </c>
      <c r="I2301">
        <f>F2301&gt;=500000</f>
        <v/>
      </c>
      <c r="J2301">
        <f>E2301&gt;=2</f>
        <v/>
      </c>
      <c r="K2301">
        <f>AND(G2301,H2301,I2301,J2301)</f>
        <v/>
      </c>
    </row>
    <row r="2302">
      <c r="B2302" s="5">
        <f>BDP(A2302&amp;" US Equity","CUR_MKT_CAP")</f>
        <v/>
      </c>
      <c r="C2302">
        <f>BDP(A2302&amp;" US Equity","EXCH_CODE")</f>
        <v/>
      </c>
      <c r="D2302" s="5">
        <f>BDP(A2302&amp;" US Equity","VOLUME_AVG_20D")</f>
        <v/>
      </c>
      <c r="E2302" s="6">
        <f>BDP(A2302&amp;" US Equity","PX_LAST")</f>
        <v/>
      </c>
      <c r="F2302" s="5">
        <f>D2302*E2302</f>
        <v/>
      </c>
      <c r="G2302">
        <f>AND(B2302&gt;=50,B2302&lt;=10000)</f>
        <v/>
      </c>
      <c r="H2302">
        <f>OR(C2302="NAS",C2302="NYS",C2302="ASE")</f>
        <v/>
      </c>
      <c r="I2302">
        <f>F2302&gt;=500000</f>
        <v/>
      </c>
      <c r="J2302">
        <f>E2302&gt;=2</f>
        <v/>
      </c>
      <c r="K2302">
        <f>AND(G2302,H2302,I2302,J2302)</f>
        <v/>
      </c>
    </row>
    <row r="2303">
      <c r="B2303" s="5">
        <f>BDP(A2303&amp;" US Equity","CUR_MKT_CAP")</f>
        <v/>
      </c>
      <c r="C2303">
        <f>BDP(A2303&amp;" US Equity","EXCH_CODE")</f>
        <v/>
      </c>
      <c r="D2303" s="5">
        <f>BDP(A2303&amp;" US Equity","VOLUME_AVG_20D")</f>
        <v/>
      </c>
      <c r="E2303" s="6">
        <f>BDP(A2303&amp;" US Equity","PX_LAST")</f>
        <v/>
      </c>
      <c r="F2303" s="5">
        <f>D2303*E2303</f>
        <v/>
      </c>
      <c r="G2303">
        <f>AND(B2303&gt;=50,B2303&lt;=10000)</f>
        <v/>
      </c>
      <c r="H2303">
        <f>OR(C2303="NAS",C2303="NYS",C2303="ASE")</f>
        <v/>
      </c>
      <c r="I2303">
        <f>F2303&gt;=500000</f>
        <v/>
      </c>
      <c r="J2303">
        <f>E2303&gt;=2</f>
        <v/>
      </c>
      <c r="K2303">
        <f>AND(G2303,H2303,I2303,J2303)</f>
        <v/>
      </c>
    </row>
    <row r="2304">
      <c r="B2304" s="5">
        <f>BDP(A2304&amp;" US Equity","CUR_MKT_CAP")</f>
        <v/>
      </c>
      <c r="C2304">
        <f>BDP(A2304&amp;" US Equity","EXCH_CODE")</f>
        <v/>
      </c>
      <c r="D2304" s="5">
        <f>BDP(A2304&amp;" US Equity","VOLUME_AVG_20D")</f>
        <v/>
      </c>
      <c r="E2304" s="6">
        <f>BDP(A2304&amp;" US Equity","PX_LAST")</f>
        <v/>
      </c>
      <c r="F2304" s="5">
        <f>D2304*E2304</f>
        <v/>
      </c>
      <c r="G2304">
        <f>AND(B2304&gt;=50,B2304&lt;=10000)</f>
        <v/>
      </c>
      <c r="H2304">
        <f>OR(C2304="NAS",C2304="NYS",C2304="ASE")</f>
        <v/>
      </c>
      <c r="I2304">
        <f>F2304&gt;=500000</f>
        <v/>
      </c>
      <c r="J2304">
        <f>E2304&gt;=2</f>
        <v/>
      </c>
      <c r="K2304">
        <f>AND(G2304,H2304,I2304,J2304)</f>
        <v/>
      </c>
    </row>
    <row r="2305">
      <c r="B2305" s="5">
        <f>BDP(A2305&amp;" US Equity","CUR_MKT_CAP")</f>
        <v/>
      </c>
      <c r="C2305">
        <f>BDP(A2305&amp;" US Equity","EXCH_CODE")</f>
        <v/>
      </c>
      <c r="D2305" s="5">
        <f>BDP(A2305&amp;" US Equity","VOLUME_AVG_20D")</f>
        <v/>
      </c>
      <c r="E2305" s="6">
        <f>BDP(A2305&amp;" US Equity","PX_LAST")</f>
        <v/>
      </c>
      <c r="F2305" s="5">
        <f>D2305*E2305</f>
        <v/>
      </c>
      <c r="G2305">
        <f>AND(B2305&gt;=50,B2305&lt;=10000)</f>
        <v/>
      </c>
      <c r="H2305">
        <f>OR(C2305="NAS",C2305="NYS",C2305="ASE")</f>
        <v/>
      </c>
      <c r="I2305">
        <f>F2305&gt;=500000</f>
        <v/>
      </c>
      <c r="J2305">
        <f>E2305&gt;=2</f>
        <v/>
      </c>
      <c r="K2305">
        <f>AND(G2305,H2305,I2305,J2305)</f>
        <v/>
      </c>
    </row>
    <row r="2306">
      <c r="B2306" s="5">
        <f>BDP(A2306&amp;" US Equity","CUR_MKT_CAP")</f>
        <v/>
      </c>
      <c r="C2306">
        <f>BDP(A2306&amp;" US Equity","EXCH_CODE")</f>
        <v/>
      </c>
      <c r="D2306" s="5">
        <f>BDP(A2306&amp;" US Equity","VOLUME_AVG_20D")</f>
        <v/>
      </c>
      <c r="E2306" s="6">
        <f>BDP(A2306&amp;" US Equity","PX_LAST")</f>
        <v/>
      </c>
      <c r="F2306" s="5">
        <f>D2306*E2306</f>
        <v/>
      </c>
      <c r="G2306">
        <f>AND(B2306&gt;=50,B2306&lt;=10000)</f>
        <v/>
      </c>
      <c r="H2306">
        <f>OR(C2306="NAS",C2306="NYS",C2306="ASE")</f>
        <v/>
      </c>
      <c r="I2306">
        <f>F2306&gt;=500000</f>
        <v/>
      </c>
      <c r="J2306">
        <f>E2306&gt;=2</f>
        <v/>
      </c>
      <c r="K2306">
        <f>AND(G2306,H2306,I2306,J2306)</f>
        <v/>
      </c>
    </row>
    <row r="2307">
      <c r="B2307" s="5">
        <f>BDP(A2307&amp;" US Equity","CUR_MKT_CAP")</f>
        <v/>
      </c>
      <c r="C2307">
        <f>BDP(A2307&amp;" US Equity","EXCH_CODE")</f>
        <v/>
      </c>
      <c r="D2307" s="5">
        <f>BDP(A2307&amp;" US Equity","VOLUME_AVG_20D")</f>
        <v/>
      </c>
      <c r="E2307" s="6">
        <f>BDP(A2307&amp;" US Equity","PX_LAST")</f>
        <v/>
      </c>
      <c r="F2307" s="5">
        <f>D2307*E2307</f>
        <v/>
      </c>
      <c r="G2307">
        <f>AND(B2307&gt;=50,B2307&lt;=10000)</f>
        <v/>
      </c>
      <c r="H2307">
        <f>OR(C2307="NAS",C2307="NYS",C2307="ASE")</f>
        <v/>
      </c>
      <c r="I2307">
        <f>F2307&gt;=500000</f>
        <v/>
      </c>
      <c r="J2307">
        <f>E2307&gt;=2</f>
        <v/>
      </c>
      <c r="K2307">
        <f>AND(G2307,H2307,I2307,J2307)</f>
        <v/>
      </c>
    </row>
    <row r="2308">
      <c r="B2308" s="5">
        <f>BDP(A2308&amp;" US Equity","CUR_MKT_CAP")</f>
        <v/>
      </c>
      <c r="C2308">
        <f>BDP(A2308&amp;" US Equity","EXCH_CODE")</f>
        <v/>
      </c>
      <c r="D2308" s="5">
        <f>BDP(A2308&amp;" US Equity","VOLUME_AVG_20D")</f>
        <v/>
      </c>
      <c r="E2308" s="6">
        <f>BDP(A2308&amp;" US Equity","PX_LAST")</f>
        <v/>
      </c>
      <c r="F2308" s="5">
        <f>D2308*E2308</f>
        <v/>
      </c>
      <c r="G2308">
        <f>AND(B2308&gt;=50,B2308&lt;=10000)</f>
        <v/>
      </c>
      <c r="H2308">
        <f>OR(C2308="NAS",C2308="NYS",C2308="ASE")</f>
        <v/>
      </c>
      <c r="I2308">
        <f>F2308&gt;=500000</f>
        <v/>
      </c>
      <c r="J2308">
        <f>E2308&gt;=2</f>
        <v/>
      </c>
      <c r="K2308">
        <f>AND(G2308,H2308,I2308,J2308)</f>
        <v/>
      </c>
    </row>
    <row r="2309">
      <c r="B2309" s="5">
        <f>BDP(A2309&amp;" US Equity","CUR_MKT_CAP")</f>
        <v/>
      </c>
      <c r="C2309">
        <f>BDP(A2309&amp;" US Equity","EXCH_CODE")</f>
        <v/>
      </c>
      <c r="D2309" s="5">
        <f>BDP(A2309&amp;" US Equity","VOLUME_AVG_20D")</f>
        <v/>
      </c>
      <c r="E2309" s="6">
        <f>BDP(A2309&amp;" US Equity","PX_LAST")</f>
        <v/>
      </c>
      <c r="F2309" s="5">
        <f>D2309*E2309</f>
        <v/>
      </c>
      <c r="G2309">
        <f>AND(B2309&gt;=50,B2309&lt;=10000)</f>
        <v/>
      </c>
      <c r="H2309">
        <f>OR(C2309="NAS",C2309="NYS",C2309="ASE")</f>
        <v/>
      </c>
      <c r="I2309">
        <f>F2309&gt;=500000</f>
        <v/>
      </c>
      <c r="J2309">
        <f>E2309&gt;=2</f>
        <v/>
      </c>
      <c r="K2309">
        <f>AND(G2309,H2309,I2309,J2309)</f>
        <v/>
      </c>
    </row>
    <row r="2310">
      <c r="B2310" s="5">
        <f>BDP(A2310&amp;" US Equity","CUR_MKT_CAP")</f>
        <v/>
      </c>
      <c r="C2310">
        <f>BDP(A2310&amp;" US Equity","EXCH_CODE")</f>
        <v/>
      </c>
      <c r="D2310" s="5">
        <f>BDP(A2310&amp;" US Equity","VOLUME_AVG_20D")</f>
        <v/>
      </c>
      <c r="E2310" s="6">
        <f>BDP(A2310&amp;" US Equity","PX_LAST")</f>
        <v/>
      </c>
      <c r="F2310" s="5">
        <f>D2310*E2310</f>
        <v/>
      </c>
      <c r="G2310">
        <f>AND(B2310&gt;=50,B2310&lt;=10000)</f>
        <v/>
      </c>
      <c r="H2310">
        <f>OR(C2310="NAS",C2310="NYS",C2310="ASE")</f>
        <v/>
      </c>
      <c r="I2310">
        <f>F2310&gt;=500000</f>
        <v/>
      </c>
      <c r="J2310">
        <f>E2310&gt;=2</f>
        <v/>
      </c>
      <c r="K2310">
        <f>AND(G2310,H2310,I2310,J2310)</f>
        <v/>
      </c>
    </row>
    <row r="2311">
      <c r="B2311" s="5">
        <f>BDP(A2311&amp;" US Equity","CUR_MKT_CAP")</f>
        <v/>
      </c>
      <c r="C2311">
        <f>BDP(A2311&amp;" US Equity","EXCH_CODE")</f>
        <v/>
      </c>
      <c r="D2311" s="5">
        <f>BDP(A2311&amp;" US Equity","VOLUME_AVG_20D")</f>
        <v/>
      </c>
      <c r="E2311" s="6">
        <f>BDP(A2311&amp;" US Equity","PX_LAST")</f>
        <v/>
      </c>
      <c r="F2311" s="5">
        <f>D2311*E2311</f>
        <v/>
      </c>
      <c r="G2311">
        <f>AND(B2311&gt;=50,B2311&lt;=10000)</f>
        <v/>
      </c>
      <c r="H2311">
        <f>OR(C2311="NAS",C2311="NYS",C2311="ASE")</f>
        <v/>
      </c>
      <c r="I2311">
        <f>F2311&gt;=500000</f>
        <v/>
      </c>
      <c r="J2311">
        <f>E2311&gt;=2</f>
        <v/>
      </c>
      <c r="K2311">
        <f>AND(G2311,H2311,I2311,J2311)</f>
        <v/>
      </c>
    </row>
    <row r="2312">
      <c r="B2312" s="5">
        <f>BDP(A2312&amp;" US Equity","CUR_MKT_CAP")</f>
        <v/>
      </c>
      <c r="C2312">
        <f>BDP(A2312&amp;" US Equity","EXCH_CODE")</f>
        <v/>
      </c>
      <c r="D2312" s="5">
        <f>BDP(A2312&amp;" US Equity","VOLUME_AVG_20D")</f>
        <v/>
      </c>
      <c r="E2312" s="6">
        <f>BDP(A2312&amp;" US Equity","PX_LAST")</f>
        <v/>
      </c>
      <c r="F2312" s="5">
        <f>D2312*E2312</f>
        <v/>
      </c>
      <c r="G2312">
        <f>AND(B2312&gt;=50,B2312&lt;=10000)</f>
        <v/>
      </c>
      <c r="H2312">
        <f>OR(C2312="NAS",C2312="NYS",C2312="ASE")</f>
        <v/>
      </c>
      <c r="I2312">
        <f>F2312&gt;=500000</f>
        <v/>
      </c>
      <c r="J2312">
        <f>E2312&gt;=2</f>
        <v/>
      </c>
      <c r="K2312">
        <f>AND(G2312,H2312,I2312,J2312)</f>
        <v/>
      </c>
    </row>
    <row r="2313">
      <c r="B2313" s="5">
        <f>BDP(A2313&amp;" US Equity","CUR_MKT_CAP")</f>
        <v/>
      </c>
      <c r="C2313">
        <f>BDP(A2313&amp;" US Equity","EXCH_CODE")</f>
        <v/>
      </c>
      <c r="D2313" s="5">
        <f>BDP(A2313&amp;" US Equity","VOLUME_AVG_20D")</f>
        <v/>
      </c>
      <c r="E2313" s="6">
        <f>BDP(A2313&amp;" US Equity","PX_LAST")</f>
        <v/>
      </c>
      <c r="F2313" s="5">
        <f>D2313*E2313</f>
        <v/>
      </c>
      <c r="G2313">
        <f>AND(B2313&gt;=50,B2313&lt;=10000)</f>
        <v/>
      </c>
      <c r="H2313">
        <f>OR(C2313="NAS",C2313="NYS",C2313="ASE")</f>
        <v/>
      </c>
      <c r="I2313">
        <f>F2313&gt;=500000</f>
        <v/>
      </c>
      <c r="J2313">
        <f>E2313&gt;=2</f>
        <v/>
      </c>
      <c r="K2313">
        <f>AND(G2313,H2313,I2313,J2313)</f>
        <v/>
      </c>
    </row>
    <row r="2314">
      <c r="B2314" s="5">
        <f>BDP(A2314&amp;" US Equity","CUR_MKT_CAP")</f>
        <v/>
      </c>
      <c r="C2314">
        <f>BDP(A2314&amp;" US Equity","EXCH_CODE")</f>
        <v/>
      </c>
      <c r="D2314" s="5">
        <f>BDP(A2314&amp;" US Equity","VOLUME_AVG_20D")</f>
        <v/>
      </c>
      <c r="E2314" s="6">
        <f>BDP(A2314&amp;" US Equity","PX_LAST")</f>
        <v/>
      </c>
      <c r="F2314" s="5">
        <f>D2314*E2314</f>
        <v/>
      </c>
      <c r="G2314">
        <f>AND(B2314&gt;=50,B2314&lt;=10000)</f>
        <v/>
      </c>
      <c r="H2314">
        <f>OR(C2314="NAS",C2314="NYS",C2314="ASE")</f>
        <v/>
      </c>
      <c r="I2314">
        <f>F2314&gt;=500000</f>
        <v/>
      </c>
      <c r="J2314">
        <f>E2314&gt;=2</f>
        <v/>
      </c>
      <c r="K2314">
        <f>AND(G2314,H2314,I2314,J2314)</f>
        <v/>
      </c>
    </row>
    <row r="2315">
      <c r="B2315" s="5">
        <f>BDP(A2315&amp;" US Equity","CUR_MKT_CAP")</f>
        <v/>
      </c>
      <c r="C2315">
        <f>BDP(A2315&amp;" US Equity","EXCH_CODE")</f>
        <v/>
      </c>
      <c r="D2315" s="5">
        <f>BDP(A2315&amp;" US Equity","VOLUME_AVG_20D")</f>
        <v/>
      </c>
      <c r="E2315" s="6">
        <f>BDP(A2315&amp;" US Equity","PX_LAST")</f>
        <v/>
      </c>
      <c r="F2315" s="5">
        <f>D2315*E2315</f>
        <v/>
      </c>
      <c r="G2315">
        <f>AND(B2315&gt;=50,B2315&lt;=10000)</f>
        <v/>
      </c>
      <c r="H2315">
        <f>OR(C2315="NAS",C2315="NYS",C2315="ASE")</f>
        <v/>
      </c>
      <c r="I2315">
        <f>F2315&gt;=500000</f>
        <v/>
      </c>
      <c r="J2315">
        <f>E2315&gt;=2</f>
        <v/>
      </c>
      <c r="K2315">
        <f>AND(G2315,H2315,I2315,J2315)</f>
        <v/>
      </c>
    </row>
    <row r="2316">
      <c r="B2316" s="5">
        <f>BDP(A2316&amp;" US Equity","CUR_MKT_CAP")</f>
        <v/>
      </c>
      <c r="C2316">
        <f>BDP(A2316&amp;" US Equity","EXCH_CODE")</f>
        <v/>
      </c>
      <c r="D2316" s="5">
        <f>BDP(A2316&amp;" US Equity","VOLUME_AVG_20D")</f>
        <v/>
      </c>
      <c r="E2316" s="6">
        <f>BDP(A2316&amp;" US Equity","PX_LAST")</f>
        <v/>
      </c>
      <c r="F2316" s="5">
        <f>D2316*E2316</f>
        <v/>
      </c>
      <c r="G2316">
        <f>AND(B2316&gt;=50,B2316&lt;=10000)</f>
        <v/>
      </c>
      <c r="H2316">
        <f>OR(C2316="NAS",C2316="NYS",C2316="ASE")</f>
        <v/>
      </c>
      <c r="I2316">
        <f>F2316&gt;=500000</f>
        <v/>
      </c>
      <c r="J2316">
        <f>E2316&gt;=2</f>
        <v/>
      </c>
      <c r="K2316">
        <f>AND(G2316,H2316,I2316,J2316)</f>
        <v/>
      </c>
    </row>
    <row r="2317">
      <c r="B2317" s="5">
        <f>BDP(A2317&amp;" US Equity","CUR_MKT_CAP")</f>
        <v/>
      </c>
      <c r="C2317">
        <f>BDP(A2317&amp;" US Equity","EXCH_CODE")</f>
        <v/>
      </c>
      <c r="D2317" s="5">
        <f>BDP(A2317&amp;" US Equity","VOLUME_AVG_20D")</f>
        <v/>
      </c>
      <c r="E2317" s="6">
        <f>BDP(A2317&amp;" US Equity","PX_LAST")</f>
        <v/>
      </c>
      <c r="F2317" s="5">
        <f>D2317*E2317</f>
        <v/>
      </c>
      <c r="G2317">
        <f>AND(B2317&gt;=50,B2317&lt;=10000)</f>
        <v/>
      </c>
      <c r="H2317">
        <f>OR(C2317="NAS",C2317="NYS",C2317="ASE")</f>
        <v/>
      </c>
      <c r="I2317">
        <f>F2317&gt;=500000</f>
        <v/>
      </c>
      <c r="J2317">
        <f>E2317&gt;=2</f>
        <v/>
      </c>
      <c r="K2317">
        <f>AND(G2317,H2317,I2317,J2317)</f>
        <v/>
      </c>
    </row>
    <row r="2318">
      <c r="B2318" s="5">
        <f>BDP(A2318&amp;" US Equity","CUR_MKT_CAP")</f>
        <v/>
      </c>
      <c r="C2318">
        <f>BDP(A2318&amp;" US Equity","EXCH_CODE")</f>
        <v/>
      </c>
      <c r="D2318" s="5">
        <f>BDP(A2318&amp;" US Equity","VOLUME_AVG_20D")</f>
        <v/>
      </c>
      <c r="E2318" s="6">
        <f>BDP(A2318&amp;" US Equity","PX_LAST")</f>
        <v/>
      </c>
      <c r="F2318" s="5">
        <f>D2318*E2318</f>
        <v/>
      </c>
      <c r="G2318">
        <f>AND(B2318&gt;=50,B2318&lt;=10000)</f>
        <v/>
      </c>
      <c r="H2318">
        <f>OR(C2318="NAS",C2318="NYS",C2318="ASE")</f>
        <v/>
      </c>
      <c r="I2318">
        <f>F2318&gt;=500000</f>
        <v/>
      </c>
      <c r="J2318">
        <f>E2318&gt;=2</f>
        <v/>
      </c>
      <c r="K2318">
        <f>AND(G2318,H2318,I2318,J2318)</f>
        <v/>
      </c>
    </row>
    <row r="2319">
      <c r="B2319" s="5">
        <f>BDP(A2319&amp;" US Equity","CUR_MKT_CAP")</f>
        <v/>
      </c>
      <c r="C2319">
        <f>BDP(A2319&amp;" US Equity","EXCH_CODE")</f>
        <v/>
      </c>
      <c r="D2319" s="5">
        <f>BDP(A2319&amp;" US Equity","VOLUME_AVG_20D")</f>
        <v/>
      </c>
      <c r="E2319" s="6">
        <f>BDP(A2319&amp;" US Equity","PX_LAST")</f>
        <v/>
      </c>
      <c r="F2319" s="5">
        <f>D2319*E2319</f>
        <v/>
      </c>
      <c r="G2319">
        <f>AND(B2319&gt;=50,B2319&lt;=10000)</f>
        <v/>
      </c>
      <c r="H2319">
        <f>OR(C2319="NAS",C2319="NYS",C2319="ASE")</f>
        <v/>
      </c>
      <c r="I2319">
        <f>F2319&gt;=500000</f>
        <v/>
      </c>
      <c r="J2319">
        <f>E2319&gt;=2</f>
        <v/>
      </c>
      <c r="K2319">
        <f>AND(G2319,H2319,I2319,J2319)</f>
        <v/>
      </c>
    </row>
    <row r="2320">
      <c r="B2320" s="5">
        <f>BDP(A2320&amp;" US Equity","CUR_MKT_CAP")</f>
        <v/>
      </c>
      <c r="C2320">
        <f>BDP(A2320&amp;" US Equity","EXCH_CODE")</f>
        <v/>
      </c>
      <c r="D2320" s="5">
        <f>BDP(A2320&amp;" US Equity","VOLUME_AVG_20D")</f>
        <v/>
      </c>
      <c r="E2320" s="6">
        <f>BDP(A2320&amp;" US Equity","PX_LAST")</f>
        <v/>
      </c>
      <c r="F2320" s="5">
        <f>D2320*E2320</f>
        <v/>
      </c>
      <c r="G2320">
        <f>AND(B2320&gt;=50,B2320&lt;=10000)</f>
        <v/>
      </c>
      <c r="H2320">
        <f>OR(C2320="NAS",C2320="NYS",C2320="ASE")</f>
        <v/>
      </c>
      <c r="I2320">
        <f>F2320&gt;=500000</f>
        <v/>
      </c>
      <c r="J2320">
        <f>E2320&gt;=2</f>
        <v/>
      </c>
      <c r="K2320">
        <f>AND(G2320,H2320,I2320,J2320)</f>
        <v/>
      </c>
    </row>
    <row r="2321">
      <c r="B2321" s="5">
        <f>BDP(A2321&amp;" US Equity","CUR_MKT_CAP")</f>
        <v/>
      </c>
      <c r="C2321">
        <f>BDP(A2321&amp;" US Equity","EXCH_CODE")</f>
        <v/>
      </c>
      <c r="D2321" s="5">
        <f>BDP(A2321&amp;" US Equity","VOLUME_AVG_20D")</f>
        <v/>
      </c>
      <c r="E2321" s="6">
        <f>BDP(A2321&amp;" US Equity","PX_LAST")</f>
        <v/>
      </c>
      <c r="F2321" s="5">
        <f>D2321*E2321</f>
        <v/>
      </c>
      <c r="G2321">
        <f>AND(B2321&gt;=50,B2321&lt;=10000)</f>
        <v/>
      </c>
      <c r="H2321">
        <f>OR(C2321="NAS",C2321="NYS",C2321="ASE")</f>
        <v/>
      </c>
      <c r="I2321">
        <f>F2321&gt;=500000</f>
        <v/>
      </c>
      <c r="J2321">
        <f>E2321&gt;=2</f>
        <v/>
      </c>
      <c r="K2321">
        <f>AND(G2321,H2321,I2321,J2321)</f>
        <v/>
      </c>
    </row>
    <row r="2322">
      <c r="B2322" s="5">
        <f>BDP(A2322&amp;" US Equity","CUR_MKT_CAP")</f>
        <v/>
      </c>
      <c r="C2322">
        <f>BDP(A2322&amp;" US Equity","EXCH_CODE")</f>
        <v/>
      </c>
      <c r="D2322" s="5">
        <f>BDP(A2322&amp;" US Equity","VOLUME_AVG_20D")</f>
        <v/>
      </c>
      <c r="E2322" s="6">
        <f>BDP(A2322&amp;" US Equity","PX_LAST")</f>
        <v/>
      </c>
      <c r="F2322" s="5">
        <f>D2322*E2322</f>
        <v/>
      </c>
      <c r="G2322">
        <f>AND(B2322&gt;=50,B2322&lt;=10000)</f>
        <v/>
      </c>
      <c r="H2322">
        <f>OR(C2322="NAS",C2322="NYS",C2322="ASE")</f>
        <v/>
      </c>
      <c r="I2322">
        <f>F2322&gt;=500000</f>
        <v/>
      </c>
      <c r="J2322">
        <f>E2322&gt;=2</f>
        <v/>
      </c>
      <c r="K2322">
        <f>AND(G2322,H2322,I2322,J2322)</f>
        <v/>
      </c>
    </row>
    <row r="2323">
      <c r="B2323" s="5">
        <f>BDP(A2323&amp;" US Equity","CUR_MKT_CAP")</f>
        <v/>
      </c>
      <c r="C2323">
        <f>BDP(A2323&amp;" US Equity","EXCH_CODE")</f>
        <v/>
      </c>
      <c r="D2323" s="5">
        <f>BDP(A2323&amp;" US Equity","VOLUME_AVG_20D")</f>
        <v/>
      </c>
      <c r="E2323" s="6">
        <f>BDP(A2323&amp;" US Equity","PX_LAST")</f>
        <v/>
      </c>
      <c r="F2323" s="5">
        <f>D2323*E2323</f>
        <v/>
      </c>
      <c r="G2323">
        <f>AND(B2323&gt;=50,B2323&lt;=10000)</f>
        <v/>
      </c>
      <c r="H2323">
        <f>OR(C2323="NAS",C2323="NYS",C2323="ASE")</f>
        <v/>
      </c>
      <c r="I2323">
        <f>F2323&gt;=500000</f>
        <v/>
      </c>
      <c r="J2323">
        <f>E2323&gt;=2</f>
        <v/>
      </c>
      <c r="K2323">
        <f>AND(G2323,H2323,I2323,J2323)</f>
        <v/>
      </c>
    </row>
    <row r="2324">
      <c r="B2324" s="5">
        <f>BDP(A2324&amp;" US Equity","CUR_MKT_CAP")</f>
        <v/>
      </c>
      <c r="C2324">
        <f>BDP(A2324&amp;" US Equity","EXCH_CODE")</f>
        <v/>
      </c>
      <c r="D2324" s="5">
        <f>BDP(A2324&amp;" US Equity","VOLUME_AVG_20D")</f>
        <v/>
      </c>
      <c r="E2324" s="6">
        <f>BDP(A2324&amp;" US Equity","PX_LAST")</f>
        <v/>
      </c>
      <c r="F2324" s="5">
        <f>D2324*E2324</f>
        <v/>
      </c>
      <c r="G2324">
        <f>AND(B2324&gt;=50,B2324&lt;=10000)</f>
        <v/>
      </c>
      <c r="H2324">
        <f>OR(C2324="NAS",C2324="NYS",C2324="ASE")</f>
        <v/>
      </c>
      <c r="I2324">
        <f>F2324&gt;=500000</f>
        <v/>
      </c>
      <c r="J2324">
        <f>E2324&gt;=2</f>
        <v/>
      </c>
      <c r="K2324">
        <f>AND(G2324,H2324,I2324,J2324)</f>
        <v/>
      </c>
    </row>
    <row r="2325">
      <c r="B2325" s="5">
        <f>BDP(A2325&amp;" US Equity","CUR_MKT_CAP")</f>
        <v/>
      </c>
      <c r="C2325">
        <f>BDP(A2325&amp;" US Equity","EXCH_CODE")</f>
        <v/>
      </c>
      <c r="D2325" s="5">
        <f>BDP(A2325&amp;" US Equity","VOLUME_AVG_20D")</f>
        <v/>
      </c>
      <c r="E2325" s="6">
        <f>BDP(A2325&amp;" US Equity","PX_LAST")</f>
        <v/>
      </c>
      <c r="F2325" s="5">
        <f>D2325*E2325</f>
        <v/>
      </c>
      <c r="G2325">
        <f>AND(B2325&gt;=50,B2325&lt;=10000)</f>
        <v/>
      </c>
      <c r="H2325">
        <f>OR(C2325="NAS",C2325="NYS",C2325="ASE")</f>
        <v/>
      </c>
      <c r="I2325">
        <f>F2325&gt;=500000</f>
        <v/>
      </c>
      <c r="J2325">
        <f>E2325&gt;=2</f>
        <v/>
      </c>
      <c r="K2325">
        <f>AND(G2325,H2325,I2325,J2325)</f>
        <v/>
      </c>
    </row>
    <row r="2326">
      <c r="B2326" s="5">
        <f>BDP(A2326&amp;" US Equity","CUR_MKT_CAP")</f>
        <v/>
      </c>
      <c r="C2326">
        <f>BDP(A2326&amp;" US Equity","EXCH_CODE")</f>
        <v/>
      </c>
      <c r="D2326" s="5">
        <f>BDP(A2326&amp;" US Equity","VOLUME_AVG_20D")</f>
        <v/>
      </c>
      <c r="E2326" s="6">
        <f>BDP(A2326&amp;" US Equity","PX_LAST")</f>
        <v/>
      </c>
      <c r="F2326" s="5">
        <f>D2326*E2326</f>
        <v/>
      </c>
      <c r="G2326">
        <f>AND(B2326&gt;=50,B2326&lt;=10000)</f>
        <v/>
      </c>
      <c r="H2326">
        <f>OR(C2326="NAS",C2326="NYS",C2326="ASE")</f>
        <v/>
      </c>
      <c r="I2326">
        <f>F2326&gt;=500000</f>
        <v/>
      </c>
      <c r="J2326">
        <f>E2326&gt;=2</f>
        <v/>
      </c>
      <c r="K2326">
        <f>AND(G2326,H2326,I2326,J2326)</f>
        <v/>
      </c>
    </row>
    <row r="2327">
      <c r="B2327" s="5">
        <f>BDP(A2327&amp;" US Equity","CUR_MKT_CAP")</f>
        <v/>
      </c>
      <c r="C2327">
        <f>BDP(A2327&amp;" US Equity","EXCH_CODE")</f>
        <v/>
      </c>
      <c r="D2327" s="5">
        <f>BDP(A2327&amp;" US Equity","VOLUME_AVG_20D")</f>
        <v/>
      </c>
      <c r="E2327" s="6">
        <f>BDP(A2327&amp;" US Equity","PX_LAST")</f>
        <v/>
      </c>
      <c r="F2327" s="5">
        <f>D2327*E2327</f>
        <v/>
      </c>
      <c r="G2327">
        <f>AND(B2327&gt;=50,B2327&lt;=10000)</f>
        <v/>
      </c>
      <c r="H2327">
        <f>OR(C2327="NAS",C2327="NYS",C2327="ASE")</f>
        <v/>
      </c>
      <c r="I2327">
        <f>F2327&gt;=500000</f>
        <v/>
      </c>
      <c r="J2327">
        <f>E2327&gt;=2</f>
        <v/>
      </c>
      <c r="K2327">
        <f>AND(G2327,H2327,I2327,J2327)</f>
        <v/>
      </c>
    </row>
    <row r="2328">
      <c r="B2328" s="5">
        <f>BDP(A2328&amp;" US Equity","CUR_MKT_CAP")</f>
        <v/>
      </c>
      <c r="C2328">
        <f>BDP(A2328&amp;" US Equity","EXCH_CODE")</f>
        <v/>
      </c>
      <c r="D2328" s="5">
        <f>BDP(A2328&amp;" US Equity","VOLUME_AVG_20D")</f>
        <v/>
      </c>
      <c r="E2328" s="6">
        <f>BDP(A2328&amp;" US Equity","PX_LAST")</f>
        <v/>
      </c>
      <c r="F2328" s="5">
        <f>D2328*E2328</f>
        <v/>
      </c>
      <c r="G2328">
        <f>AND(B2328&gt;=50,B2328&lt;=10000)</f>
        <v/>
      </c>
      <c r="H2328">
        <f>OR(C2328="NAS",C2328="NYS",C2328="ASE")</f>
        <v/>
      </c>
      <c r="I2328">
        <f>F2328&gt;=500000</f>
        <v/>
      </c>
      <c r="J2328">
        <f>E2328&gt;=2</f>
        <v/>
      </c>
      <c r="K2328">
        <f>AND(G2328,H2328,I2328,J2328)</f>
        <v/>
      </c>
    </row>
    <row r="2329">
      <c r="B2329" s="5">
        <f>BDP(A2329&amp;" US Equity","CUR_MKT_CAP")</f>
        <v/>
      </c>
      <c r="C2329">
        <f>BDP(A2329&amp;" US Equity","EXCH_CODE")</f>
        <v/>
      </c>
      <c r="D2329" s="5">
        <f>BDP(A2329&amp;" US Equity","VOLUME_AVG_20D")</f>
        <v/>
      </c>
      <c r="E2329" s="6">
        <f>BDP(A2329&amp;" US Equity","PX_LAST")</f>
        <v/>
      </c>
      <c r="F2329" s="5">
        <f>D2329*E2329</f>
        <v/>
      </c>
      <c r="G2329">
        <f>AND(B2329&gt;=50,B2329&lt;=10000)</f>
        <v/>
      </c>
      <c r="H2329">
        <f>OR(C2329="NAS",C2329="NYS",C2329="ASE")</f>
        <v/>
      </c>
      <c r="I2329">
        <f>F2329&gt;=500000</f>
        <v/>
      </c>
      <c r="J2329">
        <f>E2329&gt;=2</f>
        <v/>
      </c>
      <c r="K2329">
        <f>AND(G2329,H2329,I2329,J2329)</f>
        <v/>
      </c>
    </row>
    <row r="2330">
      <c r="B2330" s="5">
        <f>BDP(A2330&amp;" US Equity","CUR_MKT_CAP")</f>
        <v/>
      </c>
      <c r="C2330">
        <f>BDP(A2330&amp;" US Equity","EXCH_CODE")</f>
        <v/>
      </c>
      <c r="D2330" s="5">
        <f>BDP(A2330&amp;" US Equity","VOLUME_AVG_20D")</f>
        <v/>
      </c>
      <c r="E2330" s="6">
        <f>BDP(A2330&amp;" US Equity","PX_LAST")</f>
        <v/>
      </c>
      <c r="F2330" s="5">
        <f>D2330*E2330</f>
        <v/>
      </c>
      <c r="G2330">
        <f>AND(B2330&gt;=50,B2330&lt;=10000)</f>
        <v/>
      </c>
      <c r="H2330">
        <f>OR(C2330="NAS",C2330="NYS",C2330="ASE")</f>
        <v/>
      </c>
      <c r="I2330">
        <f>F2330&gt;=500000</f>
        <v/>
      </c>
      <c r="J2330">
        <f>E2330&gt;=2</f>
        <v/>
      </c>
      <c r="K2330">
        <f>AND(G2330,H2330,I2330,J2330)</f>
        <v/>
      </c>
    </row>
    <row r="2331">
      <c r="B2331" s="5">
        <f>BDP(A2331&amp;" US Equity","CUR_MKT_CAP")</f>
        <v/>
      </c>
      <c r="C2331">
        <f>BDP(A2331&amp;" US Equity","EXCH_CODE")</f>
        <v/>
      </c>
      <c r="D2331" s="5">
        <f>BDP(A2331&amp;" US Equity","VOLUME_AVG_20D")</f>
        <v/>
      </c>
      <c r="E2331" s="6">
        <f>BDP(A2331&amp;" US Equity","PX_LAST")</f>
        <v/>
      </c>
      <c r="F2331" s="5">
        <f>D2331*E2331</f>
        <v/>
      </c>
      <c r="G2331">
        <f>AND(B2331&gt;=50,B2331&lt;=10000)</f>
        <v/>
      </c>
      <c r="H2331">
        <f>OR(C2331="NAS",C2331="NYS",C2331="ASE")</f>
        <v/>
      </c>
      <c r="I2331">
        <f>F2331&gt;=500000</f>
        <v/>
      </c>
      <c r="J2331">
        <f>E2331&gt;=2</f>
        <v/>
      </c>
      <c r="K2331">
        <f>AND(G2331,H2331,I2331,J2331)</f>
        <v/>
      </c>
    </row>
    <row r="2332">
      <c r="B2332" s="5">
        <f>BDP(A2332&amp;" US Equity","CUR_MKT_CAP")</f>
        <v/>
      </c>
      <c r="C2332">
        <f>BDP(A2332&amp;" US Equity","EXCH_CODE")</f>
        <v/>
      </c>
      <c r="D2332" s="5">
        <f>BDP(A2332&amp;" US Equity","VOLUME_AVG_20D")</f>
        <v/>
      </c>
      <c r="E2332" s="6">
        <f>BDP(A2332&amp;" US Equity","PX_LAST")</f>
        <v/>
      </c>
      <c r="F2332" s="5">
        <f>D2332*E2332</f>
        <v/>
      </c>
      <c r="G2332">
        <f>AND(B2332&gt;=50,B2332&lt;=10000)</f>
        <v/>
      </c>
      <c r="H2332">
        <f>OR(C2332="NAS",C2332="NYS",C2332="ASE")</f>
        <v/>
      </c>
      <c r="I2332">
        <f>F2332&gt;=500000</f>
        <v/>
      </c>
      <c r="J2332">
        <f>E2332&gt;=2</f>
        <v/>
      </c>
      <c r="K2332">
        <f>AND(G2332,H2332,I2332,J2332)</f>
        <v/>
      </c>
    </row>
    <row r="2333">
      <c r="B2333" s="5">
        <f>BDP(A2333&amp;" US Equity","CUR_MKT_CAP")</f>
        <v/>
      </c>
      <c r="C2333">
        <f>BDP(A2333&amp;" US Equity","EXCH_CODE")</f>
        <v/>
      </c>
      <c r="D2333" s="5">
        <f>BDP(A2333&amp;" US Equity","VOLUME_AVG_20D")</f>
        <v/>
      </c>
      <c r="E2333" s="6">
        <f>BDP(A2333&amp;" US Equity","PX_LAST")</f>
        <v/>
      </c>
      <c r="F2333" s="5">
        <f>D2333*E2333</f>
        <v/>
      </c>
      <c r="G2333">
        <f>AND(B2333&gt;=50,B2333&lt;=10000)</f>
        <v/>
      </c>
      <c r="H2333">
        <f>OR(C2333="NAS",C2333="NYS",C2333="ASE")</f>
        <v/>
      </c>
      <c r="I2333">
        <f>F2333&gt;=500000</f>
        <v/>
      </c>
      <c r="J2333">
        <f>E2333&gt;=2</f>
        <v/>
      </c>
      <c r="K2333">
        <f>AND(G2333,H2333,I2333,J2333)</f>
        <v/>
      </c>
    </row>
    <row r="2334">
      <c r="B2334" s="5">
        <f>BDP(A2334&amp;" US Equity","CUR_MKT_CAP")</f>
        <v/>
      </c>
      <c r="C2334">
        <f>BDP(A2334&amp;" US Equity","EXCH_CODE")</f>
        <v/>
      </c>
      <c r="D2334" s="5">
        <f>BDP(A2334&amp;" US Equity","VOLUME_AVG_20D")</f>
        <v/>
      </c>
      <c r="E2334" s="6">
        <f>BDP(A2334&amp;" US Equity","PX_LAST")</f>
        <v/>
      </c>
      <c r="F2334" s="5">
        <f>D2334*E2334</f>
        <v/>
      </c>
      <c r="G2334">
        <f>AND(B2334&gt;=50,B2334&lt;=10000)</f>
        <v/>
      </c>
      <c r="H2334">
        <f>OR(C2334="NAS",C2334="NYS",C2334="ASE")</f>
        <v/>
      </c>
      <c r="I2334">
        <f>F2334&gt;=500000</f>
        <v/>
      </c>
      <c r="J2334">
        <f>E2334&gt;=2</f>
        <v/>
      </c>
      <c r="K2334">
        <f>AND(G2334,H2334,I2334,J2334)</f>
        <v/>
      </c>
    </row>
    <row r="2335">
      <c r="B2335" s="5">
        <f>BDP(A2335&amp;" US Equity","CUR_MKT_CAP")</f>
        <v/>
      </c>
      <c r="C2335">
        <f>BDP(A2335&amp;" US Equity","EXCH_CODE")</f>
        <v/>
      </c>
      <c r="D2335" s="5">
        <f>BDP(A2335&amp;" US Equity","VOLUME_AVG_20D")</f>
        <v/>
      </c>
      <c r="E2335" s="6">
        <f>BDP(A2335&amp;" US Equity","PX_LAST")</f>
        <v/>
      </c>
      <c r="F2335" s="5">
        <f>D2335*E2335</f>
        <v/>
      </c>
      <c r="G2335">
        <f>AND(B2335&gt;=50,B2335&lt;=10000)</f>
        <v/>
      </c>
      <c r="H2335">
        <f>OR(C2335="NAS",C2335="NYS",C2335="ASE")</f>
        <v/>
      </c>
      <c r="I2335">
        <f>F2335&gt;=500000</f>
        <v/>
      </c>
      <c r="J2335">
        <f>E2335&gt;=2</f>
        <v/>
      </c>
      <c r="K2335">
        <f>AND(G2335,H2335,I2335,J2335)</f>
        <v/>
      </c>
    </row>
    <row r="2336">
      <c r="B2336" s="5">
        <f>BDP(A2336&amp;" US Equity","CUR_MKT_CAP")</f>
        <v/>
      </c>
      <c r="C2336">
        <f>BDP(A2336&amp;" US Equity","EXCH_CODE")</f>
        <v/>
      </c>
      <c r="D2336" s="5">
        <f>BDP(A2336&amp;" US Equity","VOLUME_AVG_20D")</f>
        <v/>
      </c>
      <c r="E2336" s="6">
        <f>BDP(A2336&amp;" US Equity","PX_LAST")</f>
        <v/>
      </c>
      <c r="F2336" s="5">
        <f>D2336*E2336</f>
        <v/>
      </c>
      <c r="G2336">
        <f>AND(B2336&gt;=50,B2336&lt;=10000)</f>
        <v/>
      </c>
      <c r="H2336">
        <f>OR(C2336="NAS",C2336="NYS",C2336="ASE")</f>
        <v/>
      </c>
      <c r="I2336">
        <f>F2336&gt;=500000</f>
        <v/>
      </c>
      <c r="J2336">
        <f>E2336&gt;=2</f>
        <v/>
      </c>
      <c r="K2336">
        <f>AND(G2336,H2336,I2336,J2336)</f>
        <v/>
      </c>
    </row>
    <row r="2337">
      <c r="B2337" s="5">
        <f>BDP(A2337&amp;" US Equity","CUR_MKT_CAP")</f>
        <v/>
      </c>
      <c r="C2337">
        <f>BDP(A2337&amp;" US Equity","EXCH_CODE")</f>
        <v/>
      </c>
      <c r="D2337" s="5">
        <f>BDP(A2337&amp;" US Equity","VOLUME_AVG_20D")</f>
        <v/>
      </c>
      <c r="E2337" s="6">
        <f>BDP(A2337&amp;" US Equity","PX_LAST")</f>
        <v/>
      </c>
      <c r="F2337" s="5">
        <f>D2337*E2337</f>
        <v/>
      </c>
      <c r="G2337">
        <f>AND(B2337&gt;=50,B2337&lt;=10000)</f>
        <v/>
      </c>
      <c r="H2337">
        <f>OR(C2337="NAS",C2337="NYS",C2337="ASE")</f>
        <v/>
      </c>
      <c r="I2337">
        <f>F2337&gt;=500000</f>
        <v/>
      </c>
      <c r="J2337">
        <f>E2337&gt;=2</f>
        <v/>
      </c>
      <c r="K2337">
        <f>AND(G2337,H2337,I2337,J2337)</f>
        <v/>
      </c>
    </row>
    <row r="2338">
      <c r="B2338" s="5">
        <f>BDP(A2338&amp;" US Equity","CUR_MKT_CAP")</f>
        <v/>
      </c>
      <c r="C2338">
        <f>BDP(A2338&amp;" US Equity","EXCH_CODE")</f>
        <v/>
      </c>
      <c r="D2338" s="5">
        <f>BDP(A2338&amp;" US Equity","VOLUME_AVG_20D")</f>
        <v/>
      </c>
      <c r="E2338" s="6">
        <f>BDP(A2338&amp;" US Equity","PX_LAST")</f>
        <v/>
      </c>
      <c r="F2338" s="5">
        <f>D2338*E2338</f>
        <v/>
      </c>
      <c r="G2338">
        <f>AND(B2338&gt;=50,B2338&lt;=10000)</f>
        <v/>
      </c>
      <c r="H2338">
        <f>OR(C2338="NAS",C2338="NYS",C2338="ASE")</f>
        <v/>
      </c>
      <c r="I2338">
        <f>F2338&gt;=500000</f>
        <v/>
      </c>
      <c r="J2338">
        <f>E2338&gt;=2</f>
        <v/>
      </c>
      <c r="K2338">
        <f>AND(G2338,H2338,I2338,J2338)</f>
        <v/>
      </c>
    </row>
    <row r="2339">
      <c r="B2339" s="5">
        <f>BDP(A2339&amp;" US Equity","CUR_MKT_CAP")</f>
        <v/>
      </c>
      <c r="C2339">
        <f>BDP(A2339&amp;" US Equity","EXCH_CODE")</f>
        <v/>
      </c>
      <c r="D2339" s="5">
        <f>BDP(A2339&amp;" US Equity","VOLUME_AVG_20D")</f>
        <v/>
      </c>
      <c r="E2339" s="6">
        <f>BDP(A2339&amp;" US Equity","PX_LAST")</f>
        <v/>
      </c>
      <c r="F2339" s="5">
        <f>D2339*E2339</f>
        <v/>
      </c>
      <c r="G2339">
        <f>AND(B2339&gt;=50,B2339&lt;=10000)</f>
        <v/>
      </c>
      <c r="H2339">
        <f>OR(C2339="NAS",C2339="NYS",C2339="ASE")</f>
        <v/>
      </c>
      <c r="I2339">
        <f>F2339&gt;=500000</f>
        <v/>
      </c>
      <c r="J2339">
        <f>E2339&gt;=2</f>
        <v/>
      </c>
      <c r="K2339">
        <f>AND(G2339,H2339,I2339,J2339)</f>
        <v/>
      </c>
    </row>
    <row r="2340">
      <c r="B2340" s="5">
        <f>BDP(A2340&amp;" US Equity","CUR_MKT_CAP")</f>
        <v/>
      </c>
      <c r="C2340">
        <f>BDP(A2340&amp;" US Equity","EXCH_CODE")</f>
        <v/>
      </c>
      <c r="D2340" s="5">
        <f>BDP(A2340&amp;" US Equity","VOLUME_AVG_20D")</f>
        <v/>
      </c>
      <c r="E2340" s="6">
        <f>BDP(A2340&amp;" US Equity","PX_LAST")</f>
        <v/>
      </c>
      <c r="F2340" s="5">
        <f>D2340*E2340</f>
        <v/>
      </c>
      <c r="G2340">
        <f>AND(B2340&gt;=50,B2340&lt;=10000)</f>
        <v/>
      </c>
      <c r="H2340">
        <f>OR(C2340="NAS",C2340="NYS",C2340="ASE")</f>
        <v/>
      </c>
      <c r="I2340">
        <f>F2340&gt;=500000</f>
        <v/>
      </c>
      <c r="J2340">
        <f>E2340&gt;=2</f>
        <v/>
      </c>
      <c r="K2340">
        <f>AND(G2340,H2340,I2340,J2340)</f>
        <v/>
      </c>
    </row>
    <row r="2341">
      <c r="B2341" s="5">
        <f>BDP(A2341&amp;" US Equity","CUR_MKT_CAP")</f>
        <v/>
      </c>
      <c r="C2341">
        <f>BDP(A2341&amp;" US Equity","EXCH_CODE")</f>
        <v/>
      </c>
      <c r="D2341" s="5">
        <f>BDP(A2341&amp;" US Equity","VOLUME_AVG_20D")</f>
        <v/>
      </c>
      <c r="E2341" s="6">
        <f>BDP(A2341&amp;" US Equity","PX_LAST")</f>
        <v/>
      </c>
      <c r="F2341" s="5">
        <f>D2341*E2341</f>
        <v/>
      </c>
      <c r="G2341">
        <f>AND(B2341&gt;=50,B2341&lt;=10000)</f>
        <v/>
      </c>
      <c r="H2341">
        <f>OR(C2341="NAS",C2341="NYS",C2341="ASE")</f>
        <v/>
      </c>
      <c r="I2341">
        <f>F2341&gt;=500000</f>
        <v/>
      </c>
      <c r="J2341">
        <f>E2341&gt;=2</f>
        <v/>
      </c>
      <c r="K2341">
        <f>AND(G2341,H2341,I2341,J2341)</f>
        <v/>
      </c>
    </row>
    <row r="2342">
      <c r="B2342" s="5">
        <f>BDP(A2342&amp;" US Equity","CUR_MKT_CAP")</f>
        <v/>
      </c>
      <c r="C2342">
        <f>BDP(A2342&amp;" US Equity","EXCH_CODE")</f>
        <v/>
      </c>
      <c r="D2342" s="5">
        <f>BDP(A2342&amp;" US Equity","VOLUME_AVG_20D")</f>
        <v/>
      </c>
      <c r="E2342" s="6">
        <f>BDP(A2342&amp;" US Equity","PX_LAST")</f>
        <v/>
      </c>
      <c r="F2342" s="5">
        <f>D2342*E2342</f>
        <v/>
      </c>
      <c r="G2342">
        <f>AND(B2342&gt;=50,B2342&lt;=10000)</f>
        <v/>
      </c>
      <c r="H2342">
        <f>OR(C2342="NAS",C2342="NYS",C2342="ASE")</f>
        <v/>
      </c>
      <c r="I2342">
        <f>F2342&gt;=500000</f>
        <v/>
      </c>
      <c r="J2342">
        <f>E2342&gt;=2</f>
        <v/>
      </c>
      <c r="K2342">
        <f>AND(G2342,H2342,I2342,J2342)</f>
        <v/>
      </c>
    </row>
    <row r="2343">
      <c r="B2343" s="5">
        <f>BDP(A2343&amp;" US Equity","CUR_MKT_CAP")</f>
        <v/>
      </c>
      <c r="C2343">
        <f>BDP(A2343&amp;" US Equity","EXCH_CODE")</f>
        <v/>
      </c>
      <c r="D2343" s="5">
        <f>BDP(A2343&amp;" US Equity","VOLUME_AVG_20D")</f>
        <v/>
      </c>
      <c r="E2343" s="6">
        <f>BDP(A2343&amp;" US Equity","PX_LAST")</f>
        <v/>
      </c>
      <c r="F2343" s="5">
        <f>D2343*E2343</f>
        <v/>
      </c>
      <c r="G2343">
        <f>AND(B2343&gt;=50,B2343&lt;=10000)</f>
        <v/>
      </c>
      <c r="H2343">
        <f>OR(C2343="NAS",C2343="NYS",C2343="ASE")</f>
        <v/>
      </c>
      <c r="I2343">
        <f>F2343&gt;=500000</f>
        <v/>
      </c>
      <c r="J2343">
        <f>E2343&gt;=2</f>
        <v/>
      </c>
      <c r="K2343">
        <f>AND(G2343,H2343,I2343,J2343)</f>
        <v/>
      </c>
    </row>
    <row r="2344">
      <c r="B2344" s="5">
        <f>BDP(A2344&amp;" US Equity","CUR_MKT_CAP")</f>
        <v/>
      </c>
      <c r="C2344">
        <f>BDP(A2344&amp;" US Equity","EXCH_CODE")</f>
        <v/>
      </c>
      <c r="D2344" s="5">
        <f>BDP(A2344&amp;" US Equity","VOLUME_AVG_20D")</f>
        <v/>
      </c>
      <c r="E2344" s="6">
        <f>BDP(A2344&amp;" US Equity","PX_LAST")</f>
        <v/>
      </c>
      <c r="F2344" s="5">
        <f>D2344*E2344</f>
        <v/>
      </c>
      <c r="G2344">
        <f>AND(B2344&gt;=50,B2344&lt;=10000)</f>
        <v/>
      </c>
      <c r="H2344">
        <f>OR(C2344="NAS",C2344="NYS",C2344="ASE")</f>
        <v/>
      </c>
      <c r="I2344">
        <f>F2344&gt;=500000</f>
        <v/>
      </c>
      <c r="J2344">
        <f>E2344&gt;=2</f>
        <v/>
      </c>
      <c r="K2344">
        <f>AND(G2344,H2344,I2344,J2344)</f>
        <v/>
      </c>
    </row>
    <row r="2345">
      <c r="B2345" s="5">
        <f>BDP(A2345&amp;" US Equity","CUR_MKT_CAP")</f>
        <v/>
      </c>
      <c r="C2345">
        <f>BDP(A2345&amp;" US Equity","EXCH_CODE")</f>
        <v/>
      </c>
      <c r="D2345" s="5">
        <f>BDP(A2345&amp;" US Equity","VOLUME_AVG_20D")</f>
        <v/>
      </c>
      <c r="E2345" s="6">
        <f>BDP(A2345&amp;" US Equity","PX_LAST")</f>
        <v/>
      </c>
      <c r="F2345" s="5">
        <f>D2345*E2345</f>
        <v/>
      </c>
      <c r="G2345">
        <f>AND(B2345&gt;=50,B2345&lt;=10000)</f>
        <v/>
      </c>
      <c r="H2345">
        <f>OR(C2345="NAS",C2345="NYS",C2345="ASE")</f>
        <v/>
      </c>
      <c r="I2345">
        <f>F2345&gt;=500000</f>
        <v/>
      </c>
      <c r="J2345">
        <f>E2345&gt;=2</f>
        <v/>
      </c>
      <c r="K2345">
        <f>AND(G2345,H2345,I2345,J2345)</f>
        <v/>
      </c>
    </row>
    <row r="2346">
      <c r="B2346" s="5">
        <f>BDP(A2346&amp;" US Equity","CUR_MKT_CAP")</f>
        <v/>
      </c>
      <c r="C2346">
        <f>BDP(A2346&amp;" US Equity","EXCH_CODE")</f>
        <v/>
      </c>
      <c r="D2346" s="5">
        <f>BDP(A2346&amp;" US Equity","VOLUME_AVG_20D")</f>
        <v/>
      </c>
      <c r="E2346" s="6">
        <f>BDP(A2346&amp;" US Equity","PX_LAST")</f>
        <v/>
      </c>
      <c r="F2346" s="5">
        <f>D2346*E2346</f>
        <v/>
      </c>
      <c r="G2346">
        <f>AND(B2346&gt;=50,B2346&lt;=10000)</f>
        <v/>
      </c>
      <c r="H2346">
        <f>OR(C2346="NAS",C2346="NYS",C2346="ASE")</f>
        <v/>
      </c>
      <c r="I2346">
        <f>F2346&gt;=500000</f>
        <v/>
      </c>
      <c r="J2346">
        <f>E2346&gt;=2</f>
        <v/>
      </c>
      <c r="K2346">
        <f>AND(G2346,H2346,I2346,J2346)</f>
        <v/>
      </c>
    </row>
    <row r="2347">
      <c r="B2347" s="5">
        <f>BDP(A2347&amp;" US Equity","CUR_MKT_CAP")</f>
        <v/>
      </c>
      <c r="C2347">
        <f>BDP(A2347&amp;" US Equity","EXCH_CODE")</f>
        <v/>
      </c>
      <c r="D2347" s="5">
        <f>BDP(A2347&amp;" US Equity","VOLUME_AVG_20D")</f>
        <v/>
      </c>
      <c r="E2347" s="6">
        <f>BDP(A2347&amp;" US Equity","PX_LAST")</f>
        <v/>
      </c>
      <c r="F2347" s="5">
        <f>D2347*E2347</f>
        <v/>
      </c>
      <c r="G2347">
        <f>AND(B2347&gt;=50,B2347&lt;=10000)</f>
        <v/>
      </c>
      <c r="H2347">
        <f>OR(C2347="NAS",C2347="NYS",C2347="ASE")</f>
        <v/>
      </c>
      <c r="I2347">
        <f>F2347&gt;=500000</f>
        <v/>
      </c>
      <c r="J2347">
        <f>E2347&gt;=2</f>
        <v/>
      </c>
      <c r="K2347">
        <f>AND(G2347,H2347,I2347,J2347)</f>
        <v/>
      </c>
    </row>
    <row r="2348">
      <c r="B2348" s="5">
        <f>BDP(A2348&amp;" US Equity","CUR_MKT_CAP")</f>
        <v/>
      </c>
      <c r="C2348">
        <f>BDP(A2348&amp;" US Equity","EXCH_CODE")</f>
        <v/>
      </c>
      <c r="D2348" s="5">
        <f>BDP(A2348&amp;" US Equity","VOLUME_AVG_20D")</f>
        <v/>
      </c>
      <c r="E2348" s="6">
        <f>BDP(A2348&amp;" US Equity","PX_LAST")</f>
        <v/>
      </c>
      <c r="F2348" s="5">
        <f>D2348*E2348</f>
        <v/>
      </c>
      <c r="G2348">
        <f>AND(B2348&gt;=50,B2348&lt;=10000)</f>
        <v/>
      </c>
      <c r="H2348">
        <f>OR(C2348="NAS",C2348="NYS",C2348="ASE")</f>
        <v/>
      </c>
      <c r="I2348">
        <f>F2348&gt;=500000</f>
        <v/>
      </c>
      <c r="J2348">
        <f>E2348&gt;=2</f>
        <v/>
      </c>
      <c r="K2348">
        <f>AND(G2348,H2348,I2348,J2348)</f>
        <v/>
      </c>
    </row>
    <row r="2349">
      <c r="B2349" s="5">
        <f>BDP(A2349&amp;" US Equity","CUR_MKT_CAP")</f>
        <v/>
      </c>
      <c r="C2349">
        <f>BDP(A2349&amp;" US Equity","EXCH_CODE")</f>
        <v/>
      </c>
      <c r="D2349" s="5">
        <f>BDP(A2349&amp;" US Equity","VOLUME_AVG_20D")</f>
        <v/>
      </c>
      <c r="E2349" s="6">
        <f>BDP(A2349&amp;" US Equity","PX_LAST")</f>
        <v/>
      </c>
      <c r="F2349" s="5">
        <f>D2349*E2349</f>
        <v/>
      </c>
      <c r="G2349">
        <f>AND(B2349&gt;=50,B2349&lt;=10000)</f>
        <v/>
      </c>
      <c r="H2349">
        <f>OR(C2349="NAS",C2349="NYS",C2349="ASE")</f>
        <v/>
      </c>
      <c r="I2349">
        <f>F2349&gt;=500000</f>
        <v/>
      </c>
      <c r="J2349">
        <f>E2349&gt;=2</f>
        <v/>
      </c>
      <c r="K2349">
        <f>AND(G2349,H2349,I2349,J2349)</f>
        <v/>
      </c>
    </row>
    <row r="2350">
      <c r="B2350" s="5">
        <f>BDP(A2350&amp;" US Equity","CUR_MKT_CAP")</f>
        <v/>
      </c>
      <c r="C2350">
        <f>BDP(A2350&amp;" US Equity","EXCH_CODE")</f>
        <v/>
      </c>
      <c r="D2350" s="5">
        <f>BDP(A2350&amp;" US Equity","VOLUME_AVG_20D")</f>
        <v/>
      </c>
      <c r="E2350" s="6">
        <f>BDP(A2350&amp;" US Equity","PX_LAST")</f>
        <v/>
      </c>
      <c r="F2350" s="5">
        <f>D2350*E2350</f>
        <v/>
      </c>
      <c r="G2350">
        <f>AND(B2350&gt;=50,B2350&lt;=10000)</f>
        <v/>
      </c>
      <c r="H2350">
        <f>OR(C2350="NAS",C2350="NYS",C2350="ASE")</f>
        <v/>
      </c>
      <c r="I2350">
        <f>F2350&gt;=500000</f>
        <v/>
      </c>
      <c r="J2350">
        <f>E2350&gt;=2</f>
        <v/>
      </c>
      <c r="K2350">
        <f>AND(G2350,H2350,I2350,J2350)</f>
        <v/>
      </c>
    </row>
    <row r="2351">
      <c r="B2351" s="5">
        <f>BDP(A2351&amp;" US Equity","CUR_MKT_CAP")</f>
        <v/>
      </c>
      <c r="C2351">
        <f>BDP(A2351&amp;" US Equity","EXCH_CODE")</f>
        <v/>
      </c>
      <c r="D2351" s="5">
        <f>BDP(A2351&amp;" US Equity","VOLUME_AVG_20D")</f>
        <v/>
      </c>
      <c r="E2351" s="6">
        <f>BDP(A2351&amp;" US Equity","PX_LAST")</f>
        <v/>
      </c>
      <c r="F2351" s="5">
        <f>D2351*E2351</f>
        <v/>
      </c>
      <c r="G2351">
        <f>AND(B2351&gt;=50,B2351&lt;=10000)</f>
        <v/>
      </c>
      <c r="H2351">
        <f>OR(C2351="NAS",C2351="NYS",C2351="ASE")</f>
        <v/>
      </c>
      <c r="I2351">
        <f>F2351&gt;=500000</f>
        <v/>
      </c>
      <c r="J2351">
        <f>E2351&gt;=2</f>
        <v/>
      </c>
      <c r="K2351">
        <f>AND(G2351,H2351,I2351,J2351)</f>
        <v/>
      </c>
    </row>
    <row r="2352">
      <c r="B2352" s="5">
        <f>BDP(A2352&amp;" US Equity","CUR_MKT_CAP")</f>
        <v/>
      </c>
      <c r="C2352">
        <f>BDP(A2352&amp;" US Equity","EXCH_CODE")</f>
        <v/>
      </c>
      <c r="D2352" s="5">
        <f>BDP(A2352&amp;" US Equity","VOLUME_AVG_20D")</f>
        <v/>
      </c>
      <c r="E2352" s="6">
        <f>BDP(A2352&amp;" US Equity","PX_LAST")</f>
        <v/>
      </c>
      <c r="F2352" s="5">
        <f>D2352*E2352</f>
        <v/>
      </c>
      <c r="G2352">
        <f>AND(B2352&gt;=50,B2352&lt;=10000)</f>
        <v/>
      </c>
      <c r="H2352">
        <f>OR(C2352="NAS",C2352="NYS",C2352="ASE")</f>
        <v/>
      </c>
      <c r="I2352">
        <f>F2352&gt;=500000</f>
        <v/>
      </c>
      <c r="J2352">
        <f>E2352&gt;=2</f>
        <v/>
      </c>
      <c r="K2352">
        <f>AND(G2352,H2352,I2352,J2352)</f>
        <v/>
      </c>
    </row>
    <row r="2353">
      <c r="B2353" s="5">
        <f>BDP(A2353&amp;" US Equity","CUR_MKT_CAP")</f>
        <v/>
      </c>
      <c r="C2353">
        <f>BDP(A2353&amp;" US Equity","EXCH_CODE")</f>
        <v/>
      </c>
      <c r="D2353" s="5">
        <f>BDP(A2353&amp;" US Equity","VOLUME_AVG_20D")</f>
        <v/>
      </c>
      <c r="E2353" s="6">
        <f>BDP(A2353&amp;" US Equity","PX_LAST")</f>
        <v/>
      </c>
      <c r="F2353" s="5">
        <f>D2353*E2353</f>
        <v/>
      </c>
      <c r="G2353">
        <f>AND(B2353&gt;=50,B2353&lt;=10000)</f>
        <v/>
      </c>
      <c r="H2353">
        <f>OR(C2353="NAS",C2353="NYS",C2353="ASE")</f>
        <v/>
      </c>
      <c r="I2353">
        <f>F2353&gt;=500000</f>
        <v/>
      </c>
      <c r="J2353">
        <f>E2353&gt;=2</f>
        <v/>
      </c>
      <c r="K2353">
        <f>AND(G2353,H2353,I2353,J2353)</f>
        <v/>
      </c>
    </row>
    <row r="2354">
      <c r="B2354" s="5">
        <f>BDP(A2354&amp;" US Equity","CUR_MKT_CAP")</f>
        <v/>
      </c>
      <c r="C2354">
        <f>BDP(A2354&amp;" US Equity","EXCH_CODE")</f>
        <v/>
      </c>
      <c r="D2354" s="5">
        <f>BDP(A2354&amp;" US Equity","VOLUME_AVG_20D")</f>
        <v/>
      </c>
      <c r="E2354" s="6">
        <f>BDP(A2354&amp;" US Equity","PX_LAST")</f>
        <v/>
      </c>
      <c r="F2354" s="5">
        <f>D2354*E2354</f>
        <v/>
      </c>
      <c r="G2354">
        <f>AND(B2354&gt;=50,B2354&lt;=10000)</f>
        <v/>
      </c>
      <c r="H2354">
        <f>OR(C2354="NAS",C2354="NYS",C2354="ASE")</f>
        <v/>
      </c>
      <c r="I2354">
        <f>F2354&gt;=500000</f>
        <v/>
      </c>
      <c r="J2354">
        <f>E2354&gt;=2</f>
        <v/>
      </c>
      <c r="K2354">
        <f>AND(G2354,H2354,I2354,J2354)</f>
        <v/>
      </c>
    </row>
    <row r="2355">
      <c r="B2355" s="5">
        <f>BDP(A2355&amp;" US Equity","CUR_MKT_CAP")</f>
        <v/>
      </c>
      <c r="C2355">
        <f>BDP(A2355&amp;" US Equity","EXCH_CODE")</f>
        <v/>
      </c>
      <c r="D2355" s="5">
        <f>BDP(A2355&amp;" US Equity","VOLUME_AVG_20D")</f>
        <v/>
      </c>
      <c r="E2355" s="6">
        <f>BDP(A2355&amp;" US Equity","PX_LAST")</f>
        <v/>
      </c>
      <c r="F2355" s="5">
        <f>D2355*E2355</f>
        <v/>
      </c>
      <c r="G2355">
        <f>AND(B2355&gt;=50,B2355&lt;=10000)</f>
        <v/>
      </c>
      <c r="H2355">
        <f>OR(C2355="NAS",C2355="NYS",C2355="ASE")</f>
        <v/>
      </c>
      <c r="I2355">
        <f>F2355&gt;=500000</f>
        <v/>
      </c>
      <c r="J2355">
        <f>E2355&gt;=2</f>
        <v/>
      </c>
      <c r="K2355">
        <f>AND(G2355,H2355,I2355,J2355)</f>
        <v/>
      </c>
    </row>
    <row r="2356">
      <c r="B2356" s="5">
        <f>BDP(A2356&amp;" US Equity","CUR_MKT_CAP")</f>
        <v/>
      </c>
      <c r="C2356">
        <f>BDP(A2356&amp;" US Equity","EXCH_CODE")</f>
        <v/>
      </c>
      <c r="D2356" s="5">
        <f>BDP(A2356&amp;" US Equity","VOLUME_AVG_20D")</f>
        <v/>
      </c>
      <c r="E2356" s="6">
        <f>BDP(A2356&amp;" US Equity","PX_LAST")</f>
        <v/>
      </c>
      <c r="F2356" s="5">
        <f>D2356*E2356</f>
        <v/>
      </c>
      <c r="G2356">
        <f>AND(B2356&gt;=50,B2356&lt;=10000)</f>
        <v/>
      </c>
      <c r="H2356">
        <f>OR(C2356="NAS",C2356="NYS",C2356="ASE")</f>
        <v/>
      </c>
      <c r="I2356">
        <f>F2356&gt;=500000</f>
        <v/>
      </c>
      <c r="J2356">
        <f>E2356&gt;=2</f>
        <v/>
      </c>
      <c r="K2356">
        <f>AND(G2356,H2356,I2356,J2356)</f>
        <v/>
      </c>
    </row>
    <row r="2357">
      <c r="B2357" s="5">
        <f>BDP(A2357&amp;" US Equity","CUR_MKT_CAP")</f>
        <v/>
      </c>
      <c r="C2357">
        <f>BDP(A2357&amp;" US Equity","EXCH_CODE")</f>
        <v/>
      </c>
      <c r="D2357" s="5">
        <f>BDP(A2357&amp;" US Equity","VOLUME_AVG_20D")</f>
        <v/>
      </c>
      <c r="E2357" s="6">
        <f>BDP(A2357&amp;" US Equity","PX_LAST")</f>
        <v/>
      </c>
      <c r="F2357" s="5">
        <f>D2357*E2357</f>
        <v/>
      </c>
      <c r="G2357">
        <f>AND(B2357&gt;=50,B2357&lt;=10000)</f>
        <v/>
      </c>
      <c r="H2357">
        <f>OR(C2357="NAS",C2357="NYS",C2357="ASE")</f>
        <v/>
      </c>
      <c r="I2357">
        <f>F2357&gt;=500000</f>
        <v/>
      </c>
      <c r="J2357">
        <f>E2357&gt;=2</f>
        <v/>
      </c>
      <c r="K2357">
        <f>AND(G2357,H2357,I2357,J2357)</f>
        <v/>
      </c>
    </row>
    <row r="2358">
      <c r="B2358" s="5">
        <f>BDP(A2358&amp;" US Equity","CUR_MKT_CAP")</f>
        <v/>
      </c>
      <c r="C2358">
        <f>BDP(A2358&amp;" US Equity","EXCH_CODE")</f>
        <v/>
      </c>
      <c r="D2358" s="5">
        <f>BDP(A2358&amp;" US Equity","VOLUME_AVG_20D")</f>
        <v/>
      </c>
      <c r="E2358" s="6">
        <f>BDP(A2358&amp;" US Equity","PX_LAST")</f>
        <v/>
      </c>
      <c r="F2358" s="5">
        <f>D2358*E2358</f>
        <v/>
      </c>
      <c r="G2358">
        <f>AND(B2358&gt;=50,B2358&lt;=10000)</f>
        <v/>
      </c>
      <c r="H2358">
        <f>OR(C2358="NAS",C2358="NYS",C2358="ASE")</f>
        <v/>
      </c>
      <c r="I2358">
        <f>F2358&gt;=500000</f>
        <v/>
      </c>
      <c r="J2358">
        <f>E2358&gt;=2</f>
        <v/>
      </c>
      <c r="K2358">
        <f>AND(G2358,H2358,I2358,J2358)</f>
        <v/>
      </c>
    </row>
    <row r="2359">
      <c r="B2359" s="5">
        <f>BDP(A2359&amp;" US Equity","CUR_MKT_CAP")</f>
        <v/>
      </c>
      <c r="C2359">
        <f>BDP(A2359&amp;" US Equity","EXCH_CODE")</f>
        <v/>
      </c>
      <c r="D2359" s="5">
        <f>BDP(A2359&amp;" US Equity","VOLUME_AVG_20D")</f>
        <v/>
      </c>
      <c r="E2359" s="6">
        <f>BDP(A2359&amp;" US Equity","PX_LAST")</f>
        <v/>
      </c>
      <c r="F2359" s="5">
        <f>D2359*E2359</f>
        <v/>
      </c>
      <c r="G2359">
        <f>AND(B2359&gt;=50,B2359&lt;=10000)</f>
        <v/>
      </c>
      <c r="H2359">
        <f>OR(C2359="NAS",C2359="NYS",C2359="ASE")</f>
        <v/>
      </c>
      <c r="I2359">
        <f>F2359&gt;=500000</f>
        <v/>
      </c>
      <c r="J2359">
        <f>E2359&gt;=2</f>
        <v/>
      </c>
      <c r="K2359">
        <f>AND(G2359,H2359,I2359,J2359)</f>
        <v/>
      </c>
    </row>
    <row r="2360">
      <c r="B2360" s="5">
        <f>BDP(A2360&amp;" US Equity","CUR_MKT_CAP")</f>
        <v/>
      </c>
      <c r="C2360">
        <f>BDP(A2360&amp;" US Equity","EXCH_CODE")</f>
        <v/>
      </c>
      <c r="D2360" s="5">
        <f>BDP(A2360&amp;" US Equity","VOLUME_AVG_20D")</f>
        <v/>
      </c>
      <c r="E2360" s="6">
        <f>BDP(A2360&amp;" US Equity","PX_LAST")</f>
        <v/>
      </c>
      <c r="F2360" s="5">
        <f>D2360*E2360</f>
        <v/>
      </c>
      <c r="G2360">
        <f>AND(B2360&gt;=50,B2360&lt;=10000)</f>
        <v/>
      </c>
      <c r="H2360">
        <f>OR(C2360="NAS",C2360="NYS",C2360="ASE")</f>
        <v/>
      </c>
      <c r="I2360">
        <f>F2360&gt;=500000</f>
        <v/>
      </c>
      <c r="J2360">
        <f>E2360&gt;=2</f>
        <v/>
      </c>
      <c r="K2360">
        <f>AND(G2360,H2360,I2360,J2360)</f>
        <v/>
      </c>
    </row>
    <row r="2361">
      <c r="B2361" s="5">
        <f>BDP(A2361&amp;" US Equity","CUR_MKT_CAP")</f>
        <v/>
      </c>
      <c r="C2361">
        <f>BDP(A2361&amp;" US Equity","EXCH_CODE")</f>
        <v/>
      </c>
      <c r="D2361" s="5">
        <f>BDP(A2361&amp;" US Equity","VOLUME_AVG_20D")</f>
        <v/>
      </c>
      <c r="E2361" s="6">
        <f>BDP(A2361&amp;" US Equity","PX_LAST")</f>
        <v/>
      </c>
      <c r="F2361" s="5">
        <f>D2361*E2361</f>
        <v/>
      </c>
      <c r="G2361">
        <f>AND(B2361&gt;=50,B2361&lt;=10000)</f>
        <v/>
      </c>
      <c r="H2361">
        <f>OR(C2361="NAS",C2361="NYS",C2361="ASE")</f>
        <v/>
      </c>
      <c r="I2361">
        <f>F2361&gt;=500000</f>
        <v/>
      </c>
      <c r="J2361">
        <f>E2361&gt;=2</f>
        <v/>
      </c>
      <c r="K2361">
        <f>AND(G2361,H2361,I2361,J2361)</f>
        <v/>
      </c>
    </row>
    <row r="2362">
      <c r="B2362" s="5">
        <f>BDP(A2362&amp;" US Equity","CUR_MKT_CAP")</f>
        <v/>
      </c>
      <c r="C2362">
        <f>BDP(A2362&amp;" US Equity","EXCH_CODE")</f>
        <v/>
      </c>
      <c r="D2362" s="5">
        <f>BDP(A2362&amp;" US Equity","VOLUME_AVG_20D")</f>
        <v/>
      </c>
      <c r="E2362" s="6">
        <f>BDP(A2362&amp;" US Equity","PX_LAST")</f>
        <v/>
      </c>
      <c r="F2362" s="5">
        <f>D2362*E2362</f>
        <v/>
      </c>
      <c r="G2362">
        <f>AND(B2362&gt;=50,B2362&lt;=10000)</f>
        <v/>
      </c>
      <c r="H2362">
        <f>OR(C2362="NAS",C2362="NYS",C2362="ASE")</f>
        <v/>
      </c>
      <c r="I2362">
        <f>F2362&gt;=500000</f>
        <v/>
      </c>
      <c r="J2362">
        <f>E2362&gt;=2</f>
        <v/>
      </c>
      <c r="K2362">
        <f>AND(G2362,H2362,I2362,J2362)</f>
        <v/>
      </c>
    </row>
    <row r="2363">
      <c r="B2363" s="5">
        <f>BDP(A2363&amp;" US Equity","CUR_MKT_CAP")</f>
        <v/>
      </c>
      <c r="C2363">
        <f>BDP(A2363&amp;" US Equity","EXCH_CODE")</f>
        <v/>
      </c>
      <c r="D2363" s="5">
        <f>BDP(A2363&amp;" US Equity","VOLUME_AVG_20D")</f>
        <v/>
      </c>
      <c r="E2363" s="6">
        <f>BDP(A2363&amp;" US Equity","PX_LAST")</f>
        <v/>
      </c>
      <c r="F2363" s="5">
        <f>D2363*E2363</f>
        <v/>
      </c>
      <c r="G2363">
        <f>AND(B2363&gt;=50,B2363&lt;=10000)</f>
        <v/>
      </c>
      <c r="H2363">
        <f>OR(C2363="NAS",C2363="NYS",C2363="ASE")</f>
        <v/>
      </c>
      <c r="I2363">
        <f>F2363&gt;=500000</f>
        <v/>
      </c>
      <c r="J2363">
        <f>E2363&gt;=2</f>
        <v/>
      </c>
      <c r="K2363">
        <f>AND(G2363,H2363,I2363,J2363)</f>
        <v/>
      </c>
    </row>
    <row r="2364">
      <c r="B2364" s="5">
        <f>BDP(A2364&amp;" US Equity","CUR_MKT_CAP")</f>
        <v/>
      </c>
      <c r="C2364">
        <f>BDP(A2364&amp;" US Equity","EXCH_CODE")</f>
        <v/>
      </c>
      <c r="D2364" s="5">
        <f>BDP(A2364&amp;" US Equity","VOLUME_AVG_20D")</f>
        <v/>
      </c>
      <c r="E2364" s="6">
        <f>BDP(A2364&amp;" US Equity","PX_LAST")</f>
        <v/>
      </c>
      <c r="F2364" s="5">
        <f>D2364*E2364</f>
        <v/>
      </c>
      <c r="G2364">
        <f>AND(B2364&gt;=50,B2364&lt;=10000)</f>
        <v/>
      </c>
      <c r="H2364">
        <f>OR(C2364="NAS",C2364="NYS",C2364="ASE")</f>
        <v/>
      </c>
      <c r="I2364">
        <f>F2364&gt;=500000</f>
        <v/>
      </c>
      <c r="J2364">
        <f>E2364&gt;=2</f>
        <v/>
      </c>
      <c r="K2364">
        <f>AND(G2364,H2364,I2364,J2364)</f>
        <v/>
      </c>
    </row>
    <row r="2365">
      <c r="B2365" s="5">
        <f>BDP(A2365&amp;" US Equity","CUR_MKT_CAP")</f>
        <v/>
      </c>
      <c r="C2365">
        <f>BDP(A2365&amp;" US Equity","EXCH_CODE")</f>
        <v/>
      </c>
      <c r="D2365" s="5">
        <f>BDP(A2365&amp;" US Equity","VOLUME_AVG_20D")</f>
        <v/>
      </c>
      <c r="E2365" s="6">
        <f>BDP(A2365&amp;" US Equity","PX_LAST")</f>
        <v/>
      </c>
      <c r="F2365" s="5">
        <f>D2365*E2365</f>
        <v/>
      </c>
      <c r="G2365">
        <f>AND(B2365&gt;=50,B2365&lt;=10000)</f>
        <v/>
      </c>
      <c r="H2365">
        <f>OR(C2365="NAS",C2365="NYS",C2365="ASE")</f>
        <v/>
      </c>
      <c r="I2365">
        <f>F2365&gt;=500000</f>
        <v/>
      </c>
      <c r="J2365">
        <f>E2365&gt;=2</f>
        <v/>
      </c>
      <c r="K2365">
        <f>AND(G2365,H2365,I2365,J2365)</f>
        <v/>
      </c>
    </row>
    <row r="2366">
      <c r="B2366" s="5">
        <f>BDP(A2366&amp;" US Equity","CUR_MKT_CAP")</f>
        <v/>
      </c>
      <c r="C2366">
        <f>BDP(A2366&amp;" US Equity","EXCH_CODE")</f>
        <v/>
      </c>
      <c r="D2366" s="5">
        <f>BDP(A2366&amp;" US Equity","VOLUME_AVG_20D")</f>
        <v/>
      </c>
      <c r="E2366" s="6">
        <f>BDP(A2366&amp;" US Equity","PX_LAST")</f>
        <v/>
      </c>
      <c r="F2366" s="5">
        <f>D2366*E2366</f>
        <v/>
      </c>
      <c r="G2366">
        <f>AND(B2366&gt;=50,B2366&lt;=10000)</f>
        <v/>
      </c>
      <c r="H2366">
        <f>OR(C2366="NAS",C2366="NYS",C2366="ASE")</f>
        <v/>
      </c>
      <c r="I2366">
        <f>F2366&gt;=500000</f>
        <v/>
      </c>
      <c r="J2366">
        <f>E2366&gt;=2</f>
        <v/>
      </c>
      <c r="K2366">
        <f>AND(G2366,H2366,I2366,J2366)</f>
        <v/>
      </c>
    </row>
    <row r="2367">
      <c r="B2367" s="5">
        <f>BDP(A2367&amp;" US Equity","CUR_MKT_CAP")</f>
        <v/>
      </c>
      <c r="C2367">
        <f>BDP(A2367&amp;" US Equity","EXCH_CODE")</f>
        <v/>
      </c>
      <c r="D2367" s="5">
        <f>BDP(A2367&amp;" US Equity","VOLUME_AVG_20D")</f>
        <v/>
      </c>
      <c r="E2367" s="6">
        <f>BDP(A2367&amp;" US Equity","PX_LAST")</f>
        <v/>
      </c>
      <c r="F2367" s="5">
        <f>D2367*E2367</f>
        <v/>
      </c>
      <c r="G2367">
        <f>AND(B2367&gt;=50,B2367&lt;=10000)</f>
        <v/>
      </c>
      <c r="H2367">
        <f>OR(C2367="NAS",C2367="NYS",C2367="ASE")</f>
        <v/>
      </c>
      <c r="I2367">
        <f>F2367&gt;=500000</f>
        <v/>
      </c>
      <c r="J2367">
        <f>E2367&gt;=2</f>
        <v/>
      </c>
      <c r="K2367">
        <f>AND(G2367,H2367,I2367,J2367)</f>
        <v/>
      </c>
    </row>
    <row r="2368">
      <c r="B2368" s="5">
        <f>BDP(A2368&amp;" US Equity","CUR_MKT_CAP")</f>
        <v/>
      </c>
      <c r="C2368">
        <f>BDP(A2368&amp;" US Equity","EXCH_CODE")</f>
        <v/>
      </c>
      <c r="D2368" s="5">
        <f>BDP(A2368&amp;" US Equity","VOLUME_AVG_20D")</f>
        <v/>
      </c>
      <c r="E2368" s="6">
        <f>BDP(A2368&amp;" US Equity","PX_LAST")</f>
        <v/>
      </c>
      <c r="F2368" s="5">
        <f>D2368*E2368</f>
        <v/>
      </c>
      <c r="G2368">
        <f>AND(B2368&gt;=50,B2368&lt;=10000)</f>
        <v/>
      </c>
      <c r="H2368">
        <f>OR(C2368="NAS",C2368="NYS",C2368="ASE")</f>
        <v/>
      </c>
      <c r="I2368">
        <f>F2368&gt;=500000</f>
        <v/>
      </c>
      <c r="J2368">
        <f>E2368&gt;=2</f>
        <v/>
      </c>
      <c r="K2368">
        <f>AND(G2368,H2368,I2368,J2368)</f>
        <v/>
      </c>
    </row>
    <row r="2369">
      <c r="B2369" s="5">
        <f>BDP(A2369&amp;" US Equity","CUR_MKT_CAP")</f>
        <v/>
      </c>
      <c r="C2369">
        <f>BDP(A2369&amp;" US Equity","EXCH_CODE")</f>
        <v/>
      </c>
      <c r="D2369" s="5">
        <f>BDP(A2369&amp;" US Equity","VOLUME_AVG_20D")</f>
        <v/>
      </c>
      <c r="E2369" s="6">
        <f>BDP(A2369&amp;" US Equity","PX_LAST")</f>
        <v/>
      </c>
      <c r="F2369" s="5">
        <f>D2369*E2369</f>
        <v/>
      </c>
      <c r="G2369">
        <f>AND(B2369&gt;=50,B2369&lt;=10000)</f>
        <v/>
      </c>
      <c r="H2369">
        <f>OR(C2369="NAS",C2369="NYS",C2369="ASE")</f>
        <v/>
      </c>
      <c r="I2369">
        <f>F2369&gt;=500000</f>
        <v/>
      </c>
      <c r="J2369">
        <f>E2369&gt;=2</f>
        <v/>
      </c>
      <c r="K2369">
        <f>AND(G2369,H2369,I2369,J2369)</f>
        <v/>
      </c>
    </row>
    <row r="2370">
      <c r="B2370" s="5">
        <f>BDP(A2370&amp;" US Equity","CUR_MKT_CAP")</f>
        <v/>
      </c>
      <c r="C2370">
        <f>BDP(A2370&amp;" US Equity","EXCH_CODE")</f>
        <v/>
      </c>
      <c r="D2370" s="5">
        <f>BDP(A2370&amp;" US Equity","VOLUME_AVG_20D")</f>
        <v/>
      </c>
      <c r="E2370" s="6">
        <f>BDP(A2370&amp;" US Equity","PX_LAST")</f>
        <v/>
      </c>
      <c r="F2370" s="5">
        <f>D2370*E2370</f>
        <v/>
      </c>
      <c r="G2370">
        <f>AND(B2370&gt;=50,B2370&lt;=10000)</f>
        <v/>
      </c>
      <c r="H2370">
        <f>OR(C2370="NAS",C2370="NYS",C2370="ASE")</f>
        <v/>
      </c>
      <c r="I2370">
        <f>F2370&gt;=500000</f>
        <v/>
      </c>
      <c r="J2370">
        <f>E2370&gt;=2</f>
        <v/>
      </c>
      <c r="K2370">
        <f>AND(G2370,H2370,I2370,J2370)</f>
        <v/>
      </c>
    </row>
    <row r="2371">
      <c r="B2371" s="5">
        <f>BDP(A2371&amp;" US Equity","CUR_MKT_CAP")</f>
        <v/>
      </c>
      <c r="C2371">
        <f>BDP(A2371&amp;" US Equity","EXCH_CODE")</f>
        <v/>
      </c>
      <c r="D2371" s="5">
        <f>BDP(A2371&amp;" US Equity","VOLUME_AVG_20D")</f>
        <v/>
      </c>
      <c r="E2371" s="6">
        <f>BDP(A2371&amp;" US Equity","PX_LAST")</f>
        <v/>
      </c>
      <c r="F2371" s="5">
        <f>D2371*E2371</f>
        <v/>
      </c>
      <c r="G2371">
        <f>AND(B2371&gt;=50,B2371&lt;=10000)</f>
        <v/>
      </c>
      <c r="H2371">
        <f>OR(C2371="NAS",C2371="NYS",C2371="ASE")</f>
        <v/>
      </c>
      <c r="I2371">
        <f>F2371&gt;=500000</f>
        <v/>
      </c>
      <c r="J2371">
        <f>E2371&gt;=2</f>
        <v/>
      </c>
      <c r="K2371">
        <f>AND(G2371,H2371,I2371,J2371)</f>
        <v/>
      </c>
    </row>
    <row r="2372">
      <c r="B2372" s="5">
        <f>BDP(A2372&amp;" US Equity","CUR_MKT_CAP")</f>
        <v/>
      </c>
      <c r="C2372">
        <f>BDP(A2372&amp;" US Equity","EXCH_CODE")</f>
        <v/>
      </c>
      <c r="D2372" s="5">
        <f>BDP(A2372&amp;" US Equity","VOLUME_AVG_20D")</f>
        <v/>
      </c>
      <c r="E2372" s="6">
        <f>BDP(A2372&amp;" US Equity","PX_LAST")</f>
        <v/>
      </c>
      <c r="F2372" s="5">
        <f>D2372*E2372</f>
        <v/>
      </c>
      <c r="G2372">
        <f>AND(B2372&gt;=50,B2372&lt;=10000)</f>
        <v/>
      </c>
      <c r="H2372">
        <f>OR(C2372="NAS",C2372="NYS",C2372="ASE")</f>
        <v/>
      </c>
      <c r="I2372">
        <f>F2372&gt;=500000</f>
        <v/>
      </c>
      <c r="J2372">
        <f>E2372&gt;=2</f>
        <v/>
      </c>
      <c r="K2372">
        <f>AND(G2372,H2372,I2372,J2372)</f>
        <v/>
      </c>
    </row>
    <row r="2373">
      <c r="B2373" s="5">
        <f>BDP(A2373&amp;" US Equity","CUR_MKT_CAP")</f>
        <v/>
      </c>
      <c r="C2373">
        <f>BDP(A2373&amp;" US Equity","EXCH_CODE")</f>
        <v/>
      </c>
      <c r="D2373" s="5">
        <f>BDP(A2373&amp;" US Equity","VOLUME_AVG_20D")</f>
        <v/>
      </c>
      <c r="E2373" s="6">
        <f>BDP(A2373&amp;" US Equity","PX_LAST")</f>
        <v/>
      </c>
      <c r="F2373" s="5">
        <f>D2373*E2373</f>
        <v/>
      </c>
      <c r="G2373">
        <f>AND(B2373&gt;=50,B2373&lt;=10000)</f>
        <v/>
      </c>
      <c r="H2373">
        <f>OR(C2373="NAS",C2373="NYS",C2373="ASE")</f>
        <v/>
      </c>
      <c r="I2373">
        <f>F2373&gt;=500000</f>
        <v/>
      </c>
      <c r="J2373">
        <f>E2373&gt;=2</f>
        <v/>
      </c>
      <c r="K2373">
        <f>AND(G2373,H2373,I2373,J2373)</f>
        <v/>
      </c>
    </row>
    <row r="2374">
      <c r="B2374" s="5">
        <f>BDP(A2374&amp;" US Equity","CUR_MKT_CAP")</f>
        <v/>
      </c>
      <c r="C2374">
        <f>BDP(A2374&amp;" US Equity","EXCH_CODE")</f>
        <v/>
      </c>
      <c r="D2374" s="5">
        <f>BDP(A2374&amp;" US Equity","VOLUME_AVG_20D")</f>
        <v/>
      </c>
      <c r="E2374" s="6">
        <f>BDP(A2374&amp;" US Equity","PX_LAST")</f>
        <v/>
      </c>
      <c r="F2374" s="5">
        <f>D2374*E2374</f>
        <v/>
      </c>
      <c r="G2374">
        <f>AND(B2374&gt;=50,B2374&lt;=10000)</f>
        <v/>
      </c>
      <c r="H2374">
        <f>OR(C2374="NAS",C2374="NYS",C2374="ASE")</f>
        <v/>
      </c>
      <c r="I2374">
        <f>F2374&gt;=500000</f>
        <v/>
      </c>
      <c r="J2374">
        <f>E2374&gt;=2</f>
        <v/>
      </c>
      <c r="K2374">
        <f>AND(G2374,H2374,I2374,J2374)</f>
        <v/>
      </c>
    </row>
    <row r="2375">
      <c r="B2375" s="5">
        <f>BDP(A2375&amp;" US Equity","CUR_MKT_CAP")</f>
        <v/>
      </c>
      <c r="C2375">
        <f>BDP(A2375&amp;" US Equity","EXCH_CODE")</f>
        <v/>
      </c>
      <c r="D2375" s="5">
        <f>BDP(A2375&amp;" US Equity","VOLUME_AVG_20D")</f>
        <v/>
      </c>
      <c r="E2375" s="6">
        <f>BDP(A2375&amp;" US Equity","PX_LAST")</f>
        <v/>
      </c>
      <c r="F2375" s="5">
        <f>D2375*E2375</f>
        <v/>
      </c>
      <c r="G2375">
        <f>AND(B2375&gt;=50,B2375&lt;=10000)</f>
        <v/>
      </c>
      <c r="H2375">
        <f>OR(C2375="NAS",C2375="NYS",C2375="ASE")</f>
        <v/>
      </c>
      <c r="I2375">
        <f>F2375&gt;=500000</f>
        <v/>
      </c>
      <c r="J2375">
        <f>E2375&gt;=2</f>
        <v/>
      </c>
      <c r="K2375">
        <f>AND(G2375,H2375,I2375,J2375)</f>
        <v/>
      </c>
    </row>
    <row r="2376">
      <c r="B2376" s="5">
        <f>BDP(A2376&amp;" US Equity","CUR_MKT_CAP")</f>
        <v/>
      </c>
      <c r="C2376">
        <f>BDP(A2376&amp;" US Equity","EXCH_CODE")</f>
        <v/>
      </c>
      <c r="D2376" s="5">
        <f>BDP(A2376&amp;" US Equity","VOLUME_AVG_20D")</f>
        <v/>
      </c>
      <c r="E2376" s="6">
        <f>BDP(A2376&amp;" US Equity","PX_LAST")</f>
        <v/>
      </c>
      <c r="F2376" s="5">
        <f>D2376*E2376</f>
        <v/>
      </c>
      <c r="G2376">
        <f>AND(B2376&gt;=50,B2376&lt;=10000)</f>
        <v/>
      </c>
      <c r="H2376">
        <f>OR(C2376="NAS",C2376="NYS",C2376="ASE")</f>
        <v/>
      </c>
      <c r="I2376">
        <f>F2376&gt;=500000</f>
        <v/>
      </c>
      <c r="J2376">
        <f>E2376&gt;=2</f>
        <v/>
      </c>
      <c r="K2376">
        <f>AND(G2376,H2376,I2376,J2376)</f>
        <v/>
      </c>
    </row>
    <row r="2377">
      <c r="B2377" s="5">
        <f>BDP(A2377&amp;" US Equity","CUR_MKT_CAP")</f>
        <v/>
      </c>
      <c r="C2377">
        <f>BDP(A2377&amp;" US Equity","EXCH_CODE")</f>
        <v/>
      </c>
      <c r="D2377" s="5">
        <f>BDP(A2377&amp;" US Equity","VOLUME_AVG_20D")</f>
        <v/>
      </c>
      <c r="E2377" s="6">
        <f>BDP(A2377&amp;" US Equity","PX_LAST")</f>
        <v/>
      </c>
      <c r="F2377" s="5">
        <f>D2377*E2377</f>
        <v/>
      </c>
      <c r="G2377">
        <f>AND(B2377&gt;=50,B2377&lt;=10000)</f>
        <v/>
      </c>
      <c r="H2377">
        <f>OR(C2377="NAS",C2377="NYS",C2377="ASE")</f>
        <v/>
      </c>
      <c r="I2377">
        <f>F2377&gt;=500000</f>
        <v/>
      </c>
      <c r="J2377">
        <f>E2377&gt;=2</f>
        <v/>
      </c>
      <c r="K2377">
        <f>AND(G2377,H2377,I2377,J2377)</f>
        <v/>
      </c>
    </row>
    <row r="2378">
      <c r="B2378" s="5">
        <f>BDP(A2378&amp;" US Equity","CUR_MKT_CAP")</f>
        <v/>
      </c>
      <c r="C2378">
        <f>BDP(A2378&amp;" US Equity","EXCH_CODE")</f>
        <v/>
      </c>
      <c r="D2378" s="5">
        <f>BDP(A2378&amp;" US Equity","VOLUME_AVG_20D")</f>
        <v/>
      </c>
      <c r="E2378" s="6">
        <f>BDP(A2378&amp;" US Equity","PX_LAST")</f>
        <v/>
      </c>
      <c r="F2378" s="5">
        <f>D2378*E2378</f>
        <v/>
      </c>
      <c r="G2378">
        <f>AND(B2378&gt;=50,B2378&lt;=10000)</f>
        <v/>
      </c>
      <c r="H2378">
        <f>OR(C2378="NAS",C2378="NYS",C2378="ASE")</f>
        <v/>
      </c>
      <c r="I2378">
        <f>F2378&gt;=500000</f>
        <v/>
      </c>
      <c r="J2378">
        <f>E2378&gt;=2</f>
        <v/>
      </c>
      <c r="K2378">
        <f>AND(G2378,H2378,I2378,J2378)</f>
        <v/>
      </c>
    </row>
    <row r="2379">
      <c r="B2379" s="5">
        <f>BDP(A2379&amp;" US Equity","CUR_MKT_CAP")</f>
        <v/>
      </c>
      <c r="C2379">
        <f>BDP(A2379&amp;" US Equity","EXCH_CODE")</f>
        <v/>
      </c>
      <c r="D2379" s="5">
        <f>BDP(A2379&amp;" US Equity","VOLUME_AVG_20D")</f>
        <v/>
      </c>
      <c r="E2379" s="6">
        <f>BDP(A2379&amp;" US Equity","PX_LAST")</f>
        <v/>
      </c>
      <c r="F2379" s="5">
        <f>D2379*E2379</f>
        <v/>
      </c>
      <c r="G2379">
        <f>AND(B2379&gt;=50,B2379&lt;=10000)</f>
        <v/>
      </c>
      <c r="H2379">
        <f>OR(C2379="NAS",C2379="NYS",C2379="ASE")</f>
        <v/>
      </c>
      <c r="I2379">
        <f>F2379&gt;=500000</f>
        <v/>
      </c>
      <c r="J2379">
        <f>E2379&gt;=2</f>
        <v/>
      </c>
      <c r="K2379">
        <f>AND(G2379,H2379,I2379,J2379)</f>
        <v/>
      </c>
    </row>
    <row r="2380">
      <c r="B2380" s="5">
        <f>BDP(A2380&amp;" US Equity","CUR_MKT_CAP")</f>
        <v/>
      </c>
      <c r="C2380">
        <f>BDP(A2380&amp;" US Equity","EXCH_CODE")</f>
        <v/>
      </c>
      <c r="D2380" s="5">
        <f>BDP(A2380&amp;" US Equity","VOLUME_AVG_20D")</f>
        <v/>
      </c>
      <c r="E2380" s="6">
        <f>BDP(A2380&amp;" US Equity","PX_LAST")</f>
        <v/>
      </c>
      <c r="F2380" s="5">
        <f>D2380*E2380</f>
        <v/>
      </c>
      <c r="G2380">
        <f>AND(B2380&gt;=50,B2380&lt;=10000)</f>
        <v/>
      </c>
      <c r="H2380">
        <f>OR(C2380="NAS",C2380="NYS",C2380="ASE")</f>
        <v/>
      </c>
      <c r="I2380">
        <f>F2380&gt;=500000</f>
        <v/>
      </c>
      <c r="J2380">
        <f>E2380&gt;=2</f>
        <v/>
      </c>
      <c r="K2380">
        <f>AND(G2380,H2380,I2380,J2380)</f>
        <v/>
      </c>
    </row>
    <row r="2381">
      <c r="B2381" s="5">
        <f>BDP(A2381&amp;" US Equity","CUR_MKT_CAP")</f>
        <v/>
      </c>
      <c r="C2381">
        <f>BDP(A2381&amp;" US Equity","EXCH_CODE")</f>
        <v/>
      </c>
      <c r="D2381" s="5">
        <f>BDP(A2381&amp;" US Equity","VOLUME_AVG_20D")</f>
        <v/>
      </c>
      <c r="E2381" s="6">
        <f>BDP(A2381&amp;" US Equity","PX_LAST")</f>
        <v/>
      </c>
      <c r="F2381" s="5">
        <f>D2381*E2381</f>
        <v/>
      </c>
      <c r="G2381">
        <f>AND(B2381&gt;=50,B2381&lt;=10000)</f>
        <v/>
      </c>
      <c r="H2381">
        <f>OR(C2381="NAS",C2381="NYS",C2381="ASE")</f>
        <v/>
      </c>
      <c r="I2381">
        <f>F2381&gt;=500000</f>
        <v/>
      </c>
      <c r="J2381">
        <f>E2381&gt;=2</f>
        <v/>
      </c>
      <c r="K2381">
        <f>AND(G2381,H2381,I2381,J2381)</f>
        <v/>
      </c>
    </row>
    <row r="2382">
      <c r="B2382" s="5">
        <f>BDP(A2382&amp;" US Equity","CUR_MKT_CAP")</f>
        <v/>
      </c>
      <c r="C2382">
        <f>BDP(A2382&amp;" US Equity","EXCH_CODE")</f>
        <v/>
      </c>
      <c r="D2382" s="5">
        <f>BDP(A2382&amp;" US Equity","VOLUME_AVG_20D")</f>
        <v/>
      </c>
      <c r="E2382" s="6">
        <f>BDP(A2382&amp;" US Equity","PX_LAST")</f>
        <v/>
      </c>
      <c r="F2382" s="5">
        <f>D2382*E2382</f>
        <v/>
      </c>
      <c r="G2382">
        <f>AND(B2382&gt;=50,B2382&lt;=10000)</f>
        <v/>
      </c>
      <c r="H2382">
        <f>OR(C2382="NAS",C2382="NYS",C2382="ASE")</f>
        <v/>
      </c>
      <c r="I2382">
        <f>F2382&gt;=500000</f>
        <v/>
      </c>
      <c r="J2382">
        <f>E2382&gt;=2</f>
        <v/>
      </c>
      <c r="K2382">
        <f>AND(G2382,H2382,I2382,J2382)</f>
        <v/>
      </c>
    </row>
    <row r="2383">
      <c r="B2383" s="5">
        <f>BDP(A2383&amp;" US Equity","CUR_MKT_CAP")</f>
        <v/>
      </c>
      <c r="C2383">
        <f>BDP(A2383&amp;" US Equity","EXCH_CODE")</f>
        <v/>
      </c>
      <c r="D2383" s="5">
        <f>BDP(A2383&amp;" US Equity","VOLUME_AVG_20D")</f>
        <v/>
      </c>
      <c r="E2383" s="6">
        <f>BDP(A2383&amp;" US Equity","PX_LAST")</f>
        <v/>
      </c>
      <c r="F2383" s="5">
        <f>D2383*E2383</f>
        <v/>
      </c>
      <c r="G2383">
        <f>AND(B2383&gt;=50,B2383&lt;=10000)</f>
        <v/>
      </c>
      <c r="H2383">
        <f>OR(C2383="NAS",C2383="NYS",C2383="ASE")</f>
        <v/>
      </c>
      <c r="I2383">
        <f>F2383&gt;=500000</f>
        <v/>
      </c>
      <c r="J2383">
        <f>E2383&gt;=2</f>
        <v/>
      </c>
      <c r="K2383">
        <f>AND(G2383,H2383,I2383,J2383)</f>
        <v/>
      </c>
    </row>
    <row r="2384">
      <c r="B2384" s="5">
        <f>BDP(A2384&amp;" US Equity","CUR_MKT_CAP")</f>
        <v/>
      </c>
      <c r="C2384">
        <f>BDP(A2384&amp;" US Equity","EXCH_CODE")</f>
        <v/>
      </c>
      <c r="D2384" s="5">
        <f>BDP(A2384&amp;" US Equity","VOLUME_AVG_20D")</f>
        <v/>
      </c>
      <c r="E2384" s="6">
        <f>BDP(A2384&amp;" US Equity","PX_LAST")</f>
        <v/>
      </c>
      <c r="F2384" s="5">
        <f>D2384*E2384</f>
        <v/>
      </c>
      <c r="G2384">
        <f>AND(B2384&gt;=50,B2384&lt;=10000)</f>
        <v/>
      </c>
      <c r="H2384">
        <f>OR(C2384="NAS",C2384="NYS",C2384="ASE")</f>
        <v/>
      </c>
      <c r="I2384">
        <f>F2384&gt;=500000</f>
        <v/>
      </c>
      <c r="J2384">
        <f>E2384&gt;=2</f>
        <v/>
      </c>
      <c r="K2384">
        <f>AND(G2384,H2384,I2384,J2384)</f>
        <v/>
      </c>
    </row>
    <row r="2385">
      <c r="B2385" s="5">
        <f>BDP(A2385&amp;" US Equity","CUR_MKT_CAP")</f>
        <v/>
      </c>
      <c r="C2385">
        <f>BDP(A2385&amp;" US Equity","EXCH_CODE")</f>
        <v/>
      </c>
      <c r="D2385" s="5">
        <f>BDP(A2385&amp;" US Equity","VOLUME_AVG_20D")</f>
        <v/>
      </c>
      <c r="E2385" s="6">
        <f>BDP(A2385&amp;" US Equity","PX_LAST")</f>
        <v/>
      </c>
      <c r="F2385" s="5">
        <f>D2385*E2385</f>
        <v/>
      </c>
      <c r="G2385">
        <f>AND(B2385&gt;=50,B2385&lt;=10000)</f>
        <v/>
      </c>
      <c r="H2385">
        <f>OR(C2385="NAS",C2385="NYS",C2385="ASE")</f>
        <v/>
      </c>
      <c r="I2385">
        <f>F2385&gt;=500000</f>
        <v/>
      </c>
      <c r="J2385">
        <f>E2385&gt;=2</f>
        <v/>
      </c>
      <c r="K2385">
        <f>AND(G2385,H2385,I2385,J2385)</f>
        <v/>
      </c>
    </row>
    <row r="2386">
      <c r="B2386" s="5">
        <f>BDP(A2386&amp;" US Equity","CUR_MKT_CAP")</f>
        <v/>
      </c>
      <c r="C2386">
        <f>BDP(A2386&amp;" US Equity","EXCH_CODE")</f>
        <v/>
      </c>
      <c r="D2386" s="5">
        <f>BDP(A2386&amp;" US Equity","VOLUME_AVG_20D")</f>
        <v/>
      </c>
      <c r="E2386" s="6">
        <f>BDP(A2386&amp;" US Equity","PX_LAST")</f>
        <v/>
      </c>
      <c r="F2386" s="5">
        <f>D2386*E2386</f>
        <v/>
      </c>
      <c r="G2386">
        <f>AND(B2386&gt;=50,B2386&lt;=10000)</f>
        <v/>
      </c>
      <c r="H2386">
        <f>OR(C2386="NAS",C2386="NYS",C2386="ASE")</f>
        <v/>
      </c>
      <c r="I2386">
        <f>F2386&gt;=500000</f>
        <v/>
      </c>
      <c r="J2386">
        <f>E2386&gt;=2</f>
        <v/>
      </c>
      <c r="K2386">
        <f>AND(G2386,H2386,I2386,J2386)</f>
        <v/>
      </c>
    </row>
    <row r="2387">
      <c r="B2387" s="5">
        <f>BDP(A2387&amp;" US Equity","CUR_MKT_CAP")</f>
        <v/>
      </c>
      <c r="C2387">
        <f>BDP(A2387&amp;" US Equity","EXCH_CODE")</f>
        <v/>
      </c>
      <c r="D2387" s="5">
        <f>BDP(A2387&amp;" US Equity","VOLUME_AVG_20D")</f>
        <v/>
      </c>
      <c r="E2387" s="6">
        <f>BDP(A2387&amp;" US Equity","PX_LAST")</f>
        <v/>
      </c>
      <c r="F2387" s="5">
        <f>D2387*E2387</f>
        <v/>
      </c>
      <c r="G2387">
        <f>AND(B2387&gt;=50,B2387&lt;=10000)</f>
        <v/>
      </c>
      <c r="H2387">
        <f>OR(C2387="NAS",C2387="NYS",C2387="ASE")</f>
        <v/>
      </c>
      <c r="I2387">
        <f>F2387&gt;=500000</f>
        <v/>
      </c>
      <c r="J2387">
        <f>E2387&gt;=2</f>
        <v/>
      </c>
      <c r="K2387">
        <f>AND(G2387,H2387,I2387,J2387)</f>
        <v/>
      </c>
    </row>
    <row r="2388">
      <c r="B2388" s="5">
        <f>BDP(A2388&amp;" US Equity","CUR_MKT_CAP")</f>
        <v/>
      </c>
      <c r="C2388">
        <f>BDP(A2388&amp;" US Equity","EXCH_CODE")</f>
        <v/>
      </c>
      <c r="D2388" s="5">
        <f>BDP(A2388&amp;" US Equity","VOLUME_AVG_20D")</f>
        <v/>
      </c>
      <c r="E2388" s="6">
        <f>BDP(A2388&amp;" US Equity","PX_LAST")</f>
        <v/>
      </c>
      <c r="F2388" s="5">
        <f>D2388*E2388</f>
        <v/>
      </c>
      <c r="G2388">
        <f>AND(B2388&gt;=50,B2388&lt;=10000)</f>
        <v/>
      </c>
      <c r="H2388">
        <f>OR(C2388="NAS",C2388="NYS",C2388="ASE")</f>
        <v/>
      </c>
      <c r="I2388">
        <f>F2388&gt;=500000</f>
        <v/>
      </c>
      <c r="J2388">
        <f>E2388&gt;=2</f>
        <v/>
      </c>
      <c r="K2388">
        <f>AND(G2388,H2388,I2388,J2388)</f>
        <v/>
      </c>
    </row>
    <row r="2389">
      <c r="B2389" s="5">
        <f>BDP(A2389&amp;" US Equity","CUR_MKT_CAP")</f>
        <v/>
      </c>
      <c r="C2389">
        <f>BDP(A2389&amp;" US Equity","EXCH_CODE")</f>
        <v/>
      </c>
      <c r="D2389" s="5">
        <f>BDP(A2389&amp;" US Equity","VOLUME_AVG_20D")</f>
        <v/>
      </c>
      <c r="E2389" s="6">
        <f>BDP(A2389&amp;" US Equity","PX_LAST")</f>
        <v/>
      </c>
      <c r="F2389" s="5">
        <f>D2389*E2389</f>
        <v/>
      </c>
      <c r="G2389">
        <f>AND(B2389&gt;=50,B2389&lt;=10000)</f>
        <v/>
      </c>
      <c r="H2389">
        <f>OR(C2389="NAS",C2389="NYS",C2389="ASE")</f>
        <v/>
      </c>
      <c r="I2389">
        <f>F2389&gt;=500000</f>
        <v/>
      </c>
      <c r="J2389">
        <f>E2389&gt;=2</f>
        <v/>
      </c>
      <c r="K2389">
        <f>AND(G2389,H2389,I2389,J2389)</f>
        <v/>
      </c>
    </row>
    <row r="2390">
      <c r="B2390" s="5">
        <f>BDP(A2390&amp;" US Equity","CUR_MKT_CAP")</f>
        <v/>
      </c>
      <c r="C2390">
        <f>BDP(A2390&amp;" US Equity","EXCH_CODE")</f>
        <v/>
      </c>
      <c r="D2390" s="5">
        <f>BDP(A2390&amp;" US Equity","VOLUME_AVG_20D")</f>
        <v/>
      </c>
      <c r="E2390" s="6">
        <f>BDP(A2390&amp;" US Equity","PX_LAST")</f>
        <v/>
      </c>
      <c r="F2390" s="5">
        <f>D2390*E2390</f>
        <v/>
      </c>
      <c r="G2390">
        <f>AND(B2390&gt;=50,B2390&lt;=10000)</f>
        <v/>
      </c>
      <c r="H2390">
        <f>OR(C2390="NAS",C2390="NYS",C2390="ASE")</f>
        <v/>
      </c>
      <c r="I2390">
        <f>F2390&gt;=500000</f>
        <v/>
      </c>
      <c r="J2390">
        <f>E2390&gt;=2</f>
        <v/>
      </c>
      <c r="K2390">
        <f>AND(G2390,H2390,I2390,J2390)</f>
        <v/>
      </c>
    </row>
    <row r="2391">
      <c r="B2391" s="5">
        <f>BDP(A2391&amp;" US Equity","CUR_MKT_CAP")</f>
        <v/>
      </c>
      <c r="C2391">
        <f>BDP(A2391&amp;" US Equity","EXCH_CODE")</f>
        <v/>
      </c>
      <c r="D2391" s="5">
        <f>BDP(A2391&amp;" US Equity","VOLUME_AVG_20D")</f>
        <v/>
      </c>
      <c r="E2391" s="6">
        <f>BDP(A2391&amp;" US Equity","PX_LAST")</f>
        <v/>
      </c>
      <c r="F2391" s="5">
        <f>D2391*E2391</f>
        <v/>
      </c>
      <c r="G2391">
        <f>AND(B2391&gt;=50,B2391&lt;=10000)</f>
        <v/>
      </c>
      <c r="H2391">
        <f>OR(C2391="NAS",C2391="NYS",C2391="ASE")</f>
        <v/>
      </c>
      <c r="I2391">
        <f>F2391&gt;=500000</f>
        <v/>
      </c>
      <c r="J2391">
        <f>E2391&gt;=2</f>
        <v/>
      </c>
      <c r="K2391">
        <f>AND(G2391,H2391,I2391,J2391)</f>
        <v/>
      </c>
    </row>
    <row r="2392">
      <c r="B2392" s="5">
        <f>BDP(A2392&amp;" US Equity","CUR_MKT_CAP")</f>
        <v/>
      </c>
      <c r="C2392">
        <f>BDP(A2392&amp;" US Equity","EXCH_CODE")</f>
        <v/>
      </c>
      <c r="D2392" s="5">
        <f>BDP(A2392&amp;" US Equity","VOLUME_AVG_20D")</f>
        <v/>
      </c>
      <c r="E2392" s="6">
        <f>BDP(A2392&amp;" US Equity","PX_LAST")</f>
        <v/>
      </c>
      <c r="F2392" s="5">
        <f>D2392*E2392</f>
        <v/>
      </c>
      <c r="G2392">
        <f>AND(B2392&gt;=50,B2392&lt;=10000)</f>
        <v/>
      </c>
      <c r="H2392">
        <f>OR(C2392="NAS",C2392="NYS",C2392="ASE")</f>
        <v/>
      </c>
      <c r="I2392">
        <f>F2392&gt;=500000</f>
        <v/>
      </c>
      <c r="J2392">
        <f>E2392&gt;=2</f>
        <v/>
      </c>
      <c r="K2392">
        <f>AND(G2392,H2392,I2392,J2392)</f>
        <v/>
      </c>
    </row>
    <row r="2393">
      <c r="B2393" s="5">
        <f>BDP(A2393&amp;" US Equity","CUR_MKT_CAP")</f>
        <v/>
      </c>
      <c r="C2393">
        <f>BDP(A2393&amp;" US Equity","EXCH_CODE")</f>
        <v/>
      </c>
      <c r="D2393" s="5">
        <f>BDP(A2393&amp;" US Equity","VOLUME_AVG_20D")</f>
        <v/>
      </c>
      <c r="E2393" s="6">
        <f>BDP(A2393&amp;" US Equity","PX_LAST")</f>
        <v/>
      </c>
      <c r="F2393" s="5">
        <f>D2393*E2393</f>
        <v/>
      </c>
      <c r="G2393">
        <f>AND(B2393&gt;=50,B2393&lt;=10000)</f>
        <v/>
      </c>
      <c r="H2393">
        <f>OR(C2393="NAS",C2393="NYS",C2393="ASE")</f>
        <v/>
      </c>
      <c r="I2393">
        <f>F2393&gt;=500000</f>
        <v/>
      </c>
      <c r="J2393">
        <f>E2393&gt;=2</f>
        <v/>
      </c>
      <c r="K2393">
        <f>AND(G2393,H2393,I2393,J2393)</f>
        <v/>
      </c>
    </row>
    <row r="2394">
      <c r="B2394" s="5">
        <f>BDP(A2394&amp;" US Equity","CUR_MKT_CAP")</f>
        <v/>
      </c>
      <c r="C2394">
        <f>BDP(A2394&amp;" US Equity","EXCH_CODE")</f>
        <v/>
      </c>
      <c r="D2394" s="5">
        <f>BDP(A2394&amp;" US Equity","VOLUME_AVG_20D")</f>
        <v/>
      </c>
      <c r="E2394" s="6">
        <f>BDP(A2394&amp;" US Equity","PX_LAST")</f>
        <v/>
      </c>
      <c r="F2394" s="5">
        <f>D2394*E2394</f>
        <v/>
      </c>
      <c r="G2394">
        <f>AND(B2394&gt;=50,B2394&lt;=10000)</f>
        <v/>
      </c>
      <c r="H2394">
        <f>OR(C2394="NAS",C2394="NYS",C2394="ASE")</f>
        <v/>
      </c>
      <c r="I2394">
        <f>F2394&gt;=500000</f>
        <v/>
      </c>
      <c r="J2394">
        <f>E2394&gt;=2</f>
        <v/>
      </c>
      <c r="K2394">
        <f>AND(G2394,H2394,I2394,J2394)</f>
        <v/>
      </c>
    </row>
    <row r="2395">
      <c r="B2395" s="5">
        <f>BDP(A2395&amp;" US Equity","CUR_MKT_CAP")</f>
        <v/>
      </c>
      <c r="C2395">
        <f>BDP(A2395&amp;" US Equity","EXCH_CODE")</f>
        <v/>
      </c>
      <c r="D2395" s="5">
        <f>BDP(A2395&amp;" US Equity","VOLUME_AVG_20D")</f>
        <v/>
      </c>
      <c r="E2395" s="6">
        <f>BDP(A2395&amp;" US Equity","PX_LAST")</f>
        <v/>
      </c>
      <c r="F2395" s="5">
        <f>D2395*E2395</f>
        <v/>
      </c>
      <c r="G2395">
        <f>AND(B2395&gt;=50,B2395&lt;=10000)</f>
        <v/>
      </c>
      <c r="H2395">
        <f>OR(C2395="NAS",C2395="NYS",C2395="ASE")</f>
        <v/>
      </c>
      <c r="I2395">
        <f>F2395&gt;=500000</f>
        <v/>
      </c>
      <c r="J2395">
        <f>E2395&gt;=2</f>
        <v/>
      </c>
      <c r="K2395">
        <f>AND(G2395,H2395,I2395,J2395)</f>
        <v/>
      </c>
    </row>
    <row r="2396">
      <c r="B2396" s="5">
        <f>BDP(A2396&amp;" US Equity","CUR_MKT_CAP")</f>
        <v/>
      </c>
      <c r="C2396">
        <f>BDP(A2396&amp;" US Equity","EXCH_CODE")</f>
        <v/>
      </c>
      <c r="D2396" s="5">
        <f>BDP(A2396&amp;" US Equity","VOLUME_AVG_20D")</f>
        <v/>
      </c>
      <c r="E2396" s="6">
        <f>BDP(A2396&amp;" US Equity","PX_LAST")</f>
        <v/>
      </c>
      <c r="F2396" s="5">
        <f>D2396*E2396</f>
        <v/>
      </c>
      <c r="G2396">
        <f>AND(B2396&gt;=50,B2396&lt;=10000)</f>
        <v/>
      </c>
      <c r="H2396">
        <f>OR(C2396="NAS",C2396="NYS",C2396="ASE")</f>
        <v/>
      </c>
      <c r="I2396">
        <f>F2396&gt;=500000</f>
        <v/>
      </c>
      <c r="J2396">
        <f>E2396&gt;=2</f>
        <v/>
      </c>
      <c r="K2396">
        <f>AND(G2396,H2396,I2396,J2396)</f>
        <v/>
      </c>
    </row>
    <row r="2397">
      <c r="B2397" s="5">
        <f>BDP(A2397&amp;" US Equity","CUR_MKT_CAP")</f>
        <v/>
      </c>
      <c r="C2397">
        <f>BDP(A2397&amp;" US Equity","EXCH_CODE")</f>
        <v/>
      </c>
      <c r="D2397" s="5">
        <f>BDP(A2397&amp;" US Equity","VOLUME_AVG_20D")</f>
        <v/>
      </c>
      <c r="E2397" s="6">
        <f>BDP(A2397&amp;" US Equity","PX_LAST")</f>
        <v/>
      </c>
      <c r="F2397" s="5">
        <f>D2397*E2397</f>
        <v/>
      </c>
      <c r="G2397">
        <f>AND(B2397&gt;=50,B2397&lt;=10000)</f>
        <v/>
      </c>
      <c r="H2397">
        <f>OR(C2397="NAS",C2397="NYS",C2397="ASE")</f>
        <v/>
      </c>
      <c r="I2397">
        <f>F2397&gt;=500000</f>
        <v/>
      </c>
      <c r="J2397">
        <f>E2397&gt;=2</f>
        <v/>
      </c>
      <c r="K2397">
        <f>AND(G2397,H2397,I2397,J2397)</f>
        <v/>
      </c>
    </row>
    <row r="2398">
      <c r="B2398" s="5">
        <f>BDP(A2398&amp;" US Equity","CUR_MKT_CAP")</f>
        <v/>
      </c>
      <c r="C2398">
        <f>BDP(A2398&amp;" US Equity","EXCH_CODE")</f>
        <v/>
      </c>
      <c r="D2398" s="5">
        <f>BDP(A2398&amp;" US Equity","VOLUME_AVG_20D")</f>
        <v/>
      </c>
      <c r="E2398" s="6">
        <f>BDP(A2398&amp;" US Equity","PX_LAST")</f>
        <v/>
      </c>
      <c r="F2398" s="5">
        <f>D2398*E2398</f>
        <v/>
      </c>
      <c r="G2398">
        <f>AND(B2398&gt;=50,B2398&lt;=10000)</f>
        <v/>
      </c>
      <c r="H2398">
        <f>OR(C2398="NAS",C2398="NYS",C2398="ASE")</f>
        <v/>
      </c>
      <c r="I2398">
        <f>F2398&gt;=500000</f>
        <v/>
      </c>
      <c r="J2398">
        <f>E2398&gt;=2</f>
        <v/>
      </c>
      <c r="K2398">
        <f>AND(G2398,H2398,I2398,J2398)</f>
        <v/>
      </c>
    </row>
    <row r="2399">
      <c r="B2399" s="5">
        <f>BDP(A2399&amp;" US Equity","CUR_MKT_CAP")</f>
        <v/>
      </c>
      <c r="C2399">
        <f>BDP(A2399&amp;" US Equity","EXCH_CODE")</f>
        <v/>
      </c>
      <c r="D2399" s="5">
        <f>BDP(A2399&amp;" US Equity","VOLUME_AVG_20D")</f>
        <v/>
      </c>
      <c r="E2399" s="6">
        <f>BDP(A2399&amp;" US Equity","PX_LAST")</f>
        <v/>
      </c>
      <c r="F2399" s="5">
        <f>D2399*E2399</f>
        <v/>
      </c>
      <c r="G2399">
        <f>AND(B2399&gt;=50,B2399&lt;=10000)</f>
        <v/>
      </c>
      <c r="H2399">
        <f>OR(C2399="NAS",C2399="NYS",C2399="ASE")</f>
        <v/>
      </c>
      <c r="I2399">
        <f>F2399&gt;=500000</f>
        <v/>
      </c>
      <c r="J2399">
        <f>E2399&gt;=2</f>
        <v/>
      </c>
      <c r="K2399">
        <f>AND(G2399,H2399,I2399,J2399)</f>
        <v/>
      </c>
    </row>
    <row r="2400">
      <c r="B2400" s="5">
        <f>BDP(A2400&amp;" US Equity","CUR_MKT_CAP")</f>
        <v/>
      </c>
      <c r="C2400">
        <f>BDP(A2400&amp;" US Equity","EXCH_CODE")</f>
        <v/>
      </c>
      <c r="D2400" s="5">
        <f>BDP(A2400&amp;" US Equity","VOLUME_AVG_20D")</f>
        <v/>
      </c>
      <c r="E2400" s="6">
        <f>BDP(A2400&amp;" US Equity","PX_LAST")</f>
        <v/>
      </c>
      <c r="F2400" s="5">
        <f>D2400*E2400</f>
        <v/>
      </c>
      <c r="G2400">
        <f>AND(B2400&gt;=50,B2400&lt;=10000)</f>
        <v/>
      </c>
      <c r="H2400">
        <f>OR(C2400="NAS",C2400="NYS",C2400="ASE")</f>
        <v/>
      </c>
      <c r="I2400">
        <f>F2400&gt;=500000</f>
        <v/>
      </c>
      <c r="J2400">
        <f>E2400&gt;=2</f>
        <v/>
      </c>
      <c r="K2400">
        <f>AND(G2400,H2400,I2400,J2400)</f>
        <v/>
      </c>
    </row>
    <row r="2401">
      <c r="B2401" s="5">
        <f>BDP(A2401&amp;" US Equity","CUR_MKT_CAP")</f>
        <v/>
      </c>
      <c r="C2401">
        <f>BDP(A2401&amp;" US Equity","EXCH_CODE")</f>
        <v/>
      </c>
      <c r="D2401" s="5">
        <f>BDP(A2401&amp;" US Equity","VOLUME_AVG_20D")</f>
        <v/>
      </c>
      <c r="E2401" s="6">
        <f>BDP(A2401&amp;" US Equity","PX_LAST")</f>
        <v/>
      </c>
      <c r="F2401" s="5">
        <f>D2401*E2401</f>
        <v/>
      </c>
      <c r="G2401">
        <f>AND(B2401&gt;=50,B2401&lt;=10000)</f>
        <v/>
      </c>
      <c r="H2401">
        <f>OR(C2401="NAS",C2401="NYS",C2401="ASE")</f>
        <v/>
      </c>
      <c r="I2401">
        <f>F2401&gt;=500000</f>
        <v/>
      </c>
      <c r="J2401">
        <f>E2401&gt;=2</f>
        <v/>
      </c>
      <c r="K2401">
        <f>AND(G2401,H2401,I2401,J2401)</f>
        <v/>
      </c>
    </row>
    <row r="2402">
      <c r="B2402" s="5">
        <f>BDP(A2402&amp;" US Equity","CUR_MKT_CAP")</f>
        <v/>
      </c>
      <c r="C2402">
        <f>BDP(A2402&amp;" US Equity","EXCH_CODE")</f>
        <v/>
      </c>
      <c r="D2402" s="5">
        <f>BDP(A2402&amp;" US Equity","VOLUME_AVG_20D")</f>
        <v/>
      </c>
      <c r="E2402" s="6">
        <f>BDP(A2402&amp;" US Equity","PX_LAST")</f>
        <v/>
      </c>
      <c r="F2402" s="5">
        <f>D2402*E2402</f>
        <v/>
      </c>
      <c r="G2402">
        <f>AND(B2402&gt;=50,B2402&lt;=10000)</f>
        <v/>
      </c>
      <c r="H2402">
        <f>OR(C2402="NAS",C2402="NYS",C2402="ASE")</f>
        <v/>
      </c>
      <c r="I2402">
        <f>F2402&gt;=500000</f>
        <v/>
      </c>
      <c r="J2402">
        <f>E2402&gt;=2</f>
        <v/>
      </c>
      <c r="K2402">
        <f>AND(G2402,H2402,I2402,J2402)</f>
        <v/>
      </c>
    </row>
    <row r="2403">
      <c r="B2403" s="5">
        <f>BDP(A2403&amp;" US Equity","CUR_MKT_CAP")</f>
        <v/>
      </c>
      <c r="C2403">
        <f>BDP(A2403&amp;" US Equity","EXCH_CODE")</f>
        <v/>
      </c>
      <c r="D2403" s="5">
        <f>BDP(A2403&amp;" US Equity","VOLUME_AVG_20D")</f>
        <v/>
      </c>
      <c r="E2403" s="6">
        <f>BDP(A2403&amp;" US Equity","PX_LAST")</f>
        <v/>
      </c>
      <c r="F2403" s="5">
        <f>D2403*E2403</f>
        <v/>
      </c>
      <c r="G2403">
        <f>AND(B2403&gt;=50,B2403&lt;=10000)</f>
        <v/>
      </c>
      <c r="H2403">
        <f>OR(C2403="NAS",C2403="NYS",C2403="ASE")</f>
        <v/>
      </c>
      <c r="I2403">
        <f>F2403&gt;=500000</f>
        <v/>
      </c>
      <c r="J2403">
        <f>E2403&gt;=2</f>
        <v/>
      </c>
      <c r="K2403">
        <f>AND(G2403,H2403,I2403,J2403)</f>
        <v/>
      </c>
    </row>
    <row r="2404">
      <c r="B2404" s="5">
        <f>BDP(A2404&amp;" US Equity","CUR_MKT_CAP")</f>
        <v/>
      </c>
      <c r="C2404">
        <f>BDP(A2404&amp;" US Equity","EXCH_CODE")</f>
        <v/>
      </c>
      <c r="D2404" s="5">
        <f>BDP(A2404&amp;" US Equity","VOLUME_AVG_20D")</f>
        <v/>
      </c>
      <c r="E2404" s="6">
        <f>BDP(A2404&amp;" US Equity","PX_LAST")</f>
        <v/>
      </c>
      <c r="F2404" s="5">
        <f>D2404*E2404</f>
        <v/>
      </c>
      <c r="G2404">
        <f>AND(B2404&gt;=50,B2404&lt;=10000)</f>
        <v/>
      </c>
      <c r="H2404">
        <f>OR(C2404="NAS",C2404="NYS",C2404="ASE")</f>
        <v/>
      </c>
      <c r="I2404">
        <f>F2404&gt;=500000</f>
        <v/>
      </c>
      <c r="J2404">
        <f>E2404&gt;=2</f>
        <v/>
      </c>
      <c r="K2404">
        <f>AND(G2404,H2404,I2404,J2404)</f>
        <v/>
      </c>
    </row>
    <row r="2405">
      <c r="B2405" s="5">
        <f>BDP(A2405&amp;" US Equity","CUR_MKT_CAP")</f>
        <v/>
      </c>
      <c r="C2405">
        <f>BDP(A2405&amp;" US Equity","EXCH_CODE")</f>
        <v/>
      </c>
      <c r="D2405" s="5">
        <f>BDP(A2405&amp;" US Equity","VOLUME_AVG_20D")</f>
        <v/>
      </c>
      <c r="E2405" s="6">
        <f>BDP(A2405&amp;" US Equity","PX_LAST")</f>
        <v/>
      </c>
      <c r="F2405" s="5">
        <f>D2405*E2405</f>
        <v/>
      </c>
      <c r="G2405">
        <f>AND(B2405&gt;=50,B2405&lt;=10000)</f>
        <v/>
      </c>
      <c r="H2405">
        <f>OR(C2405="NAS",C2405="NYS",C2405="ASE")</f>
        <v/>
      </c>
      <c r="I2405">
        <f>F2405&gt;=500000</f>
        <v/>
      </c>
      <c r="J2405">
        <f>E2405&gt;=2</f>
        <v/>
      </c>
      <c r="K2405">
        <f>AND(G2405,H2405,I2405,J2405)</f>
        <v/>
      </c>
    </row>
    <row r="2406">
      <c r="B2406" s="5">
        <f>BDP(A2406&amp;" US Equity","CUR_MKT_CAP")</f>
        <v/>
      </c>
      <c r="C2406">
        <f>BDP(A2406&amp;" US Equity","EXCH_CODE")</f>
        <v/>
      </c>
      <c r="D2406" s="5">
        <f>BDP(A2406&amp;" US Equity","VOLUME_AVG_20D")</f>
        <v/>
      </c>
      <c r="E2406" s="6">
        <f>BDP(A2406&amp;" US Equity","PX_LAST")</f>
        <v/>
      </c>
      <c r="F2406" s="5">
        <f>D2406*E2406</f>
        <v/>
      </c>
      <c r="G2406">
        <f>AND(B2406&gt;=50,B2406&lt;=10000)</f>
        <v/>
      </c>
      <c r="H2406">
        <f>OR(C2406="NAS",C2406="NYS",C2406="ASE")</f>
        <v/>
      </c>
      <c r="I2406">
        <f>F2406&gt;=500000</f>
        <v/>
      </c>
      <c r="J2406">
        <f>E2406&gt;=2</f>
        <v/>
      </c>
      <c r="K2406">
        <f>AND(G2406,H2406,I2406,J2406)</f>
        <v/>
      </c>
    </row>
    <row r="2407">
      <c r="B2407" s="5">
        <f>BDP(A2407&amp;" US Equity","CUR_MKT_CAP")</f>
        <v/>
      </c>
      <c r="C2407">
        <f>BDP(A2407&amp;" US Equity","EXCH_CODE")</f>
        <v/>
      </c>
      <c r="D2407" s="5">
        <f>BDP(A2407&amp;" US Equity","VOLUME_AVG_20D")</f>
        <v/>
      </c>
      <c r="E2407" s="6">
        <f>BDP(A2407&amp;" US Equity","PX_LAST")</f>
        <v/>
      </c>
      <c r="F2407" s="5">
        <f>D2407*E2407</f>
        <v/>
      </c>
      <c r="G2407">
        <f>AND(B2407&gt;=50,B2407&lt;=10000)</f>
        <v/>
      </c>
      <c r="H2407">
        <f>OR(C2407="NAS",C2407="NYS",C2407="ASE")</f>
        <v/>
      </c>
      <c r="I2407">
        <f>F2407&gt;=500000</f>
        <v/>
      </c>
      <c r="J2407">
        <f>E2407&gt;=2</f>
        <v/>
      </c>
      <c r="K2407">
        <f>AND(G2407,H2407,I2407,J2407)</f>
        <v/>
      </c>
    </row>
    <row r="2408">
      <c r="B2408" s="5">
        <f>BDP(A2408&amp;" US Equity","CUR_MKT_CAP")</f>
        <v/>
      </c>
      <c r="C2408">
        <f>BDP(A2408&amp;" US Equity","EXCH_CODE")</f>
        <v/>
      </c>
      <c r="D2408" s="5">
        <f>BDP(A2408&amp;" US Equity","VOLUME_AVG_20D")</f>
        <v/>
      </c>
      <c r="E2408" s="6">
        <f>BDP(A2408&amp;" US Equity","PX_LAST")</f>
        <v/>
      </c>
      <c r="F2408" s="5">
        <f>D2408*E2408</f>
        <v/>
      </c>
      <c r="G2408">
        <f>AND(B2408&gt;=50,B2408&lt;=10000)</f>
        <v/>
      </c>
      <c r="H2408">
        <f>OR(C2408="NAS",C2408="NYS",C2408="ASE")</f>
        <v/>
      </c>
      <c r="I2408">
        <f>F2408&gt;=500000</f>
        <v/>
      </c>
      <c r="J2408">
        <f>E2408&gt;=2</f>
        <v/>
      </c>
      <c r="K2408">
        <f>AND(G2408,H2408,I2408,J2408)</f>
        <v/>
      </c>
    </row>
    <row r="2409">
      <c r="B2409" s="5">
        <f>BDP(A2409&amp;" US Equity","CUR_MKT_CAP")</f>
        <v/>
      </c>
      <c r="C2409">
        <f>BDP(A2409&amp;" US Equity","EXCH_CODE")</f>
        <v/>
      </c>
      <c r="D2409" s="5">
        <f>BDP(A2409&amp;" US Equity","VOLUME_AVG_20D")</f>
        <v/>
      </c>
      <c r="E2409" s="6">
        <f>BDP(A2409&amp;" US Equity","PX_LAST")</f>
        <v/>
      </c>
      <c r="F2409" s="5">
        <f>D2409*E2409</f>
        <v/>
      </c>
      <c r="G2409">
        <f>AND(B2409&gt;=50,B2409&lt;=10000)</f>
        <v/>
      </c>
      <c r="H2409">
        <f>OR(C2409="NAS",C2409="NYS",C2409="ASE")</f>
        <v/>
      </c>
      <c r="I2409">
        <f>F2409&gt;=500000</f>
        <v/>
      </c>
      <c r="J2409">
        <f>E2409&gt;=2</f>
        <v/>
      </c>
      <c r="K2409">
        <f>AND(G2409,H2409,I2409,J2409)</f>
        <v/>
      </c>
    </row>
    <row r="2410">
      <c r="B2410" s="5">
        <f>BDP(A2410&amp;" US Equity","CUR_MKT_CAP")</f>
        <v/>
      </c>
      <c r="C2410">
        <f>BDP(A2410&amp;" US Equity","EXCH_CODE")</f>
        <v/>
      </c>
      <c r="D2410" s="5">
        <f>BDP(A2410&amp;" US Equity","VOLUME_AVG_20D")</f>
        <v/>
      </c>
      <c r="E2410" s="6">
        <f>BDP(A2410&amp;" US Equity","PX_LAST")</f>
        <v/>
      </c>
      <c r="F2410" s="5">
        <f>D2410*E2410</f>
        <v/>
      </c>
      <c r="G2410">
        <f>AND(B2410&gt;=50,B2410&lt;=10000)</f>
        <v/>
      </c>
      <c r="H2410">
        <f>OR(C2410="NAS",C2410="NYS",C2410="ASE")</f>
        <v/>
      </c>
      <c r="I2410">
        <f>F2410&gt;=500000</f>
        <v/>
      </c>
      <c r="J2410">
        <f>E2410&gt;=2</f>
        <v/>
      </c>
      <c r="K2410">
        <f>AND(G2410,H2410,I2410,J2410)</f>
        <v/>
      </c>
    </row>
    <row r="2411">
      <c r="B2411" s="5">
        <f>BDP(A2411&amp;" US Equity","CUR_MKT_CAP")</f>
        <v/>
      </c>
      <c r="C2411">
        <f>BDP(A2411&amp;" US Equity","EXCH_CODE")</f>
        <v/>
      </c>
      <c r="D2411" s="5">
        <f>BDP(A2411&amp;" US Equity","VOLUME_AVG_20D")</f>
        <v/>
      </c>
      <c r="E2411" s="6">
        <f>BDP(A2411&amp;" US Equity","PX_LAST")</f>
        <v/>
      </c>
      <c r="F2411" s="5">
        <f>D2411*E2411</f>
        <v/>
      </c>
      <c r="G2411">
        <f>AND(B2411&gt;=50,B2411&lt;=10000)</f>
        <v/>
      </c>
      <c r="H2411">
        <f>OR(C2411="NAS",C2411="NYS",C2411="ASE")</f>
        <v/>
      </c>
      <c r="I2411">
        <f>F2411&gt;=500000</f>
        <v/>
      </c>
      <c r="J2411">
        <f>E2411&gt;=2</f>
        <v/>
      </c>
      <c r="K2411">
        <f>AND(G2411,H2411,I2411,J2411)</f>
        <v/>
      </c>
    </row>
    <row r="2412">
      <c r="B2412" s="5">
        <f>BDP(A2412&amp;" US Equity","CUR_MKT_CAP")</f>
        <v/>
      </c>
      <c r="C2412">
        <f>BDP(A2412&amp;" US Equity","EXCH_CODE")</f>
        <v/>
      </c>
      <c r="D2412" s="5">
        <f>BDP(A2412&amp;" US Equity","VOLUME_AVG_20D")</f>
        <v/>
      </c>
      <c r="E2412" s="6">
        <f>BDP(A2412&amp;" US Equity","PX_LAST")</f>
        <v/>
      </c>
      <c r="F2412" s="5">
        <f>D2412*E2412</f>
        <v/>
      </c>
      <c r="G2412">
        <f>AND(B2412&gt;=50,B2412&lt;=10000)</f>
        <v/>
      </c>
      <c r="H2412">
        <f>OR(C2412="NAS",C2412="NYS",C2412="ASE")</f>
        <v/>
      </c>
      <c r="I2412">
        <f>F2412&gt;=500000</f>
        <v/>
      </c>
      <c r="J2412">
        <f>E2412&gt;=2</f>
        <v/>
      </c>
      <c r="K2412">
        <f>AND(G2412,H2412,I2412,J2412)</f>
        <v/>
      </c>
    </row>
    <row r="2413">
      <c r="B2413" s="5">
        <f>BDP(A2413&amp;" US Equity","CUR_MKT_CAP")</f>
        <v/>
      </c>
      <c r="C2413">
        <f>BDP(A2413&amp;" US Equity","EXCH_CODE")</f>
        <v/>
      </c>
      <c r="D2413" s="5">
        <f>BDP(A2413&amp;" US Equity","VOLUME_AVG_20D")</f>
        <v/>
      </c>
      <c r="E2413" s="6">
        <f>BDP(A2413&amp;" US Equity","PX_LAST")</f>
        <v/>
      </c>
      <c r="F2413" s="5">
        <f>D2413*E2413</f>
        <v/>
      </c>
      <c r="G2413">
        <f>AND(B2413&gt;=50,B2413&lt;=10000)</f>
        <v/>
      </c>
      <c r="H2413">
        <f>OR(C2413="NAS",C2413="NYS",C2413="ASE")</f>
        <v/>
      </c>
      <c r="I2413">
        <f>F2413&gt;=500000</f>
        <v/>
      </c>
      <c r="J2413">
        <f>E2413&gt;=2</f>
        <v/>
      </c>
      <c r="K2413">
        <f>AND(G2413,H2413,I2413,J2413)</f>
        <v/>
      </c>
    </row>
    <row r="2414">
      <c r="B2414" s="5">
        <f>BDP(A2414&amp;" US Equity","CUR_MKT_CAP")</f>
        <v/>
      </c>
      <c r="C2414">
        <f>BDP(A2414&amp;" US Equity","EXCH_CODE")</f>
        <v/>
      </c>
      <c r="D2414" s="5">
        <f>BDP(A2414&amp;" US Equity","VOLUME_AVG_20D")</f>
        <v/>
      </c>
      <c r="E2414" s="6">
        <f>BDP(A2414&amp;" US Equity","PX_LAST")</f>
        <v/>
      </c>
      <c r="F2414" s="5">
        <f>D2414*E2414</f>
        <v/>
      </c>
      <c r="G2414">
        <f>AND(B2414&gt;=50,B2414&lt;=10000)</f>
        <v/>
      </c>
      <c r="H2414">
        <f>OR(C2414="NAS",C2414="NYS",C2414="ASE")</f>
        <v/>
      </c>
      <c r="I2414">
        <f>F2414&gt;=500000</f>
        <v/>
      </c>
      <c r="J2414">
        <f>E2414&gt;=2</f>
        <v/>
      </c>
      <c r="K2414">
        <f>AND(G2414,H2414,I2414,J2414)</f>
        <v/>
      </c>
    </row>
    <row r="2415">
      <c r="B2415" s="5">
        <f>BDP(A2415&amp;" US Equity","CUR_MKT_CAP")</f>
        <v/>
      </c>
      <c r="C2415">
        <f>BDP(A2415&amp;" US Equity","EXCH_CODE")</f>
        <v/>
      </c>
      <c r="D2415" s="5">
        <f>BDP(A2415&amp;" US Equity","VOLUME_AVG_20D")</f>
        <v/>
      </c>
      <c r="E2415" s="6">
        <f>BDP(A2415&amp;" US Equity","PX_LAST")</f>
        <v/>
      </c>
      <c r="F2415" s="5">
        <f>D2415*E2415</f>
        <v/>
      </c>
      <c r="G2415">
        <f>AND(B2415&gt;=50,B2415&lt;=10000)</f>
        <v/>
      </c>
      <c r="H2415">
        <f>OR(C2415="NAS",C2415="NYS",C2415="ASE")</f>
        <v/>
      </c>
      <c r="I2415">
        <f>F2415&gt;=500000</f>
        <v/>
      </c>
      <c r="J2415">
        <f>E2415&gt;=2</f>
        <v/>
      </c>
      <c r="K2415">
        <f>AND(G2415,H2415,I2415,J2415)</f>
        <v/>
      </c>
    </row>
    <row r="2416">
      <c r="B2416" s="5">
        <f>BDP(A2416&amp;" US Equity","CUR_MKT_CAP")</f>
        <v/>
      </c>
      <c r="C2416">
        <f>BDP(A2416&amp;" US Equity","EXCH_CODE")</f>
        <v/>
      </c>
      <c r="D2416" s="5">
        <f>BDP(A2416&amp;" US Equity","VOLUME_AVG_20D")</f>
        <v/>
      </c>
      <c r="E2416" s="6">
        <f>BDP(A2416&amp;" US Equity","PX_LAST")</f>
        <v/>
      </c>
      <c r="F2416" s="5">
        <f>D2416*E2416</f>
        <v/>
      </c>
      <c r="G2416">
        <f>AND(B2416&gt;=50,B2416&lt;=10000)</f>
        <v/>
      </c>
      <c r="H2416">
        <f>OR(C2416="NAS",C2416="NYS",C2416="ASE")</f>
        <v/>
      </c>
      <c r="I2416">
        <f>F2416&gt;=500000</f>
        <v/>
      </c>
      <c r="J2416">
        <f>E2416&gt;=2</f>
        <v/>
      </c>
      <c r="K2416">
        <f>AND(G2416,H2416,I2416,J2416)</f>
        <v/>
      </c>
    </row>
    <row r="2417">
      <c r="B2417" s="5">
        <f>BDP(A2417&amp;" US Equity","CUR_MKT_CAP")</f>
        <v/>
      </c>
      <c r="C2417">
        <f>BDP(A2417&amp;" US Equity","EXCH_CODE")</f>
        <v/>
      </c>
      <c r="D2417" s="5">
        <f>BDP(A2417&amp;" US Equity","VOLUME_AVG_20D")</f>
        <v/>
      </c>
      <c r="E2417" s="6">
        <f>BDP(A2417&amp;" US Equity","PX_LAST")</f>
        <v/>
      </c>
      <c r="F2417" s="5">
        <f>D2417*E2417</f>
        <v/>
      </c>
      <c r="G2417">
        <f>AND(B2417&gt;=50,B2417&lt;=10000)</f>
        <v/>
      </c>
      <c r="H2417">
        <f>OR(C2417="NAS",C2417="NYS",C2417="ASE")</f>
        <v/>
      </c>
      <c r="I2417">
        <f>F2417&gt;=500000</f>
        <v/>
      </c>
      <c r="J2417">
        <f>E2417&gt;=2</f>
        <v/>
      </c>
      <c r="K2417">
        <f>AND(G2417,H2417,I2417,J2417)</f>
        <v/>
      </c>
    </row>
    <row r="2418">
      <c r="B2418" s="5">
        <f>BDP(A2418&amp;" US Equity","CUR_MKT_CAP")</f>
        <v/>
      </c>
      <c r="C2418">
        <f>BDP(A2418&amp;" US Equity","EXCH_CODE")</f>
        <v/>
      </c>
      <c r="D2418" s="5">
        <f>BDP(A2418&amp;" US Equity","VOLUME_AVG_20D")</f>
        <v/>
      </c>
      <c r="E2418" s="6">
        <f>BDP(A2418&amp;" US Equity","PX_LAST")</f>
        <v/>
      </c>
      <c r="F2418" s="5">
        <f>D2418*E2418</f>
        <v/>
      </c>
      <c r="G2418">
        <f>AND(B2418&gt;=50,B2418&lt;=10000)</f>
        <v/>
      </c>
      <c r="H2418">
        <f>OR(C2418="NAS",C2418="NYS",C2418="ASE")</f>
        <v/>
      </c>
      <c r="I2418">
        <f>F2418&gt;=500000</f>
        <v/>
      </c>
      <c r="J2418">
        <f>E2418&gt;=2</f>
        <v/>
      </c>
      <c r="K2418">
        <f>AND(G2418,H2418,I2418,J2418)</f>
        <v/>
      </c>
    </row>
    <row r="2419">
      <c r="B2419" s="5">
        <f>BDP(A2419&amp;" US Equity","CUR_MKT_CAP")</f>
        <v/>
      </c>
      <c r="C2419">
        <f>BDP(A2419&amp;" US Equity","EXCH_CODE")</f>
        <v/>
      </c>
      <c r="D2419" s="5">
        <f>BDP(A2419&amp;" US Equity","VOLUME_AVG_20D")</f>
        <v/>
      </c>
      <c r="E2419" s="6">
        <f>BDP(A2419&amp;" US Equity","PX_LAST")</f>
        <v/>
      </c>
      <c r="F2419" s="5">
        <f>D2419*E2419</f>
        <v/>
      </c>
      <c r="G2419">
        <f>AND(B2419&gt;=50,B2419&lt;=10000)</f>
        <v/>
      </c>
      <c r="H2419">
        <f>OR(C2419="NAS",C2419="NYS",C2419="ASE")</f>
        <v/>
      </c>
      <c r="I2419">
        <f>F2419&gt;=500000</f>
        <v/>
      </c>
      <c r="J2419">
        <f>E2419&gt;=2</f>
        <v/>
      </c>
      <c r="K2419">
        <f>AND(G2419,H2419,I2419,J2419)</f>
        <v/>
      </c>
    </row>
    <row r="2420">
      <c r="B2420" s="5">
        <f>BDP(A2420&amp;" US Equity","CUR_MKT_CAP")</f>
        <v/>
      </c>
      <c r="C2420">
        <f>BDP(A2420&amp;" US Equity","EXCH_CODE")</f>
        <v/>
      </c>
      <c r="D2420" s="5">
        <f>BDP(A2420&amp;" US Equity","VOLUME_AVG_20D")</f>
        <v/>
      </c>
      <c r="E2420" s="6">
        <f>BDP(A2420&amp;" US Equity","PX_LAST")</f>
        <v/>
      </c>
      <c r="F2420" s="5">
        <f>D2420*E2420</f>
        <v/>
      </c>
      <c r="G2420">
        <f>AND(B2420&gt;=50,B2420&lt;=10000)</f>
        <v/>
      </c>
      <c r="H2420">
        <f>OR(C2420="NAS",C2420="NYS",C2420="ASE")</f>
        <v/>
      </c>
      <c r="I2420">
        <f>F2420&gt;=500000</f>
        <v/>
      </c>
      <c r="J2420">
        <f>E2420&gt;=2</f>
        <v/>
      </c>
      <c r="K2420">
        <f>AND(G2420,H2420,I2420,J2420)</f>
        <v/>
      </c>
    </row>
    <row r="2421">
      <c r="B2421" s="5">
        <f>BDP(A2421&amp;" US Equity","CUR_MKT_CAP")</f>
        <v/>
      </c>
      <c r="C2421">
        <f>BDP(A2421&amp;" US Equity","EXCH_CODE")</f>
        <v/>
      </c>
      <c r="D2421" s="5">
        <f>BDP(A2421&amp;" US Equity","VOLUME_AVG_20D")</f>
        <v/>
      </c>
      <c r="E2421" s="6">
        <f>BDP(A2421&amp;" US Equity","PX_LAST")</f>
        <v/>
      </c>
      <c r="F2421" s="5">
        <f>D2421*E2421</f>
        <v/>
      </c>
      <c r="G2421">
        <f>AND(B2421&gt;=50,B2421&lt;=10000)</f>
        <v/>
      </c>
      <c r="H2421">
        <f>OR(C2421="NAS",C2421="NYS",C2421="ASE")</f>
        <v/>
      </c>
      <c r="I2421">
        <f>F2421&gt;=500000</f>
        <v/>
      </c>
      <c r="J2421">
        <f>E2421&gt;=2</f>
        <v/>
      </c>
      <c r="K2421">
        <f>AND(G2421,H2421,I2421,J2421)</f>
        <v/>
      </c>
    </row>
    <row r="2422">
      <c r="B2422" s="5">
        <f>BDP(A2422&amp;" US Equity","CUR_MKT_CAP")</f>
        <v/>
      </c>
      <c r="C2422">
        <f>BDP(A2422&amp;" US Equity","EXCH_CODE")</f>
        <v/>
      </c>
      <c r="D2422" s="5">
        <f>BDP(A2422&amp;" US Equity","VOLUME_AVG_20D")</f>
        <v/>
      </c>
      <c r="E2422" s="6">
        <f>BDP(A2422&amp;" US Equity","PX_LAST")</f>
        <v/>
      </c>
      <c r="F2422" s="5">
        <f>D2422*E2422</f>
        <v/>
      </c>
      <c r="G2422">
        <f>AND(B2422&gt;=50,B2422&lt;=10000)</f>
        <v/>
      </c>
      <c r="H2422">
        <f>OR(C2422="NAS",C2422="NYS",C2422="ASE")</f>
        <v/>
      </c>
      <c r="I2422">
        <f>F2422&gt;=500000</f>
        <v/>
      </c>
      <c r="J2422">
        <f>E2422&gt;=2</f>
        <v/>
      </c>
      <c r="K2422">
        <f>AND(G2422,H2422,I2422,J2422)</f>
        <v/>
      </c>
    </row>
    <row r="2423">
      <c r="B2423" s="5">
        <f>BDP(A2423&amp;" US Equity","CUR_MKT_CAP")</f>
        <v/>
      </c>
      <c r="C2423">
        <f>BDP(A2423&amp;" US Equity","EXCH_CODE")</f>
        <v/>
      </c>
      <c r="D2423" s="5">
        <f>BDP(A2423&amp;" US Equity","VOLUME_AVG_20D")</f>
        <v/>
      </c>
      <c r="E2423" s="6">
        <f>BDP(A2423&amp;" US Equity","PX_LAST")</f>
        <v/>
      </c>
      <c r="F2423" s="5">
        <f>D2423*E2423</f>
        <v/>
      </c>
      <c r="G2423">
        <f>AND(B2423&gt;=50,B2423&lt;=10000)</f>
        <v/>
      </c>
      <c r="H2423">
        <f>OR(C2423="NAS",C2423="NYS",C2423="ASE")</f>
        <v/>
      </c>
      <c r="I2423">
        <f>F2423&gt;=500000</f>
        <v/>
      </c>
      <c r="J2423">
        <f>E2423&gt;=2</f>
        <v/>
      </c>
      <c r="K2423">
        <f>AND(G2423,H2423,I2423,J2423)</f>
        <v/>
      </c>
    </row>
    <row r="2424">
      <c r="B2424" s="5">
        <f>BDP(A2424&amp;" US Equity","CUR_MKT_CAP")</f>
        <v/>
      </c>
      <c r="C2424">
        <f>BDP(A2424&amp;" US Equity","EXCH_CODE")</f>
        <v/>
      </c>
      <c r="D2424" s="5">
        <f>BDP(A2424&amp;" US Equity","VOLUME_AVG_20D")</f>
        <v/>
      </c>
      <c r="E2424" s="6">
        <f>BDP(A2424&amp;" US Equity","PX_LAST")</f>
        <v/>
      </c>
      <c r="F2424" s="5">
        <f>D2424*E2424</f>
        <v/>
      </c>
      <c r="G2424">
        <f>AND(B2424&gt;=50,B2424&lt;=10000)</f>
        <v/>
      </c>
      <c r="H2424">
        <f>OR(C2424="NAS",C2424="NYS",C2424="ASE")</f>
        <v/>
      </c>
      <c r="I2424">
        <f>F2424&gt;=500000</f>
        <v/>
      </c>
      <c r="J2424">
        <f>E2424&gt;=2</f>
        <v/>
      </c>
      <c r="K2424">
        <f>AND(G2424,H2424,I2424,J2424)</f>
        <v/>
      </c>
    </row>
    <row r="2425">
      <c r="B2425" s="5">
        <f>BDP(A2425&amp;" US Equity","CUR_MKT_CAP")</f>
        <v/>
      </c>
      <c r="C2425">
        <f>BDP(A2425&amp;" US Equity","EXCH_CODE")</f>
        <v/>
      </c>
      <c r="D2425" s="5">
        <f>BDP(A2425&amp;" US Equity","VOLUME_AVG_20D")</f>
        <v/>
      </c>
      <c r="E2425" s="6">
        <f>BDP(A2425&amp;" US Equity","PX_LAST")</f>
        <v/>
      </c>
      <c r="F2425" s="5">
        <f>D2425*E2425</f>
        <v/>
      </c>
      <c r="G2425">
        <f>AND(B2425&gt;=50,B2425&lt;=10000)</f>
        <v/>
      </c>
      <c r="H2425">
        <f>OR(C2425="NAS",C2425="NYS",C2425="ASE")</f>
        <v/>
      </c>
      <c r="I2425">
        <f>F2425&gt;=500000</f>
        <v/>
      </c>
      <c r="J2425">
        <f>E2425&gt;=2</f>
        <v/>
      </c>
      <c r="K2425">
        <f>AND(G2425,H2425,I2425,J2425)</f>
        <v/>
      </c>
    </row>
    <row r="2426">
      <c r="B2426" s="5">
        <f>BDP(A2426&amp;" US Equity","CUR_MKT_CAP")</f>
        <v/>
      </c>
      <c r="C2426">
        <f>BDP(A2426&amp;" US Equity","EXCH_CODE")</f>
        <v/>
      </c>
      <c r="D2426" s="5">
        <f>BDP(A2426&amp;" US Equity","VOLUME_AVG_20D")</f>
        <v/>
      </c>
      <c r="E2426" s="6">
        <f>BDP(A2426&amp;" US Equity","PX_LAST")</f>
        <v/>
      </c>
      <c r="F2426" s="5">
        <f>D2426*E2426</f>
        <v/>
      </c>
      <c r="G2426">
        <f>AND(B2426&gt;=50,B2426&lt;=10000)</f>
        <v/>
      </c>
      <c r="H2426">
        <f>OR(C2426="NAS",C2426="NYS",C2426="ASE")</f>
        <v/>
      </c>
      <c r="I2426">
        <f>F2426&gt;=500000</f>
        <v/>
      </c>
      <c r="J2426">
        <f>E2426&gt;=2</f>
        <v/>
      </c>
      <c r="K2426">
        <f>AND(G2426,H2426,I2426,J2426)</f>
        <v/>
      </c>
    </row>
    <row r="2427">
      <c r="B2427" s="5">
        <f>BDP(A2427&amp;" US Equity","CUR_MKT_CAP")</f>
        <v/>
      </c>
      <c r="C2427">
        <f>BDP(A2427&amp;" US Equity","EXCH_CODE")</f>
        <v/>
      </c>
      <c r="D2427" s="5">
        <f>BDP(A2427&amp;" US Equity","VOLUME_AVG_20D")</f>
        <v/>
      </c>
      <c r="E2427" s="6">
        <f>BDP(A2427&amp;" US Equity","PX_LAST")</f>
        <v/>
      </c>
      <c r="F2427" s="5">
        <f>D2427*E2427</f>
        <v/>
      </c>
      <c r="G2427">
        <f>AND(B2427&gt;=50,B2427&lt;=10000)</f>
        <v/>
      </c>
      <c r="H2427">
        <f>OR(C2427="NAS",C2427="NYS",C2427="ASE")</f>
        <v/>
      </c>
      <c r="I2427">
        <f>F2427&gt;=500000</f>
        <v/>
      </c>
      <c r="J2427">
        <f>E2427&gt;=2</f>
        <v/>
      </c>
      <c r="K2427">
        <f>AND(G2427,H2427,I2427,J2427)</f>
        <v/>
      </c>
    </row>
    <row r="2428">
      <c r="B2428" s="5">
        <f>BDP(A2428&amp;" US Equity","CUR_MKT_CAP")</f>
        <v/>
      </c>
      <c r="C2428">
        <f>BDP(A2428&amp;" US Equity","EXCH_CODE")</f>
        <v/>
      </c>
      <c r="D2428" s="5">
        <f>BDP(A2428&amp;" US Equity","VOLUME_AVG_20D")</f>
        <v/>
      </c>
      <c r="E2428" s="6">
        <f>BDP(A2428&amp;" US Equity","PX_LAST")</f>
        <v/>
      </c>
      <c r="F2428" s="5">
        <f>D2428*E2428</f>
        <v/>
      </c>
      <c r="G2428">
        <f>AND(B2428&gt;=50,B2428&lt;=10000)</f>
        <v/>
      </c>
      <c r="H2428">
        <f>OR(C2428="NAS",C2428="NYS",C2428="ASE")</f>
        <v/>
      </c>
      <c r="I2428">
        <f>F2428&gt;=500000</f>
        <v/>
      </c>
      <c r="J2428">
        <f>E2428&gt;=2</f>
        <v/>
      </c>
      <c r="K2428">
        <f>AND(G2428,H2428,I2428,J2428)</f>
        <v/>
      </c>
    </row>
    <row r="2429">
      <c r="B2429" s="5">
        <f>BDP(A2429&amp;" US Equity","CUR_MKT_CAP")</f>
        <v/>
      </c>
      <c r="C2429">
        <f>BDP(A2429&amp;" US Equity","EXCH_CODE")</f>
        <v/>
      </c>
      <c r="D2429" s="5">
        <f>BDP(A2429&amp;" US Equity","VOLUME_AVG_20D")</f>
        <v/>
      </c>
      <c r="E2429" s="6">
        <f>BDP(A2429&amp;" US Equity","PX_LAST")</f>
        <v/>
      </c>
      <c r="F2429" s="5">
        <f>D2429*E2429</f>
        <v/>
      </c>
      <c r="G2429">
        <f>AND(B2429&gt;=50,B2429&lt;=10000)</f>
        <v/>
      </c>
      <c r="H2429">
        <f>OR(C2429="NAS",C2429="NYS",C2429="ASE")</f>
        <v/>
      </c>
      <c r="I2429">
        <f>F2429&gt;=500000</f>
        <v/>
      </c>
      <c r="J2429">
        <f>E2429&gt;=2</f>
        <v/>
      </c>
      <c r="K2429">
        <f>AND(G2429,H2429,I2429,J2429)</f>
        <v/>
      </c>
    </row>
    <row r="2430">
      <c r="B2430" s="5">
        <f>BDP(A2430&amp;" US Equity","CUR_MKT_CAP")</f>
        <v/>
      </c>
      <c r="C2430">
        <f>BDP(A2430&amp;" US Equity","EXCH_CODE")</f>
        <v/>
      </c>
      <c r="D2430" s="5">
        <f>BDP(A2430&amp;" US Equity","VOLUME_AVG_20D")</f>
        <v/>
      </c>
      <c r="E2430" s="6">
        <f>BDP(A2430&amp;" US Equity","PX_LAST")</f>
        <v/>
      </c>
      <c r="F2430" s="5">
        <f>D2430*E2430</f>
        <v/>
      </c>
      <c r="G2430">
        <f>AND(B2430&gt;=50,B2430&lt;=10000)</f>
        <v/>
      </c>
      <c r="H2430">
        <f>OR(C2430="NAS",C2430="NYS",C2430="ASE")</f>
        <v/>
      </c>
      <c r="I2430">
        <f>F2430&gt;=500000</f>
        <v/>
      </c>
      <c r="J2430">
        <f>E2430&gt;=2</f>
        <v/>
      </c>
      <c r="K2430">
        <f>AND(G2430,H2430,I2430,J2430)</f>
        <v/>
      </c>
    </row>
    <row r="2431">
      <c r="B2431" s="5">
        <f>BDP(A2431&amp;" US Equity","CUR_MKT_CAP")</f>
        <v/>
      </c>
      <c r="C2431">
        <f>BDP(A2431&amp;" US Equity","EXCH_CODE")</f>
        <v/>
      </c>
      <c r="D2431" s="5">
        <f>BDP(A2431&amp;" US Equity","VOLUME_AVG_20D")</f>
        <v/>
      </c>
      <c r="E2431" s="6">
        <f>BDP(A2431&amp;" US Equity","PX_LAST")</f>
        <v/>
      </c>
      <c r="F2431" s="5">
        <f>D2431*E2431</f>
        <v/>
      </c>
      <c r="G2431">
        <f>AND(B2431&gt;=50,B2431&lt;=10000)</f>
        <v/>
      </c>
      <c r="H2431">
        <f>OR(C2431="NAS",C2431="NYS",C2431="ASE")</f>
        <v/>
      </c>
      <c r="I2431">
        <f>F2431&gt;=500000</f>
        <v/>
      </c>
      <c r="J2431">
        <f>E2431&gt;=2</f>
        <v/>
      </c>
      <c r="K2431">
        <f>AND(G2431,H2431,I2431,J2431)</f>
        <v/>
      </c>
    </row>
    <row r="2432">
      <c r="B2432" s="5">
        <f>BDP(A2432&amp;" US Equity","CUR_MKT_CAP")</f>
        <v/>
      </c>
      <c r="C2432">
        <f>BDP(A2432&amp;" US Equity","EXCH_CODE")</f>
        <v/>
      </c>
      <c r="D2432" s="5">
        <f>BDP(A2432&amp;" US Equity","VOLUME_AVG_20D")</f>
        <v/>
      </c>
      <c r="E2432" s="6">
        <f>BDP(A2432&amp;" US Equity","PX_LAST")</f>
        <v/>
      </c>
      <c r="F2432" s="5">
        <f>D2432*E2432</f>
        <v/>
      </c>
      <c r="G2432">
        <f>AND(B2432&gt;=50,B2432&lt;=10000)</f>
        <v/>
      </c>
      <c r="H2432">
        <f>OR(C2432="NAS",C2432="NYS",C2432="ASE")</f>
        <v/>
      </c>
      <c r="I2432">
        <f>F2432&gt;=500000</f>
        <v/>
      </c>
      <c r="J2432">
        <f>E2432&gt;=2</f>
        <v/>
      </c>
      <c r="K2432">
        <f>AND(G2432,H2432,I2432,J2432)</f>
        <v/>
      </c>
    </row>
    <row r="2433">
      <c r="B2433" s="5">
        <f>BDP(A2433&amp;" US Equity","CUR_MKT_CAP")</f>
        <v/>
      </c>
      <c r="C2433">
        <f>BDP(A2433&amp;" US Equity","EXCH_CODE")</f>
        <v/>
      </c>
      <c r="D2433" s="5">
        <f>BDP(A2433&amp;" US Equity","VOLUME_AVG_20D")</f>
        <v/>
      </c>
      <c r="E2433" s="6">
        <f>BDP(A2433&amp;" US Equity","PX_LAST")</f>
        <v/>
      </c>
      <c r="F2433" s="5">
        <f>D2433*E2433</f>
        <v/>
      </c>
      <c r="G2433">
        <f>AND(B2433&gt;=50,B2433&lt;=10000)</f>
        <v/>
      </c>
      <c r="H2433">
        <f>OR(C2433="NAS",C2433="NYS",C2433="ASE")</f>
        <v/>
      </c>
      <c r="I2433">
        <f>F2433&gt;=500000</f>
        <v/>
      </c>
      <c r="J2433">
        <f>E2433&gt;=2</f>
        <v/>
      </c>
      <c r="K2433">
        <f>AND(G2433,H2433,I2433,J2433)</f>
        <v/>
      </c>
    </row>
    <row r="2434">
      <c r="B2434" s="5">
        <f>BDP(A2434&amp;" US Equity","CUR_MKT_CAP")</f>
        <v/>
      </c>
      <c r="C2434">
        <f>BDP(A2434&amp;" US Equity","EXCH_CODE")</f>
        <v/>
      </c>
      <c r="D2434" s="5">
        <f>BDP(A2434&amp;" US Equity","VOLUME_AVG_20D")</f>
        <v/>
      </c>
      <c r="E2434" s="6">
        <f>BDP(A2434&amp;" US Equity","PX_LAST")</f>
        <v/>
      </c>
      <c r="F2434" s="5">
        <f>D2434*E2434</f>
        <v/>
      </c>
      <c r="G2434">
        <f>AND(B2434&gt;=50,B2434&lt;=10000)</f>
        <v/>
      </c>
      <c r="H2434">
        <f>OR(C2434="NAS",C2434="NYS",C2434="ASE")</f>
        <v/>
      </c>
      <c r="I2434">
        <f>F2434&gt;=500000</f>
        <v/>
      </c>
      <c r="J2434">
        <f>E2434&gt;=2</f>
        <v/>
      </c>
      <c r="K2434">
        <f>AND(G2434,H2434,I2434,J2434)</f>
        <v/>
      </c>
    </row>
    <row r="2435">
      <c r="B2435" s="5">
        <f>BDP(A2435&amp;" US Equity","CUR_MKT_CAP")</f>
        <v/>
      </c>
      <c r="C2435">
        <f>BDP(A2435&amp;" US Equity","EXCH_CODE")</f>
        <v/>
      </c>
      <c r="D2435" s="5">
        <f>BDP(A2435&amp;" US Equity","VOLUME_AVG_20D")</f>
        <v/>
      </c>
      <c r="E2435" s="6">
        <f>BDP(A2435&amp;" US Equity","PX_LAST")</f>
        <v/>
      </c>
      <c r="F2435" s="5">
        <f>D2435*E2435</f>
        <v/>
      </c>
      <c r="G2435">
        <f>AND(B2435&gt;=50,B2435&lt;=10000)</f>
        <v/>
      </c>
      <c r="H2435">
        <f>OR(C2435="NAS",C2435="NYS",C2435="ASE")</f>
        <v/>
      </c>
      <c r="I2435">
        <f>F2435&gt;=500000</f>
        <v/>
      </c>
      <c r="J2435">
        <f>E2435&gt;=2</f>
        <v/>
      </c>
      <c r="K2435">
        <f>AND(G2435,H2435,I2435,J2435)</f>
        <v/>
      </c>
    </row>
    <row r="2436">
      <c r="B2436" s="5">
        <f>BDP(A2436&amp;" US Equity","CUR_MKT_CAP")</f>
        <v/>
      </c>
      <c r="C2436">
        <f>BDP(A2436&amp;" US Equity","EXCH_CODE")</f>
        <v/>
      </c>
      <c r="D2436" s="5">
        <f>BDP(A2436&amp;" US Equity","VOLUME_AVG_20D")</f>
        <v/>
      </c>
      <c r="E2436" s="6">
        <f>BDP(A2436&amp;" US Equity","PX_LAST")</f>
        <v/>
      </c>
      <c r="F2436" s="5">
        <f>D2436*E2436</f>
        <v/>
      </c>
      <c r="G2436">
        <f>AND(B2436&gt;=50,B2436&lt;=10000)</f>
        <v/>
      </c>
      <c r="H2436">
        <f>OR(C2436="NAS",C2436="NYS",C2436="ASE")</f>
        <v/>
      </c>
      <c r="I2436">
        <f>F2436&gt;=500000</f>
        <v/>
      </c>
      <c r="J2436">
        <f>E2436&gt;=2</f>
        <v/>
      </c>
      <c r="K2436">
        <f>AND(G2436,H2436,I2436,J2436)</f>
        <v/>
      </c>
    </row>
    <row r="2437">
      <c r="B2437" s="5">
        <f>BDP(A2437&amp;" US Equity","CUR_MKT_CAP")</f>
        <v/>
      </c>
      <c r="C2437">
        <f>BDP(A2437&amp;" US Equity","EXCH_CODE")</f>
        <v/>
      </c>
      <c r="D2437" s="5">
        <f>BDP(A2437&amp;" US Equity","VOLUME_AVG_20D")</f>
        <v/>
      </c>
      <c r="E2437" s="6">
        <f>BDP(A2437&amp;" US Equity","PX_LAST")</f>
        <v/>
      </c>
      <c r="F2437" s="5">
        <f>D2437*E2437</f>
        <v/>
      </c>
      <c r="G2437">
        <f>AND(B2437&gt;=50,B2437&lt;=10000)</f>
        <v/>
      </c>
      <c r="H2437">
        <f>OR(C2437="NAS",C2437="NYS",C2437="ASE")</f>
        <v/>
      </c>
      <c r="I2437">
        <f>F2437&gt;=500000</f>
        <v/>
      </c>
      <c r="J2437">
        <f>E2437&gt;=2</f>
        <v/>
      </c>
      <c r="K2437">
        <f>AND(G2437,H2437,I2437,J2437)</f>
        <v/>
      </c>
    </row>
    <row r="2438">
      <c r="B2438" s="5">
        <f>BDP(A2438&amp;" US Equity","CUR_MKT_CAP")</f>
        <v/>
      </c>
      <c r="C2438">
        <f>BDP(A2438&amp;" US Equity","EXCH_CODE")</f>
        <v/>
      </c>
      <c r="D2438" s="5">
        <f>BDP(A2438&amp;" US Equity","VOLUME_AVG_20D")</f>
        <v/>
      </c>
      <c r="E2438" s="6">
        <f>BDP(A2438&amp;" US Equity","PX_LAST")</f>
        <v/>
      </c>
      <c r="F2438" s="5">
        <f>D2438*E2438</f>
        <v/>
      </c>
      <c r="G2438">
        <f>AND(B2438&gt;=50,B2438&lt;=10000)</f>
        <v/>
      </c>
      <c r="H2438">
        <f>OR(C2438="NAS",C2438="NYS",C2438="ASE")</f>
        <v/>
      </c>
      <c r="I2438">
        <f>F2438&gt;=500000</f>
        <v/>
      </c>
      <c r="J2438">
        <f>E2438&gt;=2</f>
        <v/>
      </c>
      <c r="K2438">
        <f>AND(G2438,H2438,I2438,J2438)</f>
        <v/>
      </c>
    </row>
    <row r="2439">
      <c r="B2439" s="5">
        <f>BDP(A2439&amp;" US Equity","CUR_MKT_CAP")</f>
        <v/>
      </c>
      <c r="C2439">
        <f>BDP(A2439&amp;" US Equity","EXCH_CODE")</f>
        <v/>
      </c>
      <c r="D2439" s="5">
        <f>BDP(A2439&amp;" US Equity","VOLUME_AVG_20D")</f>
        <v/>
      </c>
      <c r="E2439" s="6">
        <f>BDP(A2439&amp;" US Equity","PX_LAST")</f>
        <v/>
      </c>
      <c r="F2439" s="5">
        <f>D2439*E2439</f>
        <v/>
      </c>
      <c r="G2439">
        <f>AND(B2439&gt;=50,B2439&lt;=10000)</f>
        <v/>
      </c>
      <c r="H2439">
        <f>OR(C2439="NAS",C2439="NYS",C2439="ASE")</f>
        <v/>
      </c>
      <c r="I2439">
        <f>F2439&gt;=500000</f>
        <v/>
      </c>
      <c r="J2439">
        <f>E2439&gt;=2</f>
        <v/>
      </c>
      <c r="K2439">
        <f>AND(G2439,H2439,I2439,J2439)</f>
        <v/>
      </c>
    </row>
    <row r="2440">
      <c r="B2440" s="5">
        <f>BDP(A2440&amp;" US Equity","CUR_MKT_CAP")</f>
        <v/>
      </c>
      <c r="C2440">
        <f>BDP(A2440&amp;" US Equity","EXCH_CODE")</f>
        <v/>
      </c>
      <c r="D2440" s="5">
        <f>BDP(A2440&amp;" US Equity","VOLUME_AVG_20D")</f>
        <v/>
      </c>
      <c r="E2440" s="6">
        <f>BDP(A2440&amp;" US Equity","PX_LAST")</f>
        <v/>
      </c>
      <c r="F2440" s="5">
        <f>D2440*E2440</f>
        <v/>
      </c>
      <c r="G2440">
        <f>AND(B2440&gt;=50,B2440&lt;=10000)</f>
        <v/>
      </c>
      <c r="H2440">
        <f>OR(C2440="NAS",C2440="NYS",C2440="ASE")</f>
        <v/>
      </c>
      <c r="I2440">
        <f>F2440&gt;=500000</f>
        <v/>
      </c>
      <c r="J2440">
        <f>E2440&gt;=2</f>
        <v/>
      </c>
      <c r="K2440">
        <f>AND(G2440,H2440,I2440,J2440)</f>
        <v/>
      </c>
    </row>
    <row r="2441">
      <c r="B2441" s="5">
        <f>BDP(A2441&amp;" US Equity","CUR_MKT_CAP")</f>
        <v/>
      </c>
      <c r="C2441">
        <f>BDP(A2441&amp;" US Equity","EXCH_CODE")</f>
        <v/>
      </c>
      <c r="D2441" s="5">
        <f>BDP(A2441&amp;" US Equity","VOLUME_AVG_20D")</f>
        <v/>
      </c>
      <c r="E2441" s="6">
        <f>BDP(A2441&amp;" US Equity","PX_LAST")</f>
        <v/>
      </c>
      <c r="F2441" s="5">
        <f>D2441*E2441</f>
        <v/>
      </c>
      <c r="G2441">
        <f>AND(B2441&gt;=50,B2441&lt;=10000)</f>
        <v/>
      </c>
      <c r="H2441">
        <f>OR(C2441="NAS",C2441="NYS",C2441="ASE")</f>
        <v/>
      </c>
      <c r="I2441">
        <f>F2441&gt;=500000</f>
        <v/>
      </c>
      <c r="J2441">
        <f>E2441&gt;=2</f>
        <v/>
      </c>
      <c r="K2441">
        <f>AND(G2441,H2441,I2441,J2441)</f>
        <v/>
      </c>
    </row>
    <row r="2442">
      <c r="B2442" s="5">
        <f>BDP(A2442&amp;" US Equity","CUR_MKT_CAP")</f>
        <v/>
      </c>
      <c r="C2442">
        <f>BDP(A2442&amp;" US Equity","EXCH_CODE")</f>
        <v/>
      </c>
      <c r="D2442" s="5">
        <f>BDP(A2442&amp;" US Equity","VOLUME_AVG_20D")</f>
        <v/>
      </c>
      <c r="E2442" s="6">
        <f>BDP(A2442&amp;" US Equity","PX_LAST")</f>
        <v/>
      </c>
      <c r="F2442" s="5">
        <f>D2442*E2442</f>
        <v/>
      </c>
      <c r="G2442">
        <f>AND(B2442&gt;=50,B2442&lt;=10000)</f>
        <v/>
      </c>
      <c r="H2442">
        <f>OR(C2442="NAS",C2442="NYS",C2442="ASE")</f>
        <v/>
      </c>
      <c r="I2442">
        <f>F2442&gt;=500000</f>
        <v/>
      </c>
      <c r="J2442">
        <f>E2442&gt;=2</f>
        <v/>
      </c>
      <c r="K2442">
        <f>AND(G2442,H2442,I2442,J2442)</f>
        <v/>
      </c>
    </row>
    <row r="2443">
      <c r="B2443" s="5">
        <f>BDP(A2443&amp;" US Equity","CUR_MKT_CAP")</f>
        <v/>
      </c>
      <c r="C2443">
        <f>BDP(A2443&amp;" US Equity","EXCH_CODE")</f>
        <v/>
      </c>
      <c r="D2443" s="5">
        <f>BDP(A2443&amp;" US Equity","VOLUME_AVG_20D")</f>
        <v/>
      </c>
      <c r="E2443" s="6">
        <f>BDP(A2443&amp;" US Equity","PX_LAST")</f>
        <v/>
      </c>
      <c r="F2443" s="5">
        <f>D2443*E2443</f>
        <v/>
      </c>
      <c r="G2443">
        <f>AND(B2443&gt;=50,B2443&lt;=10000)</f>
        <v/>
      </c>
      <c r="H2443">
        <f>OR(C2443="NAS",C2443="NYS",C2443="ASE")</f>
        <v/>
      </c>
      <c r="I2443">
        <f>F2443&gt;=500000</f>
        <v/>
      </c>
      <c r="J2443">
        <f>E2443&gt;=2</f>
        <v/>
      </c>
      <c r="K2443">
        <f>AND(G2443,H2443,I2443,J2443)</f>
        <v/>
      </c>
    </row>
    <row r="2444">
      <c r="B2444" s="5">
        <f>BDP(A2444&amp;" US Equity","CUR_MKT_CAP")</f>
        <v/>
      </c>
      <c r="C2444">
        <f>BDP(A2444&amp;" US Equity","EXCH_CODE")</f>
        <v/>
      </c>
      <c r="D2444" s="5">
        <f>BDP(A2444&amp;" US Equity","VOLUME_AVG_20D")</f>
        <v/>
      </c>
      <c r="E2444" s="6">
        <f>BDP(A2444&amp;" US Equity","PX_LAST")</f>
        <v/>
      </c>
      <c r="F2444" s="5">
        <f>D2444*E2444</f>
        <v/>
      </c>
      <c r="G2444">
        <f>AND(B2444&gt;=50,B2444&lt;=10000)</f>
        <v/>
      </c>
      <c r="H2444">
        <f>OR(C2444="NAS",C2444="NYS",C2444="ASE")</f>
        <v/>
      </c>
      <c r="I2444">
        <f>F2444&gt;=500000</f>
        <v/>
      </c>
      <c r="J2444">
        <f>E2444&gt;=2</f>
        <v/>
      </c>
      <c r="K2444">
        <f>AND(G2444,H2444,I2444,J2444)</f>
        <v/>
      </c>
    </row>
    <row r="2445">
      <c r="B2445" s="5">
        <f>BDP(A2445&amp;" US Equity","CUR_MKT_CAP")</f>
        <v/>
      </c>
      <c r="C2445">
        <f>BDP(A2445&amp;" US Equity","EXCH_CODE")</f>
        <v/>
      </c>
      <c r="D2445" s="5">
        <f>BDP(A2445&amp;" US Equity","VOLUME_AVG_20D")</f>
        <v/>
      </c>
      <c r="E2445" s="6">
        <f>BDP(A2445&amp;" US Equity","PX_LAST")</f>
        <v/>
      </c>
      <c r="F2445" s="5">
        <f>D2445*E2445</f>
        <v/>
      </c>
      <c r="G2445">
        <f>AND(B2445&gt;=50,B2445&lt;=10000)</f>
        <v/>
      </c>
      <c r="H2445">
        <f>OR(C2445="NAS",C2445="NYS",C2445="ASE")</f>
        <v/>
      </c>
      <c r="I2445">
        <f>F2445&gt;=500000</f>
        <v/>
      </c>
      <c r="J2445">
        <f>E2445&gt;=2</f>
        <v/>
      </c>
      <c r="K2445">
        <f>AND(G2445,H2445,I2445,J2445)</f>
        <v/>
      </c>
    </row>
    <row r="2446">
      <c r="B2446" s="5">
        <f>BDP(A2446&amp;" US Equity","CUR_MKT_CAP")</f>
        <v/>
      </c>
      <c r="C2446">
        <f>BDP(A2446&amp;" US Equity","EXCH_CODE")</f>
        <v/>
      </c>
      <c r="D2446" s="5">
        <f>BDP(A2446&amp;" US Equity","VOLUME_AVG_20D")</f>
        <v/>
      </c>
      <c r="E2446" s="6">
        <f>BDP(A2446&amp;" US Equity","PX_LAST")</f>
        <v/>
      </c>
      <c r="F2446" s="5">
        <f>D2446*E2446</f>
        <v/>
      </c>
      <c r="G2446">
        <f>AND(B2446&gt;=50,B2446&lt;=10000)</f>
        <v/>
      </c>
      <c r="H2446">
        <f>OR(C2446="NAS",C2446="NYS",C2446="ASE")</f>
        <v/>
      </c>
      <c r="I2446">
        <f>F2446&gt;=500000</f>
        <v/>
      </c>
      <c r="J2446">
        <f>E2446&gt;=2</f>
        <v/>
      </c>
      <c r="K2446">
        <f>AND(G2446,H2446,I2446,J2446)</f>
        <v/>
      </c>
    </row>
    <row r="2447">
      <c r="B2447" s="5">
        <f>BDP(A2447&amp;" US Equity","CUR_MKT_CAP")</f>
        <v/>
      </c>
      <c r="C2447">
        <f>BDP(A2447&amp;" US Equity","EXCH_CODE")</f>
        <v/>
      </c>
      <c r="D2447" s="5">
        <f>BDP(A2447&amp;" US Equity","VOLUME_AVG_20D")</f>
        <v/>
      </c>
      <c r="E2447" s="6">
        <f>BDP(A2447&amp;" US Equity","PX_LAST")</f>
        <v/>
      </c>
      <c r="F2447" s="5">
        <f>D2447*E2447</f>
        <v/>
      </c>
      <c r="G2447">
        <f>AND(B2447&gt;=50,B2447&lt;=10000)</f>
        <v/>
      </c>
      <c r="H2447">
        <f>OR(C2447="NAS",C2447="NYS",C2447="ASE")</f>
        <v/>
      </c>
      <c r="I2447">
        <f>F2447&gt;=500000</f>
        <v/>
      </c>
      <c r="J2447">
        <f>E2447&gt;=2</f>
        <v/>
      </c>
      <c r="K2447">
        <f>AND(G2447,H2447,I2447,J2447)</f>
        <v/>
      </c>
    </row>
    <row r="2448">
      <c r="B2448" s="5">
        <f>BDP(A2448&amp;" US Equity","CUR_MKT_CAP")</f>
        <v/>
      </c>
      <c r="C2448">
        <f>BDP(A2448&amp;" US Equity","EXCH_CODE")</f>
        <v/>
      </c>
      <c r="D2448" s="5">
        <f>BDP(A2448&amp;" US Equity","VOLUME_AVG_20D")</f>
        <v/>
      </c>
      <c r="E2448" s="6">
        <f>BDP(A2448&amp;" US Equity","PX_LAST")</f>
        <v/>
      </c>
      <c r="F2448" s="5">
        <f>D2448*E2448</f>
        <v/>
      </c>
      <c r="G2448">
        <f>AND(B2448&gt;=50,B2448&lt;=10000)</f>
        <v/>
      </c>
      <c r="H2448">
        <f>OR(C2448="NAS",C2448="NYS",C2448="ASE")</f>
        <v/>
      </c>
      <c r="I2448">
        <f>F2448&gt;=500000</f>
        <v/>
      </c>
      <c r="J2448">
        <f>E2448&gt;=2</f>
        <v/>
      </c>
      <c r="K2448">
        <f>AND(G2448,H2448,I2448,J2448)</f>
        <v/>
      </c>
    </row>
    <row r="2449">
      <c r="B2449" s="5">
        <f>BDP(A2449&amp;" US Equity","CUR_MKT_CAP")</f>
        <v/>
      </c>
      <c r="C2449">
        <f>BDP(A2449&amp;" US Equity","EXCH_CODE")</f>
        <v/>
      </c>
      <c r="D2449" s="5">
        <f>BDP(A2449&amp;" US Equity","VOLUME_AVG_20D")</f>
        <v/>
      </c>
      <c r="E2449" s="6">
        <f>BDP(A2449&amp;" US Equity","PX_LAST")</f>
        <v/>
      </c>
      <c r="F2449" s="5">
        <f>D2449*E2449</f>
        <v/>
      </c>
      <c r="G2449">
        <f>AND(B2449&gt;=50,B2449&lt;=10000)</f>
        <v/>
      </c>
      <c r="H2449">
        <f>OR(C2449="NAS",C2449="NYS",C2449="ASE")</f>
        <v/>
      </c>
      <c r="I2449">
        <f>F2449&gt;=500000</f>
        <v/>
      </c>
      <c r="J2449">
        <f>E2449&gt;=2</f>
        <v/>
      </c>
      <c r="K2449">
        <f>AND(G2449,H2449,I2449,J2449)</f>
        <v/>
      </c>
    </row>
    <row r="2450">
      <c r="B2450" s="5">
        <f>BDP(A2450&amp;" US Equity","CUR_MKT_CAP")</f>
        <v/>
      </c>
      <c r="C2450">
        <f>BDP(A2450&amp;" US Equity","EXCH_CODE")</f>
        <v/>
      </c>
      <c r="D2450" s="5">
        <f>BDP(A2450&amp;" US Equity","VOLUME_AVG_20D")</f>
        <v/>
      </c>
      <c r="E2450" s="6">
        <f>BDP(A2450&amp;" US Equity","PX_LAST")</f>
        <v/>
      </c>
      <c r="F2450" s="5">
        <f>D2450*E2450</f>
        <v/>
      </c>
      <c r="G2450">
        <f>AND(B2450&gt;=50,B2450&lt;=10000)</f>
        <v/>
      </c>
      <c r="H2450">
        <f>OR(C2450="NAS",C2450="NYS",C2450="ASE")</f>
        <v/>
      </c>
      <c r="I2450">
        <f>F2450&gt;=500000</f>
        <v/>
      </c>
      <c r="J2450">
        <f>E2450&gt;=2</f>
        <v/>
      </c>
      <c r="K2450">
        <f>AND(G2450,H2450,I2450,J2450)</f>
        <v/>
      </c>
    </row>
    <row r="2451">
      <c r="B2451" s="5">
        <f>BDP(A2451&amp;" US Equity","CUR_MKT_CAP")</f>
        <v/>
      </c>
      <c r="C2451">
        <f>BDP(A2451&amp;" US Equity","EXCH_CODE")</f>
        <v/>
      </c>
      <c r="D2451" s="5">
        <f>BDP(A2451&amp;" US Equity","VOLUME_AVG_20D")</f>
        <v/>
      </c>
      <c r="E2451" s="6">
        <f>BDP(A2451&amp;" US Equity","PX_LAST")</f>
        <v/>
      </c>
      <c r="F2451" s="5">
        <f>D2451*E2451</f>
        <v/>
      </c>
      <c r="G2451">
        <f>AND(B2451&gt;=50,B2451&lt;=10000)</f>
        <v/>
      </c>
      <c r="H2451">
        <f>OR(C2451="NAS",C2451="NYS",C2451="ASE")</f>
        <v/>
      </c>
      <c r="I2451">
        <f>F2451&gt;=500000</f>
        <v/>
      </c>
      <c r="J2451">
        <f>E2451&gt;=2</f>
        <v/>
      </c>
      <c r="K2451">
        <f>AND(G2451,H2451,I2451,J2451)</f>
        <v/>
      </c>
    </row>
    <row r="2452">
      <c r="B2452" s="5">
        <f>BDP(A2452&amp;" US Equity","CUR_MKT_CAP")</f>
        <v/>
      </c>
      <c r="C2452">
        <f>BDP(A2452&amp;" US Equity","EXCH_CODE")</f>
        <v/>
      </c>
      <c r="D2452" s="5">
        <f>BDP(A2452&amp;" US Equity","VOLUME_AVG_20D")</f>
        <v/>
      </c>
      <c r="E2452" s="6">
        <f>BDP(A2452&amp;" US Equity","PX_LAST")</f>
        <v/>
      </c>
      <c r="F2452" s="5">
        <f>D2452*E2452</f>
        <v/>
      </c>
      <c r="G2452">
        <f>AND(B2452&gt;=50,B2452&lt;=10000)</f>
        <v/>
      </c>
      <c r="H2452">
        <f>OR(C2452="NAS",C2452="NYS",C2452="ASE")</f>
        <v/>
      </c>
      <c r="I2452">
        <f>F2452&gt;=500000</f>
        <v/>
      </c>
      <c r="J2452">
        <f>E2452&gt;=2</f>
        <v/>
      </c>
      <c r="K2452">
        <f>AND(G2452,H2452,I2452,J2452)</f>
        <v/>
      </c>
    </row>
    <row r="2453">
      <c r="B2453" s="5">
        <f>BDP(A2453&amp;" US Equity","CUR_MKT_CAP")</f>
        <v/>
      </c>
      <c r="C2453">
        <f>BDP(A2453&amp;" US Equity","EXCH_CODE")</f>
        <v/>
      </c>
      <c r="D2453" s="5">
        <f>BDP(A2453&amp;" US Equity","VOLUME_AVG_20D")</f>
        <v/>
      </c>
      <c r="E2453" s="6">
        <f>BDP(A2453&amp;" US Equity","PX_LAST")</f>
        <v/>
      </c>
      <c r="F2453" s="5">
        <f>D2453*E2453</f>
        <v/>
      </c>
      <c r="G2453">
        <f>AND(B2453&gt;=50,B2453&lt;=10000)</f>
        <v/>
      </c>
      <c r="H2453">
        <f>OR(C2453="NAS",C2453="NYS",C2453="ASE")</f>
        <v/>
      </c>
      <c r="I2453">
        <f>F2453&gt;=500000</f>
        <v/>
      </c>
      <c r="J2453">
        <f>E2453&gt;=2</f>
        <v/>
      </c>
      <c r="K2453">
        <f>AND(G2453,H2453,I2453,J2453)</f>
        <v/>
      </c>
    </row>
    <row r="2454">
      <c r="B2454" s="5">
        <f>BDP(A2454&amp;" US Equity","CUR_MKT_CAP")</f>
        <v/>
      </c>
      <c r="C2454">
        <f>BDP(A2454&amp;" US Equity","EXCH_CODE")</f>
        <v/>
      </c>
      <c r="D2454" s="5">
        <f>BDP(A2454&amp;" US Equity","VOLUME_AVG_20D")</f>
        <v/>
      </c>
      <c r="E2454" s="6">
        <f>BDP(A2454&amp;" US Equity","PX_LAST")</f>
        <v/>
      </c>
      <c r="F2454" s="5">
        <f>D2454*E2454</f>
        <v/>
      </c>
      <c r="G2454">
        <f>AND(B2454&gt;=50,B2454&lt;=10000)</f>
        <v/>
      </c>
      <c r="H2454">
        <f>OR(C2454="NAS",C2454="NYS",C2454="ASE")</f>
        <v/>
      </c>
      <c r="I2454">
        <f>F2454&gt;=500000</f>
        <v/>
      </c>
      <c r="J2454">
        <f>E2454&gt;=2</f>
        <v/>
      </c>
      <c r="K2454">
        <f>AND(G2454,H2454,I2454,J2454)</f>
        <v/>
      </c>
    </row>
    <row r="2455">
      <c r="B2455" s="5">
        <f>BDP(A2455&amp;" US Equity","CUR_MKT_CAP")</f>
        <v/>
      </c>
      <c r="C2455">
        <f>BDP(A2455&amp;" US Equity","EXCH_CODE")</f>
        <v/>
      </c>
      <c r="D2455" s="5">
        <f>BDP(A2455&amp;" US Equity","VOLUME_AVG_20D")</f>
        <v/>
      </c>
      <c r="E2455" s="6">
        <f>BDP(A2455&amp;" US Equity","PX_LAST")</f>
        <v/>
      </c>
      <c r="F2455" s="5">
        <f>D2455*E2455</f>
        <v/>
      </c>
      <c r="G2455">
        <f>AND(B2455&gt;=50,B2455&lt;=10000)</f>
        <v/>
      </c>
      <c r="H2455">
        <f>OR(C2455="NAS",C2455="NYS",C2455="ASE")</f>
        <v/>
      </c>
      <c r="I2455">
        <f>F2455&gt;=500000</f>
        <v/>
      </c>
      <c r="J2455">
        <f>E2455&gt;=2</f>
        <v/>
      </c>
      <c r="K2455">
        <f>AND(G2455,H2455,I2455,J2455)</f>
        <v/>
      </c>
    </row>
    <row r="2456">
      <c r="B2456" s="5">
        <f>BDP(A2456&amp;" US Equity","CUR_MKT_CAP")</f>
        <v/>
      </c>
      <c r="C2456">
        <f>BDP(A2456&amp;" US Equity","EXCH_CODE")</f>
        <v/>
      </c>
      <c r="D2456" s="5">
        <f>BDP(A2456&amp;" US Equity","VOLUME_AVG_20D")</f>
        <v/>
      </c>
      <c r="E2456" s="6">
        <f>BDP(A2456&amp;" US Equity","PX_LAST")</f>
        <v/>
      </c>
      <c r="F2456" s="5">
        <f>D2456*E2456</f>
        <v/>
      </c>
      <c r="G2456">
        <f>AND(B2456&gt;=50,B2456&lt;=10000)</f>
        <v/>
      </c>
      <c r="H2456">
        <f>OR(C2456="NAS",C2456="NYS",C2456="ASE")</f>
        <v/>
      </c>
      <c r="I2456">
        <f>F2456&gt;=500000</f>
        <v/>
      </c>
      <c r="J2456">
        <f>E2456&gt;=2</f>
        <v/>
      </c>
      <c r="K2456">
        <f>AND(G2456,H2456,I2456,J2456)</f>
        <v/>
      </c>
    </row>
    <row r="2457">
      <c r="B2457" s="5">
        <f>BDP(A2457&amp;" US Equity","CUR_MKT_CAP")</f>
        <v/>
      </c>
      <c r="C2457">
        <f>BDP(A2457&amp;" US Equity","EXCH_CODE")</f>
        <v/>
      </c>
      <c r="D2457" s="5">
        <f>BDP(A2457&amp;" US Equity","VOLUME_AVG_20D")</f>
        <v/>
      </c>
      <c r="E2457" s="6">
        <f>BDP(A2457&amp;" US Equity","PX_LAST")</f>
        <v/>
      </c>
      <c r="F2457" s="5">
        <f>D2457*E2457</f>
        <v/>
      </c>
      <c r="G2457">
        <f>AND(B2457&gt;=50,B2457&lt;=10000)</f>
        <v/>
      </c>
      <c r="H2457">
        <f>OR(C2457="NAS",C2457="NYS",C2457="ASE")</f>
        <v/>
      </c>
      <c r="I2457">
        <f>F2457&gt;=500000</f>
        <v/>
      </c>
      <c r="J2457">
        <f>E2457&gt;=2</f>
        <v/>
      </c>
      <c r="K2457">
        <f>AND(G2457,H2457,I2457,J2457)</f>
        <v/>
      </c>
    </row>
    <row r="2458">
      <c r="B2458" s="5">
        <f>BDP(A2458&amp;" US Equity","CUR_MKT_CAP")</f>
        <v/>
      </c>
      <c r="C2458">
        <f>BDP(A2458&amp;" US Equity","EXCH_CODE")</f>
        <v/>
      </c>
      <c r="D2458" s="5">
        <f>BDP(A2458&amp;" US Equity","VOLUME_AVG_20D")</f>
        <v/>
      </c>
      <c r="E2458" s="6">
        <f>BDP(A2458&amp;" US Equity","PX_LAST")</f>
        <v/>
      </c>
      <c r="F2458" s="5">
        <f>D2458*E2458</f>
        <v/>
      </c>
      <c r="G2458">
        <f>AND(B2458&gt;=50,B2458&lt;=10000)</f>
        <v/>
      </c>
      <c r="H2458">
        <f>OR(C2458="NAS",C2458="NYS",C2458="ASE")</f>
        <v/>
      </c>
      <c r="I2458">
        <f>F2458&gt;=500000</f>
        <v/>
      </c>
      <c r="J2458">
        <f>E2458&gt;=2</f>
        <v/>
      </c>
      <c r="K2458">
        <f>AND(G2458,H2458,I2458,J2458)</f>
        <v/>
      </c>
    </row>
    <row r="2459">
      <c r="B2459" s="5">
        <f>BDP(A2459&amp;" US Equity","CUR_MKT_CAP")</f>
        <v/>
      </c>
      <c r="C2459">
        <f>BDP(A2459&amp;" US Equity","EXCH_CODE")</f>
        <v/>
      </c>
      <c r="D2459" s="5">
        <f>BDP(A2459&amp;" US Equity","VOLUME_AVG_20D")</f>
        <v/>
      </c>
      <c r="E2459" s="6">
        <f>BDP(A2459&amp;" US Equity","PX_LAST")</f>
        <v/>
      </c>
      <c r="F2459" s="5">
        <f>D2459*E2459</f>
        <v/>
      </c>
      <c r="G2459">
        <f>AND(B2459&gt;=50,B2459&lt;=10000)</f>
        <v/>
      </c>
      <c r="H2459">
        <f>OR(C2459="NAS",C2459="NYS",C2459="ASE")</f>
        <v/>
      </c>
      <c r="I2459">
        <f>F2459&gt;=500000</f>
        <v/>
      </c>
      <c r="J2459">
        <f>E2459&gt;=2</f>
        <v/>
      </c>
      <c r="K2459">
        <f>AND(G2459,H2459,I2459,J2459)</f>
        <v/>
      </c>
    </row>
    <row r="2460">
      <c r="B2460" s="5">
        <f>BDP(A2460&amp;" US Equity","CUR_MKT_CAP")</f>
        <v/>
      </c>
      <c r="C2460">
        <f>BDP(A2460&amp;" US Equity","EXCH_CODE")</f>
        <v/>
      </c>
      <c r="D2460" s="5">
        <f>BDP(A2460&amp;" US Equity","VOLUME_AVG_20D")</f>
        <v/>
      </c>
      <c r="E2460" s="6">
        <f>BDP(A2460&amp;" US Equity","PX_LAST")</f>
        <v/>
      </c>
      <c r="F2460" s="5">
        <f>D2460*E2460</f>
        <v/>
      </c>
      <c r="G2460">
        <f>AND(B2460&gt;=50,B2460&lt;=10000)</f>
        <v/>
      </c>
      <c r="H2460">
        <f>OR(C2460="NAS",C2460="NYS",C2460="ASE")</f>
        <v/>
      </c>
      <c r="I2460">
        <f>F2460&gt;=500000</f>
        <v/>
      </c>
      <c r="J2460">
        <f>E2460&gt;=2</f>
        <v/>
      </c>
      <c r="K2460">
        <f>AND(G2460,H2460,I2460,J2460)</f>
        <v/>
      </c>
    </row>
    <row r="2461">
      <c r="B2461" s="5">
        <f>BDP(A2461&amp;" US Equity","CUR_MKT_CAP")</f>
        <v/>
      </c>
      <c r="C2461">
        <f>BDP(A2461&amp;" US Equity","EXCH_CODE")</f>
        <v/>
      </c>
      <c r="D2461" s="5">
        <f>BDP(A2461&amp;" US Equity","VOLUME_AVG_20D")</f>
        <v/>
      </c>
      <c r="E2461" s="6">
        <f>BDP(A2461&amp;" US Equity","PX_LAST")</f>
        <v/>
      </c>
      <c r="F2461" s="5">
        <f>D2461*E2461</f>
        <v/>
      </c>
      <c r="G2461">
        <f>AND(B2461&gt;=50,B2461&lt;=10000)</f>
        <v/>
      </c>
      <c r="H2461">
        <f>OR(C2461="NAS",C2461="NYS",C2461="ASE")</f>
        <v/>
      </c>
      <c r="I2461">
        <f>F2461&gt;=500000</f>
        <v/>
      </c>
      <c r="J2461">
        <f>E2461&gt;=2</f>
        <v/>
      </c>
      <c r="K2461">
        <f>AND(G2461,H2461,I2461,J2461)</f>
        <v/>
      </c>
    </row>
    <row r="2462">
      <c r="B2462" s="5">
        <f>BDP(A2462&amp;" US Equity","CUR_MKT_CAP")</f>
        <v/>
      </c>
      <c r="C2462">
        <f>BDP(A2462&amp;" US Equity","EXCH_CODE")</f>
        <v/>
      </c>
      <c r="D2462" s="5">
        <f>BDP(A2462&amp;" US Equity","VOLUME_AVG_20D")</f>
        <v/>
      </c>
      <c r="E2462" s="6">
        <f>BDP(A2462&amp;" US Equity","PX_LAST")</f>
        <v/>
      </c>
      <c r="F2462" s="5">
        <f>D2462*E2462</f>
        <v/>
      </c>
      <c r="G2462">
        <f>AND(B2462&gt;=50,B2462&lt;=10000)</f>
        <v/>
      </c>
      <c r="H2462">
        <f>OR(C2462="NAS",C2462="NYS",C2462="ASE")</f>
        <v/>
      </c>
      <c r="I2462">
        <f>F2462&gt;=500000</f>
        <v/>
      </c>
      <c r="J2462">
        <f>E2462&gt;=2</f>
        <v/>
      </c>
      <c r="K2462">
        <f>AND(G2462,H2462,I2462,J2462)</f>
        <v/>
      </c>
    </row>
    <row r="2463">
      <c r="B2463" s="5">
        <f>BDP(A2463&amp;" US Equity","CUR_MKT_CAP")</f>
        <v/>
      </c>
      <c r="C2463">
        <f>BDP(A2463&amp;" US Equity","EXCH_CODE")</f>
        <v/>
      </c>
      <c r="D2463" s="5">
        <f>BDP(A2463&amp;" US Equity","VOLUME_AVG_20D")</f>
        <v/>
      </c>
      <c r="E2463" s="6">
        <f>BDP(A2463&amp;" US Equity","PX_LAST")</f>
        <v/>
      </c>
      <c r="F2463" s="5">
        <f>D2463*E2463</f>
        <v/>
      </c>
      <c r="G2463">
        <f>AND(B2463&gt;=50,B2463&lt;=10000)</f>
        <v/>
      </c>
      <c r="H2463">
        <f>OR(C2463="NAS",C2463="NYS",C2463="ASE")</f>
        <v/>
      </c>
      <c r="I2463">
        <f>F2463&gt;=500000</f>
        <v/>
      </c>
      <c r="J2463">
        <f>E2463&gt;=2</f>
        <v/>
      </c>
      <c r="K2463">
        <f>AND(G2463,H2463,I2463,J2463)</f>
        <v/>
      </c>
    </row>
    <row r="2464">
      <c r="B2464" s="5">
        <f>BDP(A2464&amp;" US Equity","CUR_MKT_CAP")</f>
        <v/>
      </c>
      <c r="C2464">
        <f>BDP(A2464&amp;" US Equity","EXCH_CODE")</f>
        <v/>
      </c>
      <c r="D2464" s="5">
        <f>BDP(A2464&amp;" US Equity","VOLUME_AVG_20D")</f>
        <v/>
      </c>
      <c r="E2464" s="6">
        <f>BDP(A2464&amp;" US Equity","PX_LAST")</f>
        <v/>
      </c>
      <c r="F2464" s="5">
        <f>D2464*E2464</f>
        <v/>
      </c>
      <c r="G2464">
        <f>AND(B2464&gt;=50,B2464&lt;=10000)</f>
        <v/>
      </c>
      <c r="H2464">
        <f>OR(C2464="NAS",C2464="NYS",C2464="ASE")</f>
        <v/>
      </c>
      <c r="I2464">
        <f>F2464&gt;=500000</f>
        <v/>
      </c>
      <c r="J2464">
        <f>E2464&gt;=2</f>
        <v/>
      </c>
      <c r="K2464">
        <f>AND(G2464,H2464,I2464,J2464)</f>
        <v/>
      </c>
    </row>
    <row r="2465">
      <c r="B2465" s="5">
        <f>BDP(A2465&amp;" US Equity","CUR_MKT_CAP")</f>
        <v/>
      </c>
      <c r="C2465">
        <f>BDP(A2465&amp;" US Equity","EXCH_CODE")</f>
        <v/>
      </c>
      <c r="D2465" s="5">
        <f>BDP(A2465&amp;" US Equity","VOLUME_AVG_20D")</f>
        <v/>
      </c>
      <c r="E2465" s="6">
        <f>BDP(A2465&amp;" US Equity","PX_LAST")</f>
        <v/>
      </c>
      <c r="F2465" s="5">
        <f>D2465*E2465</f>
        <v/>
      </c>
      <c r="G2465">
        <f>AND(B2465&gt;=50,B2465&lt;=10000)</f>
        <v/>
      </c>
      <c r="H2465">
        <f>OR(C2465="NAS",C2465="NYS",C2465="ASE")</f>
        <v/>
      </c>
      <c r="I2465">
        <f>F2465&gt;=500000</f>
        <v/>
      </c>
      <c r="J2465">
        <f>E2465&gt;=2</f>
        <v/>
      </c>
      <c r="K2465">
        <f>AND(G2465,H2465,I2465,J2465)</f>
        <v/>
      </c>
    </row>
    <row r="2466">
      <c r="B2466" s="5">
        <f>BDP(A2466&amp;" US Equity","CUR_MKT_CAP")</f>
        <v/>
      </c>
      <c r="C2466">
        <f>BDP(A2466&amp;" US Equity","EXCH_CODE")</f>
        <v/>
      </c>
      <c r="D2466" s="5">
        <f>BDP(A2466&amp;" US Equity","VOLUME_AVG_20D")</f>
        <v/>
      </c>
      <c r="E2466" s="6">
        <f>BDP(A2466&amp;" US Equity","PX_LAST")</f>
        <v/>
      </c>
      <c r="F2466" s="5">
        <f>D2466*E2466</f>
        <v/>
      </c>
      <c r="G2466">
        <f>AND(B2466&gt;=50,B2466&lt;=10000)</f>
        <v/>
      </c>
      <c r="H2466">
        <f>OR(C2466="NAS",C2466="NYS",C2466="ASE")</f>
        <v/>
      </c>
      <c r="I2466">
        <f>F2466&gt;=500000</f>
        <v/>
      </c>
      <c r="J2466">
        <f>E2466&gt;=2</f>
        <v/>
      </c>
      <c r="K2466">
        <f>AND(G2466,H2466,I2466,J2466)</f>
        <v/>
      </c>
    </row>
    <row r="2467">
      <c r="B2467" s="5">
        <f>BDP(A2467&amp;" US Equity","CUR_MKT_CAP")</f>
        <v/>
      </c>
      <c r="C2467">
        <f>BDP(A2467&amp;" US Equity","EXCH_CODE")</f>
        <v/>
      </c>
      <c r="D2467" s="5">
        <f>BDP(A2467&amp;" US Equity","VOLUME_AVG_20D")</f>
        <v/>
      </c>
      <c r="E2467" s="6">
        <f>BDP(A2467&amp;" US Equity","PX_LAST")</f>
        <v/>
      </c>
      <c r="F2467" s="5">
        <f>D2467*E2467</f>
        <v/>
      </c>
      <c r="G2467">
        <f>AND(B2467&gt;=50,B2467&lt;=10000)</f>
        <v/>
      </c>
      <c r="H2467">
        <f>OR(C2467="NAS",C2467="NYS",C2467="ASE")</f>
        <v/>
      </c>
      <c r="I2467">
        <f>F2467&gt;=500000</f>
        <v/>
      </c>
      <c r="J2467">
        <f>E2467&gt;=2</f>
        <v/>
      </c>
      <c r="K2467">
        <f>AND(G2467,H2467,I2467,J2467)</f>
        <v/>
      </c>
    </row>
    <row r="2468">
      <c r="B2468" s="5">
        <f>BDP(A2468&amp;" US Equity","CUR_MKT_CAP")</f>
        <v/>
      </c>
      <c r="C2468">
        <f>BDP(A2468&amp;" US Equity","EXCH_CODE")</f>
        <v/>
      </c>
      <c r="D2468" s="5">
        <f>BDP(A2468&amp;" US Equity","VOLUME_AVG_20D")</f>
        <v/>
      </c>
      <c r="E2468" s="6">
        <f>BDP(A2468&amp;" US Equity","PX_LAST")</f>
        <v/>
      </c>
      <c r="F2468" s="5">
        <f>D2468*E2468</f>
        <v/>
      </c>
      <c r="G2468">
        <f>AND(B2468&gt;=50,B2468&lt;=10000)</f>
        <v/>
      </c>
      <c r="H2468">
        <f>OR(C2468="NAS",C2468="NYS",C2468="ASE")</f>
        <v/>
      </c>
      <c r="I2468">
        <f>F2468&gt;=500000</f>
        <v/>
      </c>
      <c r="J2468">
        <f>E2468&gt;=2</f>
        <v/>
      </c>
      <c r="K2468">
        <f>AND(G2468,H2468,I2468,J2468)</f>
        <v/>
      </c>
    </row>
    <row r="2469">
      <c r="B2469" s="5">
        <f>BDP(A2469&amp;" US Equity","CUR_MKT_CAP")</f>
        <v/>
      </c>
      <c r="C2469">
        <f>BDP(A2469&amp;" US Equity","EXCH_CODE")</f>
        <v/>
      </c>
      <c r="D2469" s="5">
        <f>BDP(A2469&amp;" US Equity","VOLUME_AVG_20D")</f>
        <v/>
      </c>
      <c r="E2469" s="6">
        <f>BDP(A2469&amp;" US Equity","PX_LAST")</f>
        <v/>
      </c>
      <c r="F2469" s="5">
        <f>D2469*E2469</f>
        <v/>
      </c>
      <c r="G2469">
        <f>AND(B2469&gt;=50,B2469&lt;=10000)</f>
        <v/>
      </c>
      <c r="H2469">
        <f>OR(C2469="NAS",C2469="NYS",C2469="ASE")</f>
        <v/>
      </c>
      <c r="I2469">
        <f>F2469&gt;=500000</f>
        <v/>
      </c>
      <c r="J2469">
        <f>E2469&gt;=2</f>
        <v/>
      </c>
      <c r="K2469">
        <f>AND(G2469,H2469,I2469,J2469)</f>
        <v/>
      </c>
    </row>
    <row r="2470">
      <c r="B2470" s="5">
        <f>BDP(A2470&amp;" US Equity","CUR_MKT_CAP")</f>
        <v/>
      </c>
      <c r="C2470">
        <f>BDP(A2470&amp;" US Equity","EXCH_CODE")</f>
        <v/>
      </c>
      <c r="D2470" s="5">
        <f>BDP(A2470&amp;" US Equity","VOLUME_AVG_20D")</f>
        <v/>
      </c>
      <c r="E2470" s="6">
        <f>BDP(A2470&amp;" US Equity","PX_LAST")</f>
        <v/>
      </c>
      <c r="F2470" s="5">
        <f>D2470*E2470</f>
        <v/>
      </c>
      <c r="G2470">
        <f>AND(B2470&gt;=50,B2470&lt;=10000)</f>
        <v/>
      </c>
      <c r="H2470">
        <f>OR(C2470="NAS",C2470="NYS",C2470="ASE")</f>
        <v/>
      </c>
      <c r="I2470">
        <f>F2470&gt;=500000</f>
        <v/>
      </c>
      <c r="J2470">
        <f>E2470&gt;=2</f>
        <v/>
      </c>
      <c r="K2470">
        <f>AND(G2470,H2470,I2470,J2470)</f>
        <v/>
      </c>
    </row>
    <row r="2471">
      <c r="B2471" s="5">
        <f>BDP(A2471&amp;" US Equity","CUR_MKT_CAP")</f>
        <v/>
      </c>
      <c r="C2471">
        <f>BDP(A2471&amp;" US Equity","EXCH_CODE")</f>
        <v/>
      </c>
      <c r="D2471" s="5">
        <f>BDP(A2471&amp;" US Equity","VOLUME_AVG_20D")</f>
        <v/>
      </c>
      <c r="E2471" s="6">
        <f>BDP(A2471&amp;" US Equity","PX_LAST")</f>
        <v/>
      </c>
      <c r="F2471" s="5">
        <f>D2471*E2471</f>
        <v/>
      </c>
      <c r="G2471">
        <f>AND(B2471&gt;=50,B2471&lt;=10000)</f>
        <v/>
      </c>
      <c r="H2471">
        <f>OR(C2471="NAS",C2471="NYS",C2471="ASE")</f>
        <v/>
      </c>
      <c r="I2471">
        <f>F2471&gt;=500000</f>
        <v/>
      </c>
      <c r="J2471">
        <f>E2471&gt;=2</f>
        <v/>
      </c>
      <c r="K2471">
        <f>AND(G2471,H2471,I2471,J2471)</f>
        <v/>
      </c>
    </row>
    <row r="2472">
      <c r="B2472" s="5">
        <f>BDP(A2472&amp;" US Equity","CUR_MKT_CAP")</f>
        <v/>
      </c>
      <c r="C2472">
        <f>BDP(A2472&amp;" US Equity","EXCH_CODE")</f>
        <v/>
      </c>
      <c r="D2472" s="5">
        <f>BDP(A2472&amp;" US Equity","VOLUME_AVG_20D")</f>
        <v/>
      </c>
      <c r="E2472" s="6">
        <f>BDP(A2472&amp;" US Equity","PX_LAST")</f>
        <v/>
      </c>
      <c r="F2472" s="5">
        <f>D2472*E2472</f>
        <v/>
      </c>
      <c r="G2472">
        <f>AND(B2472&gt;=50,B2472&lt;=10000)</f>
        <v/>
      </c>
      <c r="H2472">
        <f>OR(C2472="NAS",C2472="NYS",C2472="ASE")</f>
        <v/>
      </c>
      <c r="I2472">
        <f>F2472&gt;=500000</f>
        <v/>
      </c>
      <c r="J2472">
        <f>E2472&gt;=2</f>
        <v/>
      </c>
      <c r="K2472">
        <f>AND(G2472,H2472,I2472,J2472)</f>
        <v/>
      </c>
    </row>
    <row r="2473">
      <c r="B2473" s="5">
        <f>BDP(A2473&amp;" US Equity","CUR_MKT_CAP")</f>
        <v/>
      </c>
      <c r="C2473">
        <f>BDP(A2473&amp;" US Equity","EXCH_CODE")</f>
        <v/>
      </c>
      <c r="D2473" s="5">
        <f>BDP(A2473&amp;" US Equity","VOLUME_AVG_20D")</f>
        <v/>
      </c>
      <c r="E2473" s="6">
        <f>BDP(A2473&amp;" US Equity","PX_LAST")</f>
        <v/>
      </c>
      <c r="F2473" s="5">
        <f>D2473*E2473</f>
        <v/>
      </c>
      <c r="G2473">
        <f>AND(B2473&gt;=50,B2473&lt;=10000)</f>
        <v/>
      </c>
      <c r="H2473">
        <f>OR(C2473="NAS",C2473="NYS",C2473="ASE")</f>
        <v/>
      </c>
      <c r="I2473">
        <f>F2473&gt;=500000</f>
        <v/>
      </c>
      <c r="J2473">
        <f>E2473&gt;=2</f>
        <v/>
      </c>
      <c r="K2473">
        <f>AND(G2473,H2473,I2473,J2473)</f>
        <v/>
      </c>
    </row>
    <row r="2474">
      <c r="B2474" s="5">
        <f>BDP(A2474&amp;" US Equity","CUR_MKT_CAP")</f>
        <v/>
      </c>
      <c r="C2474">
        <f>BDP(A2474&amp;" US Equity","EXCH_CODE")</f>
        <v/>
      </c>
      <c r="D2474" s="5">
        <f>BDP(A2474&amp;" US Equity","VOLUME_AVG_20D")</f>
        <v/>
      </c>
      <c r="E2474" s="6">
        <f>BDP(A2474&amp;" US Equity","PX_LAST")</f>
        <v/>
      </c>
      <c r="F2474" s="5">
        <f>D2474*E2474</f>
        <v/>
      </c>
      <c r="G2474">
        <f>AND(B2474&gt;=50,B2474&lt;=10000)</f>
        <v/>
      </c>
      <c r="H2474">
        <f>OR(C2474="NAS",C2474="NYS",C2474="ASE")</f>
        <v/>
      </c>
      <c r="I2474">
        <f>F2474&gt;=500000</f>
        <v/>
      </c>
      <c r="J2474">
        <f>E2474&gt;=2</f>
        <v/>
      </c>
      <c r="K2474">
        <f>AND(G2474,H2474,I2474,J2474)</f>
        <v/>
      </c>
    </row>
    <row r="2475">
      <c r="B2475" s="5">
        <f>BDP(A2475&amp;" US Equity","CUR_MKT_CAP")</f>
        <v/>
      </c>
      <c r="C2475">
        <f>BDP(A2475&amp;" US Equity","EXCH_CODE")</f>
        <v/>
      </c>
      <c r="D2475" s="5">
        <f>BDP(A2475&amp;" US Equity","VOLUME_AVG_20D")</f>
        <v/>
      </c>
      <c r="E2475" s="6">
        <f>BDP(A2475&amp;" US Equity","PX_LAST")</f>
        <v/>
      </c>
      <c r="F2475" s="5">
        <f>D2475*E2475</f>
        <v/>
      </c>
      <c r="G2475">
        <f>AND(B2475&gt;=50,B2475&lt;=10000)</f>
        <v/>
      </c>
      <c r="H2475">
        <f>OR(C2475="NAS",C2475="NYS",C2475="ASE")</f>
        <v/>
      </c>
      <c r="I2475">
        <f>F2475&gt;=500000</f>
        <v/>
      </c>
      <c r="J2475">
        <f>E2475&gt;=2</f>
        <v/>
      </c>
      <c r="K2475">
        <f>AND(G2475,H2475,I2475,J2475)</f>
        <v/>
      </c>
    </row>
    <row r="2476">
      <c r="B2476" s="5">
        <f>BDP(A2476&amp;" US Equity","CUR_MKT_CAP")</f>
        <v/>
      </c>
      <c r="C2476">
        <f>BDP(A2476&amp;" US Equity","EXCH_CODE")</f>
        <v/>
      </c>
      <c r="D2476" s="5">
        <f>BDP(A2476&amp;" US Equity","VOLUME_AVG_20D")</f>
        <v/>
      </c>
      <c r="E2476" s="6">
        <f>BDP(A2476&amp;" US Equity","PX_LAST")</f>
        <v/>
      </c>
      <c r="F2476" s="5">
        <f>D2476*E2476</f>
        <v/>
      </c>
      <c r="G2476">
        <f>AND(B2476&gt;=50,B2476&lt;=10000)</f>
        <v/>
      </c>
      <c r="H2476">
        <f>OR(C2476="NAS",C2476="NYS",C2476="ASE")</f>
        <v/>
      </c>
      <c r="I2476">
        <f>F2476&gt;=500000</f>
        <v/>
      </c>
      <c r="J2476">
        <f>E2476&gt;=2</f>
        <v/>
      </c>
      <c r="K2476">
        <f>AND(G2476,H2476,I2476,J2476)</f>
        <v/>
      </c>
    </row>
    <row r="2477">
      <c r="B2477" s="5">
        <f>BDP(A2477&amp;" US Equity","CUR_MKT_CAP")</f>
        <v/>
      </c>
      <c r="C2477">
        <f>BDP(A2477&amp;" US Equity","EXCH_CODE")</f>
        <v/>
      </c>
      <c r="D2477" s="5">
        <f>BDP(A2477&amp;" US Equity","VOLUME_AVG_20D")</f>
        <v/>
      </c>
      <c r="E2477" s="6">
        <f>BDP(A2477&amp;" US Equity","PX_LAST")</f>
        <v/>
      </c>
      <c r="F2477" s="5">
        <f>D2477*E2477</f>
        <v/>
      </c>
      <c r="G2477">
        <f>AND(B2477&gt;=50,B2477&lt;=10000)</f>
        <v/>
      </c>
      <c r="H2477">
        <f>OR(C2477="NAS",C2477="NYS",C2477="ASE")</f>
        <v/>
      </c>
      <c r="I2477">
        <f>F2477&gt;=500000</f>
        <v/>
      </c>
      <c r="J2477">
        <f>E2477&gt;=2</f>
        <v/>
      </c>
      <c r="K2477">
        <f>AND(G2477,H2477,I2477,J2477)</f>
        <v/>
      </c>
    </row>
    <row r="2478">
      <c r="B2478" s="5">
        <f>BDP(A2478&amp;" US Equity","CUR_MKT_CAP")</f>
        <v/>
      </c>
      <c r="C2478">
        <f>BDP(A2478&amp;" US Equity","EXCH_CODE")</f>
        <v/>
      </c>
      <c r="D2478" s="5">
        <f>BDP(A2478&amp;" US Equity","VOLUME_AVG_20D")</f>
        <v/>
      </c>
      <c r="E2478" s="6">
        <f>BDP(A2478&amp;" US Equity","PX_LAST")</f>
        <v/>
      </c>
      <c r="F2478" s="5">
        <f>D2478*E2478</f>
        <v/>
      </c>
      <c r="G2478">
        <f>AND(B2478&gt;=50,B2478&lt;=10000)</f>
        <v/>
      </c>
      <c r="H2478">
        <f>OR(C2478="NAS",C2478="NYS",C2478="ASE")</f>
        <v/>
      </c>
      <c r="I2478">
        <f>F2478&gt;=500000</f>
        <v/>
      </c>
      <c r="J2478">
        <f>E2478&gt;=2</f>
        <v/>
      </c>
      <c r="K2478">
        <f>AND(G2478,H2478,I2478,J2478)</f>
        <v/>
      </c>
    </row>
    <row r="2479">
      <c r="B2479" s="5">
        <f>BDP(A2479&amp;" US Equity","CUR_MKT_CAP")</f>
        <v/>
      </c>
      <c r="C2479">
        <f>BDP(A2479&amp;" US Equity","EXCH_CODE")</f>
        <v/>
      </c>
      <c r="D2479" s="5">
        <f>BDP(A2479&amp;" US Equity","VOLUME_AVG_20D")</f>
        <v/>
      </c>
      <c r="E2479" s="6">
        <f>BDP(A2479&amp;" US Equity","PX_LAST")</f>
        <v/>
      </c>
      <c r="F2479" s="5">
        <f>D2479*E2479</f>
        <v/>
      </c>
      <c r="G2479">
        <f>AND(B2479&gt;=50,B2479&lt;=10000)</f>
        <v/>
      </c>
      <c r="H2479">
        <f>OR(C2479="NAS",C2479="NYS",C2479="ASE")</f>
        <v/>
      </c>
      <c r="I2479">
        <f>F2479&gt;=500000</f>
        <v/>
      </c>
      <c r="J2479">
        <f>E2479&gt;=2</f>
        <v/>
      </c>
      <c r="K2479">
        <f>AND(G2479,H2479,I2479,J2479)</f>
        <v/>
      </c>
    </row>
    <row r="2480">
      <c r="B2480" s="5">
        <f>BDP(A2480&amp;" US Equity","CUR_MKT_CAP")</f>
        <v/>
      </c>
      <c r="C2480">
        <f>BDP(A2480&amp;" US Equity","EXCH_CODE")</f>
        <v/>
      </c>
      <c r="D2480" s="5">
        <f>BDP(A2480&amp;" US Equity","VOLUME_AVG_20D")</f>
        <v/>
      </c>
      <c r="E2480" s="6">
        <f>BDP(A2480&amp;" US Equity","PX_LAST")</f>
        <v/>
      </c>
      <c r="F2480" s="5">
        <f>D2480*E2480</f>
        <v/>
      </c>
      <c r="G2480">
        <f>AND(B2480&gt;=50,B2480&lt;=10000)</f>
        <v/>
      </c>
      <c r="H2480">
        <f>OR(C2480="NAS",C2480="NYS",C2480="ASE")</f>
        <v/>
      </c>
      <c r="I2480">
        <f>F2480&gt;=500000</f>
        <v/>
      </c>
      <c r="J2480">
        <f>E2480&gt;=2</f>
        <v/>
      </c>
      <c r="K2480">
        <f>AND(G2480,H2480,I2480,J2480)</f>
        <v/>
      </c>
    </row>
    <row r="2481">
      <c r="B2481" s="5">
        <f>BDP(A2481&amp;" US Equity","CUR_MKT_CAP")</f>
        <v/>
      </c>
      <c r="C2481">
        <f>BDP(A2481&amp;" US Equity","EXCH_CODE")</f>
        <v/>
      </c>
      <c r="D2481" s="5">
        <f>BDP(A2481&amp;" US Equity","VOLUME_AVG_20D")</f>
        <v/>
      </c>
      <c r="E2481" s="6">
        <f>BDP(A2481&amp;" US Equity","PX_LAST")</f>
        <v/>
      </c>
      <c r="F2481" s="5">
        <f>D2481*E2481</f>
        <v/>
      </c>
      <c r="G2481">
        <f>AND(B2481&gt;=50,B2481&lt;=10000)</f>
        <v/>
      </c>
      <c r="H2481">
        <f>OR(C2481="NAS",C2481="NYS",C2481="ASE")</f>
        <v/>
      </c>
      <c r="I2481">
        <f>F2481&gt;=500000</f>
        <v/>
      </c>
      <c r="J2481">
        <f>E2481&gt;=2</f>
        <v/>
      </c>
      <c r="K2481">
        <f>AND(G2481,H2481,I2481,J2481)</f>
        <v/>
      </c>
    </row>
    <row r="2482">
      <c r="B2482" s="5">
        <f>BDP(A2482&amp;" US Equity","CUR_MKT_CAP")</f>
        <v/>
      </c>
      <c r="C2482">
        <f>BDP(A2482&amp;" US Equity","EXCH_CODE")</f>
        <v/>
      </c>
      <c r="D2482" s="5">
        <f>BDP(A2482&amp;" US Equity","VOLUME_AVG_20D")</f>
        <v/>
      </c>
      <c r="E2482" s="6">
        <f>BDP(A2482&amp;" US Equity","PX_LAST")</f>
        <v/>
      </c>
      <c r="F2482" s="5">
        <f>D2482*E2482</f>
        <v/>
      </c>
      <c r="G2482">
        <f>AND(B2482&gt;=50,B2482&lt;=10000)</f>
        <v/>
      </c>
      <c r="H2482">
        <f>OR(C2482="NAS",C2482="NYS",C2482="ASE")</f>
        <v/>
      </c>
      <c r="I2482">
        <f>F2482&gt;=500000</f>
        <v/>
      </c>
      <c r="J2482">
        <f>E2482&gt;=2</f>
        <v/>
      </c>
      <c r="K2482">
        <f>AND(G2482,H2482,I2482,J2482)</f>
        <v/>
      </c>
    </row>
    <row r="2483">
      <c r="B2483" s="5">
        <f>BDP(A2483&amp;" US Equity","CUR_MKT_CAP")</f>
        <v/>
      </c>
      <c r="C2483">
        <f>BDP(A2483&amp;" US Equity","EXCH_CODE")</f>
        <v/>
      </c>
      <c r="D2483" s="5">
        <f>BDP(A2483&amp;" US Equity","VOLUME_AVG_20D")</f>
        <v/>
      </c>
      <c r="E2483" s="6">
        <f>BDP(A2483&amp;" US Equity","PX_LAST")</f>
        <v/>
      </c>
      <c r="F2483" s="5">
        <f>D2483*E2483</f>
        <v/>
      </c>
      <c r="G2483">
        <f>AND(B2483&gt;=50,B2483&lt;=10000)</f>
        <v/>
      </c>
      <c r="H2483">
        <f>OR(C2483="NAS",C2483="NYS",C2483="ASE")</f>
        <v/>
      </c>
      <c r="I2483">
        <f>F2483&gt;=500000</f>
        <v/>
      </c>
      <c r="J2483">
        <f>E2483&gt;=2</f>
        <v/>
      </c>
      <c r="K2483">
        <f>AND(G2483,H2483,I2483,J2483)</f>
        <v/>
      </c>
    </row>
    <row r="2484">
      <c r="B2484" s="5">
        <f>BDP(A2484&amp;" US Equity","CUR_MKT_CAP")</f>
        <v/>
      </c>
      <c r="C2484">
        <f>BDP(A2484&amp;" US Equity","EXCH_CODE")</f>
        <v/>
      </c>
      <c r="D2484" s="5">
        <f>BDP(A2484&amp;" US Equity","VOLUME_AVG_20D")</f>
        <v/>
      </c>
      <c r="E2484" s="6">
        <f>BDP(A2484&amp;" US Equity","PX_LAST")</f>
        <v/>
      </c>
      <c r="F2484" s="5">
        <f>D2484*E2484</f>
        <v/>
      </c>
      <c r="G2484">
        <f>AND(B2484&gt;=50,B2484&lt;=10000)</f>
        <v/>
      </c>
      <c r="H2484">
        <f>OR(C2484="NAS",C2484="NYS",C2484="ASE")</f>
        <v/>
      </c>
      <c r="I2484">
        <f>F2484&gt;=500000</f>
        <v/>
      </c>
      <c r="J2484">
        <f>E2484&gt;=2</f>
        <v/>
      </c>
      <c r="K2484">
        <f>AND(G2484,H2484,I2484,J2484)</f>
        <v/>
      </c>
    </row>
    <row r="2485">
      <c r="B2485" s="5">
        <f>BDP(A2485&amp;" US Equity","CUR_MKT_CAP")</f>
        <v/>
      </c>
      <c r="C2485">
        <f>BDP(A2485&amp;" US Equity","EXCH_CODE")</f>
        <v/>
      </c>
      <c r="D2485" s="5">
        <f>BDP(A2485&amp;" US Equity","VOLUME_AVG_20D")</f>
        <v/>
      </c>
      <c r="E2485" s="6">
        <f>BDP(A2485&amp;" US Equity","PX_LAST")</f>
        <v/>
      </c>
      <c r="F2485" s="5">
        <f>D2485*E2485</f>
        <v/>
      </c>
      <c r="G2485">
        <f>AND(B2485&gt;=50,B2485&lt;=10000)</f>
        <v/>
      </c>
      <c r="H2485">
        <f>OR(C2485="NAS",C2485="NYS",C2485="ASE")</f>
        <v/>
      </c>
      <c r="I2485">
        <f>F2485&gt;=500000</f>
        <v/>
      </c>
      <c r="J2485">
        <f>E2485&gt;=2</f>
        <v/>
      </c>
      <c r="K2485">
        <f>AND(G2485,H2485,I2485,J2485)</f>
        <v/>
      </c>
    </row>
    <row r="2486">
      <c r="B2486" s="5">
        <f>BDP(A2486&amp;" US Equity","CUR_MKT_CAP")</f>
        <v/>
      </c>
      <c r="C2486">
        <f>BDP(A2486&amp;" US Equity","EXCH_CODE")</f>
        <v/>
      </c>
      <c r="D2486" s="5">
        <f>BDP(A2486&amp;" US Equity","VOLUME_AVG_20D")</f>
        <v/>
      </c>
      <c r="E2486" s="6">
        <f>BDP(A2486&amp;" US Equity","PX_LAST")</f>
        <v/>
      </c>
      <c r="F2486" s="5">
        <f>D2486*E2486</f>
        <v/>
      </c>
      <c r="G2486">
        <f>AND(B2486&gt;=50,B2486&lt;=10000)</f>
        <v/>
      </c>
      <c r="H2486">
        <f>OR(C2486="NAS",C2486="NYS",C2486="ASE")</f>
        <v/>
      </c>
      <c r="I2486">
        <f>F2486&gt;=500000</f>
        <v/>
      </c>
      <c r="J2486">
        <f>E2486&gt;=2</f>
        <v/>
      </c>
      <c r="K2486">
        <f>AND(G2486,H2486,I2486,J2486)</f>
        <v/>
      </c>
    </row>
    <row r="2487">
      <c r="B2487" s="5">
        <f>BDP(A2487&amp;" US Equity","CUR_MKT_CAP")</f>
        <v/>
      </c>
      <c r="C2487">
        <f>BDP(A2487&amp;" US Equity","EXCH_CODE")</f>
        <v/>
      </c>
      <c r="D2487" s="5">
        <f>BDP(A2487&amp;" US Equity","VOLUME_AVG_20D")</f>
        <v/>
      </c>
      <c r="E2487" s="6">
        <f>BDP(A2487&amp;" US Equity","PX_LAST")</f>
        <v/>
      </c>
      <c r="F2487" s="5">
        <f>D2487*E2487</f>
        <v/>
      </c>
      <c r="G2487">
        <f>AND(B2487&gt;=50,B2487&lt;=10000)</f>
        <v/>
      </c>
      <c r="H2487">
        <f>OR(C2487="NAS",C2487="NYS",C2487="ASE")</f>
        <v/>
      </c>
      <c r="I2487">
        <f>F2487&gt;=500000</f>
        <v/>
      </c>
      <c r="J2487">
        <f>E2487&gt;=2</f>
        <v/>
      </c>
      <c r="K2487">
        <f>AND(G2487,H2487,I2487,J2487)</f>
        <v/>
      </c>
    </row>
    <row r="2488">
      <c r="B2488" s="5">
        <f>BDP(A2488&amp;" US Equity","CUR_MKT_CAP")</f>
        <v/>
      </c>
      <c r="C2488">
        <f>BDP(A2488&amp;" US Equity","EXCH_CODE")</f>
        <v/>
      </c>
      <c r="D2488" s="5">
        <f>BDP(A2488&amp;" US Equity","VOLUME_AVG_20D")</f>
        <v/>
      </c>
      <c r="E2488" s="6">
        <f>BDP(A2488&amp;" US Equity","PX_LAST")</f>
        <v/>
      </c>
      <c r="F2488" s="5">
        <f>D2488*E2488</f>
        <v/>
      </c>
      <c r="G2488">
        <f>AND(B2488&gt;=50,B2488&lt;=10000)</f>
        <v/>
      </c>
      <c r="H2488">
        <f>OR(C2488="NAS",C2488="NYS",C2488="ASE")</f>
        <v/>
      </c>
      <c r="I2488">
        <f>F2488&gt;=500000</f>
        <v/>
      </c>
      <c r="J2488">
        <f>E2488&gt;=2</f>
        <v/>
      </c>
      <c r="K2488">
        <f>AND(G2488,H2488,I2488,J2488)</f>
        <v/>
      </c>
    </row>
    <row r="2489">
      <c r="B2489" s="5">
        <f>BDP(A2489&amp;" US Equity","CUR_MKT_CAP")</f>
        <v/>
      </c>
      <c r="C2489">
        <f>BDP(A2489&amp;" US Equity","EXCH_CODE")</f>
        <v/>
      </c>
      <c r="D2489" s="5">
        <f>BDP(A2489&amp;" US Equity","VOLUME_AVG_20D")</f>
        <v/>
      </c>
      <c r="E2489" s="6">
        <f>BDP(A2489&amp;" US Equity","PX_LAST")</f>
        <v/>
      </c>
      <c r="F2489" s="5">
        <f>D2489*E2489</f>
        <v/>
      </c>
      <c r="G2489">
        <f>AND(B2489&gt;=50,B2489&lt;=10000)</f>
        <v/>
      </c>
      <c r="H2489">
        <f>OR(C2489="NAS",C2489="NYS",C2489="ASE")</f>
        <v/>
      </c>
      <c r="I2489">
        <f>F2489&gt;=500000</f>
        <v/>
      </c>
      <c r="J2489">
        <f>E2489&gt;=2</f>
        <v/>
      </c>
      <c r="K2489">
        <f>AND(G2489,H2489,I2489,J2489)</f>
        <v/>
      </c>
    </row>
    <row r="2490">
      <c r="B2490" s="5">
        <f>BDP(A2490&amp;" US Equity","CUR_MKT_CAP")</f>
        <v/>
      </c>
      <c r="C2490">
        <f>BDP(A2490&amp;" US Equity","EXCH_CODE")</f>
        <v/>
      </c>
      <c r="D2490" s="5">
        <f>BDP(A2490&amp;" US Equity","VOLUME_AVG_20D")</f>
        <v/>
      </c>
      <c r="E2490" s="6">
        <f>BDP(A2490&amp;" US Equity","PX_LAST")</f>
        <v/>
      </c>
      <c r="F2490" s="5">
        <f>D2490*E2490</f>
        <v/>
      </c>
      <c r="G2490">
        <f>AND(B2490&gt;=50,B2490&lt;=10000)</f>
        <v/>
      </c>
      <c r="H2490">
        <f>OR(C2490="NAS",C2490="NYS",C2490="ASE")</f>
        <v/>
      </c>
      <c r="I2490">
        <f>F2490&gt;=500000</f>
        <v/>
      </c>
      <c r="J2490">
        <f>E2490&gt;=2</f>
        <v/>
      </c>
      <c r="K2490">
        <f>AND(G2490,H2490,I2490,J2490)</f>
        <v/>
      </c>
    </row>
    <row r="2491">
      <c r="B2491" s="5">
        <f>BDP(A2491&amp;" US Equity","CUR_MKT_CAP")</f>
        <v/>
      </c>
      <c r="C2491">
        <f>BDP(A2491&amp;" US Equity","EXCH_CODE")</f>
        <v/>
      </c>
      <c r="D2491" s="5">
        <f>BDP(A2491&amp;" US Equity","VOLUME_AVG_20D")</f>
        <v/>
      </c>
      <c r="E2491" s="6">
        <f>BDP(A2491&amp;" US Equity","PX_LAST")</f>
        <v/>
      </c>
      <c r="F2491" s="5">
        <f>D2491*E2491</f>
        <v/>
      </c>
      <c r="G2491">
        <f>AND(B2491&gt;=50,B2491&lt;=10000)</f>
        <v/>
      </c>
      <c r="H2491">
        <f>OR(C2491="NAS",C2491="NYS",C2491="ASE")</f>
        <v/>
      </c>
      <c r="I2491">
        <f>F2491&gt;=500000</f>
        <v/>
      </c>
      <c r="J2491">
        <f>E2491&gt;=2</f>
        <v/>
      </c>
      <c r="K2491">
        <f>AND(G2491,H2491,I2491,J2491)</f>
        <v/>
      </c>
    </row>
    <row r="2492">
      <c r="B2492" s="5">
        <f>BDP(A2492&amp;" US Equity","CUR_MKT_CAP")</f>
        <v/>
      </c>
      <c r="C2492">
        <f>BDP(A2492&amp;" US Equity","EXCH_CODE")</f>
        <v/>
      </c>
      <c r="D2492" s="5">
        <f>BDP(A2492&amp;" US Equity","VOLUME_AVG_20D")</f>
        <v/>
      </c>
      <c r="E2492" s="6">
        <f>BDP(A2492&amp;" US Equity","PX_LAST")</f>
        <v/>
      </c>
      <c r="F2492" s="5">
        <f>D2492*E2492</f>
        <v/>
      </c>
      <c r="G2492">
        <f>AND(B2492&gt;=50,B2492&lt;=10000)</f>
        <v/>
      </c>
      <c r="H2492">
        <f>OR(C2492="NAS",C2492="NYS",C2492="ASE")</f>
        <v/>
      </c>
      <c r="I2492">
        <f>F2492&gt;=500000</f>
        <v/>
      </c>
      <c r="J2492">
        <f>E2492&gt;=2</f>
        <v/>
      </c>
      <c r="K2492">
        <f>AND(G2492,H2492,I2492,J2492)</f>
        <v/>
      </c>
    </row>
    <row r="2493">
      <c r="B2493" s="5">
        <f>BDP(A2493&amp;" US Equity","CUR_MKT_CAP")</f>
        <v/>
      </c>
      <c r="C2493">
        <f>BDP(A2493&amp;" US Equity","EXCH_CODE")</f>
        <v/>
      </c>
      <c r="D2493" s="5">
        <f>BDP(A2493&amp;" US Equity","VOLUME_AVG_20D")</f>
        <v/>
      </c>
      <c r="E2493" s="6">
        <f>BDP(A2493&amp;" US Equity","PX_LAST")</f>
        <v/>
      </c>
      <c r="F2493" s="5">
        <f>D2493*E2493</f>
        <v/>
      </c>
      <c r="G2493">
        <f>AND(B2493&gt;=50,B2493&lt;=10000)</f>
        <v/>
      </c>
      <c r="H2493">
        <f>OR(C2493="NAS",C2493="NYS",C2493="ASE")</f>
        <v/>
      </c>
      <c r="I2493">
        <f>F2493&gt;=500000</f>
        <v/>
      </c>
      <c r="J2493">
        <f>E2493&gt;=2</f>
        <v/>
      </c>
      <c r="K2493">
        <f>AND(G2493,H2493,I2493,J2493)</f>
        <v/>
      </c>
    </row>
    <row r="2494">
      <c r="B2494" s="5">
        <f>BDP(A2494&amp;" US Equity","CUR_MKT_CAP")</f>
        <v/>
      </c>
      <c r="C2494">
        <f>BDP(A2494&amp;" US Equity","EXCH_CODE")</f>
        <v/>
      </c>
      <c r="D2494" s="5">
        <f>BDP(A2494&amp;" US Equity","VOLUME_AVG_20D")</f>
        <v/>
      </c>
      <c r="E2494" s="6">
        <f>BDP(A2494&amp;" US Equity","PX_LAST")</f>
        <v/>
      </c>
      <c r="F2494" s="5">
        <f>D2494*E2494</f>
        <v/>
      </c>
      <c r="G2494">
        <f>AND(B2494&gt;=50,B2494&lt;=10000)</f>
        <v/>
      </c>
      <c r="H2494">
        <f>OR(C2494="NAS",C2494="NYS",C2494="ASE")</f>
        <v/>
      </c>
      <c r="I2494">
        <f>F2494&gt;=500000</f>
        <v/>
      </c>
      <c r="J2494">
        <f>E2494&gt;=2</f>
        <v/>
      </c>
      <c r="K2494">
        <f>AND(G2494,H2494,I2494,J2494)</f>
        <v/>
      </c>
    </row>
    <row r="2495">
      <c r="B2495" s="5">
        <f>BDP(A2495&amp;" US Equity","CUR_MKT_CAP")</f>
        <v/>
      </c>
      <c r="C2495">
        <f>BDP(A2495&amp;" US Equity","EXCH_CODE")</f>
        <v/>
      </c>
      <c r="D2495" s="5">
        <f>BDP(A2495&amp;" US Equity","VOLUME_AVG_20D")</f>
        <v/>
      </c>
      <c r="E2495" s="6">
        <f>BDP(A2495&amp;" US Equity","PX_LAST")</f>
        <v/>
      </c>
      <c r="F2495" s="5">
        <f>D2495*E2495</f>
        <v/>
      </c>
      <c r="G2495">
        <f>AND(B2495&gt;=50,B2495&lt;=10000)</f>
        <v/>
      </c>
      <c r="H2495">
        <f>OR(C2495="NAS",C2495="NYS",C2495="ASE")</f>
        <v/>
      </c>
      <c r="I2495">
        <f>F2495&gt;=500000</f>
        <v/>
      </c>
      <c r="J2495">
        <f>E2495&gt;=2</f>
        <v/>
      </c>
      <c r="K2495">
        <f>AND(G2495,H2495,I2495,J2495)</f>
        <v/>
      </c>
    </row>
    <row r="2496">
      <c r="B2496" s="5">
        <f>BDP(A2496&amp;" US Equity","CUR_MKT_CAP")</f>
        <v/>
      </c>
      <c r="C2496">
        <f>BDP(A2496&amp;" US Equity","EXCH_CODE")</f>
        <v/>
      </c>
      <c r="D2496" s="5">
        <f>BDP(A2496&amp;" US Equity","VOLUME_AVG_20D")</f>
        <v/>
      </c>
      <c r="E2496" s="6">
        <f>BDP(A2496&amp;" US Equity","PX_LAST")</f>
        <v/>
      </c>
      <c r="F2496" s="5">
        <f>D2496*E2496</f>
        <v/>
      </c>
      <c r="G2496">
        <f>AND(B2496&gt;=50,B2496&lt;=10000)</f>
        <v/>
      </c>
      <c r="H2496">
        <f>OR(C2496="NAS",C2496="NYS",C2496="ASE")</f>
        <v/>
      </c>
      <c r="I2496">
        <f>F2496&gt;=500000</f>
        <v/>
      </c>
      <c r="J2496">
        <f>E2496&gt;=2</f>
        <v/>
      </c>
      <c r="K2496">
        <f>AND(G2496,H2496,I2496,J2496)</f>
        <v/>
      </c>
    </row>
    <row r="2497">
      <c r="B2497" s="5">
        <f>BDP(A2497&amp;" US Equity","CUR_MKT_CAP")</f>
        <v/>
      </c>
      <c r="C2497">
        <f>BDP(A2497&amp;" US Equity","EXCH_CODE")</f>
        <v/>
      </c>
      <c r="D2497" s="5">
        <f>BDP(A2497&amp;" US Equity","VOLUME_AVG_20D")</f>
        <v/>
      </c>
      <c r="E2497" s="6">
        <f>BDP(A2497&amp;" US Equity","PX_LAST")</f>
        <v/>
      </c>
      <c r="F2497" s="5">
        <f>D2497*E2497</f>
        <v/>
      </c>
      <c r="G2497">
        <f>AND(B2497&gt;=50,B2497&lt;=10000)</f>
        <v/>
      </c>
      <c r="H2497">
        <f>OR(C2497="NAS",C2497="NYS",C2497="ASE")</f>
        <v/>
      </c>
      <c r="I2497">
        <f>F2497&gt;=500000</f>
        <v/>
      </c>
      <c r="J2497">
        <f>E2497&gt;=2</f>
        <v/>
      </c>
      <c r="K2497">
        <f>AND(G2497,H2497,I2497,J2497)</f>
        <v/>
      </c>
    </row>
    <row r="2498">
      <c r="B2498" s="5">
        <f>BDP(A2498&amp;" US Equity","CUR_MKT_CAP")</f>
        <v/>
      </c>
      <c r="C2498">
        <f>BDP(A2498&amp;" US Equity","EXCH_CODE")</f>
        <v/>
      </c>
      <c r="D2498" s="5">
        <f>BDP(A2498&amp;" US Equity","VOLUME_AVG_20D")</f>
        <v/>
      </c>
      <c r="E2498" s="6">
        <f>BDP(A2498&amp;" US Equity","PX_LAST")</f>
        <v/>
      </c>
      <c r="F2498" s="5">
        <f>D2498*E2498</f>
        <v/>
      </c>
      <c r="G2498">
        <f>AND(B2498&gt;=50,B2498&lt;=10000)</f>
        <v/>
      </c>
      <c r="H2498">
        <f>OR(C2498="NAS",C2498="NYS",C2498="ASE")</f>
        <v/>
      </c>
      <c r="I2498">
        <f>F2498&gt;=500000</f>
        <v/>
      </c>
      <c r="J2498">
        <f>E2498&gt;=2</f>
        <v/>
      </c>
      <c r="K2498">
        <f>AND(G2498,H2498,I2498,J2498)</f>
        <v/>
      </c>
    </row>
    <row r="2499">
      <c r="B2499" s="5">
        <f>BDP(A2499&amp;" US Equity","CUR_MKT_CAP")</f>
        <v/>
      </c>
      <c r="C2499">
        <f>BDP(A2499&amp;" US Equity","EXCH_CODE")</f>
        <v/>
      </c>
      <c r="D2499" s="5">
        <f>BDP(A2499&amp;" US Equity","VOLUME_AVG_20D")</f>
        <v/>
      </c>
      <c r="E2499" s="6">
        <f>BDP(A2499&amp;" US Equity","PX_LAST")</f>
        <v/>
      </c>
      <c r="F2499" s="5">
        <f>D2499*E2499</f>
        <v/>
      </c>
      <c r="G2499">
        <f>AND(B2499&gt;=50,B2499&lt;=10000)</f>
        <v/>
      </c>
      <c r="H2499">
        <f>OR(C2499="NAS",C2499="NYS",C2499="ASE")</f>
        <v/>
      </c>
      <c r="I2499">
        <f>F2499&gt;=500000</f>
        <v/>
      </c>
      <c r="J2499">
        <f>E2499&gt;=2</f>
        <v/>
      </c>
      <c r="K2499">
        <f>AND(G2499,H2499,I2499,J2499)</f>
        <v/>
      </c>
    </row>
    <row r="2500">
      <c r="B2500" s="5">
        <f>BDP(A2500&amp;" US Equity","CUR_MKT_CAP")</f>
        <v/>
      </c>
      <c r="C2500">
        <f>BDP(A2500&amp;" US Equity","EXCH_CODE")</f>
        <v/>
      </c>
      <c r="D2500" s="5">
        <f>BDP(A2500&amp;" US Equity","VOLUME_AVG_20D")</f>
        <v/>
      </c>
      <c r="E2500" s="6">
        <f>BDP(A2500&amp;" US Equity","PX_LAST")</f>
        <v/>
      </c>
      <c r="F2500" s="5">
        <f>D2500*E2500</f>
        <v/>
      </c>
      <c r="G2500">
        <f>AND(B2500&gt;=50,B2500&lt;=10000)</f>
        <v/>
      </c>
      <c r="H2500">
        <f>OR(C2500="NAS",C2500="NYS",C2500="ASE")</f>
        <v/>
      </c>
      <c r="I2500">
        <f>F2500&gt;=500000</f>
        <v/>
      </c>
      <c r="J2500">
        <f>E2500&gt;=2</f>
        <v/>
      </c>
      <c r="K2500">
        <f>AND(G2500,H2500,I2500,J2500)</f>
        <v/>
      </c>
    </row>
    <row r="2501">
      <c r="B2501" s="5">
        <f>BDP(A2501&amp;" US Equity","CUR_MKT_CAP")</f>
        <v/>
      </c>
      <c r="C2501">
        <f>BDP(A2501&amp;" US Equity","EXCH_CODE")</f>
        <v/>
      </c>
      <c r="D2501" s="5">
        <f>BDP(A2501&amp;" US Equity","VOLUME_AVG_20D")</f>
        <v/>
      </c>
      <c r="E2501" s="6">
        <f>BDP(A2501&amp;" US Equity","PX_LAST")</f>
        <v/>
      </c>
      <c r="F2501" s="5">
        <f>D2501*E2501</f>
        <v/>
      </c>
      <c r="G2501">
        <f>AND(B2501&gt;=50,B2501&lt;=10000)</f>
        <v/>
      </c>
      <c r="H2501">
        <f>OR(C2501="NAS",C2501="NYS",C2501="ASE")</f>
        <v/>
      </c>
      <c r="I2501">
        <f>F2501&gt;=500000</f>
        <v/>
      </c>
      <c r="J2501">
        <f>E2501&gt;=2</f>
        <v/>
      </c>
      <c r="K2501">
        <f>AND(G2501,H2501,I2501,J2501)</f>
        <v/>
      </c>
    </row>
  </sheetData>
  <conditionalFormatting sqref="K2:K2501">
    <cfRule type="cellIs" priority="1" operator="equal" dxfId="0">
      <formula>"TRUE"</formula>
    </cfRule>
    <cfRule type="expression" priority="2" dxfId="0">
      <formula>K2=TRUE</formula>
    </cfRule>
    <cfRule type="cellIs" priority="3" operator="equal" dxfId="1">
      <formula>"FALSE"</formula>
    </cfRule>
    <cfRule type="expression" priority="4" dxfId="1">
      <formula>K2=FALSE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16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9" max="9"/>
  </cols>
  <sheetData>
    <row r="1">
      <c r="A1" s="7" t="inlineStr">
        <is>
          <t>INSTRUCTIONS: Paste qualifying tickers into column I (Ticker Input). BDH formulas auto-populate OHLCV data. Each ticker block = 320 rows.</t>
        </is>
      </c>
    </row>
    <row r="2">
      <c r="A2" s="4" t="inlineStr">
        <is>
          <t>Ticker</t>
        </is>
      </c>
      <c r="B2" s="4" t="inlineStr">
        <is>
          <t>Date</t>
        </is>
      </c>
      <c r="C2" s="4" t="inlineStr">
        <is>
          <t>Open</t>
        </is>
      </c>
      <c r="D2" s="4" t="inlineStr">
        <is>
          <t>High</t>
        </is>
      </c>
      <c r="E2" s="4" t="inlineStr">
        <is>
          <t>Low</t>
        </is>
      </c>
      <c r="F2" s="4" t="inlineStr">
        <is>
          <t>Close</t>
        </is>
      </c>
      <c r="G2" s="4" t="inlineStr">
        <is>
          <t>Volume</t>
        </is>
      </c>
      <c r="I2" s="4" t="inlineStr">
        <is>
          <t>Ticker Input</t>
        </is>
      </c>
    </row>
    <row r="3">
      <c r="A3">
        <f>I3</f>
        <v/>
      </c>
      <c r="B3">
        <f>BDH(A3&amp;" US Equity","PX_OPEN,PX_HIGH,PX_LOW,PX_LAST,VOLUME",TEXT(EDATE(TODAY(),-15),"MM/DD/YYYY"),TEXT(TODAY(),"MM/DD/YYYY"),"Days","A","Fill","P","CshAdjNormal","Y","CshAdjAbnormal","Y")</f>
        <v/>
      </c>
      <c r="C3" s="6" t="n"/>
      <c r="D3" s="6" t="n"/>
      <c r="E3" s="6" t="n"/>
      <c r="F3" s="6" t="n"/>
      <c r="G3" s="5" t="n"/>
      <c r="I3" s="8" t="n"/>
    </row>
    <row r="4">
      <c r="I4" s="8" t="n"/>
    </row>
    <row r="5">
      <c r="I5" s="8" t="n"/>
    </row>
    <row r="6">
      <c r="I6" s="8" t="n"/>
    </row>
    <row r="7">
      <c r="I7" s="8" t="n"/>
    </row>
    <row r="8">
      <c r="I8" s="8" t="n"/>
    </row>
    <row r="9">
      <c r="I9" s="8" t="n"/>
    </row>
    <row r="10">
      <c r="I10" s="8" t="n"/>
    </row>
    <row r="11">
      <c r="I11" s="8" t="n"/>
    </row>
    <row r="12">
      <c r="I12" s="8" t="n"/>
    </row>
    <row r="13">
      <c r="I13" s="8" t="n"/>
    </row>
    <row r="14">
      <c r="I14" s="8" t="n"/>
    </row>
    <row r="15">
      <c r="I15" s="8" t="n"/>
    </row>
    <row r="16">
      <c r="I16" s="8" t="n"/>
    </row>
    <row r="17">
      <c r="I17" s="8" t="n"/>
    </row>
    <row r="18">
      <c r="I18" s="8" t="n"/>
    </row>
    <row r="19">
      <c r="I19" s="8" t="n"/>
    </row>
    <row r="20">
      <c r="I20" s="8" t="n"/>
    </row>
    <row r="21">
      <c r="I21" s="8" t="n"/>
    </row>
    <row r="22">
      <c r="I22" s="8" t="n"/>
    </row>
    <row r="23">
      <c r="I23" s="8" t="n"/>
    </row>
    <row r="24">
      <c r="I24" s="8" t="n"/>
    </row>
    <row r="25">
      <c r="I25" s="8" t="n"/>
    </row>
    <row r="26">
      <c r="I26" s="8" t="n"/>
    </row>
    <row r="27">
      <c r="I27" s="8" t="n"/>
    </row>
    <row r="28">
      <c r="I28" s="8" t="n"/>
    </row>
    <row r="29">
      <c r="I29" s="8" t="n"/>
    </row>
    <row r="30">
      <c r="I30" s="8" t="n"/>
    </row>
    <row r="31">
      <c r="I31" s="8" t="n"/>
    </row>
    <row r="32">
      <c r="I32" s="8" t="n"/>
    </row>
    <row r="33">
      <c r="I33" s="8" t="n"/>
    </row>
    <row r="34">
      <c r="I34" s="8" t="n"/>
    </row>
    <row r="35">
      <c r="I35" s="8" t="n"/>
    </row>
    <row r="36">
      <c r="I36" s="8" t="n"/>
    </row>
    <row r="37">
      <c r="I37" s="8" t="n"/>
    </row>
    <row r="38">
      <c r="I38" s="8" t="n"/>
    </row>
    <row r="39">
      <c r="I39" s="8" t="n"/>
    </row>
    <row r="40">
      <c r="I40" s="8" t="n"/>
    </row>
    <row r="41">
      <c r="I41" s="8" t="n"/>
    </row>
    <row r="42">
      <c r="I42" s="8" t="n"/>
    </row>
    <row r="43">
      <c r="I43" s="8" t="n"/>
    </row>
    <row r="44">
      <c r="I44" s="8" t="n"/>
    </row>
    <row r="45">
      <c r="I45" s="8" t="n"/>
    </row>
    <row r="46">
      <c r="I46" s="8" t="n"/>
    </row>
    <row r="47">
      <c r="I47" s="8" t="n"/>
    </row>
    <row r="48">
      <c r="I48" s="8" t="n"/>
    </row>
    <row r="49">
      <c r="I49" s="8" t="n"/>
    </row>
    <row r="50">
      <c r="I50" s="8" t="n"/>
    </row>
    <row r="51">
      <c r="I51" s="8" t="n"/>
    </row>
    <row r="52">
      <c r="I52" s="8" t="n"/>
    </row>
    <row r="53">
      <c r="I53" s="8" t="n"/>
    </row>
    <row r="54">
      <c r="I54" s="8" t="n"/>
    </row>
    <row r="55">
      <c r="I55" s="8" t="n"/>
    </row>
    <row r="56">
      <c r="I56" s="8" t="n"/>
    </row>
    <row r="57">
      <c r="I57" s="8" t="n"/>
    </row>
    <row r="58">
      <c r="I58" s="8" t="n"/>
    </row>
    <row r="59">
      <c r="I59" s="8" t="n"/>
    </row>
    <row r="60">
      <c r="I60" s="8" t="n"/>
    </row>
    <row r="61">
      <c r="I61" s="8" t="n"/>
    </row>
    <row r="62">
      <c r="I62" s="8" t="n"/>
    </row>
    <row r="63">
      <c r="I63" s="8" t="n"/>
    </row>
    <row r="64">
      <c r="I64" s="8" t="n"/>
    </row>
    <row r="65">
      <c r="I65" s="8" t="n"/>
    </row>
    <row r="66">
      <c r="I66" s="8" t="n"/>
    </row>
    <row r="67">
      <c r="I67" s="8" t="n"/>
    </row>
    <row r="68">
      <c r="I68" s="8" t="n"/>
    </row>
    <row r="69">
      <c r="I69" s="8" t="n"/>
    </row>
    <row r="70">
      <c r="I70" s="8" t="n"/>
    </row>
    <row r="71">
      <c r="I71" s="8" t="n"/>
    </row>
    <row r="72">
      <c r="I72" s="8" t="n"/>
    </row>
    <row r="73">
      <c r="I73" s="8" t="n"/>
    </row>
    <row r="74">
      <c r="I74" s="8" t="n"/>
    </row>
    <row r="75">
      <c r="I75" s="8" t="n"/>
    </row>
    <row r="76">
      <c r="I76" s="8" t="n"/>
    </row>
    <row r="77">
      <c r="I77" s="8" t="n"/>
    </row>
    <row r="78">
      <c r="I78" s="8" t="n"/>
    </row>
    <row r="79">
      <c r="I79" s="8" t="n"/>
    </row>
    <row r="80">
      <c r="I80" s="8" t="n"/>
    </row>
    <row r="81">
      <c r="I81" s="8" t="n"/>
    </row>
    <row r="82">
      <c r="I82" s="8" t="n"/>
    </row>
    <row r="83">
      <c r="I83" s="8" t="n"/>
    </row>
    <row r="84">
      <c r="I84" s="8" t="n"/>
    </row>
    <row r="85">
      <c r="I85" s="8" t="n"/>
    </row>
    <row r="86">
      <c r="I86" s="8" t="n"/>
    </row>
    <row r="87">
      <c r="I87" s="8" t="n"/>
    </row>
    <row r="88">
      <c r="I88" s="8" t="n"/>
    </row>
    <row r="89">
      <c r="I89" s="8" t="n"/>
    </row>
    <row r="90">
      <c r="I90" s="8" t="n"/>
    </row>
    <row r="91">
      <c r="I91" s="8" t="n"/>
    </row>
    <row r="92">
      <c r="I92" s="8" t="n"/>
    </row>
    <row r="93">
      <c r="I93" s="8" t="n"/>
    </row>
    <row r="94">
      <c r="I94" s="8" t="n"/>
    </row>
    <row r="95">
      <c r="I95" s="8" t="n"/>
    </row>
    <row r="96">
      <c r="I96" s="8" t="n"/>
    </row>
    <row r="97">
      <c r="I97" s="8" t="n"/>
    </row>
    <row r="98">
      <c r="I98" s="8" t="n"/>
    </row>
    <row r="99">
      <c r="I99" s="8" t="n"/>
    </row>
    <row r="100">
      <c r="I100" s="8" t="n"/>
    </row>
    <row r="101">
      <c r="I101" s="8" t="n"/>
    </row>
    <row r="102">
      <c r="I102" s="8" t="n"/>
    </row>
    <row r="323">
      <c r="A323">
        <f>I4</f>
        <v/>
      </c>
      <c r="B323">
        <f>BDH(A323&amp;" US Equity","PX_OPEN,PX_HIGH,PX_LOW,PX_LAST,VOLUME",TEXT(EDATE(TODAY(),-15),"MM/DD/YYYY"),TEXT(TODAY(),"MM/DD/YYYY"),"Days","A","Fill","P","CshAdjNormal","Y","CshAdjAbnormal","Y")</f>
        <v/>
      </c>
      <c r="C323" s="6" t="n"/>
      <c r="D323" s="6" t="n"/>
      <c r="E323" s="6" t="n"/>
      <c r="F323" s="6" t="n"/>
      <c r="G323" s="5" t="n"/>
    </row>
    <row r="643">
      <c r="A643">
        <f>I5</f>
        <v/>
      </c>
      <c r="B643">
        <f>BDH(A643&amp;" US Equity","PX_OPEN,PX_HIGH,PX_LOW,PX_LAST,VOLUME",TEXT(EDATE(TODAY(),-15),"MM/DD/YYYY"),TEXT(TODAY(),"MM/DD/YYYY"),"Days","A","Fill","P","CshAdjNormal","Y","CshAdjAbnormal","Y")</f>
        <v/>
      </c>
      <c r="C643" s="6" t="n"/>
      <c r="D643" s="6" t="n"/>
      <c r="E643" s="6" t="n"/>
      <c r="F643" s="6" t="n"/>
      <c r="G643" s="5" t="n"/>
    </row>
    <row r="963">
      <c r="A963">
        <f>I6</f>
        <v/>
      </c>
      <c r="B963">
        <f>BDH(A963&amp;" US Equity","PX_OPEN,PX_HIGH,PX_LOW,PX_LAST,VOLUME",TEXT(EDATE(TODAY(),-15),"MM/DD/YYYY"),TEXT(TODAY(),"MM/DD/YYYY"),"Days","A","Fill","P","CshAdjNormal","Y","CshAdjAbnormal","Y")</f>
        <v/>
      </c>
      <c r="C963" s="6" t="n"/>
      <c r="D963" s="6" t="n"/>
      <c r="E963" s="6" t="n"/>
      <c r="F963" s="6" t="n"/>
      <c r="G963" s="5" t="n"/>
    </row>
    <row r="1283">
      <c r="A1283">
        <f>I7</f>
        <v/>
      </c>
      <c r="B1283">
        <f>BDH(A1283&amp;" US Equity","PX_OPEN,PX_HIGH,PX_LOW,PX_LAST,VOLUME",TEXT(EDATE(TODAY(),-15),"MM/DD/YYYY"),TEXT(TODAY(),"MM/DD/YYYY"),"Days","A","Fill","P","CshAdjNormal","Y","CshAdjAbnormal","Y")</f>
        <v/>
      </c>
      <c r="C1283" s="6" t="n"/>
      <c r="D1283" s="6" t="n"/>
      <c r="E1283" s="6" t="n"/>
      <c r="F1283" s="6" t="n"/>
      <c r="G1283" s="5" t="n"/>
    </row>
    <row r="1603">
      <c r="A1603">
        <f>I8</f>
        <v/>
      </c>
      <c r="B1603">
        <f>BDH(A1603&amp;" US Equity","PX_OPEN,PX_HIGH,PX_LOW,PX_LAST,VOLUME",TEXT(EDATE(TODAY(),-15),"MM/DD/YYYY"),TEXT(TODAY(),"MM/DD/YYYY"),"Days","A","Fill","P","CshAdjNormal","Y","CshAdjAbnormal","Y")</f>
        <v/>
      </c>
      <c r="C1603" s="6" t="n"/>
      <c r="D1603" s="6" t="n"/>
      <c r="E1603" s="6" t="n"/>
      <c r="F1603" s="6" t="n"/>
      <c r="G1603" s="5" t="n"/>
    </row>
    <row r="1923">
      <c r="A1923">
        <f>I9</f>
        <v/>
      </c>
      <c r="B1923">
        <f>BDH(A1923&amp;" US Equity","PX_OPEN,PX_HIGH,PX_LOW,PX_LAST,VOLUME",TEXT(EDATE(TODAY(),-15),"MM/DD/YYYY"),TEXT(TODAY(),"MM/DD/YYYY"),"Days","A","Fill","P","CshAdjNormal","Y","CshAdjAbnormal","Y")</f>
        <v/>
      </c>
      <c r="C1923" s="6" t="n"/>
      <c r="D1923" s="6" t="n"/>
      <c r="E1923" s="6" t="n"/>
      <c r="F1923" s="6" t="n"/>
      <c r="G1923" s="5" t="n"/>
    </row>
    <row r="2243">
      <c r="A2243">
        <f>I10</f>
        <v/>
      </c>
      <c r="B2243">
        <f>BDH(A2243&amp;" US Equity","PX_OPEN,PX_HIGH,PX_LOW,PX_LAST,VOLUME",TEXT(EDATE(TODAY(),-15),"MM/DD/YYYY"),TEXT(TODAY(),"MM/DD/YYYY"),"Days","A","Fill","P","CshAdjNormal","Y","CshAdjAbnormal","Y")</f>
        <v/>
      </c>
      <c r="C2243" s="6" t="n"/>
      <c r="D2243" s="6" t="n"/>
      <c r="E2243" s="6" t="n"/>
      <c r="F2243" s="6" t="n"/>
      <c r="G2243" s="5" t="n"/>
    </row>
    <row r="2563">
      <c r="A2563">
        <f>I11</f>
        <v/>
      </c>
      <c r="B2563">
        <f>BDH(A2563&amp;" US Equity","PX_OPEN,PX_HIGH,PX_LOW,PX_LAST,VOLUME",TEXT(EDATE(TODAY(),-15),"MM/DD/YYYY"),TEXT(TODAY(),"MM/DD/YYYY"),"Days","A","Fill","P","CshAdjNormal","Y","CshAdjAbnormal","Y")</f>
        <v/>
      </c>
      <c r="C2563" s="6" t="n"/>
      <c r="D2563" s="6" t="n"/>
      <c r="E2563" s="6" t="n"/>
      <c r="F2563" s="6" t="n"/>
      <c r="G2563" s="5" t="n"/>
    </row>
    <row r="2883">
      <c r="A2883">
        <f>I12</f>
        <v/>
      </c>
      <c r="B2883">
        <f>BDH(A2883&amp;" US Equity","PX_OPEN,PX_HIGH,PX_LOW,PX_LAST,VOLUME",TEXT(EDATE(TODAY(),-15),"MM/DD/YYYY"),TEXT(TODAY(),"MM/DD/YYYY"),"Days","A","Fill","P","CshAdjNormal","Y","CshAdjAbnormal","Y")</f>
        <v/>
      </c>
      <c r="C2883" s="6" t="n"/>
      <c r="D2883" s="6" t="n"/>
      <c r="E2883" s="6" t="n"/>
      <c r="F2883" s="6" t="n"/>
      <c r="G2883" s="5" t="n"/>
    </row>
    <row r="3203">
      <c r="A3203">
        <f>I13</f>
        <v/>
      </c>
      <c r="B3203">
        <f>BDH(A3203&amp;" US Equity","PX_OPEN,PX_HIGH,PX_LOW,PX_LAST,VOLUME",TEXT(EDATE(TODAY(),-15),"MM/DD/YYYY"),TEXT(TODAY(),"MM/DD/YYYY"),"Days","A","Fill","P","CshAdjNormal","Y","CshAdjAbnormal","Y")</f>
        <v/>
      </c>
      <c r="C3203" s="6" t="n"/>
      <c r="D3203" s="6" t="n"/>
      <c r="E3203" s="6" t="n"/>
      <c r="F3203" s="6" t="n"/>
      <c r="G3203" s="5" t="n"/>
    </row>
    <row r="3523">
      <c r="A3523">
        <f>I14</f>
        <v/>
      </c>
      <c r="B3523">
        <f>BDH(A3523&amp;" US Equity","PX_OPEN,PX_HIGH,PX_LOW,PX_LAST,VOLUME",TEXT(EDATE(TODAY(),-15),"MM/DD/YYYY"),TEXT(TODAY(),"MM/DD/YYYY"),"Days","A","Fill","P","CshAdjNormal","Y","CshAdjAbnormal","Y")</f>
        <v/>
      </c>
      <c r="C3523" s="6" t="n"/>
      <c r="D3523" s="6" t="n"/>
      <c r="E3523" s="6" t="n"/>
      <c r="F3523" s="6" t="n"/>
      <c r="G3523" s="5" t="n"/>
    </row>
    <row r="3843">
      <c r="A3843">
        <f>I15</f>
        <v/>
      </c>
      <c r="B3843">
        <f>BDH(A3843&amp;" US Equity","PX_OPEN,PX_HIGH,PX_LOW,PX_LAST,VOLUME",TEXT(EDATE(TODAY(),-15),"MM/DD/YYYY"),TEXT(TODAY(),"MM/DD/YYYY"),"Days","A","Fill","P","CshAdjNormal","Y","CshAdjAbnormal","Y")</f>
        <v/>
      </c>
      <c r="C3843" s="6" t="n"/>
      <c r="D3843" s="6" t="n"/>
      <c r="E3843" s="6" t="n"/>
      <c r="F3843" s="6" t="n"/>
      <c r="G3843" s="5" t="n"/>
    </row>
    <row r="4163">
      <c r="A4163">
        <f>I16</f>
        <v/>
      </c>
      <c r="B4163">
        <f>BDH(A4163&amp;" US Equity","PX_OPEN,PX_HIGH,PX_LOW,PX_LAST,VOLUME",TEXT(EDATE(TODAY(),-15),"MM/DD/YYYY"),TEXT(TODAY(),"MM/DD/YYYY"),"Days","A","Fill","P","CshAdjNormal","Y","CshAdjAbnormal","Y")</f>
        <v/>
      </c>
      <c r="C4163" s="6" t="n"/>
      <c r="D4163" s="6" t="n"/>
      <c r="E4163" s="6" t="n"/>
      <c r="F4163" s="6" t="n"/>
      <c r="G4163" s="5" t="n"/>
    </row>
    <row r="4483">
      <c r="A4483">
        <f>I17</f>
        <v/>
      </c>
      <c r="B4483">
        <f>BDH(A4483&amp;" US Equity","PX_OPEN,PX_HIGH,PX_LOW,PX_LAST,VOLUME",TEXT(EDATE(TODAY(),-15),"MM/DD/YYYY"),TEXT(TODAY(),"MM/DD/YYYY"),"Days","A","Fill","P","CshAdjNormal","Y","CshAdjAbnormal","Y")</f>
        <v/>
      </c>
      <c r="C4483" s="6" t="n"/>
      <c r="D4483" s="6" t="n"/>
      <c r="E4483" s="6" t="n"/>
      <c r="F4483" s="6" t="n"/>
      <c r="G4483" s="5" t="n"/>
    </row>
    <row r="4803">
      <c r="A4803">
        <f>I18</f>
        <v/>
      </c>
      <c r="B4803">
        <f>BDH(A4803&amp;" US Equity","PX_OPEN,PX_HIGH,PX_LOW,PX_LAST,VOLUME",TEXT(EDATE(TODAY(),-15),"MM/DD/YYYY"),TEXT(TODAY(),"MM/DD/YYYY"),"Days","A","Fill","P","CshAdjNormal","Y","CshAdjAbnormal","Y")</f>
        <v/>
      </c>
      <c r="C4803" s="6" t="n"/>
      <c r="D4803" s="6" t="n"/>
      <c r="E4803" s="6" t="n"/>
      <c r="F4803" s="6" t="n"/>
      <c r="G4803" s="5" t="n"/>
    </row>
    <row r="5123">
      <c r="A5123">
        <f>I19</f>
        <v/>
      </c>
      <c r="B5123">
        <f>BDH(A5123&amp;" US Equity","PX_OPEN,PX_HIGH,PX_LOW,PX_LAST,VOLUME",TEXT(EDATE(TODAY(),-15),"MM/DD/YYYY"),TEXT(TODAY(),"MM/DD/YYYY"),"Days","A","Fill","P","CshAdjNormal","Y","CshAdjAbnormal","Y")</f>
        <v/>
      </c>
      <c r="C5123" s="6" t="n"/>
      <c r="D5123" s="6" t="n"/>
      <c r="E5123" s="6" t="n"/>
      <c r="F5123" s="6" t="n"/>
      <c r="G5123" s="5" t="n"/>
    </row>
    <row r="5443">
      <c r="A5443">
        <f>I20</f>
        <v/>
      </c>
      <c r="B5443">
        <f>BDH(A5443&amp;" US Equity","PX_OPEN,PX_HIGH,PX_LOW,PX_LAST,VOLUME",TEXT(EDATE(TODAY(),-15),"MM/DD/YYYY"),TEXT(TODAY(),"MM/DD/YYYY"),"Days","A","Fill","P","CshAdjNormal","Y","CshAdjAbnormal","Y")</f>
        <v/>
      </c>
      <c r="C5443" s="6" t="n"/>
      <c r="D5443" s="6" t="n"/>
      <c r="E5443" s="6" t="n"/>
      <c r="F5443" s="6" t="n"/>
      <c r="G5443" s="5" t="n"/>
    </row>
    <row r="5763">
      <c r="A5763">
        <f>I21</f>
        <v/>
      </c>
      <c r="B5763">
        <f>BDH(A5763&amp;" US Equity","PX_OPEN,PX_HIGH,PX_LOW,PX_LAST,VOLUME",TEXT(EDATE(TODAY(),-15),"MM/DD/YYYY"),TEXT(TODAY(),"MM/DD/YYYY"),"Days","A","Fill","P","CshAdjNormal","Y","CshAdjAbnormal","Y")</f>
        <v/>
      </c>
      <c r="C5763" s="6" t="n"/>
      <c r="D5763" s="6" t="n"/>
      <c r="E5763" s="6" t="n"/>
      <c r="F5763" s="6" t="n"/>
      <c r="G5763" s="5" t="n"/>
    </row>
    <row r="6083">
      <c r="A6083">
        <f>I22</f>
        <v/>
      </c>
      <c r="B6083">
        <f>BDH(A6083&amp;" US Equity","PX_OPEN,PX_HIGH,PX_LOW,PX_LAST,VOLUME",TEXT(EDATE(TODAY(),-15),"MM/DD/YYYY"),TEXT(TODAY(),"MM/DD/YYYY"),"Days","A","Fill","P","CshAdjNormal","Y","CshAdjAbnormal","Y")</f>
        <v/>
      </c>
      <c r="C6083" s="6" t="n"/>
      <c r="D6083" s="6" t="n"/>
      <c r="E6083" s="6" t="n"/>
      <c r="F6083" s="6" t="n"/>
      <c r="G6083" s="5" t="n"/>
    </row>
    <row r="6403">
      <c r="A6403">
        <f>I23</f>
        <v/>
      </c>
      <c r="B6403">
        <f>BDH(A6403&amp;" US Equity","PX_OPEN,PX_HIGH,PX_LOW,PX_LAST,VOLUME",TEXT(EDATE(TODAY(),-15),"MM/DD/YYYY"),TEXT(TODAY(),"MM/DD/YYYY"),"Days","A","Fill","P","CshAdjNormal","Y","CshAdjAbnormal","Y")</f>
        <v/>
      </c>
      <c r="C6403" s="6" t="n"/>
      <c r="D6403" s="6" t="n"/>
      <c r="E6403" s="6" t="n"/>
      <c r="F6403" s="6" t="n"/>
      <c r="G6403" s="5" t="n"/>
    </row>
    <row r="6723">
      <c r="A6723">
        <f>I24</f>
        <v/>
      </c>
      <c r="B6723">
        <f>BDH(A6723&amp;" US Equity","PX_OPEN,PX_HIGH,PX_LOW,PX_LAST,VOLUME",TEXT(EDATE(TODAY(),-15),"MM/DD/YYYY"),TEXT(TODAY(),"MM/DD/YYYY"),"Days","A","Fill","P","CshAdjNormal","Y","CshAdjAbnormal","Y")</f>
        <v/>
      </c>
      <c r="C6723" s="6" t="n"/>
      <c r="D6723" s="6" t="n"/>
      <c r="E6723" s="6" t="n"/>
      <c r="F6723" s="6" t="n"/>
      <c r="G6723" s="5" t="n"/>
    </row>
    <row r="7043">
      <c r="A7043">
        <f>I25</f>
        <v/>
      </c>
      <c r="B7043">
        <f>BDH(A7043&amp;" US Equity","PX_OPEN,PX_HIGH,PX_LOW,PX_LAST,VOLUME",TEXT(EDATE(TODAY(),-15),"MM/DD/YYYY"),TEXT(TODAY(),"MM/DD/YYYY"),"Days","A","Fill","P","CshAdjNormal","Y","CshAdjAbnormal","Y")</f>
        <v/>
      </c>
      <c r="C7043" s="6" t="n"/>
      <c r="D7043" s="6" t="n"/>
      <c r="E7043" s="6" t="n"/>
      <c r="F7043" s="6" t="n"/>
      <c r="G7043" s="5" t="n"/>
    </row>
    <row r="7363">
      <c r="A7363">
        <f>I26</f>
        <v/>
      </c>
      <c r="B7363">
        <f>BDH(A7363&amp;" US Equity","PX_OPEN,PX_HIGH,PX_LOW,PX_LAST,VOLUME",TEXT(EDATE(TODAY(),-15),"MM/DD/YYYY"),TEXT(TODAY(),"MM/DD/YYYY"),"Days","A","Fill","P","CshAdjNormal","Y","CshAdjAbnormal","Y")</f>
        <v/>
      </c>
      <c r="C7363" s="6" t="n"/>
      <c r="D7363" s="6" t="n"/>
      <c r="E7363" s="6" t="n"/>
      <c r="F7363" s="6" t="n"/>
      <c r="G7363" s="5" t="n"/>
    </row>
    <row r="7683">
      <c r="A7683">
        <f>I27</f>
        <v/>
      </c>
      <c r="B7683">
        <f>BDH(A7683&amp;" US Equity","PX_OPEN,PX_HIGH,PX_LOW,PX_LAST,VOLUME",TEXT(EDATE(TODAY(),-15),"MM/DD/YYYY"),TEXT(TODAY(),"MM/DD/YYYY"),"Days","A","Fill","P","CshAdjNormal","Y","CshAdjAbnormal","Y")</f>
        <v/>
      </c>
      <c r="C7683" s="6" t="n"/>
      <c r="D7683" s="6" t="n"/>
      <c r="E7683" s="6" t="n"/>
      <c r="F7683" s="6" t="n"/>
      <c r="G7683" s="5" t="n"/>
    </row>
    <row r="8003">
      <c r="A8003">
        <f>I28</f>
        <v/>
      </c>
      <c r="B8003">
        <f>BDH(A8003&amp;" US Equity","PX_OPEN,PX_HIGH,PX_LOW,PX_LAST,VOLUME",TEXT(EDATE(TODAY(),-15),"MM/DD/YYYY"),TEXT(TODAY(),"MM/DD/YYYY"),"Days","A","Fill","P","CshAdjNormal","Y","CshAdjAbnormal","Y")</f>
        <v/>
      </c>
      <c r="C8003" s="6" t="n"/>
      <c r="D8003" s="6" t="n"/>
      <c r="E8003" s="6" t="n"/>
      <c r="F8003" s="6" t="n"/>
      <c r="G8003" s="5" t="n"/>
    </row>
    <row r="8323">
      <c r="A8323">
        <f>I29</f>
        <v/>
      </c>
      <c r="B8323">
        <f>BDH(A8323&amp;" US Equity","PX_OPEN,PX_HIGH,PX_LOW,PX_LAST,VOLUME",TEXT(EDATE(TODAY(),-15),"MM/DD/YYYY"),TEXT(TODAY(),"MM/DD/YYYY"),"Days","A","Fill","P","CshAdjNormal","Y","CshAdjAbnormal","Y")</f>
        <v/>
      </c>
      <c r="C8323" s="6" t="n"/>
      <c r="D8323" s="6" t="n"/>
      <c r="E8323" s="6" t="n"/>
      <c r="F8323" s="6" t="n"/>
      <c r="G8323" s="5" t="n"/>
    </row>
    <row r="8643">
      <c r="A8643">
        <f>I30</f>
        <v/>
      </c>
      <c r="B8643">
        <f>BDH(A8643&amp;" US Equity","PX_OPEN,PX_HIGH,PX_LOW,PX_LAST,VOLUME",TEXT(EDATE(TODAY(),-15),"MM/DD/YYYY"),TEXT(TODAY(),"MM/DD/YYYY"),"Days","A","Fill","P","CshAdjNormal","Y","CshAdjAbnormal","Y")</f>
        <v/>
      </c>
      <c r="C8643" s="6" t="n"/>
      <c r="D8643" s="6" t="n"/>
      <c r="E8643" s="6" t="n"/>
      <c r="F8643" s="6" t="n"/>
      <c r="G8643" s="5" t="n"/>
    </row>
    <row r="8963">
      <c r="A8963">
        <f>I31</f>
        <v/>
      </c>
      <c r="B8963">
        <f>BDH(A8963&amp;" US Equity","PX_OPEN,PX_HIGH,PX_LOW,PX_LAST,VOLUME",TEXT(EDATE(TODAY(),-15),"MM/DD/YYYY"),TEXT(TODAY(),"MM/DD/YYYY"),"Days","A","Fill","P","CshAdjNormal","Y","CshAdjAbnormal","Y")</f>
        <v/>
      </c>
      <c r="C8963" s="6" t="n"/>
      <c r="D8963" s="6" t="n"/>
      <c r="E8963" s="6" t="n"/>
      <c r="F8963" s="6" t="n"/>
      <c r="G8963" s="5" t="n"/>
    </row>
    <row r="9283">
      <c r="A9283">
        <f>I32</f>
        <v/>
      </c>
      <c r="B9283">
        <f>BDH(A9283&amp;" US Equity","PX_OPEN,PX_HIGH,PX_LOW,PX_LAST,VOLUME",TEXT(EDATE(TODAY(),-15),"MM/DD/YYYY"),TEXT(TODAY(),"MM/DD/YYYY"),"Days","A","Fill","P","CshAdjNormal","Y","CshAdjAbnormal","Y")</f>
        <v/>
      </c>
      <c r="C9283" s="6" t="n"/>
      <c r="D9283" s="6" t="n"/>
      <c r="E9283" s="6" t="n"/>
      <c r="F9283" s="6" t="n"/>
      <c r="G9283" s="5" t="n"/>
    </row>
    <row r="9603">
      <c r="A9603">
        <f>I33</f>
        <v/>
      </c>
      <c r="B9603">
        <f>BDH(A9603&amp;" US Equity","PX_OPEN,PX_HIGH,PX_LOW,PX_LAST,VOLUME",TEXT(EDATE(TODAY(),-15),"MM/DD/YYYY"),TEXT(TODAY(),"MM/DD/YYYY"),"Days","A","Fill","P","CshAdjNormal","Y","CshAdjAbnormal","Y")</f>
        <v/>
      </c>
      <c r="C9603" s="6" t="n"/>
      <c r="D9603" s="6" t="n"/>
      <c r="E9603" s="6" t="n"/>
      <c r="F9603" s="6" t="n"/>
      <c r="G9603" s="5" t="n"/>
    </row>
    <row r="9923">
      <c r="A9923">
        <f>I34</f>
        <v/>
      </c>
      <c r="B9923">
        <f>BDH(A9923&amp;" US Equity","PX_OPEN,PX_HIGH,PX_LOW,PX_LAST,VOLUME",TEXT(EDATE(TODAY(),-15),"MM/DD/YYYY"),TEXT(TODAY(),"MM/DD/YYYY"),"Days","A","Fill","P","CshAdjNormal","Y","CshAdjAbnormal","Y")</f>
        <v/>
      </c>
      <c r="C9923" s="6" t="n"/>
      <c r="D9923" s="6" t="n"/>
      <c r="E9923" s="6" t="n"/>
      <c r="F9923" s="6" t="n"/>
      <c r="G9923" s="5" t="n"/>
    </row>
    <row r="10243">
      <c r="A10243">
        <f>I35</f>
        <v/>
      </c>
      <c r="B10243">
        <f>BDH(A10243&amp;" US Equity","PX_OPEN,PX_HIGH,PX_LOW,PX_LAST,VOLUME",TEXT(EDATE(TODAY(),-15),"MM/DD/YYYY"),TEXT(TODAY(),"MM/DD/YYYY"),"Days","A","Fill","P","CshAdjNormal","Y","CshAdjAbnormal","Y")</f>
        <v/>
      </c>
      <c r="C10243" s="6" t="n"/>
      <c r="D10243" s="6" t="n"/>
      <c r="E10243" s="6" t="n"/>
      <c r="F10243" s="6" t="n"/>
      <c r="G10243" s="5" t="n"/>
    </row>
    <row r="10563">
      <c r="A10563">
        <f>I36</f>
        <v/>
      </c>
      <c r="B10563">
        <f>BDH(A10563&amp;" US Equity","PX_OPEN,PX_HIGH,PX_LOW,PX_LAST,VOLUME",TEXT(EDATE(TODAY(),-15),"MM/DD/YYYY"),TEXT(TODAY(),"MM/DD/YYYY"),"Days","A","Fill","P","CshAdjNormal","Y","CshAdjAbnormal","Y")</f>
        <v/>
      </c>
      <c r="C10563" s="6" t="n"/>
      <c r="D10563" s="6" t="n"/>
      <c r="E10563" s="6" t="n"/>
      <c r="F10563" s="6" t="n"/>
      <c r="G10563" s="5" t="n"/>
    </row>
    <row r="10883">
      <c r="A10883">
        <f>I37</f>
        <v/>
      </c>
      <c r="B10883">
        <f>BDH(A10883&amp;" US Equity","PX_OPEN,PX_HIGH,PX_LOW,PX_LAST,VOLUME",TEXT(EDATE(TODAY(),-15),"MM/DD/YYYY"),TEXT(TODAY(),"MM/DD/YYYY"),"Days","A","Fill","P","CshAdjNormal","Y","CshAdjAbnormal","Y")</f>
        <v/>
      </c>
      <c r="C10883" s="6" t="n"/>
      <c r="D10883" s="6" t="n"/>
      <c r="E10883" s="6" t="n"/>
      <c r="F10883" s="6" t="n"/>
      <c r="G10883" s="5" t="n"/>
    </row>
    <row r="11203">
      <c r="A11203">
        <f>I38</f>
        <v/>
      </c>
      <c r="B11203">
        <f>BDH(A11203&amp;" US Equity","PX_OPEN,PX_HIGH,PX_LOW,PX_LAST,VOLUME",TEXT(EDATE(TODAY(),-15),"MM/DD/YYYY"),TEXT(TODAY(),"MM/DD/YYYY"),"Days","A","Fill","P","CshAdjNormal","Y","CshAdjAbnormal","Y")</f>
        <v/>
      </c>
      <c r="C11203" s="6" t="n"/>
      <c r="D11203" s="6" t="n"/>
      <c r="E11203" s="6" t="n"/>
      <c r="F11203" s="6" t="n"/>
      <c r="G11203" s="5" t="n"/>
    </row>
    <row r="11523">
      <c r="A11523">
        <f>I39</f>
        <v/>
      </c>
      <c r="B11523">
        <f>BDH(A11523&amp;" US Equity","PX_OPEN,PX_HIGH,PX_LOW,PX_LAST,VOLUME",TEXT(EDATE(TODAY(),-15),"MM/DD/YYYY"),TEXT(TODAY(),"MM/DD/YYYY"),"Days","A","Fill","P","CshAdjNormal","Y","CshAdjAbnormal","Y")</f>
        <v/>
      </c>
      <c r="C11523" s="6" t="n"/>
      <c r="D11523" s="6" t="n"/>
      <c r="E11523" s="6" t="n"/>
      <c r="F11523" s="6" t="n"/>
      <c r="G11523" s="5" t="n"/>
    </row>
    <row r="11843">
      <c r="A11843">
        <f>I40</f>
        <v/>
      </c>
      <c r="B11843">
        <f>BDH(A11843&amp;" US Equity","PX_OPEN,PX_HIGH,PX_LOW,PX_LAST,VOLUME",TEXT(EDATE(TODAY(),-15),"MM/DD/YYYY"),TEXT(TODAY(),"MM/DD/YYYY"),"Days","A","Fill","P","CshAdjNormal","Y","CshAdjAbnormal","Y")</f>
        <v/>
      </c>
      <c r="C11843" s="6" t="n"/>
      <c r="D11843" s="6" t="n"/>
      <c r="E11843" s="6" t="n"/>
      <c r="F11843" s="6" t="n"/>
      <c r="G11843" s="5" t="n"/>
    </row>
    <row r="12163">
      <c r="A12163">
        <f>I41</f>
        <v/>
      </c>
      <c r="B12163">
        <f>BDH(A12163&amp;" US Equity","PX_OPEN,PX_HIGH,PX_LOW,PX_LAST,VOLUME",TEXT(EDATE(TODAY(),-15),"MM/DD/YYYY"),TEXT(TODAY(),"MM/DD/YYYY"),"Days","A","Fill","P","CshAdjNormal","Y","CshAdjAbnormal","Y")</f>
        <v/>
      </c>
      <c r="C12163" s="6" t="n"/>
      <c r="D12163" s="6" t="n"/>
      <c r="E12163" s="6" t="n"/>
      <c r="F12163" s="6" t="n"/>
      <c r="G12163" s="5" t="n"/>
    </row>
    <row r="12483">
      <c r="A12483">
        <f>I42</f>
        <v/>
      </c>
      <c r="B12483">
        <f>BDH(A12483&amp;" US Equity","PX_OPEN,PX_HIGH,PX_LOW,PX_LAST,VOLUME",TEXT(EDATE(TODAY(),-15),"MM/DD/YYYY"),TEXT(TODAY(),"MM/DD/YYYY"),"Days","A","Fill","P","CshAdjNormal","Y","CshAdjAbnormal","Y")</f>
        <v/>
      </c>
      <c r="C12483" s="6" t="n"/>
      <c r="D12483" s="6" t="n"/>
      <c r="E12483" s="6" t="n"/>
      <c r="F12483" s="6" t="n"/>
      <c r="G12483" s="5" t="n"/>
    </row>
    <row r="12803">
      <c r="A12803">
        <f>I43</f>
        <v/>
      </c>
      <c r="B12803">
        <f>BDH(A12803&amp;" US Equity","PX_OPEN,PX_HIGH,PX_LOW,PX_LAST,VOLUME",TEXT(EDATE(TODAY(),-15),"MM/DD/YYYY"),TEXT(TODAY(),"MM/DD/YYYY"),"Days","A","Fill","P","CshAdjNormal","Y","CshAdjAbnormal","Y")</f>
        <v/>
      </c>
      <c r="C12803" s="6" t="n"/>
      <c r="D12803" s="6" t="n"/>
      <c r="E12803" s="6" t="n"/>
      <c r="F12803" s="6" t="n"/>
      <c r="G12803" s="5" t="n"/>
    </row>
    <row r="13123">
      <c r="A13123">
        <f>I44</f>
        <v/>
      </c>
      <c r="B13123">
        <f>BDH(A13123&amp;" US Equity","PX_OPEN,PX_HIGH,PX_LOW,PX_LAST,VOLUME",TEXT(EDATE(TODAY(),-15),"MM/DD/YYYY"),TEXT(TODAY(),"MM/DD/YYYY"),"Days","A","Fill","P","CshAdjNormal","Y","CshAdjAbnormal","Y")</f>
        <v/>
      </c>
      <c r="C13123" s="6" t="n"/>
      <c r="D13123" s="6" t="n"/>
      <c r="E13123" s="6" t="n"/>
      <c r="F13123" s="6" t="n"/>
      <c r="G13123" s="5" t="n"/>
    </row>
    <row r="13443">
      <c r="A13443">
        <f>I45</f>
        <v/>
      </c>
      <c r="B13443">
        <f>BDH(A13443&amp;" US Equity","PX_OPEN,PX_HIGH,PX_LOW,PX_LAST,VOLUME",TEXT(EDATE(TODAY(),-15),"MM/DD/YYYY"),TEXT(TODAY(),"MM/DD/YYYY"),"Days","A","Fill","P","CshAdjNormal","Y","CshAdjAbnormal","Y")</f>
        <v/>
      </c>
      <c r="C13443" s="6" t="n"/>
      <c r="D13443" s="6" t="n"/>
      <c r="E13443" s="6" t="n"/>
      <c r="F13443" s="6" t="n"/>
      <c r="G13443" s="5" t="n"/>
    </row>
    <row r="13763">
      <c r="A13763">
        <f>I46</f>
        <v/>
      </c>
      <c r="B13763">
        <f>BDH(A13763&amp;" US Equity","PX_OPEN,PX_HIGH,PX_LOW,PX_LAST,VOLUME",TEXT(EDATE(TODAY(),-15),"MM/DD/YYYY"),TEXT(TODAY(),"MM/DD/YYYY"),"Days","A","Fill","P","CshAdjNormal","Y","CshAdjAbnormal","Y")</f>
        <v/>
      </c>
      <c r="C13763" s="6" t="n"/>
      <c r="D13763" s="6" t="n"/>
      <c r="E13763" s="6" t="n"/>
      <c r="F13763" s="6" t="n"/>
      <c r="G13763" s="5" t="n"/>
    </row>
    <row r="14083">
      <c r="A14083">
        <f>I47</f>
        <v/>
      </c>
      <c r="B14083">
        <f>BDH(A14083&amp;" US Equity","PX_OPEN,PX_HIGH,PX_LOW,PX_LAST,VOLUME",TEXT(EDATE(TODAY(),-15),"MM/DD/YYYY"),TEXT(TODAY(),"MM/DD/YYYY"),"Days","A","Fill","P","CshAdjNormal","Y","CshAdjAbnormal","Y")</f>
        <v/>
      </c>
      <c r="C14083" s="6" t="n"/>
      <c r="D14083" s="6" t="n"/>
      <c r="E14083" s="6" t="n"/>
      <c r="F14083" s="6" t="n"/>
      <c r="G14083" s="5" t="n"/>
    </row>
    <row r="14403">
      <c r="A14403">
        <f>I48</f>
        <v/>
      </c>
      <c r="B14403">
        <f>BDH(A14403&amp;" US Equity","PX_OPEN,PX_HIGH,PX_LOW,PX_LAST,VOLUME",TEXT(EDATE(TODAY(),-15),"MM/DD/YYYY"),TEXT(TODAY(),"MM/DD/YYYY"),"Days","A","Fill","P","CshAdjNormal","Y","CshAdjAbnormal","Y")</f>
        <v/>
      </c>
      <c r="C14403" s="6" t="n"/>
      <c r="D14403" s="6" t="n"/>
      <c r="E14403" s="6" t="n"/>
      <c r="F14403" s="6" t="n"/>
      <c r="G14403" s="5" t="n"/>
    </row>
    <row r="14723">
      <c r="A14723">
        <f>I49</f>
        <v/>
      </c>
      <c r="B14723">
        <f>BDH(A14723&amp;" US Equity","PX_OPEN,PX_HIGH,PX_LOW,PX_LAST,VOLUME",TEXT(EDATE(TODAY(),-15),"MM/DD/YYYY"),TEXT(TODAY(),"MM/DD/YYYY"),"Days","A","Fill","P","CshAdjNormal","Y","CshAdjAbnormal","Y")</f>
        <v/>
      </c>
      <c r="C14723" s="6" t="n"/>
      <c r="D14723" s="6" t="n"/>
      <c r="E14723" s="6" t="n"/>
      <c r="F14723" s="6" t="n"/>
      <c r="G14723" s="5" t="n"/>
    </row>
    <row r="15043">
      <c r="A15043">
        <f>I50</f>
        <v/>
      </c>
      <c r="B15043">
        <f>BDH(A15043&amp;" US Equity","PX_OPEN,PX_HIGH,PX_LOW,PX_LAST,VOLUME",TEXT(EDATE(TODAY(),-15),"MM/DD/YYYY"),TEXT(TODAY(),"MM/DD/YYYY"),"Days","A","Fill","P","CshAdjNormal","Y","CshAdjAbnormal","Y")</f>
        <v/>
      </c>
      <c r="C15043" s="6" t="n"/>
      <c r="D15043" s="6" t="n"/>
      <c r="E15043" s="6" t="n"/>
      <c r="F15043" s="6" t="n"/>
      <c r="G15043" s="5" t="n"/>
    </row>
    <row r="15363">
      <c r="A15363">
        <f>I51</f>
        <v/>
      </c>
      <c r="B15363">
        <f>BDH(A15363&amp;" US Equity","PX_OPEN,PX_HIGH,PX_LOW,PX_LAST,VOLUME",TEXT(EDATE(TODAY(),-15),"MM/DD/YYYY"),TEXT(TODAY(),"MM/DD/YYYY"),"Days","A","Fill","P","CshAdjNormal","Y","CshAdjAbnormal","Y")</f>
        <v/>
      </c>
      <c r="C15363" s="6" t="n"/>
      <c r="D15363" s="6" t="n"/>
      <c r="E15363" s="6" t="n"/>
      <c r="F15363" s="6" t="n"/>
      <c r="G15363" s="5" t="n"/>
    </row>
    <row r="15683">
      <c r="A15683">
        <f>I52</f>
        <v/>
      </c>
      <c r="B15683">
        <f>BDH(A15683&amp;" US Equity","PX_OPEN,PX_HIGH,PX_LOW,PX_LAST,VOLUME",TEXT(EDATE(TODAY(),-15),"MM/DD/YYYY"),TEXT(TODAY(),"MM/DD/YYYY"),"Days","A","Fill","P","CshAdjNormal","Y","CshAdjAbnormal","Y")</f>
        <v/>
      </c>
      <c r="C15683" s="6" t="n"/>
      <c r="D15683" s="6" t="n"/>
      <c r="E15683" s="6" t="n"/>
      <c r="F15683" s="6" t="n"/>
      <c r="G15683" s="5" t="n"/>
    </row>
    <row r="16003">
      <c r="A16003">
        <f>I53</f>
        <v/>
      </c>
      <c r="B16003">
        <f>BDH(A16003&amp;" US Equity","PX_OPEN,PX_HIGH,PX_LOW,PX_LAST,VOLUME",TEXT(EDATE(TODAY(),-15),"MM/DD/YYYY"),TEXT(TODAY(),"MM/DD/YYYY"),"Days","A","Fill","P","CshAdjNormal","Y","CshAdjAbnormal","Y")</f>
        <v/>
      </c>
      <c r="C16003" s="6" t="n"/>
      <c r="D16003" s="6" t="n"/>
      <c r="E16003" s="6" t="n"/>
      <c r="F16003" s="6" t="n"/>
      <c r="G16003" s="5" t="n"/>
    </row>
    <row r="16323">
      <c r="A16323">
        <f>I54</f>
        <v/>
      </c>
      <c r="B16323">
        <f>BDH(A16323&amp;" US Equity","PX_OPEN,PX_HIGH,PX_LOW,PX_LAST,VOLUME",TEXT(EDATE(TODAY(),-15),"MM/DD/YYYY"),TEXT(TODAY(),"MM/DD/YYYY"),"Days","A","Fill","P","CshAdjNormal","Y","CshAdjAbnormal","Y")</f>
        <v/>
      </c>
      <c r="C16323" s="6" t="n"/>
      <c r="D16323" s="6" t="n"/>
      <c r="E16323" s="6" t="n"/>
      <c r="F16323" s="6" t="n"/>
      <c r="G16323" s="5" t="n"/>
    </row>
    <row r="16643">
      <c r="A16643">
        <f>I55</f>
        <v/>
      </c>
      <c r="B16643">
        <f>BDH(A16643&amp;" US Equity","PX_OPEN,PX_HIGH,PX_LOW,PX_LAST,VOLUME",TEXT(EDATE(TODAY(),-15),"MM/DD/YYYY"),TEXT(TODAY(),"MM/DD/YYYY"),"Days","A","Fill","P","CshAdjNormal","Y","CshAdjAbnormal","Y")</f>
        <v/>
      </c>
      <c r="C16643" s="6" t="n"/>
      <c r="D16643" s="6" t="n"/>
      <c r="E16643" s="6" t="n"/>
      <c r="F16643" s="6" t="n"/>
      <c r="G16643" s="5" t="n"/>
    </row>
    <row r="16963">
      <c r="A16963">
        <f>I56</f>
        <v/>
      </c>
      <c r="B16963">
        <f>BDH(A16963&amp;" US Equity","PX_OPEN,PX_HIGH,PX_LOW,PX_LAST,VOLUME",TEXT(EDATE(TODAY(),-15),"MM/DD/YYYY"),TEXT(TODAY(),"MM/DD/YYYY"),"Days","A","Fill","P","CshAdjNormal","Y","CshAdjAbnormal","Y")</f>
        <v/>
      </c>
      <c r="C16963" s="6" t="n"/>
      <c r="D16963" s="6" t="n"/>
      <c r="E16963" s="6" t="n"/>
      <c r="F16963" s="6" t="n"/>
      <c r="G16963" s="5" t="n"/>
    </row>
    <row r="17283">
      <c r="A17283">
        <f>I57</f>
        <v/>
      </c>
      <c r="B17283">
        <f>BDH(A17283&amp;" US Equity","PX_OPEN,PX_HIGH,PX_LOW,PX_LAST,VOLUME",TEXT(EDATE(TODAY(),-15),"MM/DD/YYYY"),TEXT(TODAY(),"MM/DD/YYYY"),"Days","A","Fill","P","CshAdjNormal","Y","CshAdjAbnormal","Y")</f>
        <v/>
      </c>
      <c r="C17283" s="6" t="n"/>
      <c r="D17283" s="6" t="n"/>
      <c r="E17283" s="6" t="n"/>
      <c r="F17283" s="6" t="n"/>
      <c r="G17283" s="5" t="n"/>
    </row>
    <row r="17603">
      <c r="A17603">
        <f>I58</f>
        <v/>
      </c>
      <c r="B17603">
        <f>BDH(A17603&amp;" US Equity","PX_OPEN,PX_HIGH,PX_LOW,PX_LAST,VOLUME",TEXT(EDATE(TODAY(),-15),"MM/DD/YYYY"),TEXT(TODAY(),"MM/DD/YYYY"),"Days","A","Fill","P","CshAdjNormal","Y","CshAdjAbnormal","Y")</f>
        <v/>
      </c>
      <c r="C17603" s="6" t="n"/>
      <c r="D17603" s="6" t="n"/>
      <c r="E17603" s="6" t="n"/>
      <c r="F17603" s="6" t="n"/>
      <c r="G17603" s="5" t="n"/>
    </row>
    <row r="17923">
      <c r="A17923">
        <f>I59</f>
        <v/>
      </c>
      <c r="B17923">
        <f>BDH(A17923&amp;" US Equity","PX_OPEN,PX_HIGH,PX_LOW,PX_LAST,VOLUME",TEXT(EDATE(TODAY(),-15),"MM/DD/YYYY"),TEXT(TODAY(),"MM/DD/YYYY"),"Days","A","Fill","P","CshAdjNormal","Y","CshAdjAbnormal","Y")</f>
        <v/>
      </c>
      <c r="C17923" s="6" t="n"/>
      <c r="D17923" s="6" t="n"/>
      <c r="E17923" s="6" t="n"/>
      <c r="F17923" s="6" t="n"/>
      <c r="G17923" s="5" t="n"/>
    </row>
    <row r="18243">
      <c r="A18243">
        <f>I60</f>
        <v/>
      </c>
      <c r="B18243">
        <f>BDH(A18243&amp;" US Equity","PX_OPEN,PX_HIGH,PX_LOW,PX_LAST,VOLUME",TEXT(EDATE(TODAY(),-15),"MM/DD/YYYY"),TEXT(TODAY(),"MM/DD/YYYY"),"Days","A","Fill","P","CshAdjNormal","Y","CshAdjAbnormal","Y")</f>
        <v/>
      </c>
      <c r="C18243" s="6" t="n"/>
      <c r="D18243" s="6" t="n"/>
      <c r="E18243" s="6" t="n"/>
      <c r="F18243" s="6" t="n"/>
      <c r="G18243" s="5" t="n"/>
    </row>
    <row r="18563">
      <c r="A18563">
        <f>I61</f>
        <v/>
      </c>
      <c r="B18563">
        <f>BDH(A18563&amp;" US Equity","PX_OPEN,PX_HIGH,PX_LOW,PX_LAST,VOLUME",TEXT(EDATE(TODAY(),-15),"MM/DD/YYYY"),TEXT(TODAY(),"MM/DD/YYYY"),"Days","A","Fill","P","CshAdjNormal","Y","CshAdjAbnormal","Y")</f>
        <v/>
      </c>
      <c r="C18563" s="6" t="n"/>
      <c r="D18563" s="6" t="n"/>
      <c r="E18563" s="6" t="n"/>
      <c r="F18563" s="6" t="n"/>
      <c r="G18563" s="5" t="n"/>
    </row>
    <row r="18883">
      <c r="A18883">
        <f>I62</f>
        <v/>
      </c>
      <c r="B18883">
        <f>BDH(A18883&amp;" US Equity","PX_OPEN,PX_HIGH,PX_LOW,PX_LAST,VOLUME",TEXT(EDATE(TODAY(),-15),"MM/DD/YYYY"),TEXT(TODAY(),"MM/DD/YYYY"),"Days","A","Fill","P","CshAdjNormal","Y","CshAdjAbnormal","Y")</f>
        <v/>
      </c>
      <c r="C18883" s="6" t="n"/>
      <c r="D18883" s="6" t="n"/>
      <c r="E18883" s="6" t="n"/>
      <c r="F18883" s="6" t="n"/>
      <c r="G18883" s="5" t="n"/>
    </row>
    <row r="19203">
      <c r="A19203">
        <f>I63</f>
        <v/>
      </c>
      <c r="B19203">
        <f>BDH(A19203&amp;" US Equity","PX_OPEN,PX_HIGH,PX_LOW,PX_LAST,VOLUME",TEXT(EDATE(TODAY(),-15),"MM/DD/YYYY"),TEXT(TODAY(),"MM/DD/YYYY"),"Days","A","Fill","P","CshAdjNormal","Y","CshAdjAbnormal","Y")</f>
        <v/>
      </c>
      <c r="C19203" s="6" t="n"/>
      <c r="D19203" s="6" t="n"/>
      <c r="E19203" s="6" t="n"/>
      <c r="F19203" s="6" t="n"/>
      <c r="G19203" s="5" t="n"/>
    </row>
    <row r="19523">
      <c r="A19523">
        <f>I64</f>
        <v/>
      </c>
      <c r="B19523">
        <f>BDH(A19523&amp;" US Equity","PX_OPEN,PX_HIGH,PX_LOW,PX_LAST,VOLUME",TEXT(EDATE(TODAY(),-15),"MM/DD/YYYY"),TEXT(TODAY(),"MM/DD/YYYY"),"Days","A","Fill","P","CshAdjNormal","Y","CshAdjAbnormal","Y")</f>
        <v/>
      </c>
      <c r="C19523" s="6" t="n"/>
      <c r="D19523" s="6" t="n"/>
      <c r="E19523" s="6" t="n"/>
      <c r="F19523" s="6" t="n"/>
      <c r="G19523" s="5" t="n"/>
    </row>
    <row r="19843">
      <c r="A19843">
        <f>I65</f>
        <v/>
      </c>
      <c r="B19843">
        <f>BDH(A19843&amp;" US Equity","PX_OPEN,PX_HIGH,PX_LOW,PX_LAST,VOLUME",TEXT(EDATE(TODAY(),-15),"MM/DD/YYYY"),TEXT(TODAY(),"MM/DD/YYYY"),"Days","A","Fill","P","CshAdjNormal","Y","CshAdjAbnormal","Y")</f>
        <v/>
      </c>
      <c r="C19843" s="6" t="n"/>
      <c r="D19843" s="6" t="n"/>
      <c r="E19843" s="6" t="n"/>
      <c r="F19843" s="6" t="n"/>
      <c r="G19843" s="5" t="n"/>
    </row>
    <row r="20163">
      <c r="A20163">
        <f>I66</f>
        <v/>
      </c>
      <c r="B20163">
        <f>BDH(A20163&amp;" US Equity","PX_OPEN,PX_HIGH,PX_LOW,PX_LAST,VOLUME",TEXT(EDATE(TODAY(),-15),"MM/DD/YYYY"),TEXT(TODAY(),"MM/DD/YYYY"),"Days","A","Fill","P","CshAdjNormal","Y","CshAdjAbnormal","Y")</f>
        <v/>
      </c>
      <c r="C20163" s="6" t="n"/>
      <c r="D20163" s="6" t="n"/>
      <c r="E20163" s="6" t="n"/>
      <c r="F20163" s="6" t="n"/>
      <c r="G20163" s="5" t="n"/>
    </row>
    <row r="20483">
      <c r="A20483">
        <f>I67</f>
        <v/>
      </c>
      <c r="B20483">
        <f>BDH(A20483&amp;" US Equity","PX_OPEN,PX_HIGH,PX_LOW,PX_LAST,VOLUME",TEXT(EDATE(TODAY(),-15),"MM/DD/YYYY"),TEXT(TODAY(),"MM/DD/YYYY"),"Days","A","Fill","P","CshAdjNormal","Y","CshAdjAbnormal","Y")</f>
        <v/>
      </c>
      <c r="C20483" s="6" t="n"/>
      <c r="D20483" s="6" t="n"/>
      <c r="E20483" s="6" t="n"/>
      <c r="F20483" s="6" t="n"/>
      <c r="G20483" s="5" t="n"/>
    </row>
    <row r="20803">
      <c r="A20803">
        <f>I68</f>
        <v/>
      </c>
      <c r="B20803">
        <f>BDH(A20803&amp;" US Equity","PX_OPEN,PX_HIGH,PX_LOW,PX_LAST,VOLUME",TEXT(EDATE(TODAY(),-15),"MM/DD/YYYY"),TEXT(TODAY(),"MM/DD/YYYY"),"Days","A","Fill","P","CshAdjNormal","Y","CshAdjAbnormal","Y")</f>
        <v/>
      </c>
      <c r="C20803" s="6" t="n"/>
      <c r="D20803" s="6" t="n"/>
      <c r="E20803" s="6" t="n"/>
      <c r="F20803" s="6" t="n"/>
      <c r="G20803" s="5" t="n"/>
    </row>
    <row r="21123">
      <c r="A21123">
        <f>I69</f>
        <v/>
      </c>
      <c r="B21123">
        <f>BDH(A21123&amp;" US Equity","PX_OPEN,PX_HIGH,PX_LOW,PX_LAST,VOLUME",TEXT(EDATE(TODAY(),-15),"MM/DD/YYYY"),TEXT(TODAY(),"MM/DD/YYYY"),"Days","A","Fill","P","CshAdjNormal","Y","CshAdjAbnormal","Y")</f>
        <v/>
      </c>
      <c r="C21123" s="6" t="n"/>
      <c r="D21123" s="6" t="n"/>
      <c r="E21123" s="6" t="n"/>
      <c r="F21123" s="6" t="n"/>
      <c r="G21123" s="5" t="n"/>
    </row>
    <row r="21443">
      <c r="A21443">
        <f>I70</f>
        <v/>
      </c>
      <c r="B21443">
        <f>BDH(A21443&amp;" US Equity","PX_OPEN,PX_HIGH,PX_LOW,PX_LAST,VOLUME",TEXT(EDATE(TODAY(),-15),"MM/DD/YYYY"),TEXT(TODAY(),"MM/DD/YYYY"),"Days","A","Fill","P","CshAdjNormal","Y","CshAdjAbnormal","Y")</f>
        <v/>
      </c>
      <c r="C21443" s="6" t="n"/>
      <c r="D21443" s="6" t="n"/>
      <c r="E21443" s="6" t="n"/>
      <c r="F21443" s="6" t="n"/>
      <c r="G21443" s="5" t="n"/>
    </row>
    <row r="21763">
      <c r="A21763">
        <f>I71</f>
        <v/>
      </c>
      <c r="B21763">
        <f>BDH(A21763&amp;" US Equity","PX_OPEN,PX_HIGH,PX_LOW,PX_LAST,VOLUME",TEXT(EDATE(TODAY(),-15),"MM/DD/YYYY"),TEXT(TODAY(),"MM/DD/YYYY"),"Days","A","Fill","P","CshAdjNormal","Y","CshAdjAbnormal","Y")</f>
        <v/>
      </c>
      <c r="C21763" s="6" t="n"/>
      <c r="D21763" s="6" t="n"/>
      <c r="E21763" s="6" t="n"/>
      <c r="F21763" s="6" t="n"/>
      <c r="G21763" s="5" t="n"/>
    </row>
    <row r="22083">
      <c r="A22083">
        <f>I72</f>
        <v/>
      </c>
      <c r="B22083">
        <f>BDH(A22083&amp;" US Equity","PX_OPEN,PX_HIGH,PX_LOW,PX_LAST,VOLUME",TEXT(EDATE(TODAY(),-15),"MM/DD/YYYY"),TEXT(TODAY(),"MM/DD/YYYY"),"Days","A","Fill","P","CshAdjNormal","Y","CshAdjAbnormal","Y")</f>
        <v/>
      </c>
      <c r="C22083" s="6" t="n"/>
      <c r="D22083" s="6" t="n"/>
      <c r="E22083" s="6" t="n"/>
      <c r="F22083" s="6" t="n"/>
      <c r="G22083" s="5" t="n"/>
    </row>
    <row r="22403">
      <c r="A22403">
        <f>I73</f>
        <v/>
      </c>
      <c r="B22403">
        <f>BDH(A22403&amp;" US Equity","PX_OPEN,PX_HIGH,PX_LOW,PX_LAST,VOLUME",TEXT(EDATE(TODAY(),-15),"MM/DD/YYYY"),TEXT(TODAY(),"MM/DD/YYYY"),"Days","A","Fill","P","CshAdjNormal","Y","CshAdjAbnormal","Y")</f>
        <v/>
      </c>
      <c r="C22403" s="6" t="n"/>
      <c r="D22403" s="6" t="n"/>
      <c r="E22403" s="6" t="n"/>
      <c r="F22403" s="6" t="n"/>
      <c r="G22403" s="5" t="n"/>
    </row>
    <row r="22723">
      <c r="A22723">
        <f>I74</f>
        <v/>
      </c>
      <c r="B22723">
        <f>BDH(A22723&amp;" US Equity","PX_OPEN,PX_HIGH,PX_LOW,PX_LAST,VOLUME",TEXT(EDATE(TODAY(),-15),"MM/DD/YYYY"),TEXT(TODAY(),"MM/DD/YYYY"),"Days","A","Fill","P","CshAdjNormal","Y","CshAdjAbnormal","Y")</f>
        <v/>
      </c>
      <c r="C22723" s="6" t="n"/>
      <c r="D22723" s="6" t="n"/>
      <c r="E22723" s="6" t="n"/>
      <c r="F22723" s="6" t="n"/>
      <c r="G22723" s="5" t="n"/>
    </row>
    <row r="23043">
      <c r="A23043">
        <f>I75</f>
        <v/>
      </c>
      <c r="B23043">
        <f>BDH(A23043&amp;" US Equity","PX_OPEN,PX_HIGH,PX_LOW,PX_LAST,VOLUME",TEXT(EDATE(TODAY(),-15),"MM/DD/YYYY"),TEXT(TODAY(),"MM/DD/YYYY"),"Days","A","Fill","P","CshAdjNormal","Y","CshAdjAbnormal","Y")</f>
        <v/>
      </c>
      <c r="C23043" s="6" t="n"/>
      <c r="D23043" s="6" t="n"/>
      <c r="E23043" s="6" t="n"/>
      <c r="F23043" s="6" t="n"/>
      <c r="G23043" s="5" t="n"/>
    </row>
    <row r="23363">
      <c r="A23363">
        <f>I76</f>
        <v/>
      </c>
      <c r="B23363">
        <f>BDH(A23363&amp;" US Equity","PX_OPEN,PX_HIGH,PX_LOW,PX_LAST,VOLUME",TEXT(EDATE(TODAY(),-15),"MM/DD/YYYY"),TEXT(TODAY(),"MM/DD/YYYY"),"Days","A","Fill","P","CshAdjNormal","Y","CshAdjAbnormal","Y")</f>
        <v/>
      </c>
      <c r="C23363" s="6" t="n"/>
      <c r="D23363" s="6" t="n"/>
      <c r="E23363" s="6" t="n"/>
      <c r="F23363" s="6" t="n"/>
      <c r="G23363" s="5" t="n"/>
    </row>
    <row r="23683">
      <c r="A23683">
        <f>I77</f>
        <v/>
      </c>
      <c r="B23683">
        <f>BDH(A23683&amp;" US Equity","PX_OPEN,PX_HIGH,PX_LOW,PX_LAST,VOLUME",TEXT(EDATE(TODAY(),-15),"MM/DD/YYYY"),TEXT(TODAY(),"MM/DD/YYYY"),"Days","A","Fill","P","CshAdjNormal","Y","CshAdjAbnormal","Y")</f>
        <v/>
      </c>
      <c r="C23683" s="6" t="n"/>
      <c r="D23683" s="6" t="n"/>
      <c r="E23683" s="6" t="n"/>
      <c r="F23683" s="6" t="n"/>
      <c r="G23683" s="5" t="n"/>
    </row>
    <row r="24003">
      <c r="A24003">
        <f>I78</f>
        <v/>
      </c>
      <c r="B24003">
        <f>BDH(A24003&amp;" US Equity","PX_OPEN,PX_HIGH,PX_LOW,PX_LAST,VOLUME",TEXT(EDATE(TODAY(),-15),"MM/DD/YYYY"),TEXT(TODAY(),"MM/DD/YYYY"),"Days","A","Fill","P","CshAdjNormal","Y","CshAdjAbnormal","Y")</f>
        <v/>
      </c>
      <c r="C24003" s="6" t="n"/>
      <c r="D24003" s="6" t="n"/>
      <c r="E24003" s="6" t="n"/>
      <c r="F24003" s="6" t="n"/>
      <c r="G24003" s="5" t="n"/>
    </row>
    <row r="24323">
      <c r="A24323">
        <f>I79</f>
        <v/>
      </c>
      <c r="B24323">
        <f>BDH(A24323&amp;" US Equity","PX_OPEN,PX_HIGH,PX_LOW,PX_LAST,VOLUME",TEXT(EDATE(TODAY(),-15),"MM/DD/YYYY"),TEXT(TODAY(),"MM/DD/YYYY"),"Days","A","Fill","P","CshAdjNormal","Y","CshAdjAbnormal","Y")</f>
        <v/>
      </c>
      <c r="C24323" s="6" t="n"/>
      <c r="D24323" s="6" t="n"/>
      <c r="E24323" s="6" t="n"/>
      <c r="F24323" s="6" t="n"/>
      <c r="G24323" s="5" t="n"/>
    </row>
    <row r="24643">
      <c r="A24643">
        <f>I80</f>
        <v/>
      </c>
      <c r="B24643">
        <f>BDH(A24643&amp;" US Equity","PX_OPEN,PX_HIGH,PX_LOW,PX_LAST,VOLUME",TEXT(EDATE(TODAY(),-15),"MM/DD/YYYY"),TEXT(TODAY(),"MM/DD/YYYY"),"Days","A","Fill","P","CshAdjNormal","Y","CshAdjAbnormal","Y")</f>
        <v/>
      </c>
      <c r="C24643" s="6" t="n"/>
      <c r="D24643" s="6" t="n"/>
      <c r="E24643" s="6" t="n"/>
      <c r="F24643" s="6" t="n"/>
      <c r="G24643" s="5" t="n"/>
    </row>
    <row r="24963">
      <c r="A24963">
        <f>I81</f>
        <v/>
      </c>
      <c r="B24963">
        <f>BDH(A24963&amp;" US Equity","PX_OPEN,PX_HIGH,PX_LOW,PX_LAST,VOLUME",TEXT(EDATE(TODAY(),-15),"MM/DD/YYYY"),TEXT(TODAY(),"MM/DD/YYYY"),"Days","A","Fill","P","CshAdjNormal","Y","CshAdjAbnormal","Y")</f>
        <v/>
      </c>
      <c r="C24963" s="6" t="n"/>
      <c r="D24963" s="6" t="n"/>
      <c r="E24963" s="6" t="n"/>
      <c r="F24963" s="6" t="n"/>
      <c r="G24963" s="5" t="n"/>
    </row>
    <row r="25283">
      <c r="A25283">
        <f>I82</f>
        <v/>
      </c>
      <c r="B25283">
        <f>BDH(A25283&amp;" US Equity","PX_OPEN,PX_HIGH,PX_LOW,PX_LAST,VOLUME",TEXT(EDATE(TODAY(),-15),"MM/DD/YYYY"),TEXT(TODAY(),"MM/DD/YYYY"),"Days","A","Fill","P","CshAdjNormal","Y","CshAdjAbnormal","Y")</f>
        <v/>
      </c>
      <c r="C25283" s="6" t="n"/>
      <c r="D25283" s="6" t="n"/>
      <c r="E25283" s="6" t="n"/>
      <c r="F25283" s="6" t="n"/>
      <c r="G25283" s="5" t="n"/>
    </row>
    <row r="25603">
      <c r="A25603">
        <f>I83</f>
        <v/>
      </c>
      <c r="B25603">
        <f>BDH(A25603&amp;" US Equity","PX_OPEN,PX_HIGH,PX_LOW,PX_LAST,VOLUME",TEXT(EDATE(TODAY(),-15),"MM/DD/YYYY"),TEXT(TODAY(),"MM/DD/YYYY"),"Days","A","Fill","P","CshAdjNormal","Y","CshAdjAbnormal","Y")</f>
        <v/>
      </c>
      <c r="C25603" s="6" t="n"/>
      <c r="D25603" s="6" t="n"/>
      <c r="E25603" s="6" t="n"/>
      <c r="F25603" s="6" t="n"/>
      <c r="G25603" s="5" t="n"/>
    </row>
    <row r="25923">
      <c r="A25923">
        <f>I84</f>
        <v/>
      </c>
      <c r="B25923">
        <f>BDH(A25923&amp;" US Equity","PX_OPEN,PX_HIGH,PX_LOW,PX_LAST,VOLUME",TEXT(EDATE(TODAY(),-15),"MM/DD/YYYY"),TEXT(TODAY(),"MM/DD/YYYY"),"Days","A","Fill","P","CshAdjNormal","Y","CshAdjAbnormal","Y")</f>
        <v/>
      </c>
      <c r="C25923" s="6" t="n"/>
      <c r="D25923" s="6" t="n"/>
      <c r="E25923" s="6" t="n"/>
      <c r="F25923" s="6" t="n"/>
      <c r="G25923" s="5" t="n"/>
    </row>
    <row r="26243">
      <c r="A26243">
        <f>I85</f>
        <v/>
      </c>
      <c r="B26243">
        <f>BDH(A26243&amp;" US Equity","PX_OPEN,PX_HIGH,PX_LOW,PX_LAST,VOLUME",TEXT(EDATE(TODAY(),-15),"MM/DD/YYYY"),TEXT(TODAY(),"MM/DD/YYYY"),"Days","A","Fill","P","CshAdjNormal","Y","CshAdjAbnormal","Y")</f>
        <v/>
      </c>
      <c r="C26243" s="6" t="n"/>
      <c r="D26243" s="6" t="n"/>
      <c r="E26243" s="6" t="n"/>
      <c r="F26243" s="6" t="n"/>
      <c r="G26243" s="5" t="n"/>
    </row>
    <row r="26563">
      <c r="A26563">
        <f>I86</f>
        <v/>
      </c>
      <c r="B26563">
        <f>BDH(A26563&amp;" US Equity","PX_OPEN,PX_HIGH,PX_LOW,PX_LAST,VOLUME",TEXT(EDATE(TODAY(),-15),"MM/DD/YYYY"),TEXT(TODAY(),"MM/DD/YYYY"),"Days","A","Fill","P","CshAdjNormal","Y","CshAdjAbnormal","Y")</f>
        <v/>
      </c>
      <c r="C26563" s="6" t="n"/>
      <c r="D26563" s="6" t="n"/>
      <c r="E26563" s="6" t="n"/>
      <c r="F26563" s="6" t="n"/>
      <c r="G26563" s="5" t="n"/>
    </row>
    <row r="26883">
      <c r="A26883">
        <f>I87</f>
        <v/>
      </c>
      <c r="B26883">
        <f>BDH(A26883&amp;" US Equity","PX_OPEN,PX_HIGH,PX_LOW,PX_LAST,VOLUME",TEXT(EDATE(TODAY(),-15),"MM/DD/YYYY"),TEXT(TODAY(),"MM/DD/YYYY"),"Days","A","Fill","P","CshAdjNormal","Y","CshAdjAbnormal","Y")</f>
        <v/>
      </c>
      <c r="C26883" s="6" t="n"/>
      <c r="D26883" s="6" t="n"/>
      <c r="E26883" s="6" t="n"/>
      <c r="F26883" s="6" t="n"/>
      <c r="G26883" s="5" t="n"/>
    </row>
    <row r="27203">
      <c r="A27203">
        <f>I88</f>
        <v/>
      </c>
      <c r="B27203">
        <f>BDH(A27203&amp;" US Equity","PX_OPEN,PX_HIGH,PX_LOW,PX_LAST,VOLUME",TEXT(EDATE(TODAY(),-15),"MM/DD/YYYY"),TEXT(TODAY(),"MM/DD/YYYY"),"Days","A","Fill","P","CshAdjNormal","Y","CshAdjAbnormal","Y")</f>
        <v/>
      </c>
      <c r="C27203" s="6" t="n"/>
      <c r="D27203" s="6" t="n"/>
      <c r="E27203" s="6" t="n"/>
      <c r="F27203" s="6" t="n"/>
      <c r="G27203" s="5" t="n"/>
    </row>
    <row r="27523">
      <c r="A27523">
        <f>I89</f>
        <v/>
      </c>
      <c r="B27523">
        <f>BDH(A27523&amp;" US Equity","PX_OPEN,PX_HIGH,PX_LOW,PX_LAST,VOLUME",TEXT(EDATE(TODAY(),-15),"MM/DD/YYYY"),TEXT(TODAY(),"MM/DD/YYYY"),"Days","A","Fill","P","CshAdjNormal","Y","CshAdjAbnormal","Y")</f>
        <v/>
      </c>
      <c r="C27523" s="6" t="n"/>
      <c r="D27523" s="6" t="n"/>
      <c r="E27523" s="6" t="n"/>
      <c r="F27523" s="6" t="n"/>
      <c r="G27523" s="5" t="n"/>
    </row>
    <row r="27843">
      <c r="A27843">
        <f>I90</f>
        <v/>
      </c>
      <c r="B27843">
        <f>BDH(A27843&amp;" US Equity","PX_OPEN,PX_HIGH,PX_LOW,PX_LAST,VOLUME",TEXT(EDATE(TODAY(),-15),"MM/DD/YYYY"),TEXT(TODAY(),"MM/DD/YYYY"),"Days","A","Fill","P","CshAdjNormal","Y","CshAdjAbnormal","Y")</f>
        <v/>
      </c>
      <c r="C27843" s="6" t="n"/>
      <c r="D27843" s="6" t="n"/>
      <c r="E27843" s="6" t="n"/>
      <c r="F27843" s="6" t="n"/>
      <c r="G27843" s="5" t="n"/>
    </row>
    <row r="28163">
      <c r="A28163">
        <f>I91</f>
        <v/>
      </c>
      <c r="B28163">
        <f>BDH(A28163&amp;" US Equity","PX_OPEN,PX_HIGH,PX_LOW,PX_LAST,VOLUME",TEXT(EDATE(TODAY(),-15),"MM/DD/YYYY"),TEXT(TODAY(),"MM/DD/YYYY"),"Days","A","Fill","P","CshAdjNormal","Y","CshAdjAbnormal","Y")</f>
        <v/>
      </c>
      <c r="C28163" s="6" t="n"/>
      <c r="D28163" s="6" t="n"/>
      <c r="E28163" s="6" t="n"/>
      <c r="F28163" s="6" t="n"/>
      <c r="G28163" s="5" t="n"/>
    </row>
    <row r="28483">
      <c r="A28483">
        <f>I92</f>
        <v/>
      </c>
      <c r="B28483">
        <f>BDH(A28483&amp;" US Equity","PX_OPEN,PX_HIGH,PX_LOW,PX_LAST,VOLUME",TEXT(EDATE(TODAY(),-15),"MM/DD/YYYY"),TEXT(TODAY(),"MM/DD/YYYY"),"Days","A","Fill","P","CshAdjNormal","Y","CshAdjAbnormal","Y")</f>
        <v/>
      </c>
      <c r="C28483" s="6" t="n"/>
      <c r="D28483" s="6" t="n"/>
      <c r="E28483" s="6" t="n"/>
      <c r="F28483" s="6" t="n"/>
      <c r="G28483" s="5" t="n"/>
    </row>
    <row r="28803">
      <c r="A28803">
        <f>I93</f>
        <v/>
      </c>
      <c r="B28803">
        <f>BDH(A28803&amp;" US Equity","PX_OPEN,PX_HIGH,PX_LOW,PX_LAST,VOLUME",TEXT(EDATE(TODAY(),-15),"MM/DD/YYYY"),TEXT(TODAY(),"MM/DD/YYYY"),"Days","A","Fill","P","CshAdjNormal","Y","CshAdjAbnormal","Y")</f>
        <v/>
      </c>
      <c r="C28803" s="6" t="n"/>
      <c r="D28803" s="6" t="n"/>
      <c r="E28803" s="6" t="n"/>
      <c r="F28803" s="6" t="n"/>
      <c r="G28803" s="5" t="n"/>
    </row>
    <row r="29123">
      <c r="A29123">
        <f>I94</f>
        <v/>
      </c>
      <c r="B29123">
        <f>BDH(A29123&amp;" US Equity","PX_OPEN,PX_HIGH,PX_LOW,PX_LAST,VOLUME",TEXT(EDATE(TODAY(),-15),"MM/DD/YYYY"),TEXT(TODAY(),"MM/DD/YYYY"),"Days","A","Fill","P","CshAdjNormal","Y","CshAdjAbnormal","Y")</f>
        <v/>
      </c>
      <c r="C29123" s="6" t="n"/>
      <c r="D29123" s="6" t="n"/>
      <c r="E29123" s="6" t="n"/>
      <c r="F29123" s="6" t="n"/>
      <c r="G29123" s="5" t="n"/>
    </row>
    <row r="29443">
      <c r="A29443">
        <f>I95</f>
        <v/>
      </c>
      <c r="B29443">
        <f>BDH(A29443&amp;" US Equity","PX_OPEN,PX_HIGH,PX_LOW,PX_LAST,VOLUME",TEXT(EDATE(TODAY(),-15),"MM/DD/YYYY"),TEXT(TODAY(),"MM/DD/YYYY"),"Days","A","Fill","P","CshAdjNormal","Y","CshAdjAbnormal","Y")</f>
        <v/>
      </c>
      <c r="C29443" s="6" t="n"/>
      <c r="D29443" s="6" t="n"/>
      <c r="E29443" s="6" t="n"/>
      <c r="F29443" s="6" t="n"/>
      <c r="G29443" s="5" t="n"/>
    </row>
    <row r="29763">
      <c r="A29763">
        <f>I96</f>
        <v/>
      </c>
      <c r="B29763">
        <f>BDH(A29763&amp;" US Equity","PX_OPEN,PX_HIGH,PX_LOW,PX_LAST,VOLUME",TEXT(EDATE(TODAY(),-15),"MM/DD/YYYY"),TEXT(TODAY(),"MM/DD/YYYY"),"Days","A","Fill","P","CshAdjNormal","Y","CshAdjAbnormal","Y")</f>
        <v/>
      </c>
      <c r="C29763" s="6" t="n"/>
      <c r="D29763" s="6" t="n"/>
      <c r="E29763" s="6" t="n"/>
      <c r="F29763" s="6" t="n"/>
      <c r="G29763" s="5" t="n"/>
    </row>
    <row r="30083">
      <c r="A30083">
        <f>I97</f>
        <v/>
      </c>
      <c r="B30083">
        <f>BDH(A30083&amp;" US Equity","PX_OPEN,PX_HIGH,PX_LOW,PX_LAST,VOLUME",TEXT(EDATE(TODAY(),-15),"MM/DD/YYYY"),TEXT(TODAY(),"MM/DD/YYYY"),"Days","A","Fill","P","CshAdjNormal","Y","CshAdjAbnormal","Y")</f>
        <v/>
      </c>
      <c r="C30083" s="6" t="n"/>
      <c r="D30083" s="6" t="n"/>
      <c r="E30083" s="6" t="n"/>
      <c r="F30083" s="6" t="n"/>
      <c r="G30083" s="5" t="n"/>
    </row>
    <row r="30403">
      <c r="A30403">
        <f>I98</f>
        <v/>
      </c>
      <c r="B30403">
        <f>BDH(A30403&amp;" US Equity","PX_OPEN,PX_HIGH,PX_LOW,PX_LAST,VOLUME",TEXT(EDATE(TODAY(),-15),"MM/DD/YYYY"),TEXT(TODAY(),"MM/DD/YYYY"),"Days","A","Fill","P","CshAdjNormal","Y","CshAdjAbnormal","Y")</f>
        <v/>
      </c>
      <c r="C30403" s="6" t="n"/>
      <c r="D30403" s="6" t="n"/>
      <c r="E30403" s="6" t="n"/>
      <c r="F30403" s="6" t="n"/>
      <c r="G30403" s="5" t="n"/>
    </row>
    <row r="30723">
      <c r="A30723">
        <f>I99</f>
        <v/>
      </c>
      <c r="B30723">
        <f>BDH(A30723&amp;" US Equity","PX_OPEN,PX_HIGH,PX_LOW,PX_LAST,VOLUME",TEXT(EDATE(TODAY(),-15),"MM/DD/YYYY"),TEXT(TODAY(),"MM/DD/YYYY"),"Days","A","Fill","P","CshAdjNormal","Y","CshAdjAbnormal","Y")</f>
        <v/>
      </c>
      <c r="C30723" s="6" t="n"/>
      <c r="D30723" s="6" t="n"/>
      <c r="E30723" s="6" t="n"/>
      <c r="F30723" s="6" t="n"/>
      <c r="G30723" s="5" t="n"/>
    </row>
    <row r="31043">
      <c r="A31043">
        <f>I100</f>
        <v/>
      </c>
      <c r="B31043">
        <f>BDH(A31043&amp;" US Equity","PX_OPEN,PX_HIGH,PX_LOW,PX_LAST,VOLUME",TEXT(EDATE(TODAY(),-15),"MM/DD/YYYY"),TEXT(TODAY(),"MM/DD/YYYY"),"Days","A","Fill","P","CshAdjNormal","Y","CshAdjAbnormal","Y")</f>
        <v/>
      </c>
      <c r="C31043" s="6" t="n"/>
      <c r="D31043" s="6" t="n"/>
      <c r="E31043" s="6" t="n"/>
      <c r="F31043" s="6" t="n"/>
      <c r="G31043" s="5" t="n"/>
    </row>
    <row r="31363">
      <c r="A31363">
        <f>I101</f>
        <v/>
      </c>
      <c r="B31363">
        <f>BDH(A31363&amp;" US Equity","PX_OPEN,PX_HIGH,PX_LOW,PX_LAST,VOLUME",TEXT(EDATE(TODAY(),-15),"MM/DD/YYYY"),TEXT(TODAY(),"MM/DD/YYYY"),"Days","A","Fill","P","CshAdjNormal","Y","CshAdjAbnormal","Y")</f>
        <v/>
      </c>
      <c r="C31363" s="6" t="n"/>
      <c r="D31363" s="6" t="n"/>
      <c r="E31363" s="6" t="n"/>
      <c r="F31363" s="6" t="n"/>
      <c r="G31363" s="5" t="n"/>
    </row>
    <row r="31683">
      <c r="A31683">
        <f>I102</f>
        <v/>
      </c>
      <c r="B31683">
        <f>BDH(A31683&amp;" US Equity","PX_OPEN,PX_HIGH,PX_LOW,PX_LAST,VOLUME",TEXT(EDATE(TODAY(),-15),"MM/DD/YYYY"),TEXT(TODAY(),"MM/DD/YYYY"),"Days","A","Fill","P","CshAdjNormal","Y","CshAdjAbnormal","Y")</f>
        <v/>
      </c>
      <c r="C31683" s="6" t="n"/>
      <c r="D31683" s="6" t="n"/>
      <c r="E31683" s="6" t="n"/>
      <c r="F31683" s="6" t="n"/>
      <c r="G31683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N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</cols>
  <sheetData>
    <row r="1">
      <c r="A1" s="4" t="inlineStr">
        <is>
          <t>Ticker</t>
        </is>
      </c>
      <c r="B1" s="4" t="inlineStr">
        <is>
          <t>EPS Date</t>
        </is>
      </c>
      <c r="C1" s="4" t="inlineStr">
        <is>
          <t>EPS</t>
        </is>
      </c>
      <c r="D1" s="9" t="n"/>
      <c r="E1" s="9" t="n"/>
      <c r="F1" s="9" t="n"/>
      <c r="G1" s="9" t="n"/>
      <c r="H1" s="9" t="n"/>
      <c r="I1" s="9" t="n"/>
      <c r="J1" s="4" t="inlineStr">
        <is>
          <t>Rev Date</t>
        </is>
      </c>
      <c r="K1" s="4" t="inlineStr">
        <is>
          <t>Revenue</t>
        </is>
      </c>
      <c r="L1" s="4" t="inlineStr">
        <is>
          <t>EPS YoY %</t>
        </is>
      </c>
      <c r="M1" s="4" t="inlineStr">
        <is>
          <t>Ticker Input</t>
        </is>
      </c>
      <c r="N1" s="4" t="inlineStr">
        <is>
          <t>Rev YoY %</t>
        </is>
      </c>
    </row>
    <row r="2">
      <c r="A2">
        <f>M2</f>
        <v/>
      </c>
      <c r="B2">
        <f>BDH(A2&amp;" US Equity","IS_DILUTED_EPS",TEXT(EDATE(TODAY(),-24),"MM/DD/YYYY"),TEXT(TODAY(),"MM/DD/YYYY"),"Per","Q","Days","A","Fill","P")</f>
        <v/>
      </c>
      <c r="C2" s="6" t="n"/>
      <c r="J2">
        <f>BDH(A2&amp;" US Equity","SALES_REV_TURN",TEXT(EDATE(TODAY(),-24),"MM/DD/YYYY"),TEXT(TODAY(),"MM/DD/YYYY"),"Per","Q","Days","A","Fill","P")</f>
        <v/>
      </c>
      <c r="K2" s="5" t="n"/>
      <c r="L2" s="10">
        <f>IF(C5=0,IF(C9&gt;0,999,0),IF(C5&lt;0,IF(C9&gt;0,999,0),(C9-C5)/ABS(C5)*100))</f>
        <v/>
      </c>
      <c r="M2" s="8" t="n"/>
      <c r="N2" s="10">
        <f>IF(K5&lt;=0,IF(K9&gt;0,999,0),(K9-K5)/K5*100)</f>
        <v/>
      </c>
    </row>
    <row r="3">
      <c r="M3" s="8" t="n"/>
    </row>
    <row r="4">
      <c r="M4" s="8" t="n"/>
    </row>
    <row r="5">
      <c r="M5" s="8" t="n"/>
    </row>
    <row r="6">
      <c r="M6" s="8" t="n"/>
    </row>
    <row r="7">
      <c r="M7" s="8" t="n"/>
    </row>
    <row r="8">
      <c r="M8" s="8" t="n"/>
    </row>
    <row r="9">
      <c r="M9" s="8" t="n"/>
    </row>
    <row r="10">
      <c r="M10" s="8" t="n"/>
    </row>
    <row r="11">
      <c r="M11" s="8" t="n"/>
    </row>
    <row r="12">
      <c r="A12">
        <f>M3</f>
        <v/>
      </c>
      <c r="B12">
        <f>BDH(A12&amp;" US Equity","IS_DILUTED_EPS",TEXT(EDATE(TODAY(),-24),"MM/DD/YYYY"),TEXT(TODAY(),"MM/DD/YYYY"),"Per","Q","Days","A","Fill","P")</f>
        <v/>
      </c>
      <c r="C12" s="6" t="n"/>
      <c r="J12">
        <f>BDH(A12&amp;" US Equity","SALES_REV_TURN",TEXT(EDATE(TODAY(),-24),"MM/DD/YYYY"),TEXT(TODAY(),"MM/DD/YYYY"),"Per","Q","Days","A","Fill","P")</f>
        <v/>
      </c>
      <c r="K12" s="5" t="n"/>
      <c r="L12" s="10">
        <f>IF(C15=0,IF(C19&gt;0,999,0),IF(C15&lt;0,IF(C19&gt;0,999,0),(C19-C15)/ABS(C15)*100))</f>
        <v/>
      </c>
      <c r="M12" s="8" t="n"/>
      <c r="N12" s="10">
        <f>IF(K15&lt;=0,IF(K19&gt;0,999,0),(K19-K15)/K15*100)</f>
        <v/>
      </c>
    </row>
    <row r="13">
      <c r="M13" s="8" t="n"/>
    </row>
    <row r="14">
      <c r="M14" s="8" t="n"/>
    </row>
    <row r="15">
      <c r="M15" s="8" t="n"/>
    </row>
    <row r="16">
      <c r="M16" s="8" t="n"/>
    </row>
    <row r="17">
      <c r="M17" s="8" t="n"/>
    </row>
    <row r="18">
      <c r="M18" s="8" t="n"/>
    </row>
    <row r="19">
      <c r="M19" s="8" t="n"/>
    </row>
    <row r="20">
      <c r="M20" s="8" t="n"/>
    </row>
    <row r="21">
      <c r="M21" s="8" t="n"/>
    </row>
    <row r="22">
      <c r="A22">
        <f>M4</f>
        <v/>
      </c>
      <c r="B22">
        <f>BDH(A22&amp;" US Equity","IS_DILUTED_EPS",TEXT(EDATE(TODAY(),-24),"MM/DD/YYYY"),TEXT(TODAY(),"MM/DD/YYYY"),"Per","Q","Days","A","Fill","P")</f>
        <v/>
      </c>
      <c r="C22" s="6" t="n"/>
      <c r="J22">
        <f>BDH(A22&amp;" US Equity","SALES_REV_TURN",TEXT(EDATE(TODAY(),-24),"MM/DD/YYYY"),TEXT(TODAY(),"MM/DD/YYYY"),"Per","Q","Days","A","Fill","P")</f>
        <v/>
      </c>
      <c r="K22" s="5" t="n"/>
      <c r="L22" s="10">
        <f>IF(C25=0,IF(C29&gt;0,999,0),IF(C25&lt;0,IF(C29&gt;0,999,0),(C29-C25)/ABS(C25)*100))</f>
        <v/>
      </c>
      <c r="M22" s="8" t="n"/>
      <c r="N22" s="10">
        <f>IF(K25&lt;=0,IF(K29&gt;0,999,0),(K29-K25)/K25*100)</f>
        <v/>
      </c>
    </row>
    <row r="23">
      <c r="M23" s="8" t="n"/>
    </row>
    <row r="24">
      <c r="M24" s="8" t="n"/>
    </row>
    <row r="25">
      <c r="M25" s="8" t="n"/>
    </row>
    <row r="26">
      <c r="M26" s="8" t="n"/>
    </row>
    <row r="27">
      <c r="M27" s="8" t="n"/>
    </row>
    <row r="28">
      <c r="M28" s="8" t="n"/>
    </row>
    <row r="29">
      <c r="M29" s="8" t="n"/>
    </row>
    <row r="30">
      <c r="M30" s="8" t="n"/>
    </row>
    <row r="31">
      <c r="M31" s="8" t="n"/>
    </row>
    <row r="32">
      <c r="A32">
        <f>M5</f>
        <v/>
      </c>
      <c r="B32">
        <f>BDH(A32&amp;" US Equity","IS_DILUTED_EPS",TEXT(EDATE(TODAY(),-24),"MM/DD/YYYY"),TEXT(TODAY(),"MM/DD/YYYY"),"Per","Q","Days","A","Fill","P")</f>
        <v/>
      </c>
      <c r="C32" s="6" t="n"/>
      <c r="J32">
        <f>BDH(A32&amp;" US Equity","SALES_REV_TURN",TEXT(EDATE(TODAY(),-24),"MM/DD/YYYY"),TEXT(TODAY(),"MM/DD/YYYY"),"Per","Q","Days","A","Fill","P")</f>
        <v/>
      </c>
      <c r="K32" s="5" t="n"/>
      <c r="L32" s="10">
        <f>IF(C35=0,IF(C39&gt;0,999,0),IF(C35&lt;0,IF(C39&gt;0,999,0),(C39-C35)/ABS(C35)*100))</f>
        <v/>
      </c>
      <c r="M32" s="8" t="n"/>
      <c r="N32" s="10">
        <f>IF(K35&lt;=0,IF(K39&gt;0,999,0),(K39-K35)/K35*100)</f>
        <v/>
      </c>
    </row>
    <row r="33">
      <c r="M33" s="8" t="n"/>
    </row>
    <row r="34">
      <c r="M34" s="8" t="n"/>
    </row>
    <row r="35">
      <c r="M35" s="8" t="n"/>
    </row>
    <row r="36">
      <c r="M36" s="8" t="n"/>
    </row>
    <row r="37">
      <c r="M37" s="8" t="n"/>
    </row>
    <row r="38">
      <c r="M38" s="8" t="n"/>
    </row>
    <row r="39">
      <c r="M39" s="8" t="n"/>
    </row>
    <row r="40">
      <c r="M40" s="8" t="n"/>
    </row>
    <row r="41">
      <c r="M41" s="8" t="n"/>
    </row>
    <row r="42">
      <c r="A42">
        <f>M6</f>
        <v/>
      </c>
      <c r="B42">
        <f>BDH(A42&amp;" US Equity","IS_DILUTED_EPS",TEXT(EDATE(TODAY(),-24),"MM/DD/YYYY"),TEXT(TODAY(),"MM/DD/YYYY"),"Per","Q","Days","A","Fill","P")</f>
        <v/>
      </c>
      <c r="C42" s="6" t="n"/>
      <c r="J42">
        <f>BDH(A42&amp;" US Equity","SALES_REV_TURN",TEXT(EDATE(TODAY(),-24),"MM/DD/YYYY"),TEXT(TODAY(),"MM/DD/YYYY"),"Per","Q","Days","A","Fill","P")</f>
        <v/>
      </c>
      <c r="K42" s="5" t="n"/>
      <c r="L42" s="10">
        <f>IF(C45=0,IF(C49&gt;0,999,0),IF(C45&lt;0,IF(C49&gt;0,999,0),(C49-C45)/ABS(C45)*100))</f>
        <v/>
      </c>
      <c r="M42" s="8" t="n"/>
      <c r="N42" s="10">
        <f>IF(K45&lt;=0,IF(K49&gt;0,999,0),(K49-K45)/K45*100)</f>
        <v/>
      </c>
    </row>
    <row r="43">
      <c r="M43" s="8" t="n"/>
    </row>
    <row r="44">
      <c r="M44" s="8" t="n"/>
    </row>
    <row r="45">
      <c r="M45" s="8" t="n"/>
    </row>
    <row r="46">
      <c r="M46" s="8" t="n"/>
    </row>
    <row r="47">
      <c r="M47" s="8" t="n"/>
    </row>
    <row r="48">
      <c r="M48" s="8" t="n"/>
    </row>
    <row r="49">
      <c r="M49" s="8" t="n"/>
    </row>
    <row r="50">
      <c r="M50" s="8" t="n"/>
    </row>
    <row r="51">
      <c r="M51" s="8" t="n"/>
    </row>
    <row r="52">
      <c r="A52">
        <f>M7</f>
        <v/>
      </c>
      <c r="B52">
        <f>BDH(A52&amp;" US Equity","IS_DILUTED_EPS",TEXT(EDATE(TODAY(),-24),"MM/DD/YYYY"),TEXT(TODAY(),"MM/DD/YYYY"),"Per","Q","Days","A","Fill","P")</f>
        <v/>
      </c>
      <c r="C52" s="6" t="n"/>
      <c r="J52">
        <f>BDH(A52&amp;" US Equity","SALES_REV_TURN",TEXT(EDATE(TODAY(),-24),"MM/DD/YYYY"),TEXT(TODAY(),"MM/DD/YYYY"),"Per","Q","Days","A","Fill","P")</f>
        <v/>
      </c>
      <c r="K52" s="5" t="n"/>
      <c r="L52" s="10">
        <f>IF(C55=0,IF(C59&gt;0,999,0),IF(C55&lt;0,IF(C59&gt;0,999,0),(C59-C55)/ABS(C55)*100))</f>
        <v/>
      </c>
      <c r="M52" s="8" t="n"/>
      <c r="N52" s="10">
        <f>IF(K55&lt;=0,IF(K59&gt;0,999,0),(K59-K55)/K55*100)</f>
        <v/>
      </c>
    </row>
    <row r="53">
      <c r="M53" s="8" t="n"/>
    </row>
    <row r="54">
      <c r="M54" s="8" t="n"/>
    </row>
    <row r="55">
      <c r="M55" s="8" t="n"/>
    </row>
    <row r="56">
      <c r="M56" s="8" t="n"/>
    </row>
    <row r="57">
      <c r="M57" s="8" t="n"/>
    </row>
    <row r="58">
      <c r="M58" s="8" t="n"/>
    </row>
    <row r="59">
      <c r="M59" s="8" t="n"/>
    </row>
    <row r="60">
      <c r="M60" s="8" t="n"/>
    </row>
    <row r="61">
      <c r="M61" s="8" t="n"/>
    </row>
    <row r="62">
      <c r="A62">
        <f>M8</f>
        <v/>
      </c>
      <c r="B62">
        <f>BDH(A62&amp;" US Equity","IS_DILUTED_EPS",TEXT(EDATE(TODAY(),-24),"MM/DD/YYYY"),TEXT(TODAY(),"MM/DD/YYYY"),"Per","Q","Days","A","Fill","P")</f>
        <v/>
      </c>
      <c r="C62" s="6" t="n"/>
      <c r="J62">
        <f>BDH(A62&amp;" US Equity","SALES_REV_TURN",TEXT(EDATE(TODAY(),-24),"MM/DD/YYYY"),TEXT(TODAY(),"MM/DD/YYYY"),"Per","Q","Days","A","Fill","P")</f>
        <v/>
      </c>
      <c r="K62" s="5" t="n"/>
      <c r="L62" s="10">
        <f>IF(C65=0,IF(C69&gt;0,999,0),IF(C65&lt;0,IF(C69&gt;0,999,0),(C69-C65)/ABS(C65)*100))</f>
        <v/>
      </c>
      <c r="M62" s="8" t="n"/>
      <c r="N62" s="10">
        <f>IF(K65&lt;=0,IF(K69&gt;0,999,0),(K69-K65)/K65*100)</f>
        <v/>
      </c>
    </row>
    <row r="63">
      <c r="M63" s="8" t="n"/>
    </row>
    <row r="64">
      <c r="M64" s="8" t="n"/>
    </row>
    <row r="65">
      <c r="M65" s="8" t="n"/>
    </row>
    <row r="66">
      <c r="M66" s="8" t="n"/>
    </row>
    <row r="67">
      <c r="M67" s="8" t="n"/>
    </row>
    <row r="68">
      <c r="M68" s="8" t="n"/>
    </row>
    <row r="69">
      <c r="M69" s="8" t="n"/>
    </row>
    <row r="70">
      <c r="M70" s="8" t="n"/>
    </row>
    <row r="71">
      <c r="M71" s="8" t="n"/>
    </row>
    <row r="72">
      <c r="A72">
        <f>M9</f>
        <v/>
      </c>
      <c r="B72">
        <f>BDH(A72&amp;" US Equity","IS_DILUTED_EPS",TEXT(EDATE(TODAY(),-24),"MM/DD/YYYY"),TEXT(TODAY(),"MM/DD/YYYY"),"Per","Q","Days","A","Fill","P")</f>
        <v/>
      </c>
      <c r="C72" s="6" t="n"/>
      <c r="J72">
        <f>BDH(A72&amp;" US Equity","SALES_REV_TURN",TEXT(EDATE(TODAY(),-24),"MM/DD/YYYY"),TEXT(TODAY(),"MM/DD/YYYY"),"Per","Q","Days","A","Fill","P")</f>
        <v/>
      </c>
      <c r="K72" s="5" t="n"/>
      <c r="L72" s="10">
        <f>IF(C75=0,IF(C79&gt;0,999,0),IF(C75&lt;0,IF(C79&gt;0,999,0),(C79-C75)/ABS(C75)*100))</f>
        <v/>
      </c>
      <c r="M72" s="8" t="n"/>
      <c r="N72" s="10">
        <f>IF(K75&lt;=0,IF(K79&gt;0,999,0),(K79-K75)/K75*100)</f>
        <v/>
      </c>
    </row>
    <row r="73">
      <c r="M73" s="8" t="n"/>
    </row>
    <row r="74">
      <c r="M74" s="8" t="n"/>
    </row>
    <row r="75">
      <c r="M75" s="8" t="n"/>
    </row>
    <row r="76">
      <c r="M76" s="8" t="n"/>
    </row>
    <row r="77">
      <c r="M77" s="8" t="n"/>
    </row>
    <row r="78">
      <c r="M78" s="8" t="n"/>
    </row>
    <row r="79">
      <c r="M79" s="8" t="n"/>
    </row>
    <row r="80">
      <c r="M80" s="8" t="n"/>
    </row>
    <row r="81">
      <c r="M81" s="8" t="n"/>
    </row>
    <row r="82">
      <c r="A82">
        <f>M10</f>
        <v/>
      </c>
      <c r="B82">
        <f>BDH(A82&amp;" US Equity","IS_DILUTED_EPS",TEXT(EDATE(TODAY(),-24),"MM/DD/YYYY"),TEXT(TODAY(),"MM/DD/YYYY"),"Per","Q","Days","A","Fill","P")</f>
        <v/>
      </c>
      <c r="C82" s="6" t="n"/>
      <c r="J82">
        <f>BDH(A82&amp;" US Equity","SALES_REV_TURN",TEXT(EDATE(TODAY(),-24),"MM/DD/YYYY"),TEXT(TODAY(),"MM/DD/YYYY"),"Per","Q","Days","A","Fill","P")</f>
        <v/>
      </c>
      <c r="K82" s="5" t="n"/>
      <c r="L82" s="10">
        <f>IF(C85=0,IF(C89&gt;0,999,0),IF(C85&lt;0,IF(C89&gt;0,999,0),(C89-C85)/ABS(C85)*100))</f>
        <v/>
      </c>
      <c r="M82" s="8" t="n"/>
      <c r="N82" s="10">
        <f>IF(K85&lt;=0,IF(K89&gt;0,999,0),(K89-K85)/K85*100)</f>
        <v/>
      </c>
    </row>
    <row r="83">
      <c r="M83" s="8" t="n"/>
    </row>
    <row r="84">
      <c r="M84" s="8" t="n"/>
    </row>
    <row r="85">
      <c r="M85" s="8" t="n"/>
    </row>
    <row r="86">
      <c r="M86" s="8" t="n"/>
    </row>
    <row r="87">
      <c r="M87" s="8" t="n"/>
    </row>
    <row r="88">
      <c r="M88" s="8" t="n"/>
    </row>
    <row r="89">
      <c r="M89" s="8" t="n"/>
    </row>
    <row r="90">
      <c r="M90" s="8" t="n"/>
    </row>
    <row r="91">
      <c r="M91" s="8" t="n"/>
    </row>
    <row r="92">
      <c r="A92">
        <f>M11</f>
        <v/>
      </c>
      <c r="B92">
        <f>BDH(A92&amp;" US Equity","IS_DILUTED_EPS",TEXT(EDATE(TODAY(),-24),"MM/DD/YYYY"),TEXT(TODAY(),"MM/DD/YYYY"),"Per","Q","Days","A","Fill","P")</f>
        <v/>
      </c>
      <c r="C92" s="6" t="n"/>
      <c r="J92">
        <f>BDH(A92&amp;" US Equity","SALES_REV_TURN",TEXT(EDATE(TODAY(),-24),"MM/DD/YYYY"),TEXT(TODAY(),"MM/DD/YYYY"),"Per","Q","Days","A","Fill","P")</f>
        <v/>
      </c>
      <c r="K92" s="5" t="n"/>
      <c r="L92" s="10">
        <f>IF(C95=0,IF(C99&gt;0,999,0),IF(C95&lt;0,IF(C99&gt;0,999,0),(C99-C95)/ABS(C95)*100))</f>
        <v/>
      </c>
      <c r="M92" s="8" t="n"/>
      <c r="N92" s="10">
        <f>IF(K95&lt;=0,IF(K99&gt;0,999,0),(K99-K95)/K95*100)</f>
        <v/>
      </c>
    </row>
    <row r="93">
      <c r="M93" s="8" t="n"/>
    </row>
    <row r="94">
      <c r="M94" s="8" t="n"/>
    </row>
    <row r="95">
      <c r="M95" s="8" t="n"/>
    </row>
    <row r="96">
      <c r="M96" s="8" t="n"/>
    </row>
    <row r="97">
      <c r="M97" s="8" t="n"/>
    </row>
    <row r="98">
      <c r="M98" s="8" t="n"/>
    </row>
    <row r="99">
      <c r="M99" s="8" t="n"/>
    </row>
    <row r="100">
      <c r="M100" s="8" t="n"/>
    </row>
    <row r="101">
      <c r="M101" s="8" t="n"/>
    </row>
    <row r="102">
      <c r="A102">
        <f>M12</f>
        <v/>
      </c>
      <c r="B102">
        <f>BDH(A102&amp;" US Equity","IS_DILUTED_EPS",TEXT(EDATE(TODAY(),-24),"MM/DD/YYYY"),TEXT(TODAY(),"MM/DD/YYYY"),"Per","Q","Days","A","Fill","P")</f>
        <v/>
      </c>
      <c r="C102" s="6" t="n"/>
      <c r="J102">
        <f>BDH(A102&amp;" US Equity","SALES_REV_TURN",TEXT(EDATE(TODAY(),-24),"MM/DD/YYYY"),TEXT(TODAY(),"MM/DD/YYYY"),"Per","Q","Days","A","Fill","P")</f>
        <v/>
      </c>
      <c r="K102" s="5" t="n"/>
      <c r="L102" s="10">
        <f>IF(C105=0,IF(C109&gt;0,999,0),IF(C105&lt;0,IF(C109&gt;0,999,0),(C109-C105)/ABS(C105)*100))</f>
        <v/>
      </c>
      <c r="N102" s="10">
        <f>IF(K105&lt;=0,IF(K109&gt;0,999,0),(K109-K105)/K105*100)</f>
        <v/>
      </c>
    </row>
    <row r="112">
      <c r="A112">
        <f>M13</f>
        <v/>
      </c>
      <c r="B112">
        <f>BDH(A112&amp;" US Equity","IS_DILUTED_EPS",TEXT(EDATE(TODAY(),-24),"MM/DD/YYYY"),TEXT(TODAY(),"MM/DD/YYYY"),"Per","Q","Days","A","Fill","P")</f>
        <v/>
      </c>
      <c r="C112" s="6" t="n"/>
      <c r="J112">
        <f>BDH(A112&amp;" US Equity","SALES_REV_TURN",TEXT(EDATE(TODAY(),-24),"MM/DD/YYYY"),TEXT(TODAY(),"MM/DD/YYYY"),"Per","Q","Days","A","Fill","P")</f>
        <v/>
      </c>
      <c r="K112" s="5" t="n"/>
      <c r="L112" s="10">
        <f>IF(C115=0,IF(C119&gt;0,999,0),IF(C115&lt;0,IF(C119&gt;0,999,0),(C119-C115)/ABS(C115)*100))</f>
        <v/>
      </c>
      <c r="N112" s="10">
        <f>IF(K115&lt;=0,IF(K119&gt;0,999,0),(K119-K115)/K115*100)</f>
        <v/>
      </c>
    </row>
    <row r="122">
      <c r="A122">
        <f>M14</f>
        <v/>
      </c>
      <c r="B122">
        <f>BDH(A122&amp;" US Equity","IS_DILUTED_EPS",TEXT(EDATE(TODAY(),-24),"MM/DD/YYYY"),TEXT(TODAY(),"MM/DD/YYYY"),"Per","Q","Days","A","Fill","P")</f>
        <v/>
      </c>
      <c r="C122" s="6" t="n"/>
      <c r="J122">
        <f>BDH(A122&amp;" US Equity","SALES_REV_TURN",TEXT(EDATE(TODAY(),-24),"MM/DD/YYYY"),TEXT(TODAY(),"MM/DD/YYYY"),"Per","Q","Days","A","Fill","P")</f>
        <v/>
      </c>
      <c r="K122" s="5" t="n"/>
      <c r="L122" s="10">
        <f>IF(C125=0,IF(C129&gt;0,999,0),IF(C125&lt;0,IF(C129&gt;0,999,0),(C129-C125)/ABS(C125)*100))</f>
        <v/>
      </c>
      <c r="N122" s="10">
        <f>IF(K125&lt;=0,IF(K129&gt;0,999,0),(K129-K125)/K125*100)</f>
        <v/>
      </c>
    </row>
    <row r="132">
      <c r="A132">
        <f>M15</f>
        <v/>
      </c>
      <c r="B132">
        <f>BDH(A132&amp;" US Equity","IS_DILUTED_EPS",TEXT(EDATE(TODAY(),-24),"MM/DD/YYYY"),TEXT(TODAY(),"MM/DD/YYYY"),"Per","Q","Days","A","Fill","P")</f>
        <v/>
      </c>
      <c r="C132" s="6" t="n"/>
      <c r="J132">
        <f>BDH(A132&amp;" US Equity","SALES_REV_TURN",TEXT(EDATE(TODAY(),-24),"MM/DD/YYYY"),TEXT(TODAY(),"MM/DD/YYYY"),"Per","Q","Days","A","Fill","P")</f>
        <v/>
      </c>
      <c r="K132" s="5" t="n"/>
      <c r="L132" s="10">
        <f>IF(C135=0,IF(C139&gt;0,999,0),IF(C135&lt;0,IF(C139&gt;0,999,0),(C139-C135)/ABS(C135)*100))</f>
        <v/>
      </c>
      <c r="N132" s="10">
        <f>IF(K135&lt;=0,IF(K139&gt;0,999,0),(K139-K135)/K135*100)</f>
        <v/>
      </c>
    </row>
    <row r="142">
      <c r="A142">
        <f>M16</f>
        <v/>
      </c>
      <c r="B142">
        <f>BDH(A142&amp;" US Equity","IS_DILUTED_EPS",TEXT(EDATE(TODAY(),-24),"MM/DD/YYYY"),TEXT(TODAY(),"MM/DD/YYYY"),"Per","Q","Days","A","Fill","P")</f>
        <v/>
      </c>
      <c r="C142" s="6" t="n"/>
      <c r="J142">
        <f>BDH(A142&amp;" US Equity","SALES_REV_TURN",TEXT(EDATE(TODAY(),-24),"MM/DD/YYYY"),TEXT(TODAY(),"MM/DD/YYYY"),"Per","Q","Days","A","Fill","P")</f>
        <v/>
      </c>
      <c r="K142" s="5" t="n"/>
      <c r="L142" s="10">
        <f>IF(C145=0,IF(C149&gt;0,999,0),IF(C145&lt;0,IF(C149&gt;0,999,0),(C149-C145)/ABS(C145)*100))</f>
        <v/>
      </c>
      <c r="N142" s="10">
        <f>IF(K145&lt;=0,IF(K149&gt;0,999,0),(K149-K145)/K145*100)</f>
        <v/>
      </c>
    </row>
    <row r="152">
      <c r="A152">
        <f>M17</f>
        <v/>
      </c>
      <c r="B152">
        <f>BDH(A152&amp;" US Equity","IS_DILUTED_EPS",TEXT(EDATE(TODAY(),-24),"MM/DD/YYYY"),TEXT(TODAY(),"MM/DD/YYYY"),"Per","Q","Days","A","Fill","P")</f>
        <v/>
      </c>
      <c r="C152" s="6" t="n"/>
      <c r="J152">
        <f>BDH(A152&amp;" US Equity","SALES_REV_TURN",TEXT(EDATE(TODAY(),-24),"MM/DD/YYYY"),TEXT(TODAY(),"MM/DD/YYYY"),"Per","Q","Days","A","Fill","P")</f>
        <v/>
      </c>
      <c r="K152" s="5" t="n"/>
      <c r="L152" s="10">
        <f>IF(C155=0,IF(C159&gt;0,999,0),IF(C155&lt;0,IF(C159&gt;0,999,0),(C159-C155)/ABS(C155)*100))</f>
        <v/>
      </c>
      <c r="N152" s="10">
        <f>IF(K155&lt;=0,IF(K159&gt;0,999,0),(K159-K155)/K155*100)</f>
        <v/>
      </c>
    </row>
    <row r="162">
      <c r="A162">
        <f>M18</f>
        <v/>
      </c>
      <c r="B162">
        <f>BDH(A162&amp;" US Equity","IS_DILUTED_EPS",TEXT(EDATE(TODAY(),-24),"MM/DD/YYYY"),TEXT(TODAY(),"MM/DD/YYYY"),"Per","Q","Days","A","Fill","P")</f>
        <v/>
      </c>
      <c r="C162" s="6" t="n"/>
      <c r="J162">
        <f>BDH(A162&amp;" US Equity","SALES_REV_TURN",TEXT(EDATE(TODAY(),-24),"MM/DD/YYYY"),TEXT(TODAY(),"MM/DD/YYYY"),"Per","Q","Days","A","Fill","P")</f>
        <v/>
      </c>
      <c r="K162" s="5" t="n"/>
      <c r="L162" s="10">
        <f>IF(C165=0,IF(C169&gt;0,999,0),IF(C165&lt;0,IF(C169&gt;0,999,0),(C169-C165)/ABS(C165)*100))</f>
        <v/>
      </c>
      <c r="N162" s="10">
        <f>IF(K165&lt;=0,IF(K169&gt;0,999,0),(K169-K165)/K165*100)</f>
        <v/>
      </c>
    </row>
    <row r="172">
      <c r="A172">
        <f>M19</f>
        <v/>
      </c>
      <c r="B172">
        <f>BDH(A172&amp;" US Equity","IS_DILUTED_EPS",TEXT(EDATE(TODAY(),-24),"MM/DD/YYYY"),TEXT(TODAY(),"MM/DD/YYYY"),"Per","Q","Days","A","Fill","P")</f>
        <v/>
      </c>
      <c r="C172" s="6" t="n"/>
      <c r="J172">
        <f>BDH(A172&amp;" US Equity","SALES_REV_TURN",TEXT(EDATE(TODAY(),-24),"MM/DD/YYYY"),TEXT(TODAY(),"MM/DD/YYYY"),"Per","Q","Days","A","Fill","P")</f>
        <v/>
      </c>
      <c r="K172" s="5" t="n"/>
      <c r="L172" s="10">
        <f>IF(C175=0,IF(C179&gt;0,999,0),IF(C175&lt;0,IF(C179&gt;0,999,0),(C179-C175)/ABS(C175)*100))</f>
        <v/>
      </c>
      <c r="N172" s="10">
        <f>IF(K175&lt;=0,IF(K179&gt;0,999,0),(K179-K175)/K175*100)</f>
        <v/>
      </c>
    </row>
    <row r="182">
      <c r="A182">
        <f>M20</f>
        <v/>
      </c>
      <c r="B182">
        <f>BDH(A182&amp;" US Equity","IS_DILUTED_EPS",TEXT(EDATE(TODAY(),-24),"MM/DD/YYYY"),TEXT(TODAY(),"MM/DD/YYYY"),"Per","Q","Days","A","Fill","P")</f>
        <v/>
      </c>
      <c r="C182" s="6" t="n"/>
      <c r="J182">
        <f>BDH(A182&amp;" US Equity","SALES_REV_TURN",TEXT(EDATE(TODAY(),-24),"MM/DD/YYYY"),TEXT(TODAY(),"MM/DD/YYYY"),"Per","Q","Days","A","Fill","P")</f>
        <v/>
      </c>
      <c r="K182" s="5" t="n"/>
      <c r="L182" s="10">
        <f>IF(C185=0,IF(C189&gt;0,999,0),IF(C185&lt;0,IF(C189&gt;0,999,0),(C189-C185)/ABS(C185)*100))</f>
        <v/>
      </c>
      <c r="N182" s="10">
        <f>IF(K185&lt;=0,IF(K189&gt;0,999,0),(K189-K185)/K185*100)</f>
        <v/>
      </c>
    </row>
    <row r="192">
      <c r="A192">
        <f>M21</f>
        <v/>
      </c>
      <c r="B192">
        <f>BDH(A192&amp;" US Equity","IS_DILUTED_EPS",TEXT(EDATE(TODAY(),-24),"MM/DD/YYYY"),TEXT(TODAY(),"MM/DD/YYYY"),"Per","Q","Days","A","Fill","P")</f>
        <v/>
      </c>
      <c r="C192" s="6" t="n"/>
      <c r="J192">
        <f>BDH(A192&amp;" US Equity","SALES_REV_TURN",TEXT(EDATE(TODAY(),-24),"MM/DD/YYYY"),TEXT(TODAY(),"MM/DD/YYYY"),"Per","Q","Days","A","Fill","P")</f>
        <v/>
      </c>
      <c r="K192" s="5" t="n"/>
      <c r="L192" s="10">
        <f>IF(C195=0,IF(C199&gt;0,999,0),IF(C195&lt;0,IF(C199&gt;0,999,0),(C199-C195)/ABS(C195)*100))</f>
        <v/>
      </c>
      <c r="N192" s="10">
        <f>IF(K195&lt;=0,IF(K199&gt;0,999,0),(K199-K195)/K195*100)</f>
        <v/>
      </c>
    </row>
    <row r="202">
      <c r="A202">
        <f>M22</f>
        <v/>
      </c>
      <c r="B202">
        <f>BDH(A202&amp;" US Equity","IS_DILUTED_EPS",TEXT(EDATE(TODAY(),-24),"MM/DD/YYYY"),TEXT(TODAY(),"MM/DD/YYYY"),"Per","Q","Days","A","Fill","P")</f>
        <v/>
      </c>
      <c r="C202" s="6" t="n"/>
      <c r="J202">
        <f>BDH(A202&amp;" US Equity","SALES_REV_TURN",TEXT(EDATE(TODAY(),-24),"MM/DD/YYYY"),TEXT(TODAY(),"MM/DD/YYYY"),"Per","Q","Days","A","Fill","P")</f>
        <v/>
      </c>
      <c r="K202" s="5" t="n"/>
      <c r="L202" s="10">
        <f>IF(C205=0,IF(C209&gt;0,999,0),IF(C205&lt;0,IF(C209&gt;0,999,0),(C209-C205)/ABS(C205)*100))</f>
        <v/>
      </c>
      <c r="N202" s="10">
        <f>IF(K205&lt;=0,IF(K209&gt;0,999,0),(K209-K205)/K205*100)</f>
        <v/>
      </c>
    </row>
    <row r="212">
      <c r="A212">
        <f>M23</f>
        <v/>
      </c>
      <c r="B212">
        <f>BDH(A212&amp;" US Equity","IS_DILUTED_EPS",TEXT(EDATE(TODAY(),-24),"MM/DD/YYYY"),TEXT(TODAY(),"MM/DD/YYYY"),"Per","Q","Days","A","Fill","P")</f>
        <v/>
      </c>
      <c r="C212" s="6" t="n"/>
      <c r="J212">
        <f>BDH(A212&amp;" US Equity","SALES_REV_TURN",TEXT(EDATE(TODAY(),-24),"MM/DD/YYYY"),TEXT(TODAY(),"MM/DD/YYYY"),"Per","Q","Days","A","Fill","P")</f>
        <v/>
      </c>
      <c r="K212" s="5" t="n"/>
      <c r="L212" s="10">
        <f>IF(C215=0,IF(C219&gt;0,999,0),IF(C215&lt;0,IF(C219&gt;0,999,0),(C219-C215)/ABS(C215)*100))</f>
        <v/>
      </c>
      <c r="N212" s="10">
        <f>IF(K215&lt;=0,IF(K219&gt;0,999,0),(K219-K215)/K215*100)</f>
        <v/>
      </c>
    </row>
    <row r="222">
      <c r="A222">
        <f>M24</f>
        <v/>
      </c>
      <c r="B222">
        <f>BDH(A222&amp;" US Equity","IS_DILUTED_EPS",TEXT(EDATE(TODAY(),-24),"MM/DD/YYYY"),TEXT(TODAY(),"MM/DD/YYYY"),"Per","Q","Days","A","Fill","P")</f>
        <v/>
      </c>
      <c r="C222" s="6" t="n"/>
      <c r="J222">
        <f>BDH(A222&amp;" US Equity","SALES_REV_TURN",TEXT(EDATE(TODAY(),-24),"MM/DD/YYYY"),TEXT(TODAY(),"MM/DD/YYYY"),"Per","Q","Days","A","Fill","P")</f>
        <v/>
      </c>
      <c r="K222" s="5" t="n"/>
      <c r="L222" s="10">
        <f>IF(C225=0,IF(C229&gt;0,999,0),IF(C225&lt;0,IF(C229&gt;0,999,0),(C229-C225)/ABS(C225)*100))</f>
        <v/>
      </c>
      <c r="N222" s="10">
        <f>IF(K225&lt;=0,IF(K229&gt;0,999,0),(K229-K225)/K225*100)</f>
        <v/>
      </c>
    </row>
    <row r="232">
      <c r="A232">
        <f>M25</f>
        <v/>
      </c>
      <c r="B232">
        <f>BDH(A232&amp;" US Equity","IS_DILUTED_EPS",TEXT(EDATE(TODAY(),-24),"MM/DD/YYYY"),TEXT(TODAY(),"MM/DD/YYYY"),"Per","Q","Days","A","Fill","P")</f>
        <v/>
      </c>
      <c r="C232" s="6" t="n"/>
      <c r="J232">
        <f>BDH(A232&amp;" US Equity","SALES_REV_TURN",TEXT(EDATE(TODAY(),-24),"MM/DD/YYYY"),TEXT(TODAY(),"MM/DD/YYYY"),"Per","Q","Days","A","Fill","P")</f>
        <v/>
      </c>
      <c r="K232" s="5" t="n"/>
      <c r="L232" s="10">
        <f>IF(C235=0,IF(C239&gt;0,999,0),IF(C235&lt;0,IF(C239&gt;0,999,0),(C239-C235)/ABS(C235)*100))</f>
        <v/>
      </c>
      <c r="N232" s="10">
        <f>IF(K235&lt;=0,IF(K239&gt;0,999,0),(K239-K235)/K235*100)</f>
        <v/>
      </c>
    </row>
    <row r="242">
      <c r="A242">
        <f>M26</f>
        <v/>
      </c>
      <c r="B242">
        <f>BDH(A242&amp;" US Equity","IS_DILUTED_EPS",TEXT(EDATE(TODAY(),-24),"MM/DD/YYYY"),TEXT(TODAY(),"MM/DD/YYYY"),"Per","Q","Days","A","Fill","P")</f>
        <v/>
      </c>
      <c r="C242" s="6" t="n"/>
      <c r="J242">
        <f>BDH(A242&amp;" US Equity","SALES_REV_TURN",TEXT(EDATE(TODAY(),-24),"MM/DD/YYYY"),TEXT(TODAY(),"MM/DD/YYYY"),"Per","Q","Days","A","Fill","P")</f>
        <v/>
      </c>
      <c r="K242" s="5" t="n"/>
      <c r="L242" s="10">
        <f>IF(C245=0,IF(C249&gt;0,999,0),IF(C245&lt;0,IF(C249&gt;0,999,0),(C249-C245)/ABS(C245)*100))</f>
        <v/>
      </c>
      <c r="N242" s="10">
        <f>IF(K245&lt;=0,IF(K249&gt;0,999,0),(K249-K245)/K245*100)</f>
        <v/>
      </c>
    </row>
    <row r="252">
      <c r="A252">
        <f>M27</f>
        <v/>
      </c>
      <c r="B252">
        <f>BDH(A252&amp;" US Equity","IS_DILUTED_EPS",TEXT(EDATE(TODAY(),-24),"MM/DD/YYYY"),TEXT(TODAY(),"MM/DD/YYYY"),"Per","Q","Days","A","Fill","P")</f>
        <v/>
      </c>
      <c r="C252" s="6" t="n"/>
      <c r="J252">
        <f>BDH(A252&amp;" US Equity","SALES_REV_TURN",TEXT(EDATE(TODAY(),-24),"MM/DD/YYYY"),TEXT(TODAY(),"MM/DD/YYYY"),"Per","Q","Days","A","Fill","P")</f>
        <v/>
      </c>
      <c r="K252" s="5" t="n"/>
      <c r="L252" s="10">
        <f>IF(C255=0,IF(C259&gt;0,999,0),IF(C255&lt;0,IF(C259&gt;0,999,0),(C259-C255)/ABS(C255)*100))</f>
        <v/>
      </c>
      <c r="N252" s="10">
        <f>IF(K255&lt;=0,IF(K259&gt;0,999,0),(K259-K255)/K255*100)</f>
        <v/>
      </c>
    </row>
    <row r="262">
      <c r="A262">
        <f>M28</f>
        <v/>
      </c>
      <c r="B262">
        <f>BDH(A262&amp;" US Equity","IS_DILUTED_EPS",TEXT(EDATE(TODAY(),-24),"MM/DD/YYYY"),TEXT(TODAY(),"MM/DD/YYYY"),"Per","Q","Days","A","Fill","P")</f>
        <v/>
      </c>
      <c r="C262" s="6" t="n"/>
      <c r="J262">
        <f>BDH(A262&amp;" US Equity","SALES_REV_TURN",TEXT(EDATE(TODAY(),-24),"MM/DD/YYYY"),TEXT(TODAY(),"MM/DD/YYYY"),"Per","Q","Days","A","Fill","P")</f>
        <v/>
      </c>
      <c r="K262" s="5" t="n"/>
      <c r="L262" s="10">
        <f>IF(C265=0,IF(C269&gt;0,999,0),IF(C265&lt;0,IF(C269&gt;0,999,0),(C269-C265)/ABS(C265)*100))</f>
        <v/>
      </c>
      <c r="N262" s="10">
        <f>IF(K265&lt;=0,IF(K269&gt;0,999,0),(K269-K265)/K265*100)</f>
        <v/>
      </c>
    </row>
    <row r="272">
      <c r="A272">
        <f>M29</f>
        <v/>
      </c>
      <c r="B272">
        <f>BDH(A272&amp;" US Equity","IS_DILUTED_EPS",TEXT(EDATE(TODAY(),-24),"MM/DD/YYYY"),TEXT(TODAY(),"MM/DD/YYYY"),"Per","Q","Days","A","Fill","P")</f>
        <v/>
      </c>
      <c r="C272" s="6" t="n"/>
      <c r="J272">
        <f>BDH(A272&amp;" US Equity","SALES_REV_TURN",TEXT(EDATE(TODAY(),-24),"MM/DD/YYYY"),TEXT(TODAY(),"MM/DD/YYYY"),"Per","Q","Days","A","Fill","P")</f>
        <v/>
      </c>
      <c r="K272" s="5" t="n"/>
      <c r="L272" s="10">
        <f>IF(C275=0,IF(C279&gt;0,999,0),IF(C275&lt;0,IF(C279&gt;0,999,0),(C279-C275)/ABS(C275)*100))</f>
        <v/>
      </c>
      <c r="N272" s="10">
        <f>IF(K275&lt;=0,IF(K279&gt;0,999,0),(K279-K275)/K275*100)</f>
        <v/>
      </c>
    </row>
    <row r="282">
      <c r="A282">
        <f>M30</f>
        <v/>
      </c>
      <c r="B282">
        <f>BDH(A282&amp;" US Equity","IS_DILUTED_EPS",TEXT(EDATE(TODAY(),-24),"MM/DD/YYYY"),TEXT(TODAY(),"MM/DD/YYYY"),"Per","Q","Days","A","Fill","P")</f>
        <v/>
      </c>
      <c r="C282" s="6" t="n"/>
      <c r="J282">
        <f>BDH(A282&amp;" US Equity","SALES_REV_TURN",TEXT(EDATE(TODAY(),-24),"MM/DD/YYYY"),TEXT(TODAY(),"MM/DD/YYYY"),"Per","Q","Days","A","Fill","P")</f>
        <v/>
      </c>
      <c r="K282" s="5" t="n"/>
      <c r="L282" s="10">
        <f>IF(C285=0,IF(C289&gt;0,999,0),IF(C285&lt;0,IF(C289&gt;0,999,0),(C289-C285)/ABS(C285)*100))</f>
        <v/>
      </c>
      <c r="N282" s="10">
        <f>IF(K285&lt;=0,IF(K289&gt;0,999,0),(K289-K285)/K285*100)</f>
        <v/>
      </c>
    </row>
    <row r="292">
      <c r="A292">
        <f>M31</f>
        <v/>
      </c>
      <c r="B292">
        <f>BDH(A292&amp;" US Equity","IS_DILUTED_EPS",TEXT(EDATE(TODAY(),-24),"MM/DD/YYYY"),TEXT(TODAY(),"MM/DD/YYYY"),"Per","Q","Days","A","Fill","P")</f>
        <v/>
      </c>
      <c r="C292" s="6" t="n"/>
      <c r="J292">
        <f>BDH(A292&amp;" US Equity","SALES_REV_TURN",TEXT(EDATE(TODAY(),-24),"MM/DD/YYYY"),TEXT(TODAY(),"MM/DD/YYYY"),"Per","Q","Days","A","Fill","P")</f>
        <v/>
      </c>
      <c r="K292" s="5" t="n"/>
      <c r="L292" s="10">
        <f>IF(C295=0,IF(C299&gt;0,999,0),IF(C295&lt;0,IF(C299&gt;0,999,0),(C299-C295)/ABS(C295)*100))</f>
        <v/>
      </c>
      <c r="N292" s="10">
        <f>IF(K295&lt;=0,IF(K299&gt;0,999,0),(K299-K295)/K295*100)</f>
        <v/>
      </c>
    </row>
    <row r="302">
      <c r="A302">
        <f>M32</f>
        <v/>
      </c>
      <c r="B302">
        <f>BDH(A302&amp;" US Equity","IS_DILUTED_EPS",TEXT(EDATE(TODAY(),-24),"MM/DD/YYYY"),TEXT(TODAY(),"MM/DD/YYYY"),"Per","Q","Days","A","Fill","P")</f>
        <v/>
      </c>
      <c r="C302" s="6" t="n"/>
      <c r="J302">
        <f>BDH(A302&amp;" US Equity","SALES_REV_TURN",TEXT(EDATE(TODAY(),-24),"MM/DD/YYYY"),TEXT(TODAY(),"MM/DD/YYYY"),"Per","Q","Days","A","Fill","P")</f>
        <v/>
      </c>
      <c r="K302" s="5" t="n"/>
      <c r="L302" s="10">
        <f>IF(C305=0,IF(C309&gt;0,999,0),IF(C305&lt;0,IF(C309&gt;0,999,0),(C309-C305)/ABS(C305)*100))</f>
        <v/>
      </c>
      <c r="N302" s="10">
        <f>IF(K305&lt;=0,IF(K309&gt;0,999,0),(K309-K305)/K305*100)</f>
        <v/>
      </c>
    </row>
    <row r="312">
      <c r="A312">
        <f>M33</f>
        <v/>
      </c>
      <c r="B312">
        <f>BDH(A312&amp;" US Equity","IS_DILUTED_EPS",TEXT(EDATE(TODAY(),-24),"MM/DD/YYYY"),TEXT(TODAY(),"MM/DD/YYYY"),"Per","Q","Days","A","Fill","P")</f>
        <v/>
      </c>
      <c r="C312" s="6" t="n"/>
      <c r="J312">
        <f>BDH(A312&amp;" US Equity","SALES_REV_TURN",TEXT(EDATE(TODAY(),-24),"MM/DD/YYYY"),TEXT(TODAY(),"MM/DD/YYYY"),"Per","Q","Days","A","Fill","P")</f>
        <v/>
      </c>
      <c r="K312" s="5" t="n"/>
      <c r="L312" s="10">
        <f>IF(C315=0,IF(C319&gt;0,999,0),IF(C315&lt;0,IF(C319&gt;0,999,0),(C319-C315)/ABS(C315)*100))</f>
        <v/>
      </c>
      <c r="N312" s="10">
        <f>IF(K315&lt;=0,IF(K319&gt;0,999,0),(K319-K315)/K315*100)</f>
        <v/>
      </c>
    </row>
    <row r="322">
      <c r="A322">
        <f>M34</f>
        <v/>
      </c>
      <c r="B322">
        <f>BDH(A322&amp;" US Equity","IS_DILUTED_EPS",TEXT(EDATE(TODAY(),-24),"MM/DD/YYYY"),TEXT(TODAY(),"MM/DD/YYYY"),"Per","Q","Days","A","Fill","P")</f>
        <v/>
      </c>
      <c r="C322" s="6" t="n"/>
      <c r="J322">
        <f>BDH(A322&amp;" US Equity","SALES_REV_TURN",TEXT(EDATE(TODAY(),-24),"MM/DD/YYYY"),TEXT(TODAY(),"MM/DD/YYYY"),"Per","Q","Days","A","Fill","P")</f>
        <v/>
      </c>
      <c r="K322" s="5" t="n"/>
      <c r="L322" s="10">
        <f>IF(C325=0,IF(C329&gt;0,999,0),IF(C325&lt;0,IF(C329&gt;0,999,0),(C329-C325)/ABS(C325)*100))</f>
        <v/>
      </c>
      <c r="N322" s="10">
        <f>IF(K325&lt;=0,IF(K329&gt;0,999,0),(K329-K325)/K325*100)</f>
        <v/>
      </c>
    </row>
    <row r="332">
      <c r="A332">
        <f>M35</f>
        <v/>
      </c>
      <c r="B332">
        <f>BDH(A332&amp;" US Equity","IS_DILUTED_EPS",TEXT(EDATE(TODAY(),-24),"MM/DD/YYYY"),TEXT(TODAY(),"MM/DD/YYYY"),"Per","Q","Days","A","Fill","P")</f>
        <v/>
      </c>
      <c r="C332" s="6" t="n"/>
      <c r="J332">
        <f>BDH(A332&amp;" US Equity","SALES_REV_TURN",TEXT(EDATE(TODAY(),-24),"MM/DD/YYYY"),TEXT(TODAY(),"MM/DD/YYYY"),"Per","Q","Days","A","Fill","P")</f>
        <v/>
      </c>
      <c r="K332" s="5" t="n"/>
      <c r="L332" s="10">
        <f>IF(C335=0,IF(C339&gt;0,999,0),IF(C335&lt;0,IF(C339&gt;0,999,0),(C339-C335)/ABS(C335)*100))</f>
        <v/>
      </c>
      <c r="N332" s="10">
        <f>IF(K335&lt;=0,IF(K339&gt;0,999,0),(K339-K335)/K335*100)</f>
        <v/>
      </c>
    </row>
    <row r="342">
      <c r="A342">
        <f>M36</f>
        <v/>
      </c>
      <c r="B342">
        <f>BDH(A342&amp;" US Equity","IS_DILUTED_EPS",TEXT(EDATE(TODAY(),-24),"MM/DD/YYYY"),TEXT(TODAY(),"MM/DD/YYYY"),"Per","Q","Days","A","Fill","P")</f>
        <v/>
      </c>
      <c r="C342" s="6" t="n"/>
      <c r="J342">
        <f>BDH(A342&amp;" US Equity","SALES_REV_TURN",TEXT(EDATE(TODAY(),-24),"MM/DD/YYYY"),TEXT(TODAY(),"MM/DD/YYYY"),"Per","Q","Days","A","Fill","P")</f>
        <v/>
      </c>
      <c r="K342" s="5" t="n"/>
      <c r="L342" s="10">
        <f>IF(C345=0,IF(C349&gt;0,999,0),IF(C345&lt;0,IF(C349&gt;0,999,0),(C349-C345)/ABS(C345)*100))</f>
        <v/>
      </c>
      <c r="N342" s="10">
        <f>IF(K345&lt;=0,IF(K349&gt;0,999,0),(K349-K345)/K345*100)</f>
        <v/>
      </c>
    </row>
    <row r="352">
      <c r="A352">
        <f>M37</f>
        <v/>
      </c>
      <c r="B352">
        <f>BDH(A352&amp;" US Equity","IS_DILUTED_EPS",TEXT(EDATE(TODAY(),-24),"MM/DD/YYYY"),TEXT(TODAY(),"MM/DD/YYYY"),"Per","Q","Days","A","Fill","P")</f>
        <v/>
      </c>
      <c r="C352" s="6" t="n"/>
      <c r="J352">
        <f>BDH(A352&amp;" US Equity","SALES_REV_TURN",TEXT(EDATE(TODAY(),-24),"MM/DD/YYYY"),TEXT(TODAY(),"MM/DD/YYYY"),"Per","Q","Days","A","Fill","P")</f>
        <v/>
      </c>
      <c r="K352" s="5" t="n"/>
      <c r="L352" s="10">
        <f>IF(C355=0,IF(C359&gt;0,999,0),IF(C355&lt;0,IF(C359&gt;0,999,0),(C359-C355)/ABS(C355)*100))</f>
        <v/>
      </c>
      <c r="N352" s="10">
        <f>IF(K355&lt;=0,IF(K359&gt;0,999,0),(K359-K355)/K355*100)</f>
        <v/>
      </c>
    </row>
    <row r="362">
      <c r="A362">
        <f>M38</f>
        <v/>
      </c>
      <c r="B362">
        <f>BDH(A362&amp;" US Equity","IS_DILUTED_EPS",TEXT(EDATE(TODAY(),-24),"MM/DD/YYYY"),TEXT(TODAY(),"MM/DD/YYYY"),"Per","Q","Days","A","Fill","P")</f>
        <v/>
      </c>
      <c r="C362" s="6" t="n"/>
      <c r="J362">
        <f>BDH(A362&amp;" US Equity","SALES_REV_TURN",TEXT(EDATE(TODAY(),-24),"MM/DD/YYYY"),TEXT(TODAY(),"MM/DD/YYYY"),"Per","Q","Days","A","Fill","P")</f>
        <v/>
      </c>
      <c r="K362" s="5" t="n"/>
      <c r="L362" s="10">
        <f>IF(C365=0,IF(C369&gt;0,999,0),IF(C365&lt;0,IF(C369&gt;0,999,0),(C369-C365)/ABS(C365)*100))</f>
        <v/>
      </c>
      <c r="N362" s="10">
        <f>IF(K365&lt;=0,IF(K369&gt;0,999,0),(K369-K365)/K365*100)</f>
        <v/>
      </c>
    </row>
    <row r="372">
      <c r="A372">
        <f>M39</f>
        <v/>
      </c>
      <c r="B372">
        <f>BDH(A372&amp;" US Equity","IS_DILUTED_EPS",TEXT(EDATE(TODAY(),-24),"MM/DD/YYYY"),TEXT(TODAY(),"MM/DD/YYYY"),"Per","Q","Days","A","Fill","P")</f>
        <v/>
      </c>
      <c r="C372" s="6" t="n"/>
      <c r="J372">
        <f>BDH(A372&amp;" US Equity","SALES_REV_TURN",TEXT(EDATE(TODAY(),-24),"MM/DD/YYYY"),TEXT(TODAY(),"MM/DD/YYYY"),"Per","Q","Days","A","Fill","P")</f>
        <v/>
      </c>
      <c r="K372" s="5" t="n"/>
      <c r="L372" s="10">
        <f>IF(C375=0,IF(C379&gt;0,999,0),IF(C375&lt;0,IF(C379&gt;0,999,0),(C379-C375)/ABS(C375)*100))</f>
        <v/>
      </c>
      <c r="N372" s="10">
        <f>IF(K375&lt;=0,IF(K379&gt;0,999,0),(K379-K375)/K375*100)</f>
        <v/>
      </c>
    </row>
    <row r="382">
      <c r="A382">
        <f>M40</f>
        <v/>
      </c>
      <c r="B382">
        <f>BDH(A382&amp;" US Equity","IS_DILUTED_EPS",TEXT(EDATE(TODAY(),-24),"MM/DD/YYYY"),TEXT(TODAY(),"MM/DD/YYYY"),"Per","Q","Days","A","Fill","P")</f>
        <v/>
      </c>
      <c r="C382" s="6" t="n"/>
      <c r="J382">
        <f>BDH(A382&amp;" US Equity","SALES_REV_TURN",TEXT(EDATE(TODAY(),-24),"MM/DD/YYYY"),TEXT(TODAY(),"MM/DD/YYYY"),"Per","Q","Days","A","Fill","P")</f>
        <v/>
      </c>
      <c r="K382" s="5" t="n"/>
      <c r="L382" s="10">
        <f>IF(C385=0,IF(C389&gt;0,999,0),IF(C385&lt;0,IF(C389&gt;0,999,0),(C389-C385)/ABS(C385)*100))</f>
        <v/>
      </c>
      <c r="N382" s="10">
        <f>IF(K385&lt;=0,IF(K389&gt;0,999,0),(K389-K385)/K385*100)</f>
        <v/>
      </c>
    </row>
    <row r="392">
      <c r="A392">
        <f>M41</f>
        <v/>
      </c>
      <c r="B392">
        <f>BDH(A392&amp;" US Equity","IS_DILUTED_EPS",TEXT(EDATE(TODAY(),-24),"MM/DD/YYYY"),TEXT(TODAY(),"MM/DD/YYYY"),"Per","Q","Days","A","Fill","P")</f>
        <v/>
      </c>
      <c r="C392" s="6" t="n"/>
      <c r="J392">
        <f>BDH(A392&amp;" US Equity","SALES_REV_TURN",TEXT(EDATE(TODAY(),-24),"MM/DD/YYYY"),TEXT(TODAY(),"MM/DD/YYYY"),"Per","Q","Days","A","Fill","P")</f>
        <v/>
      </c>
      <c r="K392" s="5" t="n"/>
      <c r="L392" s="10">
        <f>IF(C395=0,IF(C399&gt;0,999,0),IF(C395&lt;0,IF(C399&gt;0,999,0),(C399-C395)/ABS(C395)*100))</f>
        <v/>
      </c>
      <c r="N392" s="10">
        <f>IF(K395&lt;=0,IF(K399&gt;0,999,0),(K399-K395)/K395*100)</f>
        <v/>
      </c>
    </row>
    <row r="402">
      <c r="A402">
        <f>M42</f>
        <v/>
      </c>
      <c r="B402">
        <f>BDH(A402&amp;" US Equity","IS_DILUTED_EPS",TEXT(EDATE(TODAY(),-24),"MM/DD/YYYY"),TEXT(TODAY(),"MM/DD/YYYY"),"Per","Q","Days","A","Fill","P")</f>
        <v/>
      </c>
      <c r="C402" s="6" t="n"/>
      <c r="J402">
        <f>BDH(A402&amp;" US Equity","SALES_REV_TURN",TEXT(EDATE(TODAY(),-24),"MM/DD/YYYY"),TEXT(TODAY(),"MM/DD/YYYY"),"Per","Q","Days","A","Fill","P")</f>
        <v/>
      </c>
      <c r="K402" s="5" t="n"/>
      <c r="L402" s="10">
        <f>IF(C405=0,IF(C409&gt;0,999,0),IF(C405&lt;0,IF(C409&gt;0,999,0),(C409-C405)/ABS(C405)*100))</f>
        <v/>
      </c>
      <c r="N402" s="10">
        <f>IF(K405&lt;=0,IF(K409&gt;0,999,0),(K409-K405)/K405*100)</f>
        <v/>
      </c>
    </row>
    <row r="412">
      <c r="A412">
        <f>M43</f>
        <v/>
      </c>
      <c r="B412">
        <f>BDH(A412&amp;" US Equity","IS_DILUTED_EPS",TEXT(EDATE(TODAY(),-24),"MM/DD/YYYY"),TEXT(TODAY(),"MM/DD/YYYY"),"Per","Q","Days","A","Fill","P")</f>
        <v/>
      </c>
      <c r="C412" s="6" t="n"/>
      <c r="J412">
        <f>BDH(A412&amp;" US Equity","SALES_REV_TURN",TEXT(EDATE(TODAY(),-24),"MM/DD/YYYY"),TEXT(TODAY(),"MM/DD/YYYY"),"Per","Q","Days","A","Fill","P")</f>
        <v/>
      </c>
      <c r="K412" s="5" t="n"/>
      <c r="L412" s="10">
        <f>IF(C415=0,IF(C419&gt;0,999,0),IF(C415&lt;0,IF(C419&gt;0,999,0),(C419-C415)/ABS(C415)*100))</f>
        <v/>
      </c>
      <c r="N412" s="10">
        <f>IF(K415&lt;=0,IF(K419&gt;0,999,0),(K419-K415)/K415*100)</f>
        <v/>
      </c>
    </row>
    <row r="422">
      <c r="A422">
        <f>M44</f>
        <v/>
      </c>
      <c r="B422">
        <f>BDH(A422&amp;" US Equity","IS_DILUTED_EPS",TEXT(EDATE(TODAY(),-24),"MM/DD/YYYY"),TEXT(TODAY(),"MM/DD/YYYY"),"Per","Q","Days","A","Fill","P")</f>
        <v/>
      </c>
      <c r="C422" s="6" t="n"/>
      <c r="J422">
        <f>BDH(A422&amp;" US Equity","SALES_REV_TURN",TEXT(EDATE(TODAY(),-24),"MM/DD/YYYY"),TEXT(TODAY(),"MM/DD/YYYY"),"Per","Q","Days","A","Fill","P")</f>
        <v/>
      </c>
      <c r="K422" s="5" t="n"/>
      <c r="L422" s="10">
        <f>IF(C425=0,IF(C429&gt;0,999,0),IF(C425&lt;0,IF(C429&gt;0,999,0),(C429-C425)/ABS(C425)*100))</f>
        <v/>
      </c>
      <c r="N422" s="10">
        <f>IF(K425&lt;=0,IF(K429&gt;0,999,0),(K429-K425)/K425*100)</f>
        <v/>
      </c>
    </row>
    <row r="432">
      <c r="A432">
        <f>M45</f>
        <v/>
      </c>
      <c r="B432">
        <f>BDH(A432&amp;" US Equity","IS_DILUTED_EPS",TEXT(EDATE(TODAY(),-24),"MM/DD/YYYY"),TEXT(TODAY(),"MM/DD/YYYY"),"Per","Q","Days","A","Fill","P")</f>
        <v/>
      </c>
      <c r="C432" s="6" t="n"/>
      <c r="J432">
        <f>BDH(A432&amp;" US Equity","SALES_REV_TURN",TEXT(EDATE(TODAY(),-24),"MM/DD/YYYY"),TEXT(TODAY(),"MM/DD/YYYY"),"Per","Q","Days","A","Fill","P")</f>
        <v/>
      </c>
      <c r="K432" s="5" t="n"/>
      <c r="L432" s="10">
        <f>IF(C435=0,IF(C439&gt;0,999,0),IF(C435&lt;0,IF(C439&gt;0,999,0),(C439-C435)/ABS(C435)*100))</f>
        <v/>
      </c>
      <c r="N432" s="10">
        <f>IF(K435&lt;=0,IF(K439&gt;0,999,0),(K439-K435)/K435*100)</f>
        <v/>
      </c>
    </row>
    <row r="442">
      <c r="A442">
        <f>M46</f>
        <v/>
      </c>
      <c r="B442">
        <f>BDH(A442&amp;" US Equity","IS_DILUTED_EPS",TEXT(EDATE(TODAY(),-24),"MM/DD/YYYY"),TEXT(TODAY(),"MM/DD/YYYY"),"Per","Q","Days","A","Fill","P")</f>
        <v/>
      </c>
      <c r="C442" s="6" t="n"/>
      <c r="J442">
        <f>BDH(A442&amp;" US Equity","SALES_REV_TURN",TEXT(EDATE(TODAY(),-24),"MM/DD/YYYY"),TEXT(TODAY(),"MM/DD/YYYY"),"Per","Q","Days","A","Fill","P")</f>
        <v/>
      </c>
      <c r="K442" s="5" t="n"/>
      <c r="L442" s="10">
        <f>IF(C445=0,IF(C449&gt;0,999,0),IF(C445&lt;0,IF(C449&gt;0,999,0),(C449-C445)/ABS(C445)*100))</f>
        <v/>
      </c>
      <c r="N442" s="10">
        <f>IF(K445&lt;=0,IF(K449&gt;0,999,0),(K449-K445)/K445*100)</f>
        <v/>
      </c>
    </row>
    <row r="452">
      <c r="A452">
        <f>M47</f>
        <v/>
      </c>
      <c r="B452">
        <f>BDH(A452&amp;" US Equity","IS_DILUTED_EPS",TEXT(EDATE(TODAY(),-24),"MM/DD/YYYY"),TEXT(TODAY(),"MM/DD/YYYY"),"Per","Q","Days","A","Fill","P")</f>
        <v/>
      </c>
      <c r="C452" s="6" t="n"/>
      <c r="J452">
        <f>BDH(A452&amp;" US Equity","SALES_REV_TURN",TEXT(EDATE(TODAY(),-24),"MM/DD/YYYY"),TEXT(TODAY(),"MM/DD/YYYY"),"Per","Q","Days","A","Fill","P")</f>
        <v/>
      </c>
      <c r="K452" s="5" t="n"/>
      <c r="L452" s="10">
        <f>IF(C455=0,IF(C459&gt;0,999,0),IF(C455&lt;0,IF(C459&gt;0,999,0),(C459-C455)/ABS(C455)*100))</f>
        <v/>
      </c>
      <c r="N452" s="10">
        <f>IF(K455&lt;=0,IF(K459&gt;0,999,0),(K459-K455)/K455*100)</f>
        <v/>
      </c>
    </row>
    <row r="462">
      <c r="A462">
        <f>M48</f>
        <v/>
      </c>
      <c r="B462">
        <f>BDH(A462&amp;" US Equity","IS_DILUTED_EPS",TEXT(EDATE(TODAY(),-24),"MM/DD/YYYY"),TEXT(TODAY(),"MM/DD/YYYY"),"Per","Q","Days","A","Fill","P")</f>
        <v/>
      </c>
      <c r="C462" s="6" t="n"/>
      <c r="J462">
        <f>BDH(A462&amp;" US Equity","SALES_REV_TURN",TEXT(EDATE(TODAY(),-24),"MM/DD/YYYY"),TEXT(TODAY(),"MM/DD/YYYY"),"Per","Q","Days","A","Fill","P")</f>
        <v/>
      </c>
      <c r="K462" s="5" t="n"/>
      <c r="L462" s="10">
        <f>IF(C465=0,IF(C469&gt;0,999,0),IF(C465&lt;0,IF(C469&gt;0,999,0),(C469-C465)/ABS(C465)*100))</f>
        <v/>
      </c>
      <c r="N462" s="10">
        <f>IF(K465&lt;=0,IF(K469&gt;0,999,0),(K469-K465)/K465*100)</f>
        <v/>
      </c>
    </row>
    <row r="472">
      <c r="A472">
        <f>M49</f>
        <v/>
      </c>
      <c r="B472">
        <f>BDH(A472&amp;" US Equity","IS_DILUTED_EPS",TEXT(EDATE(TODAY(),-24),"MM/DD/YYYY"),TEXT(TODAY(),"MM/DD/YYYY"),"Per","Q","Days","A","Fill","P")</f>
        <v/>
      </c>
      <c r="C472" s="6" t="n"/>
      <c r="J472">
        <f>BDH(A472&amp;" US Equity","SALES_REV_TURN",TEXT(EDATE(TODAY(),-24),"MM/DD/YYYY"),TEXT(TODAY(),"MM/DD/YYYY"),"Per","Q","Days","A","Fill","P")</f>
        <v/>
      </c>
      <c r="K472" s="5" t="n"/>
      <c r="L472" s="10">
        <f>IF(C475=0,IF(C479&gt;0,999,0),IF(C475&lt;0,IF(C479&gt;0,999,0),(C479-C475)/ABS(C475)*100))</f>
        <v/>
      </c>
      <c r="N472" s="10">
        <f>IF(K475&lt;=0,IF(K479&gt;0,999,0),(K479-K475)/K475*100)</f>
        <v/>
      </c>
    </row>
    <row r="482">
      <c r="A482">
        <f>M50</f>
        <v/>
      </c>
      <c r="B482">
        <f>BDH(A482&amp;" US Equity","IS_DILUTED_EPS",TEXT(EDATE(TODAY(),-24),"MM/DD/YYYY"),TEXT(TODAY(),"MM/DD/YYYY"),"Per","Q","Days","A","Fill","P")</f>
        <v/>
      </c>
      <c r="C482" s="6" t="n"/>
      <c r="J482">
        <f>BDH(A482&amp;" US Equity","SALES_REV_TURN",TEXT(EDATE(TODAY(),-24),"MM/DD/YYYY"),TEXT(TODAY(),"MM/DD/YYYY"),"Per","Q","Days","A","Fill","P")</f>
        <v/>
      </c>
      <c r="K482" s="5" t="n"/>
      <c r="L482" s="10">
        <f>IF(C485=0,IF(C489&gt;0,999,0),IF(C485&lt;0,IF(C489&gt;0,999,0),(C489-C485)/ABS(C485)*100))</f>
        <v/>
      </c>
      <c r="N482" s="10">
        <f>IF(K485&lt;=0,IF(K489&gt;0,999,0),(K489-K485)/K485*100)</f>
        <v/>
      </c>
    </row>
    <row r="492">
      <c r="A492">
        <f>M51</f>
        <v/>
      </c>
      <c r="B492">
        <f>BDH(A492&amp;" US Equity","IS_DILUTED_EPS",TEXT(EDATE(TODAY(),-24),"MM/DD/YYYY"),TEXT(TODAY(),"MM/DD/YYYY"),"Per","Q","Days","A","Fill","P")</f>
        <v/>
      </c>
      <c r="C492" s="6" t="n"/>
      <c r="J492">
        <f>BDH(A492&amp;" US Equity","SALES_REV_TURN",TEXT(EDATE(TODAY(),-24),"MM/DD/YYYY"),TEXT(TODAY(),"MM/DD/YYYY"),"Per","Q","Days","A","Fill","P")</f>
        <v/>
      </c>
      <c r="K492" s="5" t="n"/>
      <c r="L492" s="10">
        <f>IF(C495=0,IF(C499&gt;0,999,0),IF(C495&lt;0,IF(C499&gt;0,999,0),(C499-C495)/ABS(C495)*100))</f>
        <v/>
      </c>
      <c r="N492" s="10">
        <f>IF(K495&lt;=0,IF(K499&gt;0,999,0),(K499-K495)/K495*100)</f>
        <v/>
      </c>
    </row>
    <row r="502">
      <c r="A502">
        <f>M52</f>
        <v/>
      </c>
      <c r="B502">
        <f>BDH(A502&amp;" US Equity","IS_DILUTED_EPS",TEXT(EDATE(TODAY(),-24),"MM/DD/YYYY"),TEXT(TODAY(),"MM/DD/YYYY"),"Per","Q","Days","A","Fill","P")</f>
        <v/>
      </c>
      <c r="C502" s="6" t="n"/>
      <c r="J502">
        <f>BDH(A502&amp;" US Equity","SALES_REV_TURN",TEXT(EDATE(TODAY(),-24),"MM/DD/YYYY"),TEXT(TODAY(),"MM/DD/YYYY"),"Per","Q","Days","A","Fill","P")</f>
        <v/>
      </c>
      <c r="K502" s="5" t="n"/>
      <c r="L502" s="10">
        <f>IF(C505=0,IF(C509&gt;0,999,0),IF(C505&lt;0,IF(C509&gt;0,999,0),(C509-C505)/ABS(C505)*100))</f>
        <v/>
      </c>
      <c r="N502" s="10">
        <f>IF(K505&lt;=0,IF(K509&gt;0,999,0),(K509-K505)/K505*100)</f>
        <v/>
      </c>
    </row>
    <row r="512">
      <c r="A512">
        <f>M53</f>
        <v/>
      </c>
      <c r="B512">
        <f>BDH(A512&amp;" US Equity","IS_DILUTED_EPS",TEXT(EDATE(TODAY(),-24),"MM/DD/YYYY"),TEXT(TODAY(),"MM/DD/YYYY"),"Per","Q","Days","A","Fill","P")</f>
        <v/>
      </c>
      <c r="C512" s="6" t="n"/>
      <c r="J512">
        <f>BDH(A512&amp;" US Equity","SALES_REV_TURN",TEXT(EDATE(TODAY(),-24),"MM/DD/YYYY"),TEXT(TODAY(),"MM/DD/YYYY"),"Per","Q","Days","A","Fill","P")</f>
        <v/>
      </c>
      <c r="K512" s="5" t="n"/>
      <c r="L512" s="10">
        <f>IF(C515=0,IF(C519&gt;0,999,0),IF(C515&lt;0,IF(C519&gt;0,999,0),(C519-C515)/ABS(C515)*100))</f>
        <v/>
      </c>
      <c r="N512" s="10">
        <f>IF(K515&lt;=0,IF(K519&gt;0,999,0),(K519-K515)/K515*100)</f>
        <v/>
      </c>
    </row>
    <row r="522">
      <c r="A522">
        <f>M54</f>
        <v/>
      </c>
      <c r="B522">
        <f>BDH(A522&amp;" US Equity","IS_DILUTED_EPS",TEXT(EDATE(TODAY(),-24),"MM/DD/YYYY"),TEXT(TODAY(),"MM/DD/YYYY"),"Per","Q","Days","A","Fill","P")</f>
        <v/>
      </c>
      <c r="C522" s="6" t="n"/>
      <c r="J522">
        <f>BDH(A522&amp;" US Equity","SALES_REV_TURN",TEXT(EDATE(TODAY(),-24),"MM/DD/YYYY"),TEXT(TODAY(),"MM/DD/YYYY"),"Per","Q","Days","A","Fill","P")</f>
        <v/>
      </c>
      <c r="K522" s="5" t="n"/>
      <c r="L522" s="10">
        <f>IF(C525=0,IF(C529&gt;0,999,0),IF(C525&lt;0,IF(C529&gt;0,999,0),(C529-C525)/ABS(C525)*100))</f>
        <v/>
      </c>
      <c r="N522" s="10">
        <f>IF(K525&lt;=0,IF(K529&gt;0,999,0),(K529-K525)/K525*100)</f>
        <v/>
      </c>
    </row>
    <row r="532">
      <c r="A532">
        <f>M55</f>
        <v/>
      </c>
      <c r="B532">
        <f>BDH(A532&amp;" US Equity","IS_DILUTED_EPS",TEXT(EDATE(TODAY(),-24),"MM/DD/YYYY"),TEXT(TODAY(),"MM/DD/YYYY"),"Per","Q","Days","A","Fill","P")</f>
        <v/>
      </c>
      <c r="C532" s="6" t="n"/>
      <c r="J532">
        <f>BDH(A532&amp;" US Equity","SALES_REV_TURN",TEXT(EDATE(TODAY(),-24),"MM/DD/YYYY"),TEXT(TODAY(),"MM/DD/YYYY"),"Per","Q","Days","A","Fill","P")</f>
        <v/>
      </c>
      <c r="K532" s="5" t="n"/>
      <c r="L532" s="10">
        <f>IF(C535=0,IF(C539&gt;0,999,0),IF(C535&lt;0,IF(C539&gt;0,999,0),(C539-C535)/ABS(C535)*100))</f>
        <v/>
      </c>
      <c r="N532" s="10">
        <f>IF(K535&lt;=0,IF(K539&gt;0,999,0),(K539-K535)/K535*100)</f>
        <v/>
      </c>
    </row>
    <row r="542">
      <c r="A542">
        <f>M56</f>
        <v/>
      </c>
      <c r="B542">
        <f>BDH(A542&amp;" US Equity","IS_DILUTED_EPS",TEXT(EDATE(TODAY(),-24),"MM/DD/YYYY"),TEXT(TODAY(),"MM/DD/YYYY"),"Per","Q","Days","A","Fill","P")</f>
        <v/>
      </c>
      <c r="C542" s="6" t="n"/>
      <c r="J542">
        <f>BDH(A542&amp;" US Equity","SALES_REV_TURN",TEXT(EDATE(TODAY(),-24),"MM/DD/YYYY"),TEXT(TODAY(),"MM/DD/YYYY"),"Per","Q","Days","A","Fill","P")</f>
        <v/>
      </c>
      <c r="K542" s="5" t="n"/>
      <c r="L542" s="10">
        <f>IF(C545=0,IF(C549&gt;0,999,0),IF(C545&lt;0,IF(C549&gt;0,999,0),(C549-C545)/ABS(C545)*100))</f>
        <v/>
      </c>
      <c r="N542" s="10">
        <f>IF(K545&lt;=0,IF(K549&gt;0,999,0),(K549-K545)/K545*100)</f>
        <v/>
      </c>
    </row>
    <row r="552">
      <c r="A552">
        <f>M57</f>
        <v/>
      </c>
      <c r="B552">
        <f>BDH(A552&amp;" US Equity","IS_DILUTED_EPS",TEXT(EDATE(TODAY(),-24),"MM/DD/YYYY"),TEXT(TODAY(),"MM/DD/YYYY"),"Per","Q","Days","A","Fill","P")</f>
        <v/>
      </c>
      <c r="C552" s="6" t="n"/>
      <c r="J552">
        <f>BDH(A552&amp;" US Equity","SALES_REV_TURN",TEXT(EDATE(TODAY(),-24),"MM/DD/YYYY"),TEXT(TODAY(),"MM/DD/YYYY"),"Per","Q","Days","A","Fill","P")</f>
        <v/>
      </c>
      <c r="K552" s="5" t="n"/>
      <c r="L552" s="10">
        <f>IF(C555=0,IF(C559&gt;0,999,0),IF(C555&lt;0,IF(C559&gt;0,999,0),(C559-C555)/ABS(C555)*100))</f>
        <v/>
      </c>
      <c r="N552" s="10">
        <f>IF(K555&lt;=0,IF(K559&gt;0,999,0),(K559-K555)/K555*100)</f>
        <v/>
      </c>
    </row>
    <row r="562">
      <c r="A562">
        <f>M58</f>
        <v/>
      </c>
      <c r="B562">
        <f>BDH(A562&amp;" US Equity","IS_DILUTED_EPS",TEXT(EDATE(TODAY(),-24),"MM/DD/YYYY"),TEXT(TODAY(),"MM/DD/YYYY"),"Per","Q","Days","A","Fill","P")</f>
        <v/>
      </c>
      <c r="C562" s="6" t="n"/>
      <c r="J562">
        <f>BDH(A562&amp;" US Equity","SALES_REV_TURN",TEXT(EDATE(TODAY(),-24),"MM/DD/YYYY"),TEXT(TODAY(),"MM/DD/YYYY"),"Per","Q","Days","A","Fill","P")</f>
        <v/>
      </c>
      <c r="K562" s="5" t="n"/>
      <c r="L562" s="10">
        <f>IF(C565=0,IF(C569&gt;0,999,0),IF(C565&lt;0,IF(C569&gt;0,999,0),(C569-C565)/ABS(C565)*100))</f>
        <v/>
      </c>
      <c r="N562" s="10">
        <f>IF(K565&lt;=0,IF(K569&gt;0,999,0),(K569-K565)/K565*100)</f>
        <v/>
      </c>
    </row>
    <row r="572">
      <c r="A572">
        <f>M59</f>
        <v/>
      </c>
      <c r="B572">
        <f>BDH(A572&amp;" US Equity","IS_DILUTED_EPS",TEXT(EDATE(TODAY(),-24),"MM/DD/YYYY"),TEXT(TODAY(),"MM/DD/YYYY"),"Per","Q","Days","A","Fill","P")</f>
        <v/>
      </c>
      <c r="C572" s="6" t="n"/>
      <c r="J572">
        <f>BDH(A572&amp;" US Equity","SALES_REV_TURN",TEXT(EDATE(TODAY(),-24),"MM/DD/YYYY"),TEXT(TODAY(),"MM/DD/YYYY"),"Per","Q","Days","A","Fill","P")</f>
        <v/>
      </c>
      <c r="K572" s="5" t="n"/>
      <c r="L572" s="10">
        <f>IF(C575=0,IF(C579&gt;0,999,0),IF(C575&lt;0,IF(C579&gt;0,999,0),(C579-C575)/ABS(C575)*100))</f>
        <v/>
      </c>
      <c r="N572" s="10">
        <f>IF(K575&lt;=0,IF(K579&gt;0,999,0),(K579-K575)/K575*100)</f>
        <v/>
      </c>
    </row>
    <row r="582">
      <c r="A582">
        <f>M60</f>
        <v/>
      </c>
      <c r="B582">
        <f>BDH(A582&amp;" US Equity","IS_DILUTED_EPS",TEXT(EDATE(TODAY(),-24),"MM/DD/YYYY"),TEXT(TODAY(),"MM/DD/YYYY"),"Per","Q","Days","A","Fill","P")</f>
        <v/>
      </c>
      <c r="C582" s="6" t="n"/>
      <c r="J582">
        <f>BDH(A582&amp;" US Equity","SALES_REV_TURN",TEXT(EDATE(TODAY(),-24),"MM/DD/YYYY"),TEXT(TODAY(),"MM/DD/YYYY"),"Per","Q","Days","A","Fill","P")</f>
        <v/>
      </c>
      <c r="K582" s="5" t="n"/>
      <c r="L582" s="10">
        <f>IF(C585=0,IF(C589&gt;0,999,0),IF(C585&lt;0,IF(C589&gt;0,999,0),(C589-C585)/ABS(C585)*100))</f>
        <v/>
      </c>
      <c r="N582" s="10">
        <f>IF(K585&lt;=0,IF(K589&gt;0,999,0),(K589-K585)/K585*100)</f>
        <v/>
      </c>
    </row>
    <row r="592">
      <c r="A592">
        <f>M61</f>
        <v/>
      </c>
      <c r="B592">
        <f>BDH(A592&amp;" US Equity","IS_DILUTED_EPS",TEXT(EDATE(TODAY(),-24),"MM/DD/YYYY"),TEXT(TODAY(),"MM/DD/YYYY"),"Per","Q","Days","A","Fill","P")</f>
        <v/>
      </c>
      <c r="C592" s="6" t="n"/>
      <c r="J592">
        <f>BDH(A592&amp;" US Equity","SALES_REV_TURN",TEXT(EDATE(TODAY(),-24),"MM/DD/YYYY"),TEXT(TODAY(),"MM/DD/YYYY"),"Per","Q","Days","A","Fill","P")</f>
        <v/>
      </c>
      <c r="K592" s="5" t="n"/>
      <c r="L592" s="10">
        <f>IF(C595=0,IF(C599&gt;0,999,0),IF(C595&lt;0,IF(C599&gt;0,999,0),(C599-C595)/ABS(C595)*100))</f>
        <v/>
      </c>
      <c r="N592" s="10">
        <f>IF(K595&lt;=0,IF(K599&gt;0,999,0),(K599-K595)/K595*100)</f>
        <v/>
      </c>
    </row>
    <row r="602">
      <c r="A602">
        <f>M62</f>
        <v/>
      </c>
      <c r="B602">
        <f>BDH(A602&amp;" US Equity","IS_DILUTED_EPS",TEXT(EDATE(TODAY(),-24),"MM/DD/YYYY"),TEXT(TODAY(),"MM/DD/YYYY"),"Per","Q","Days","A","Fill","P")</f>
        <v/>
      </c>
      <c r="C602" s="6" t="n"/>
      <c r="J602">
        <f>BDH(A602&amp;" US Equity","SALES_REV_TURN",TEXT(EDATE(TODAY(),-24),"MM/DD/YYYY"),TEXT(TODAY(),"MM/DD/YYYY"),"Per","Q","Days","A","Fill","P")</f>
        <v/>
      </c>
      <c r="K602" s="5" t="n"/>
      <c r="L602" s="10">
        <f>IF(C605=0,IF(C609&gt;0,999,0),IF(C605&lt;0,IF(C609&gt;0,999,0),(C609-C605)/ABS(C605)*100))</f>
        <v/>
      </c>
      <c r="N602" s="10">
        <f>IF(K605&lt;=0,IF(K609&gt;0,999,0),(K609-K605)/K605*100)</f>
        <v/>
      </c>
    </row>
    <row r="612">
      <c r="A612">
        <f>M63</f>
        <v/>
      </c>
      <c r="B612">
        <f>BDH(A612&amp;" US Equity","IS_DILUTED_EPS",TEXT(EDATE(TODAY(),-24),"MM/DD/YYYY"),TEXT(TODAY(),"MM/DD/YYYY"),"Per","Q","Days","A","Fill","P")</f>
        <v/>
      </c>
      <c r="C612" s="6" t="n"/>
      <c r="J612">
        <f>BDH(A612&amp;" US Equity","SALES_REV_TURN",TEXT(EDATE(TODAY(),-24),"MM/DD/YYYY"),TEXT(TODAY(),"MM/DD/YYYY"),"Per","Q","Days","A","Fill","P")</f>
        <v/>
      </c>
      <c r="K612" s="5" t="n"/>
      <c r="L612" s="10">
        <f>IF(C615=0,IF(C619&gt;0,999,0),IF(C615&lt;0,IF(C619&gt;0,999,0),(C619-C615)/ABS(C615)*100))</f>
        <v/>
      </c>
      <c r="N612" s="10">
        <f>IF(K615&lt;=0,IF(K619&gt;0,999,0),(K619-K615)/K615*100)</f>
        <v/>
      </c>
    </row>
    <row r="622">
      <c r="A622">
        <f>M64</f>
        <v/>
      </c>
      <c r="B622">
        <f>BDH(A622&amp;" US Equity","IS_DILUTED_EPS",TEXT(EDATE(TODAY(),-24),"MM/DD/YYYY"),TEXT(TODAY(),"MM/DD/YYYY"),"Per","Q","Days","A","Fill","P")</f>
        <v/>
      </c>
      <c r="C622" s="6" t="n"/>
      <c r="J622">
        <f>BDH(A622&amp;" US Equity","SALES_REV_TURN",TEXT(EDATE(TODAY(),-24),"MM/DD/YYYY"),TEXT(TODAY(),"MM/DD/YYYY"),"Per","Q","Days","A","Fill","P")</f>
        <v/>
      </c>
      <c r="K622" s="5" t="n"/>
      <c r="L622" s="10">
        <f>IF(C625=0,IF(C629&gt;0,999,0),IF(C625&lt;0,IF(C629&gt;0,999,0),(C629-C625)/ABS(C625)*100))</f>
        <v/>
      </c>
      <c r="N622" s="10">
        <f>IF(K625&lt;=0,IF(K629&gt;0,999,0),(K629-K625)/K625*100)</f>
        <v/>
      </c>
    </row>
    <row r="632">
      <c r="A632">
        <f>M65</f>
        <v/>
      </c>
      <c r="B632">
        <f>BDH(A632&amp;" US Equity","IS_DILUTED_EPS",TEXT(EDATE(TODAY(),-24),"MM/DD/YYYY"),TEXT(TODAY(),"MM/DD/YYYY"),"Per","Q","Days","A","Fill","P")</f>
        <v/>
      </c>
      <c r="C632" s="6" t="n"/>
      <c r="J632">
        <f>BDH(A632&amp;" US Equity","SALES_REV_TURN",TEXT(EDATE(TODAY(),-24),"MM/DD/YYYY"),TEXT(TODAY(),"MM/DD/YYYY"),"Per","Q","Days","A","Fill","P")</f>
        <v/>
      </c>
      <c r="K632" s="5" t="n"/>
      <c r="L632" s="10">
        <f>IF(C635=0,IF(C639&gt;0,999,0),IF(C635&lt;0,IF(C639&gt;0,999,0),(C639-C635)/ABS(C635)*100))</f>
        <v/>
      </c>
      <c r="N632" s="10">
        <f>IF(K635&lt;=0,IF(K639&gt;0,999,0),(K639-K635)/K635*100)</f>
        <v/>
      </c>
    </row>
    <row r="642">
      <c r="A642">
        <f>M66</f>
        <v/>
      </c>
      <c r="B642">
        <f>BDH(A642&amp;" US Equity","IS_DILUTED_EPS",TEXT(EDATE(TODAY(),-24),"MM/DD/YYYY"),TEXT(TODAY(),"MM/DD/YYYY"),"Per","Q","Days","A","Fill","P")</f>
        <v/>
      </c>
      <c r="C642" s="6" t="n"/>
      <c r="J642">
        <f>BDH(A642&amp;" US Equity","SALES_REV_TURN",TEXT(EDATE(TODAY(),-24),"MM/DD/YYYY"),TEXT(TODAY(),"MM/DD/YYYY"),"Per","Q","Days","A","Fill","P")</f>
        <v/>
      </c>
      <c r="K642" s="5" t="n"/>
      <c r="L642" s="10">
        <f>IF(C645=0,IF(C649&gt;0,999,0),IF(C645&lt;0,IF(C649&gt;0,999,0),(C649-C645)/ABS(C645)*100))</f>
        <v/>
      </c>
      <c r="N642" s="10">
        <f>IF(K645&lt;=0,IF(K649&gt;0,999,0),(K649-K645)/K645*100)</f>
        <v/>
      </c>
    </row>
    <row r="652">
      <c r="A652">
        <f>M67</f>
        <v/>
      </c>
      <c r="B652">
        <f>BDH(A652&amp;" US Equity","IS_DILUTED_EPS",TEXT(EDATE(TODAY(),-24),"MM/DD/YYYY"),TEXT(TODAY(),"MM/DD/YYYY"),"Per","Q","Days","A","Fill","P")</f>
        <v/>
      </c>
      <c r="C652" s="6" t="n"/>
      <c r="J652">
        <f>BDH(A652&amp;" US Equity","SALES_REV_TURN",TEXT(EDATE(TODAY(),-24),"MM/DD/YYYY"),TEXT(TODAY(),"MM/DD/YYYY"),"Per","Q","Days","A","Fill","P")</f>
        <v/>
      </c>
      <c r="K652" s="5" t="n"/>
      <c r="L652" s="10">
        <f>IF(C655=0,IF(C659&gt;0,999,0),IF(C655&lt;0,IF(C659&gt;0,999,0),(C659-C655)/ABS(C655)*100))</f>
        <v/>
      </c>
      <c r="N652" s="10">
        <f>IF(K655&lt;=0,IF(K659&gt;0,999,0),(K659-K655)/K655*100)</f>
        <v/>
      </c>
    </row>
    <row r="662">
      <c r="A662">
        <f>M68</f>
        <v/>
      </c>
      <c r="B662">
        <f>BDH(A662&amp;" US Equity","IS_DILUTED_EPS",TEXT(EDATE(TODAY(),-24),"MM/DD/YYYY"),TEXT(TODAY(),"MM/DD/YYYY"),"Per","Q","Days","A","Fill","P")</f>
        <v/>
      </c>
      <c r="C662" s="6" t="n"/>
      <c r="J662">
        <f>BDH(A662&amp;" US Equity","SALES_REV_TURN",TEXT(EDATE(TODAY(),-24),"MM/DD/YYYY"),TEXT(TODAY(),"MM/DD/YYYY"),"Per","Q","Days","A","Fill","P")</f>
        <v/>
      </c>
      <c r="K662" s="5" t="n"/>
      <c r="L662" s="10">
        <f>IF(C665=0,IF(C669&gt;0,999,0),IF(C665&lt;0,IF(C669&gt;0,999,0),(C669-C665)/ABS(C665)*100))</f>
        <v/>
      </c>
      <c r="N662" s="10">
        <f>IF(K665&lt;=0,IF(K669&gt;0,999,0),(K669-K665)/K665*100)</f>
        <v/>
      </c>
    </row>
    <row r="672">
      <c r="A672">
        <f>M69</f>
        <v/>
      </c>
      <c r="B672">
        <f>BDH(A672&amp;" US Equity","IS_DILUTED_EPS",TEXT(EDATE(TODAY(),-24),"MM/DD/YYYY"),TEXT(TODAY(),"MM/DD/YYYY"),"Per","Q","Days","A","Fill","P")</f>
        <v/>
      </c>
      <c r="C672" s="6" t="n"/>
      <c r="J672">
        <f>BDH(A672&amp;" US Equity","SALES_REV_TURN",TEXT(EDATE(TODAY(),-24),"MM/DD/YYYY"),TEXT(TODAY(),"MM/DD/YYYY"),"Per","Q","Days","A","Fill","P")</f>
        <v/>
      </c>
      <c r="K672" s="5" t="n"/>
      <c r="L672" s="10">
        <f>IF(C675=0,IF(C679&gt;0,999,0),IF(C675&lt;0,IF(C679&gt;0,999,0),(C679-C675)/ABS(C675)*100))</f>
        <v/>
      </c>
      <c r="N672" s="10">
        <f>IF(K675&lt;=0,IF(K679&gt;0,999,0),(K679-K675)/K675*100)</f>
        <v/>
      </c>
    </row>
    <row r="682">
      <c r="A682">
        <f>M70</f>
        <v/>
      </c>
      <c r="B682">
        <f>BDH(A682&amp;" US Equity","IS_DILUTED_EPS",TEXT(EDATE(TODAY(),-24),"MM/DD/YYYY"),TEXT(TODAY(),"MM/DD/YYYY"),"Per","Q","Days","A","Fill","P")</f>
        <v/>
      </c>
      <c r="C682" s="6" t="n"/>
      <c r="J682">
        <f>BDH(A682&amp;" US Equity","SALES_REV_TURN",TEXT(EDATE(TODAY(),-24),"MM/DD/YYYY"),TEXT(TODAY(),"MM/DD/YYYY"),"Per","Q","Days","A","Fill","P")</f>
        <v/>
      </c>
      <c r="K682" s="5" t="n"/>
      <c r="L682" s="10">
        <f>IF(C685=0,IF(C689&gt;0,999,0),IF(C685&lt;0,IF(C689&gt;0,999,0),(C689-C685)/ABS(C685)*100))</f>
        <v/>
      </c>
      <c r="N682" s="10">
        <f>IF(K685&lt;=0,IF(K689&gt;0,999,0),(K689-K685)/K685*100)</f>
        <v/>
      </c>
    </row>
    <row r="692">
      <c r="A692">
        <f>M71</f>
        <v/>
      </c>
      <c r="B692">
        <f>BDH(A692&amp;" US Equity","IS_DILUTED_EPS",TEXT(EDATE(TODAY(),-24),"MM/DD/YYYY"),TEXT(TODAY(),"MM/DD/YYYY"),"Per","Q","Days","A","Fill","P")</f>
        <v/>
      </c>
      <c r="C692" s="6" t="n"/>
      <c r="J692">
        <f>BDH(A692&amp;" US Equity","SALES_REV_TURN",TEXT(EDATE(TODAY(),-24),"MM/DD/YYYY"),TEXT(TODAY(),"MM/DD/YYYY"),"Per","Q","Days","A","Fill","P")</f>
        <v/>
      </c>
      <c r="K692" s="5" t="n"/>
      <c r="L692" s="10">
        <f>IF(C695=0,IF(C699&gt;0,999,0),IF(C695&lt;0,IF(C699&gt;0,999,0),(C699-C695)/ABS(C695)*100))</f>
        <v/>
      </c>
      <c r="N692" s="10">
        <f>IF(K695&lt;=0,IF(K699&gt;0,999,0),(K699-K695)/K695*100)</f>
        <v/>
      </c>
    </row>
    <row r="702">
      <c r="A702">
        <f>M72</f>
        <v/>
      </c>
      <c r="B702">
        <f>BDH(A702&amp;" US Equity","IS_DILUTED_EPS",TEXT(EDATE(TODAY(),-24),"MM/DD/YYYY"),TEXT(TODAY(),"MM/DD/YYYY"),"Per","Q","Days","A","Fill","P")</f>
        <v/>
      </c>
      <c r="C702" s="6" t="n"/>
      <c r="J702">
        <f>BDH(A702&amp;" US Equity","SALES_REV_TURN",TEXT(EDATE(TODAY(),-24),"MM/DD/YYYY"),TEXT(TODAY(),"MM/DD/YYYY"),"Per","Q","Days","A","Fill","P")</f>
        <v/>
      </c>
      <c r="K702" s="5" t="n"/>
      <c r="L702" s="10">
        <f>IF(C705=0,IF(C709&gt;0,999,0),IF(C705&lt;0,IF(C709&gt;0,999,0),(C709-C705)/ABS(C705)*100))</f>
        <v/>
      </c>
      <c r="N702" s="10">
        <f>IF(K705&lt;=0,IF(K709&gt;0,999,0),(K709-K705)/K705*100)</f>
        <v/>
      </c>
    </row>
    <row r="712">
      <c r="A712">
        <f>M73</f>
        <v/>
      </c>
      <c r="B712">
        <f>BDH(A712&amp;" US Equity","IS_DILUTED_EPS",TEXT(EDATE(TODAY(),-24),"MM/DD/YYYY"),TEXT(TODAY(),"MM/DD/YYYY"),"Per","Q","Days","A","Fill","P")</f>
        <v/>
      </c>
      <c r="C712" s="6" t="n"/>
      <c r="J712">
        <f>BDH(A712&amp;" US Equity","SALES_REV_TURN",TEXT(EDATE(TODAY(),-24),"MM/DD/YYYY"),TEXT(TODAY(),"MM/DD/YYYY"),"Per","Q","Days","A","Fill","P")</f>
        <v/>
      </c>
      <c r="K712" s="5" t="n"/>
      <c r="L712" s="10">
        <f>IF(C715=0,IF(C719&gt;0,999,0),IF(C715&lt;0,IF(C719&gt;0,999,0),(C719-C715)/ABS(C715)*100))</f>
        <v/>
      </c>
      <c r="N712" s="10">
        <f>IF(K715&lt;=0,IF(K719&gt;0,999,0),(K719-K715)/K715*100)</f>
        <v/>
      </c>
    </row>
    <row r="722">
      <c r="A722">
        <f>M74</f>
        <v/>
      </c>
      <c r="B722">
        <f>BDH(A722&amp;" US Equity","IS_DILUTED_EPS",TEXT(EDATE(TODAY(),-24),"MM/DD/YYYY"),TEXT(TODAY(),"MM/DD/YYYY"),"Per","Q","Days","A","Fill","P")</f>
        <v/>
      </c>
      <c r="C722" s="6" t="n"/>
      <c r="J722">
        <f>BDH(A722&amp;" US Equity","SALES_REV_TURN",TEXT(EDATE(TODAY(),-24),"MM/DD/YYYY"),TEXT(TODAY(),"MM/DD/YYYY"),"Per","Q","Days","A","Fill","P")</f>
        <v/>
      </c>
      <c r="K722" s="5" t="n"/>
      <c r="L722" s="10">
        <f>IF(C725=0,IF(C729&gt;0,999,0),IF(C725&lt;0,IF(C729&gt;0,999,0),(C729-C725)/ABS(C725)*100))</f>
        <v/>
      </c>
      <c r="N722" s="10">
        <f>IF(K725&lt;=0,IF(K729&gt;0,999,0),(K729-K725)/K725*100)</f>
        <v/>
      </c>
    </row>
    <row r="732">
      <c r="A732">
        <f>M75</f>
        <v/>
      </c>
      <c r="B732">
        <f>BDH(A732&amp;" US Equity","IS_DILUTED_EPS",TEXT(EDATE(TODAY(),-24),"MM/DD/YYYY"),TEXT(TODAY(),"MM/DD/YYYY"),"Per","Q","Days","A","Fill","P")</f>
        <v/>
      </c>
      <c r="C732" s="6" t="n"/>
      <c r="J732">
        <f>BDH(A732&amp;" US Equity","SALES_REV_TURN",TEXT(EDATE(TODAY(),-24),"MM/DD/YYYY"),TEXT(TODAY(),"MM/DD/YYYY"),"Per","Q","Days","A","Fill","P")</f>
        <v/>
      </c>
      <c r="K732" s="5" t="n"/>
      <c r="L732" s="10">
        <f>IF(C735=0,IF(C739&gt;0,999,0),IF(C735&lt;0,IF(C739&gt;0,999,0),(C739-C735)/ABS(C735)*100))</f>
        <v/>
      </c>
      <c r="N732" s="10">
        <f>IF(K735&lt;=0,IF(K739&gt;0,999,0),(K739-K735)/K735*100)</f>
        <v/>
      </c>
    </row>
    <row r="742">
      <c r="A742">
        <f>M76</f>
        <v/>
      </c>
      <c r="B742">
        <f>BDH(A742&amp;" US Equity","IS_DILUTED_EPS",TEXT(EDATE(TODAY(),-24),"MM/DD/YYYY"),TEXT(TODAY(),"MM/DD/YYYY"),"Per","Q","Days","A","Fill","P")</f>
        <v/>
      </c>
      <c r="C742" s="6" t="n"/>
      <c r="J742">
        <f>BDH(A742&amp;" US Equity","SALES_REV_TURN",TEXT(EDATE(TODAY(),-24),"MM/DD/YYYY"),TEXT(TODAY(),"MM/DD/YYYY"),"Per","Q","Days","A","Fill","P")</f>
        <v/>
      </c>
      <c r="K742" s="5" t="n"/>
      <c r="L742" s="10">
        <f>IF(C745=0,IF(C749&gt;0,999,0),IF(C745&lt;0,IF(C749&gt;0,999,0),(C749-C745)/ABS(C745)*100))</f>
        <v/>
      </c>
      <c r="N742" s="10">
        <f>IF(K745&lt;=0,IF(K749&gt;0,999,0),(K749-K745)/K745*100)</f>
        <v/>
      </c>
    </row>
    <row r="752">
      <c r="A752">
        <f>M77</f>
        <v/>
      </c>
      <c r="B752">
        <f>BDH(A752&amp;" US Equity","IS_DILUTED_EPS",TEXT(EDATE(TODAY(),-24),"MM/DD/YYYY"),TEXT(TODAY(),"MM/DD/YYYY"),"Per","Q","Days","A","Fill","P")</f>
        <v/>
      </c>
      <c r="C752" s="6" t="n"/>
      <c r="J752">
        <f>BDH(A752&amp;" US Equity","SALES_REV_TURN",TEXT(EDATE(TODAY(),-24),"MM/DD/YYYY"),TEXT(TODAY(),"MM/DD/YYYY"),"Per","Q","Days","A","Fill","P")</f>
        <v/>
      </c>
      <c r="K752" s="5" t="n"/>
      <c r="L752" s="10">
        <f>IF(C755=0,IF(C759&gt;0,999,0),IF(C755&lt;0,IF(C759&gt;0,999,0),(C759-C755)/ABS(C755)*100))</f>
        <v/>
      </c>
      <c r="N752" s="10">
        <f>IF(K755&lt;=0,IF(K759&gt;0,999,0),(K759-K755)/K755*100)</f>
        <v/>
      </c>
    </row>
    <row r="762">
      <c r="A762">
        <f>M78</f>
        <v/>
      </c>
      <c r="B762">
        <f>BDH(A762&amp;" US Equity","IS_DILUTED_EPS",TEXT(EDATE(TODAY(),-24),"MM/DD/YYYY"),TEXT(TODAY(),"MM/DD/YYYY"),"Per","Q","Days","A","Fill","P")</f>
        <v/>
      </c>
      <c r="C762" s="6" t="n"/>
      <c r="J762">
        <f>BDH(A762&amp;" US Equity","SALES_REV_TURN",TEXT(EDATE(TODAY(),-24),"MM/DD/YYYY"),TEXT(TODAY(),"MM/DD/YYYY"),"Per","Q","Days","A","Fill","P")</f>
        <v/>
      </c>
      <c r="K762" s="5" t="n"/>
      <c r="L762" s="10">
        <f>IF(C765=0,IF(C769&gt;0,999,0),IF(C765&lt;0,IF(C769&gt;0,999,0),(C769-C765)/ABS(C765)*100))</f>
        <v/>
      </c>
      <c r="N762" s="10">
        <f>IF(K765&lt;=0,IF(K769&gt;0,999,0),(K769-K765)/K765*100)</f>
        <v/>
      </c>
    </row>
    <row r="772">
      <c r="A772">
        <f>M79</f>
        <v/>
      </c>
      <c r="B772">
        <f>BDH(A772&amp;" US Equity","IS_DILUTED_EPS",TEXT(EDATE(TODAY(),-24),"MM/DD/YYYY"),TEXT(TODAY(),"MM/DD/YYYY"),"Per","Q","Days","A","Fill","P")</f>
        <v/>
      </c>
      <c r="C772" s="6" t="n"/>
      <c r="J772">
        <f>BDH(A772&amp;" US Equity","SALES_REV_TURN",TEXT(EDATE(TODAY(),-24),"MM/DD/YYYY"),TEXT(TODAY(),"MM/DD/YYYY"),"Per","Q","Days","A","Fill","P")</f>
        <v/>
      </c>
      <c r="K772" s="5" t="n"/>
      <c r="L772" s="10">
        <f>IF(C775=0,IF(C779&gt;0,999,0),IF(C775&lt;0,IF(C779&gt;0,999,0),(C779-C775)/ABS(C775)*100))</f>
        <v/>
      </c>
      <c r="N772" s="10">
        <f>IF(K775&lt;=0,IF(K779&gt;0,999,0),(K779-K775)/K775*100)</f>
        <v/>
      </c>
    </row>
    <row r="782">
      <c r="A782">
        <f>M80</f>
        <v/>
      </c>
      <c r="B782">
        <f>BDH(A782&amp;" US Equity","IS_DILUTED_EPS",TEXT(EDATE(TODAY(),-24),"MM/DD/YYYY"),TEXT(TODAY(),"MM/DD/YYYY"),"Per","Q","Days","A","Fill","P")</f>
        <v/>
      </c>
      <c r="C782" s="6" t="n"/>
      <c r="J782">
        <f>BDH(A782&amp;" US Equity","SALES_REV_TURN",TEXT(EDATE(TODAY(),-24),"MM/DD/YYYY"),TEXT(TODAY(),"MM/DD/YYYY"),"Per","Q","Days","A","Fill","P")</f>
        <v/>
      </c>
      <c r="K782" s="5" t="n"/>
      <c r="L782" s="10">
        <f>IF(C785=0,IF(C789&gt;0,999,0),IF(C785&lt;0,IF(C789&gt;0,999,0),(C789-C785)/ABS(C785)*100))</f>
        <v/>
      </c>
      <c r="N782" s="10">
        <f>IF(K785&lt;=0,IF(K789&gt;0,999,0),(K789-K785)/K785*100)</f>
        <v/>
      </c>
    </row>
    <row r="792">
      <c r="A792">
        <f>M81</f>
        <v/>
      </c>
      <c r="B792">
        <f>BDH(A792&amp;" US Equity","IS_DILUTED_EPS",TEXT(EDATE(TODAY(),-24),"MM/DD/YYYY"),TEXT(TODAY(),"MM/DD/YYYY"),"Per","Q","Days","A","Fill","P")</f>
        <v/>
      </c>
      <c r="C792" s="6" t="n"/>
      <c r="J792">
        <f>BDH(A792&amp;" US Equity","SALES_REV_TURN",TEXT(EDATE(TODAY(),-24),"MM/DD/YYYY"),TEXT(TODAY(),"MM/DD/YYYY"),"Per","Q","Days","A","Fill","P")</f>
        <v/>
      </c>
      <c r="K792" s="5" t="n"/>
      <c r="L792" s="10">
        <f>IF(C795=0,IF(C799&gt;0,999,0),IF(C795&lt;0,IF(C799&gt;0,999,0),(C799-C795)/ABS(C795)*100))</f>
        <v/>
      </c>
      <c r="N792" s="10">
        <f>IF(K795&lt;=0,IF(K799&gt;0,999,0),(K799-K795)/K795*100)</f>
        <v/>
      </c>
    </row>
    <row r="802">
      <c r="A802">
        <f>M82</f>
        <v/>
      </c>
      <c r="B802">
        <f>BDH(A802&amp;" US Equity","IS_DILUTED_EPS",TEXT(EDATE(TODAY(),-24),"MM/DD/YYYY"),TEXT(TODAY(),"MM/DD/YYYY"),"Per","Q","Days","A","Fill","P")</f>
        <v/>
      </c>
      <c r="C802" s="6" t="n"/>
      <c r="J802">
        <f>BDH(A802&amp;" US Equity","SALES_REV_TURN",TEXT(EDATE(TODAY(),-24),"MM/DD/YYYY"),TEXT(TODAY(),"MM/DD/YYYY"),"Per","Q","Days","A","Fill","P")</f>
        <v/>
      </c>
      <c r="K802" s="5" t="n"/>
      <c r="L802" s="10">
        <f>IF(C805=0,IF(C809&gt;0,999,0),IF(C805&lt;0,IF(C809&gt;0,999,0),(C809-C805)/ABS(C805)*100))</f>
        <v/>
      </c>
      <c r="N802" s="10">
        <f>IF(K805&lt;=0,IF(K809&gt;0,999,0),(K809-K805)/K805*100)</f>
        <v/>
      </c>
    </row>
    <row r="812">
      <c r="A812">
        <f>M83</f>
        <v/>
      </c>
      <c r="B812">
        <f>BDH(A812&amp;" US Equity","IS_DILUTED_EPS",TEXT(EDATE(TODAY(),-24),"MM/DD/YYYY"),TEXT(TODAY(),"MM/DD/YYYY"),"Per","Q","Days","A","Fill","P")</f>
        <v/>
      </c>
      <c r="C812" s="6" t="n"/>
      <c r="J812">
        <f>BDH(A812&amp;" US Equity","SALES_REV_TURN",TEXT(EDATE(TODAY(),-24),"MM/DD/YYYY"),TEXT(TODAY(),"MM/DD/YYYY"),"Per","Q","Days","A","Fill","P")</f>
        <v/>
      </c>
      <c r="K812" s="5" t="n"/>
      <c r="L812" s="10">
        <f>IF(C815=0,IF(C819&gt;0,999,0),IF(C815&lt;0,IF(C819&gt;0,999,0),(C819-C815)/ABS(C815)*100))</f>
        <v/>
      </c>
      <c r="N812" s="10">
        <f>IF(K815&lt;=0,IF(K819&gt;0,999,0),(K819-K815)/K815*100)</f>
        <v/>
      </c>
    </row>
    <row r="822">
      <c r="A822">
        <f>M84</f>
        <v/>
      </c>
      <c r="B822">
        <f>BDH(A822&amp;" US Equity","IS_DILUTED_EPS",TEXT(EDATE(TODAY(),-24),"MM/DD/YYYY"),TEXT(TODAY(),"MM/DD/YYYY"),"Per","Q","Days","A","Fill","P")</f>
        <v/>
      </c>
      <c r="C822" s="6" t="n"/>
      <c r="J822">
        <f>BDH(A822&amp;" US Equity","SALES_REV_TURN",TEXT(EDATE(TODAY(),-24),"MM/DD/YYYY"),TEXT(TODAY(),"MM/DD/YYYY"),"Per","Q","Days","A","Fill","P")</f>
        <v/>
      </c>
      <c r="K822" s="5" t="n"/>
      <c r="L822" s="10">
        <f>IF(C825=0,IF(C829&gt;0,999,0),IF(C825&lt;0,IF(C829&gt;0,999,0),(C829-C825)/ABS(C825)*100))</f>
        <v/>
      </c>
      <c r="N822" s="10">
        <f>IF(K825&lt;=0,IF(K829&gt;0,999,0),(K829-K825)/K825*100)</f>
        <v/>
      </c>
    </row>
    <row r="832">
      <c r="A832">
        <f>M85</f>
        <v/>
      </c>
      <c r="B832">
        <f>BDH(A832&amp;" US Equity","IS_DILUTED_EPS",TEXT(EDATE(TODAY(),-24),"MM/DD/YYYY"),TEXT(TODAY(),"MM/DD/YYYY"),"Per","Q","Days","A","Fill","P")</f>
        <v/>
      </c>
      <c r="C832" s="6" t="n"/>
      <c r="J832">
        <f>BDH(A832&amp;" US Equity","SALES_REV_TURN",TEXT(EDATE(TODAY(),-24),"MM/DD/YYYY"),TEXT(TODAY(),"MM/DD/YYYY"),"Per","Q","Days","A","Fill","P")</f>
        <v/>
      </c>
      <c r="K832" s="5" t="n"/>
      <c r="L832" s="10">
        <f>IF(C835=0,IF(C839&gt;0,999,0),IF(C835&lt;0,IF(C839&gt;0,999,0),(C839-C835)/ABS(C835)*100))</f>
        <v/>
      </c>
      <c r="N832" s="10">
        <f>IF(K835&lt;=0,IF(K839&gt;0,999,0),(K839-K835)/K835*100)</f>
        <v/>
      </c>
    </row>
    <row r="842">
      <c r="A842">
        <f>M86</f>
        <v/>
      </c>
      <c r="B842">
        <f>BDH(A842&amp;" US Equity","IS_DILUTED_EPS",TEXT(EDATE(TODAY(),-24),"MM/DD/YYYY"),TEXT(TODAY(),"MM/DD/YYYY"),"Per","Q","Days","A","Fill","P")</f>
        <v/>
      </c>
      <c r="C842" s="6" t="n"/>
      <c r="J842">
        <f>BDH(A842&amp;" US Equity","SALES_REV_TURN",TEXT(EDATE(TODAY(),-24),"MM/DD/YYYY"),TEXT(TODAY(),"MM/DD/YYYY"),"Per","Q","Days","A","Fill","P")</f>
        <v/>
      </c>
      <c r="K842" s="5" t="n"/>
      <c r="L842" s="10">
        <f>IF(C845=0,IF(C849&gt;0,999,0),IF(C845&lt;0,IF(C849&gt;0,999,0),(C849-C845)/ABS(C845)*100))</f>
        <v/>
      </c>
      <c r="N842" s="10">
        <f>IF(K845&lt;=0,IF(K849&gt;0,999,0),(K849-K845)/K845*100)</f>
        <v/>
      </c>
    </row>
    <row r="852">
      <c r="A852">
        <f>M87</f>
        <v/>
      </c>
      <c r="B852">
        <f>BDH(A852&amp;" US Equity","IS_DILUTED_EPS",TEXT(EDATE(TODAY(),-24),"MM/DD/YYYY"),TEXT(TODAY(),"MM/DD/YYYY"),"Per","Q","Days","A","Fill","P")</f>
        <v/>
      </c>
      <c r="C852" s="6" t="n"/>
      <c r="J852">
        <f>BDH(A852&amp;" US Equity","SALES_REV_TURN",TEXT(EDATE(TODAY(),-24),"MM/DD/YYYY"),TEXT(TODAY(),"MM/DD/YYYY"),"Per","Q","Days","A","Fill","P")</f>
        <v/>
      </c>
      <c r="K852" s="5" t="n"/>
      <c r="L852" s="10">
        <f>IF(C855=0,IF(C859&gt;0,999,0),IF(C855&lt;0,IF(C859&gt;0,999,0),(C859-C855)/ABS(C855)*100))</f>
        <v/>
      </c>
      <c r="N852" s="10">
        <f>IF(K855&lt;=0,IF(K859&gt;0,999,0),(K859-K855)/K855*100)</f>
        <v/>
      </c>
    </row>
    <row r="862">
      <c r="A862">
        <f>M88</f>
        <v/>
      </c>
      <c r="B862">
        <f>BDH(A862&amp;" US Equity","IS_DILUTED_EPS",TEXT(EDATE(TODAY(),-24),"MM/DD/YYYY"),TEXT(TODAY(),"MM/DD/YYYY"),"Per","Q","Days","A","Fill","P")</f>
        <v/>
      </c>
      <c r="C862" s="6" t="n"/>
      <c r="J862">
        <f>BDH(A862&amp;" US Equity","SALES_REV_TURN",TEXT(EDATE(TODAY(),-24),"MM/DD/YYYY"),TEXT(TODAY(),"MM/DD/YYYY"),"Per","Q","Days","A","Fill","P")</f>
        <v/>
      </c>
      <c r="K862" s="5" t="n"/>
      <c r="L862" s="10">
        <f>IF(C865=0,IF(C869&gt;0,999,0),IF(C865&lt;0,IF(C869&gt;0,999,0),(C869-C865)/ABS(C865)*100))</f>
        <v/>
      </c>
      <c r="N862" s="10">
        <f>IF(K865&lt;=0,IF(K869&gt;0,999,0),(K869-K865)/K865*100)</f>
        <v/>
      </c>
    </row>
    <row r="872">
      <c r="A872">
        <f>M89</f>
        <v/>
      </c>
      <c r="B872">
        <f>BDH(A872&amp;" US Equity","IS_DILUTED_EPS",TEXT(EDATE(TODAY(),-24),"MM/DD/YYYY"),TEXT(TODAY(),"MM/DD/YYYY"),"Per","Q","Days","A","Fill","P")</f>
        <v/>
      </c>
      <c r="C872" s="6" t="n"/>
      <c r="J872">
        <f>BDH(A872&amp;" US Equity","SALES_REV_TURN",TEXT(EDATE(TODAY(),-24),"MM/DD/YYYY"),TEXT(TODAY(),"MM/DD/YYYY"),"Per","Q","Days","A","Fill","P")</f>
        <v/>
      </c>
      <c r="K872" s="5" t="n"/>
      <c r="L872" s="10">
        <f>IF(C875=0,IF(C879&gt;0,999,0),IF(C875&lt;0,IF(C879&gt;0,999,0),(C879-C875)/ABS(C875)*100))</f>
        <v/>
      </c>
      <c r="N872" s="10">
        <f>IF(K875&lt;=0,IF(K879&gt;0,999,0),(K879-K875)/K875*100)</f>
        <v/>
      </c>
    </row>
    <row r="882">
      <c r="A882">
        <f>M90</f>
        <v/>
      </c>
      <c r="B882">
        <f>BDH(A882&amp;" US Equity","IS_DILUTED_EPS",TEXT(EDATE(TODAY(),-24),"MM/DD/YYYY"),TEXT(TODAY(),"MM/DD/YYYY"),"Per","Q","Days","A","Fill","P")</f>
        <v/>
      </c>
      <c r="C882" s="6" t="n"/>
      <c r="J882">
        <f>BDH(A882&amp;" US Equity","SALES_REV_TURN",TEXT(EDATE(TODAY(),-24),"MM/DD/YYYY"),TEXT(TODAY(),"MM/DD/YYYY"),"Per","Q","Days","A","Fill","P")</f>
        <v/>
      </c>
      <c r="K882" s="5" t="n"/>
      <c r="L882" s="10">
        <f>IF(C885=0,IF(C889&gt;0,999,0),IF(C885&lt;0,IF(C889&gt;0,999,0),(C889-C885)/ABS(C885)*100))</f>
        <v/>
      </c>
      <c r="N882" s="10">
        <f>IF(K885&lt;=0,IF(K889&gt;0,999,0),(K889-K885)/K885*100)</f>
        <v/>
      </c>
    </row>
    <row r="892">
      <c r="A892">
        <f>M91</f>
        <v/>
      </c>
      <c r="B892">
        <f>BDH(A892&amp;" US Equity","IS_DILUTED_EPS",TEXT(EDATE(TODAY(),-24),"MM/DD/YYYY"),TEXT(TODAY(),"MM/DD/YYYY"),"Per","Q","Days","A","Fill","P")</f>
        <v/>
      </c>
      <c r="C892" s="6" t="n"/>
      <c r="J892">
        <f>BDH(A892&amp;" US Equity","SALES_REV_TURN",TEXT(EDATE(TODAY(),-24),"MM/DD/YYYY"),TEXT(TODAY(),"MM/DD/YYYY"),"Per","Q","Days","A","Fill","P")</f>
        <v/>
      </c>
      <c r="K892" s="5" t="n"/>
      <c r="L892" s="10">
        <f>IF(C895=0,IF(C899&gt;0,999,0),IF(C895&lt;0,IF(C899&gt;0,999,0),(C899-C895)/ABS(C895)*100))</f>
        <v/>
      </c>
      <c r="N892" s="10">
        <f>IF(K895&lt;=0,IF(K899&gt;0,999,0),(K899-K895)/K895*100)</f>
        <v/>
      </c>
    </row>
    <row r="902">
      <c r="A902">
        <f>M92</f>
        <v/>
      </c>
      <c r="B902">
        <f>BDH(A902&amp;" US Equity","IS_DILUTED_EPS",TEXT(EDATE(TODAY(),-24),"MM/DD/YYYY"),TEXT(TODAY(),"MM/DD/YYYY"),"Per","Q","Days","A","Fill","P")</f>
        <v/>
      </c>
      <c r="C902" s="6" t="n"/>
      <c r="J902">
        <f>BDH(A902&amp;" US Equity","SALES_REV_TURN",TEXT(EDATE(TODAY(),-24),"MM/DD/YYYY"),TEXT(TODAY(),"MM/DD/YYYY"),"Per","Q","Days","A","Fill","P")</f>
        <v/>
      </c>
      <c r="K902" s="5" t="n"/>
      <c r="L902" s="10">
        <f>IF(C905=0,IF(C909&gt;0,999,0),IF(C905&lt;0,IF(C909&gt;0,999,0),(C909-C905)/ABS(C905)*100))</f>
        <v/>
      </c>
      <c r="N902" s="10">
        <f>IF(K905&lt;=0,IF(K909&gt;0,999,0),(K909-K905)/K905*100)</f>
        <v/>
      </c>
    </row>
    <row r="912">
      <c r="A912">
        <f>M93</f>
        <v/>
      </c>
      <c r="B912">
        <f>BDH(A912&amp;" US Equity","IS_DILUTED_EPS",TEXT(EDATE(TODAY(),-24),"MM/DD/YYYY"),TEXT(TODAY(),"MM/DD/YYYY"),"Per","Q","Days","A","Fill","P")</f>
        <v/>
      </c>
      <c r="C912" s="6" t="n"/>
      <c r="J912">
        <f>BDH(A912&amp;" US Equity","SALES_REV_TURN",TEXT(EDATE(TODAY(),-24),"MM/DD/YYYY"),TEXT(TODAY(),"MM/DD/YYYY"),"Per","Q","Days","A","Fill","P")</f>
        <v/>
      </c>
      <c r="K912" s="5" t="n"/>
      <c r="L912" s="10">
        <f>IF(C915=0,IF(C919&gt;0,999,0),IF(C915&lt;0,IF(C919&gt;0,999,0),(C919-C915)/ABS(C915)*100))</f>
        <v/>
      </c>
      <c r="N912" s="10">
        <f>IF(K915&lt;=0,IF(K919&gt;0,999,0),(K919-K915)/K915*100)</f>
        <v/>
      </c>
    </row>
    <row r="922">
      <c r="A922">
        <f>M94</f>
        <v/>
      </c>
      <c r="B922">
        <f>BDH(A922&amp;" US Equity","IS_DILUTED_EPS",TEXT(EDATE(TODAY(),-24),"MM/DD/YYYY"),TEXT(TODAY(),"MM/DD/YYYY"),"Per","Q","Days","A","Fill","P")</f>
        <v/>
      </c>
      <c r="C922" s="6" t="n"/>
      <c r="J922">
        <f>BDH(A922&amp;" US Equity","SALES_REV_TURN",TEXT(EDATE(TODAY(),-24),"MM/DD/YYYY"),TEXT(TODAY(),"MM/DD/YYYY"),"Per","Q","Days","A","Fill","P")</f>
        <v/>
      </c>
      <c r="K922" s="5" t="n"/>
      <c r="L922" s="10">
        <f>IF(C925=0,IF(C929&gt;0,999,0),IF(C925&lt;0,IF(C929&gt;0,999,0),(C929-C925)/ABS(C925)*100))</f>
        <v/>
      </c>
      <c r="N922" s="10">
        <f>IF(K925&lt;=0,IF(K929&gt;0,999,0),(K929-K925)/K925*100)</f>
        <v/>
      </c>
    </row>
    <row r="932">
      <c r="A932">
        <f>M95</f>
        <v/>
      </c>
      <c r="B932">
        <f>BDH(A932&amp;" US Equity","IS_DILUTED_EPS",TEXT(EDATE(TODAY(),-24),"MM/DD/YYYY"),TEXT(TODAY(),"MM/DD/YYYY"),"Per","Q","Days","A","Fill","P")</f>
        <v/>
      </c>
      <c r="C932" s="6" t="n"/>
      <c r="J932">
        <f>BDH(A932&amp;" US Equity","SALES_REV_TURN",TEXT(EDATE(TODAY(),-24),"MM/DD/YYYY"),TEXT(TODAY(),"MM/DD/YYYY"),"Per","Q","Days","A","Fill","P")</f>
        <v/>
      </c>
      <c r="K932" s="5" t="n"/>
      <c r="L932" s="10">
        <f>IF(C935=0,IF(C939&gt;0,999,0),IF(C935&lt;0,IF(C939&gt;0,999,0),(C939-C935)/ABS(C935)*100))</f>
        <v/>
      </c>
      <c r="N932" s="10">
        <f>IF(K935&lt;=0,IF(K939&gt;0,999,0),(K939-K935)/K935*100)</f>
        <v/>
      </c>
    </row>
    <row r="942">
      <c r="A942">
        <f>M96</f>
        <v/>
      </c>
      <c r="B942">
        <f>BDH(A942&amp;" US Equity","IS_DILUTED_EPS",TEXT(EDATE(TODAY(),-24),"MM/DD/YYYY"),TEXT(TODAY(),"MM/DD/YYYY"),"Per","Q","Days","A","Fill","P")</f>
        <v/>
      </c>
      <c r="C942" s="6" t="n"/>
      <c r="J942">
        <f>BDH(A942&amp;" US Equity","SALES_REV_TURN",TEXT(EDATE(TODAY(),-24),"MM/DD/YYYY"),TEXT(TODAY(),"MM/DD/YYYY"),"Per","Q","Days","A","Fill","P")</f>
        <v/>
      </c>
      <c r="K942" s="5" t="n"/>
      <c r="L942" s="10">
        <f>IF(C945=0,IF(C949&gt;0,999,0),IF(C945&lt;0,IF(C949&gt;0,999,0),(C949-C945)/ABS(C945)*100))</f>
        <v/>
      </c>
      <c r="N942" s="10">
        <f>IF(K945&lt;=0,IF(K949&gt;0,999,0),(K949-K945)/K945*100)</f>
        <v/>
      </c>
    </row>
    <row r="952">
      <c r="A952">
        <f>M97</f>
        <v/>
      </c>
      <c r="B952">
        <f>BDH(A952&amp;" US Equity","IS_DILUTED_EPS",TEXT(EDATE(TODAY(),-24),"MM/DD/YYYY"),TEXT(TODAY(),"MM/DD/YYYY"),"Per","Q","Days","A","Fill","P")</f>
        <v/>
      </c>
      <c r="C952" s="6" t="n"/>
      <c r="J952">
        <f>BDH(A952&amp;" US Equity","SALES_REV_TURN",TEXT(EDATE(TODAY(),-24),"MM/DD/YYYY"),TEXT(TODAY(),"MM/DD/YYYY"),"Per","Q","Days","A","Fill","P")</f>
        <v/>
      </c>
      <c r="K952" s="5" t="n"/>
      <c r="L952" s="10">
        <f>IF(C955=0,IF(C959&gt;0,999,0),IF(C955&lt;0,IF(C959&gt;0,999,0),(C959-C955)/ABS(C955)*100))</f>
        <v/>
      </c>
      <c r="N952" s="10">
        <f>IF(K955&lt;=0,IF(K959&gt;0,999,0),(K959-K955)/K955*100)</f>
        <v/>
      </c>
    </row>
    <row r="962">
      <c r="A962">
        <f>M98</f>
        <v/>
      </c>
      <c r="B962">
        <f>BDH(A962&amp;" US Equity","IS_DILUTED_EPS",TEXT(EDATE(TODAY(),-24),"MM/DD/YYYY"),TEXT(TODAY(),"MM/DD/YYYY"),"Per","Q","Days","A","Fill","P")</f>
        <v/>
      </c>
      <c r="C962" s="6" t="n"/>
      <c r="J962">
        <f>BDH(A962&amp;" US Equity","SALES_REV_TURN",TEXT(EDATE(TODAY(),-24),"MM/DD/YYYY"),TEXT(TODAY(),"MM/DD/YYYY"),"Per","Q","Days","A","Fill","P")</f>
        <v/>
      </c>
      <c r="K962" s="5" t="n"/>
      <c r="L962" s="10">
        <f>IF(C965=0,IF(C969&gt;0,999,0),IF(C965&lt;0,IF(C969&gt;0,999,0),(C969-C965)/ABS(C965)*100))</f>
        <v/>
      </c>
      <c r="N962" s="10">
        <f>IF(K965&lt;=0,IF(K969&gt;0,999,0),(K969-K965)/K965*100)</f>
        <v/>
      </c>
    </row>
    <row r="972">
      <c r="A972">
        <f>M99</f>
        <v/>
      </c>
      <c r="B972">
        <f>BDH(A972&amp;" US Equity","IS_DILUTED_EPS",TEXT(EDATE(TODAY(),-24),"MM/DD/YYYY"),TEXT(TODAY(),"MM/DD/YYYY"),"Per","Q","Days","A","Fill","P")</f>
        <v/>
      </c>
      <c r="C972" s="6" t="n"/>
      <c r="J972">
        <f>BDH(A972&amp;" US Equity","SALES_REV_TURN",TEXT(EDATE(TODAY(),-24),"MM/DD/YYYY"),TEXT(TODAY(),"MM/DD/YYYY"),"Per","Q","Days","A","Fill","P")</f>
        <v/>
      </c>
      <c r="K972" s="5" t="n"/>
      <c r="L972" s="10">
        <f>IF(C975=0,IF(C979&gt;0,999,0),IF(C975&lt;0,IF(C979&gt;0,999,0),(C979-C975)/ABS(C975)*100))</f>
        <v/>
      </c>
      <c r="N972" s="10">
        <f>IF(K975&lt;=0,IF(K979&gt;0,999,0),(K979-K975)/K975*100)</f>
        <v/>
      </c>
    </row>
    <row r="982">
      <c r="A982">
        <f>M100</f>
        <v/>
      </c>
      <c r="B982">
        <f>BDH(A982&amp;" US Equity","IS_DILUTED_EPS",TEXT(EDATE(TODAY(),-24),"MM/DD/YYYY"),TEXT(TODAY(),"MM/DD/YYYY"),"Per","Q","Days","A","Fill","P")</f>
        <v/>
      </c>
      <c r="C982" s="6" t="n"/>
      <c r="J982">
        <f>BDH(A982&amp;" US Equity","SALES_REV_TURN",TEXT(EDATE(TODAY(),-24),"MM/DD/YYYY"),TEXT(TODAY(),"MM/DD/YYYY"),"Per","Q","Days","A","Fill","P")</f>
        <v/>
      </c>
      <c r="K982" s="5" t="n"/>
      <c r="L982" s="10">
        <f>IF(C985=0,IF(C989&gt;0,999,0),IF(C985&lt;0,IF(C989&gt;0,999,0),(C989-C985)/ABS(C985)*100))</f>
        <v/>
      </c>
      <c r="N982" s="10">
        <f>IF(K985&lt;=0,IF(K989&gt;0,999,0),(K989-K985)/K985*100)</f>
        <v/>
      </c>
    </row>
    <row r="992">
      <c r="A992">
        <f>M101</f>
        <v/>
      </c>
      <c r="B992">
        <f>BDH(A992&amp;" US Equity","IS_DILUTED_EPS",TEXT(EDATE(TODAY(),-24),"MM/DD/YYYY"),TEXT(TODAY(),"MM/DD/YYYY"),"Per","Q","Days","A","Fill","P")</f>
        <v/>
      </c>
      <c r="C992" s="6" t="n"/>
      <c r="J992">
        <f>BDH(A992&amp;" US Equity","SALES_REV_TURN",TEXT(EDATE(TODAY(),-24),"MM/DD/YYYY"),TEXT(TODAY(),"MM/DD/YYYY"),"Per","Q","Days","A","Fill","P")</f>
        <v/>
      </c>
      <c r="K992" s="5" t="n"/>
      <c r="L992" s="10">
        <f>IF(C995=0,IF(C999&gt;0,999,0),IF(C995&lt;0,IF(C999&gt;0,999,0),(C999-C995)/ABS(C995)*100))</f>
        <v/>
      </c>
      <c r="N992" s="10">
        <f>IF(K995&lt;=0,IF(K999&gt;0,999,0),(K999-K995)/K995*100)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L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20" customWidth="1" min="8" max="8"/>
    <col width="13" customWidth="1" min="9" max="9"/>
    <col width="13" customWidth="1" min="10" max="10"/>
    <col width="14" customWidth="1" min="11" max="11"/>
    <col width="17" customWidth="1" min="12" max="12"/>
  </cols>
  <sheetData>
    <row r="1">
      <c r="A1" s="4" t="inlineStr">
        <is>
          <t>Ticker</t>
        </is>
      </c>
      <c r="B1" s="4" t="inlineStr">
        <is>
          <t>6-Mo Return (%)</t>
        </is>
      </c>
      <c r="C1" s="4" t="inlineStr">
        <is>
          <t>RS Percentile</t>
        </is>
      </c>
      <c r="D1" s="4" t="inlineStr">
        <is>
          <t>EPS Growth YoY</t>
        </is>
      </c>
      <c r="E1" s="4" t="inlineStr">
        <is>
          <t>EPS (capped)</t>
        </is>
      </c>
      <c r="F1" s="4" t="inlineStr">
        <is>
          <t>Rev Growth YoY</t>
        </is>
      </c>
      <c r="G1" s="4" t="inlineStr">
        <is>
          <t>Rev (capped)</t>
        </is>
      </c>
      <c r="H1" s="4" t="inlineStr">
        <is>
          <t>Price vs 52Wk High (%)</t>
        </is>
      </c>
      <c r="I1" s="4" t="inlineStr">
        <is>
          <t>Qual: EPS≥5%</t>
        </is>
      </c>
      <c r="J1" s="4" t="inlineStr">
        <is>
          <t>Qual: Rev≥5%</t>
        </is>
      </c>
      <c r="K1" s="4" t="inlineStr">
        <is>
          <t>Qual: Price≥75%</t>
        </is>
      </c>
      <c r="L1" s="4" t="inlineStr">
        <is>
          <t>ALL QUALITY PASS</t>
        </is>
      </c>
    </row>
    <row r="2">
      <c r="A2">
        <f>Universe!A2</f>
        <v/>
      </c>
      <c r="B2" s="10" t="n"/>
      <c r="C2" s="11">
        <f>IF(B2="","",PERCENTRANK.INC($B$2:$B$2501,B2)*100)</f>
        <v/>
      </c>
      <c r="D2" s="10" t="n"/>
      <c r="E2" s="10">
        <f>IF(D2="","",MIN(D2,100))</f>
        <v/>
      </c>
      <c r="F2" s="10" t="n"/>
      <c r="G2" s="10">
        <f>IF(F2="","",MIN(F2,100))</f>
        <v/>
      </c>
      <c r="H2" s="11">
        <f>IF(A2="","",Universe!E2/BDP(A2&amp;" US Equity","HIGH_52WEEK")*100)</f>
        <v/>
      </c>
      <c r="I2">
        <f>IF(D2="","",D2&gt;=5)</f>
        <v/>
      </c>
      <c r="J2">
        <f>IF(F2="","",F2&gt;=5)</f>
        <v/>
      </c>
      <c r="K2">
        <f>IF(H2="","",H2&gt;=75)</f>
        <v/>
      </c>
      <c r="L2">
        <f>IF(OR(I2="",J2="",K2=""),FALSE,AND(I2,J2,K2))</f>
        <v/>
      </c>
    </row>
    <row r="3">
      <c r="A3">
        <f>Universe!A3</f>
        <v/>
      </c>
      <c r="B3" s="10" t="n"/>
      <c r="C3" s="11">
        <f>IF(B3="","",PERCENTRANK.INC($B$2:$B$2501,B3)*100)</f>
        <v/>
      </c>
      <c r="D3" s="10" t="n"/>
      <c r="E3" s="10">
        <f>IF(D3="","",MIN(D3,100))</f>
        <v/>
      </c>
      <c r="F3" s="10" t="n"/>
      <c r="G3" s="10">
        <f>IF(F3="","",MIN(F3,100))</f>
        <v/>
      </c>
      <c r="H3" s="11">
        <f>IF(A3="","",Universe!E3/BDP(A3&amp;" US Equity","HIGH_52WEEK")*100)</f>
        <v/>
      </c>
      <c r="I3">
        <f>IF(D3="","",D3&gt;=5)</f>
        <v/>
      </c>
      <c r="J3">
        <f>IF(F3="","",F3&gt;=5)</f>
        <v/>
      </c>
      <c r="K3">
        <f>IF(H3="","",H3&gt;=75)</f>
        <v/>
      </c>
      <c r="L3">
        <f>IF(OR(I3="",J3="",K3=""),FALSE,AND(I3,J3,K3))</f>
        <v/>
      </c>
    </row>
    <row r="4">
      <c r="A4">
        <f>Universe!A4</f>
        <v/>
      </c>
      <c r="B4" s="10" t="n"/>
      <c r="C4" s="11">
        <f>IF(B4="","",PERCENTRANK.INC($B$2:$B$2501,B4)*100)</f>
        <v/>
      </c>
      <c r="D4" s="10" t="n"/>
      <c r="E4" s="10">
        <f>IF(D4="","",MIN(D4,100))</f>
        <v/>
      </c>
      <c r="F4" s="10" t="n"/>
      <c r="G4" s="10">
        <f>IF(F4="","",MIN(F4,100))</f>
        <v/>
      </c>
      <c r="H4" s="11">
        <f>IF(A4="","",Universe!E4/BDP(A4&amp;" US Equity","HIGH_52WEEK")*100)</f>
        <v/>
      </c>
      <c r="I4">
        <f>IF(D4="","",D4&gt;=5)</f>
        <v/>
      </c>
      <c r="J4">
        <f>IF(F4="","",F4&gt;=5)</f>
        <v/>
      </c>
      <c r="K4">
        <f>IF(H4="","",H4&gt;=75)</f>
        <v/>
      </c>
      <c r="L4">
        <f>IF(OR(I4="",J4="",K4=""),FALSE,AND(I4,J4,K4))</f>
        <v/>
      </c>
    </row>
    <row r="5">
      <c r="A5">
        <f>Universe!A5</f>
        <v/>
      </c>
      <c r="B5" s="10" t="n"/>
      <c r="C5" s="11">
        <f>IF(B5="","",PERCENTRANK.INC($B$2:$B$2501,B5)*100)</f>
        <v/>
      </c>
      <c r="D5" s="10" t="n"/>
      <c r="E5" s="10">
        <f>IF(D5="","",MIN(D5,100))</f>
        <v/>
      </c>
      <c r="F5" s="10" t="n"/>
      <c r="G5" s="10">
        <f>IF(F5="","",MIN(F5,100))</f>
        <v/>
      </c>
      <c r="H5" s="11">
        <f>IF(A5="","",Universe!E5/BDP(A5&amp;" US Equity","HIGH_52WEEK")*100)</f>
        <v/>
      </c>
      <c r="I5">
        <f>IF(D5="","",D5&gt;=5)</f>
        <v/>
      </c>
      <c r="J5">
        <f>IF(F5="","",F5&gt;=5)</f>
        <v/>
      </c>
      <c r="K5">
        <f>IF(H5="","",H5&gt;=75)</f>
        <v/>
      </c>
      <c r="L5">
        <f>IF(OR(I5="",J5="",K5=""),FALSE,AND(I5,J5,K5))</f>
        <v/>
      </c>
    </row>
    <row r="6">
      <c r="A6">
        <f>Universe!A6</f>
        <v/>
      </c>
      <c r="B6" s="10" t="n"/>
      <c r="C6" s="11">
        <f>IF(B6="","",PERCENTRANK.INC($B$2:$B$2501,B6)*100)</f>
        <v/>
      </c>
      <c r="D6" s="10" t="n"/>
      <c r="E6" s="10">
        <f>IF(D6="","",MIN(D6,100))</f>
        <v/>
      </c>
      <c r="F6" s="10" t="n"/>
      <c r="G6" s="10">
        <f>IF(F6="","",MIN(F6,100))</f>
        <v/>
      </c>
      <c r="H6" s="11">
        <f>IF(A6="","",Universe!E6/BDP(A6&amp;" US Equity","HIGH_52WEEK")*100)</f>
        <v/>
      </c>
      <c r="I6">
        <f>IF(D6="","",D6&gt;=5)</f>
        <v/>
      </c>
      <c r="J6">
        <f>IF(F6="","",F6&gt;=5)</f>
        <v/>
      </c>
      <c r="K6">
        <f>IF(H6="","",H6&gt;=75)</f>
        <v/>
      </c>
      <c r="L6">
        <f>IF(OR(I6="",J6="",K6=""),FALSE,AND(I6,J6,K6))</f>
        <v/>
      </c>
    </row>
    <row r="7">
      <c r="A7">
        <f>Universe!A7</f>
        <v/>
      </c>
      <c r="B7" s="10" t="n"/>
      <c r="C7" s="11">
        <f>IF(B7="","",PERCENTRANK.INC($B$2:$B$2501,B7)*100)</f>
        <v/>
      </c>
      <c r="D7" s="10" t="n"/>
      <c r="E7" s="10">
        <f>IF(D7="","",MIN(D7,100))</f>
        <v/>
      </c>
      <c r="F7" s="10" t="n"/>
      <c r="G7" s="10">
        <f>IF(F7="","",MIN(F7,100))</f>
        <v/>
      </c>
      <c r="H7" s="11">
        <f>IF(A7="","",Universe!E7/BDP(A7&amp;" US Equity","HIGH_52WEEK")*100)</f>
        <v/>
      </c>
      <c r="I7">
        <f>IF(D7="","",D7&gt;=5)</f>
        <v/>
      </c>
      <c r="J7">
        <f>IF(F7="","",F7&gt;=5)</f>
        <v/>
      </c>
      <c r="K7">
        <f>IF(H7="","",H7&gt;=75)</f>
        <v/>
      </c>
      <c r="L7">
        <f>IF(OR(I7="",J7="",K7=""),FALSE,AND(I7,J7,K7))</f>
        <v/>
      </c>
    </row>
    <row r="8">
      <c r="A8">
        <f>Universe!A8</f>
        <v/>
      </c>
      <c r="B8" s="10" t="n"/>
      <c r="C8" s="11">
        <f>IF(B8="","",PERCENTRANK.INC($B$2:$B$2501,B8)*100)</f>
        <v/>
      </c>
      <c r="D8" s="10" t="n"/>
      <c r="E8" s="10">
        <f>IF(D8="","",MIN(D8,100))</f>
        <v/>
      </c>
      <c r="F8" s="10" t="n"/>
      <c r="G8" s="10">
        <f>IF(F8="","",MIN(F8,100))</f>
        <v/>
      </c>
      <c r="H8" s="11">
        <f>IF(A8="","",Universe!E8/BDP(A8&amp;" US Equity","HIGH_52WEEK")*100)</f>
        <v/>
      </c>
      <c r="I8">
        <f>IF(D8="","",D8&gt;=5)</f>
        <v/>
      </c>
      <c r="J8">
        <f>IF(F8="","",F8&gt;=5)</f>
        <v/>
      </c>
      <c r="K8">
        <f>IF(H8="","",H8&gt;=75)</f>
        <v/>
      </c>
      <c r="L8">
        <f>IF(OR(I8="",J8="",K8=""),FALSE,AND(I8,J8,K8))</f>
        <v/>
      </c>
    </row>
    <row r="9">
      <c r="A9">
        <f>Universe!A9</f>
        <v/>
      </c>
      <c r="B9" s="10" t="n"/>
      <c r="C9" s="11">
        <f>IF(B9="","",PERCENTRANK.INC($B$2:$B$2501,B9)*100)</f>
        <v/>
      </c>
      <c r="D9" s="10" t="n"/>
      <c r="E9" s="10">
        <f>IF(D9="","",MIN(D9,100))</f>
        <v/>
      </c>
      <c r="F9" s="10" t="n"/>
      <c r="G9" s="10">
        <f>IF(F9="","",MIN(F9,100))</f>
        <v/>
      </c>
      <c r="H9" s="11">
        <f>IF(A9="","",Universe!E9/BDP(A9&amp;" US Equity","HIGH_52WEEK")*100)</f>
        <v/>
      </c>
      <c r="I9">
        <f>IF(D9="","",D9&gt;=5)</f>
        <v/>
      </c>
      <c r="J9">
        <f>IF(F9="","",F9&gt;=5)</f>
        <v/>
      </c>
      <c r="K9">
        <f>IF(H9="","",H9&gt;=75)</f>
        <v/>
      </c>
      <c r="L9">
        <f>IF(OR(I9="",J9="",K9=""),FALSE,AND(I9,J9,K9))</f>
        <v/>
      </c>
    </row>
    <row r="10">
      <c r="A10">
        <f>Universe!A10</f>
        <v/>
      </c>
      <c r="B10" s="10" t="n"/>
      <c r="C10" s="11">
        <f>IF(B10="","",PERCENTRANK.INC($B$2:$B$2501,B10)*100)</f>
        <v/>
      </c>
      <c r="D10" s="10" t="n"/>
      <c r="E10" s="10">
        <f>IF(D10="","",MIN(D10,100))</f>
        <v/>
      </c>
      <c r="F10" s="10" t="n"/>
      <c r="G10" s="10">
        <f>IF(F10="","",MIN(F10,100))</f>
        <v/>
      </c>
      <c r="H10" s="11">
        <f>IF(A10="","",Universe!E10/BDP(A10&amp;" US Equity","HIGH_52WEEK")*100)</f>
        <v/>
      </c>
      <c r="I10">
        <f>IF(D10="","",D10&gt;=5)</f>
        <v/>
      </c>
      <c r="J10">
        <f>IF(F10="","",F10&gt;=5)</f>
        <v/>
      </c>
      <c r="K10">
        <f>IF(H10="","",H10&gt;=75)</f>
        <v/>
      </c>
      <c r="L10">
        <f>IF(OR(I10="",J10="",K10=""),FALSE,AND(I10,J10,K10))</f>
        <v/>
      </c>
    </row>
    <row r="11">
      <c r="A11">
        <f>Universe!A11</f>
        <v/>
      </c>
      <c r="B11" s="10" t="n"/>
      <c r="C11" s="11">
        <f>IF(B11="","",PERCENTRANK.INC($B$2:$B$2501,B11)*100)</f>
        <v/>
      </c>
      <c r="D11" s="10" t="n"/>
      <c r="E11" s="10">
        <f>IF(D11="","",MIN(D11,100))</f>
        <v/>
      </c>
      <c r="F11" s="10" t="n"/>
      <c r="G11" s="10">
        <f>IF(F11="","",MIN(F11,100))</f>
        <v/>
      </c>
      <c r="H11" s="11">
        <f>IF(A11="","",Universe!E11/BDP(A11&amp;" US Equity","HIGH_52WEEK")*100)</f>
        <v/>
      </c>
      <c r="I11">
        <f>IF(D11="","",D11&gt;=5)</f>
        <v/>
      </c>
      <c r="J11">
        <f>IF(F11="","",F11&gt;=5)</f>
        <v/>
      </c>
      <c r="K11">
        <f>IF(H11="","",H11&gt;=75)</f>
        <v/>
      </c>
      <c r="L11">
        <f>IF(OR(I11="",J11="",K11=""),FALSE,AND(I11,J11,K11))</f>
        <v/>
      </c>
    </row>
    <row r="12">
      <c r="A12">
        <f>Universe!A12</f>
        <v/>
      </c>
      <c r="B12" s="10" t="n"/>
      <c r="C12" s="11">
        <f>IF(B12="","",PERCENTRANK.INC($B$2:$B$2501,B12)*100)</f>
        <v/>
      </c>
      <c r="D12" s="10" t="n"/>
      <c r="E12" s="10">
        <f>IF(D12="","",MIN(D12,100))</f>
        <v/>
      </c>
      <c r="F12" s="10" t="n"/>
      <c r="G12" s="10">
        <f>IF(F12="","",MIN(F12,100))</f>
        <v/>
      </c>
      <c r="H12" s="11">
        <f>IF(A12="","",Universe!E12/BDP(A12&amp;" US Equity","HIGH_52WEEK")*100)</f>
        <v/>
      </c>
      <c r="I12">
        <f>IF(D12="","",D12&gt;=5)</f>
        <v/>
      </c>
      <c r="J12">
        <f>IF(F12="","",F12&gt;=5)</f>
        <v/>
      </c>
      <c r="K12">
        <f>IF(H12="","",H12&gt;=75)</f>
        <v/>
      </c>
      <c r="L12">
        <f>IF(OR(I12="",J12="",K12=""),FALSE,AND(I12,J12,K12))</f>
        <v/>
      </c>
    </row>
    <row r="13">
      <c r="A13">
        <f>Universe!A13</f>
        <v/>
      </c>
      <c r="B13" s="10" t="n"/>
      <c r="C13" s="11">
        <f>IF(B13="","",PERCENTRANK.INC($B$2:$B$2501,B13)*100)</f>
        <v/>
      </c>
      <c r="D13" s="10" t="n"/>
      <c r="E13" s="10">
        <f>IF(D13="","",MIN(D13,100))</f>
        <v/>
      </c>
      <c r="F13" s="10" t="n"/>
      <c r="G13" s="10">
        <f>IF(F13="","",MIN(F13,100))</f>
        <v/>
      </c>
      <c r="H13" s="11">
        <f>IF(A13="","",Universe!E13/BDP(A13&amp;" US Equity","HIGH_52WEEK")*100)</f>
        <v/>
      </c>
      <c r="I13">
        <f>IF(D13="","",D13&gt;=5)</f>
        <v/>
      </c>
      <c r="J13">
        <f>IF(F13="","",F13&gt;=5)</f>
        <v/>
      </c>
      <c r="K13">
        <f>IF(H13="","",H13&gt;=75)</f>
        <v/>
      </c>
      <c r="L13">
        <f>IF(OR(I13="",J13="",K13=""),FALSE,AND(I13,J13,K13))</f>
        <v/>
      </c>
    </row>
    <row r="14">
      <c r="A14">
        <f>Universe!A14</f>
        <v/>
      </c>
      <c r="B14" s="10" t="n"/>
      <c r="C14" s="11">
        <f>IF(B14="","",PERCENTRANK.INC($B$2:$B$2501,B14)*100)</f>
        <v/>
      </c>
      <c r="D14" s="10" t="n"/>
      <c r="E14" s="10">
        <f>IF(D14="","",MIN(D14,100))</f>
        <v/>
      </c>
      <c r="F14" s="10" t="n"/>
      <c r="G14" s="10">
        <f>IF(F14="","",MIN(F14,100))</f>
        <v/>
      </c>
      <c r="H14" s="11">
        <f>IF(A14="","",Universe!E14/BDP(A14&amp;" US Equity","HIGH_52WEEK")*100)</f>
        <v/>
      </c>
      <c r="I14">
        <f>IF(D14="","",D14&gt;=5)</f>
        <v/>
      </c>
      <c r="J14">
        <f>IF(F14="","",F14&gt;=5)</f>
        <v/>
      </c>
      <c r="K14">
        <f>IF(H14="","",H14&gt;=75)</f>
        <v/>
      </c>
      <c r="L14">
        <f>IF(OR(I14="",J14="",K14=""),FALSE,AND(I14,J14,K14))</f>
        <v/>
      </c>
    </row>
    <row r="15">
      <c r="A15">
        <f>Universe!A15</f>
        <v/>
      </c>
      <c r="B15" s="10" t="n"/>
      <c r="C15" s="11">
        <f>IF(B15="","",PERCENTRANK.INC($B$2:$B$2501,B15)*100)</f>
        <v/>
      </c>
      <c r="D15" s="10" t="n"/>
      <c r="E15" s="10">
        <f>IF(D15="","",MIN(D15,100))</f>
        <v/>
      </c>
      <c r="F15" s="10" t="n"/>
      <c r="G15" s="10">
        <f>IF(F15="","",MIN(F15,100))</f>
        <v/>
      </c>
      <c r="H15" s="11">
        <f>IF(A15="","",Universe!E15/BDP(A15&amp;" US Equity","HIGH_52WEEK")*100)</f>
        <v/>
      </c>
      <c r="I15">
        <f>IF(D15="","",D15&gt;=5)</f>
        <v/>
      </c>
      <c r="J15">
        <f>IF(F15="","",F15&gt;=5)</f>
        <v/>
      </c>
      <c r="K15">
        <f>IF(H15="","",H15&gt;=75)</f>
        <v/>
      </c>
      <c r="L15">
        <f>IF(OR(I15="",J15="",K15=""),FALSE,AND(I15,J15,K15))</f>
        <v/>
      </c>
    </row>
    <row r="16">
      <c r="A16">
        <f>Universe!A16</f>
        <v/>
      </c>
      <c r="B16" s="10" t="n"/>
      <c r="C16" s="11">
        <f>IF(B16="","",PERCENTRANK.INC($B$2:$B$2501,B16)*100)</f>
        <v/>
      </c>
      <c r="D16" s="10" t="n"/>
      <c r="E16" s="10">
        <f>IF(D16="","",MIN(D16,100))</f>
        <v/>
      </c>
      <c r="F16" s="10" t="n"/>
      <c r="G16" s="10">
        <f>IF(F16="","",MIN(F16,100))</f>
        <v/>
      </c>
      <c r="H16" s="11">
        <f>IF(A16="","",Universe!E16/BDP(A16&amp;" US Equity","HIGH_52WEEK")*100)</f>
        <v/>
      </c>
      <c r="I16">
        <f>IF(D16="","",D16&gt;=5)</f>
        <v/>
      </c>
      <c r="J16">
        <f>IF(F16="","",F16&gt;=5)</f>
        <v/>
      </c>
      <c r="K16">
        <f>IF(H16="","",H16&gt;=75)</f>
        <v/>
      </c>
      <c r="L16">
        <f>IF(OR(I16="",J16="",K16=""),FALSE,AND(I16,J16,K16))</f>
        <v/>
      </c>
    </row>
    <row r="17">
      <c r="A17">
        <f>Universe!A17</f>
        <v/>
      </c>
      <c r="B17" s="10" t="n"/>
      <c r="C17" s="11">
        <f>IF(B17="","",PERCENTRANK.INC($B$2:$B$2501,B17)*100)</f>
        <v/>
      </c>
      <c r="D17" s="10" t="n"/>
      <c r="E17" s="10">
        <f>IF(D17="","",MIN(D17,100))</f>
        <v/>
      </c>
      <c r="F17" s="10" t="n"/>
      <c r="G17" s="10">
        <f>IF(F17="","",MIN(F17,100))</f>
        <v/>
      </c>
      <c r="H17" s="11">
        <f>IF(A17="","",Universe!E17/BDP(A17&amp;" US Equity","HIGH_52WEEK")*100)</f>
        <v/>
      </c>
      <c r="I17">
        <f>IF(D17="","",D17&gt;=5)</f>
        <v/>
      </c>
      <c r="J17">
        <f>IF(F17="","",F17&gt;=5)</f>
        <v/>
      </c>
      <c r="K17">
        <f>IF(H17="","",H17&gt;=75)</f>
        <v/>
      </c>
      <c r="L17">
        <f>IF(OR(I17="",J17="",K17=""),FALSE,AND(I17,J17,K17))</f>
        <v/>
      </c>
    </row>
    <row r="18">
      <c r="A18">
        <f>Universe!A18</f>
        <v/>
      </c>
      <c r="B18" s="10" t="n"/>
      <c r="C18" s="11">
        <f>IF(B18="","",PERCENTRANK.INC($B$2:$B$2501,B18)*100)</f>
        <v/>
      </c>
      <c r="D18" s="10" t="n"/>
      <c r="E18" s="10">
        <f>IF(D18="","",MIN(D18,100))</f>
        <v/>
      </c>
      <c r="F18" s="10" t="n"/>
      <c r="G18" s="10">
        <f>IF(F18="","",MIN(F18,100))</f>
        <v/>
      </c>
      <c r="H18" s="11">
        <f>IF(A18="","",Universe!E18/BDP(A18&amp;" US Equity","HIGH_52WEEK")*100)</f>
        <v/>
      </c>
      <c r="I18">
        <f>IF(D18="","",D18&gt;=5)</f>
        <v/>
      </c>
      <c r="J18">
        <f>IF(F18="","",F18&gt;=5)</f>
        <v/>
      </c>
      <c r="K18">
        <f>IF(H18="","",H18&gt;=75)</f>
        <v/>
      </c>
      <c r="L18">
        <f>IF(OR(I18="",J18="",K18=""),FALSE,AND(I18,J18,K18))</f>
        <v/>
      </c>
    </row>
    <row r="19">
      <c r="A19">
        <f>Universe!A19</f>
        <v/>
      </c>
      <c r="B19" s="10" t="n"/>
      <c r="C19" s="11">
        <f>IF(B19="","",PERCENTRANK.INC($B$2:$B$2501,B19)*100)</f>
        <v/>
      </c>
      <c r="D19" s="10" t="n"/>
      <c r="E19" s="10">
        <f>IF(D19="","",MIN(D19,100))</f>
        <v/>
      </c>
      <c r="F19" s="10" t="n"/>
      <c r="G19" s="10">
        <f>IF(F19="","",MIN(F19,100))</f>
        <v/>
      </c>
      <c r="H19" s="11">
        <f>IF(A19="","",Universe!E19/BDP(A19&amp;" US Equity","HIGH_52WEEK")*100)</f>
        <v/>
      </c>
      <c r="I19">
        <f>IF(D19="","",D19&gt;=5)</f>
        <v/>
      </c>
      <c r="J19">
        <f>IF(F19="","",F19&gt;=5)</f>
        <v/>
      </c>
      <c r="K19">
        <f>IF(H19="","",H19&gt;=75)</f>
        <v/>
      </c>
      <c r="L19">
        <f>IF(OR(I19="",J19="",K19=""),FALSE,AND(I19,J19,K19))</f>
        <v/>
      </c>
    </row>
    <row r="20">
      <c r="A20">
        <f>Universe!A20</f>
        <v/>
      </c>
      <c r="B20" s="10" t="n"/>
      <c r="C20" s="11">
        <f>IF(B20="","",PERCENTRANK.INC($B$2:$B$2501,B20)*100)</f>
        <v/>
      </c>
      <c r="D20" s="10" t="n"/>
      <c r="E20" s="10">
        <f>IF(D20="","",MIN(D20,100))</f>
        <v/>
      </c>
      <c r="F20" s="10" t="n"/>
      <c r="G20" s="10">
        <f>IF(F20="","",MIN(F20,100))</f>
        <v/>
      </c>
      <c r="H20" s="11">
        <f>IF(A20="","",Universe!E20/BDP(A20&amp;" US Equity","HIGH_52WEEK")*100)</f>
        <v/>
      </c>
      <c r="I20">
        <f>IF(D20="","",D20&gt;=5)</f>
        <v/>
      </c>
      <c r="J20">
        <f>IF(F20="","",F20&gt;=5)</f>
        <v/>
      </c>
      <c r="K20">
        <f>IF(H20="","",H20&gt;=75)</f>
        <v/>
      </c>
      <c r="L20">
        <f>IF(OR(I20="",J20="",K20=""),FALSE,AND(I20,J20,K20))</f>
        <v/>
      </c>
    </row>
    <row r="21">
      <c r="A21">
        <f>Universe!A21</f>
        <v/>
      </c>
      <c r="B21" s="10" t="n"/>
      <c r="C21" s="11">
        <f>IF(B21="","",PERCENTRANK.INC($B$2:$B$2501,B21)*100)</f>
        <v/>
      </c>
      <c r="D21" s="10" t="n"/>
      <c r="E21" s="10">
        <f>IF(D21="","",MIN(D21,100))</f>
        <v/>
      </c>
      <c r="F21" s="10" t="n"/>
      <c r="G21" s="10">
        <f>IF(F21="","",MIN(F21,100))</f>
        <v/>
      </c>
      <c r="H21" s="11">
        <f>IF(A21="","",Universe!E21/BDP(A21&amp;" US Equity","HIGH_52WEEK")*100)</f>
        <v/>
      </c>
      <c r="I21">
        <f>IF(D21="","",D21&gt;=5)</f>
        <v/>
      </c>
      <c r="J21">
        <f>IF(F21="","",F21&gt;=5)</f>
        <v/>
      </c>
      <c r="K21">
        <f>IF(H21="","",H21&gt;=75)</f>
        <v/>
      </c>
      <c r="L21">
        <f>IF(OR(I21="",J21="",K21=""),FALSE,AND(I21,J21,K21))</f>
        <v/>
      </c>
    </row>
    <row r="22">
      <c r="A22">
        <f>Universe!A22</f>
        <v/>
      </c>
      <c r="B22" s="10" t="n"/>
      <c r="C22" s="11">
        <f>IF(B22="","",PERCENTRANK.INC($B$2:$B$2501,B22)*100)</f>
        <v/>
      </c>
      <c r="D22" s="10" t="n"/>
      <c r="E22" s="10">
        <f>IF(D22="","",MIN(D22,100))</f>
        <v/>
      </c>
      <c r="F22" s="10" t="n"/>
      <c r="G22" s="10">
        <f>IF(F22="","",MIN(F22,100))</f>
        <v/>
      </c>
      <c r="H22" s="11">
        <f>IF(A22="","",Universe!E22/BDP(A22&amp;" US Equity","HIGH_52WEEK")*100)</f>
        <v/>
      </c>
      <c r="I22">
        <f>IF(D22="","",D22&gt;=5)</f>
        <v/>
      </c>
      <c r="J22">
        <f>IF(F22="","",F22&gt;=5)</f>
        <v/>
      </c>
      <c r="K22">
        <f>IF(H22="","",H22&gt;=75)</f>
        <v/>
      </c>
      <c r="L22">
        <f>IF(OR(I22="",J22="",K22=""),FALSE,AND(I22,J22,K22))</f>
        <v/>
      </c>
    </row>
    <row r="23">
      <c r="A23">
        <f>Universe!A23</f>
        <v/>
      </c>
      <c r="B23" s="10" t="n"/>
      <c r="C23" s="11">
        <f>IF(B23="","",PERCENTRANK.INC($B$2:$B$2501,B23)*100)</f>
        <v/>
      </c>
      <c r="D23" s="10" t="n"/>
      <c r="E23" s="10">
        <f>IF(D23="","",MIN(D23,100))</f>
        <v/>
      </c>
      <c r="F23" s="10" t="n"/>
      <c r="G23" s="10">
        <f>IF(F23="","",MIN(F23,100))</f>
        <v/>
      </c>
      <c r="H23" s="11">
        <f>IF(A23="","",Universe!E23/BDP(A23&amp;" US Equity","HIGH_52WEEK")*100)</f>
        <v/>
      </c>
      <c r="I23">
        <f>IF(D23="","",D23&gt;=5)</f>
        <v/>
      </c>
      <c r="J23">
        <f>IF(F23="","",F23&gt;=5)</f>
        <v/>
      </c>
      <c r="K23">
        <f>IF(H23="","",H23&gt;=75)</f>
        <v/>
      </c>
      <c r="L23">
        <f>IF(OR(I23="",J23="",K23=""),FALSE,AND(I23,J23,K23))</f>
        <v/>
      </c>
    </row>
    <row r="24">
      <c r="A24">
        <f>Universe!A24</f>
        <v/>
      </c>
      <c r="B24" s="10" t="n"/>
      <c r="C24" s="11">
        <f>IF(B24="","",PERCENTRANK.INC($B$2:$B$2501,B24)*100)</f>
        <v/>
      </c>
      <c r="D24" s="10" t="n"/>
      <c r="E24" s="10">
        <f>IF(D24="","",MIN(D24,100))</f>
        <v/>
      </c>
      <c r="F24" s="10" t="n"/>
      <c r="G24" s="10">
        <f>IF(F24="","",MIN(F24,100))</f>
        <v/>
      </c>
      <c r="H24" s="11">
        <f>IF(A24="","",Universe!E24/BDP(A24&amp;" US Equity","HIGH_52WEEK")*100)</f>
        <v/>
      </c>
      <c r="I24">
        <f>IF(D24="","",D24&gt;=5)</f>
        <v/>
      </c>
      <c r="J24">
        <f>IF(F24="","",F24&gt;=5)</f>
        <v/>
      </c>
      <c r="K24">
        <f>IF(H24="","",H24&gt;=75)</f>
        <v/>
      </c>
      <c r="L24">
        <f>IF(OR(I24="",J24="",K24=""),FALSE,AND(I24,J24,K24))</f>
        <v/>
      </c>
    </row>
    <row r="25">
      <c r="A25">
        <f>Universe!A25</f>
        <v/>
      </c>
      <c r="B25" s="10" t="n"/>
      <c r="C25" s="11">
        <f>IF(B25="","",PERCENTRANK.INC($B$2:$B$2501,B25)*100)</f>
        <v/>
      </c>
      <c r="D25" s="10" t="n"/>
      <c r="E25" s="10">
        <f>IF(D25="","",MIN(D25,100))</f>
        <v/>
      </c>
      <c r="F25" s="10" t="n"/>
      <c r="G25" s="10">
        <f>IF(F25="","",MIN(F25,100))</f>
        <v/>
      </c>
      <c r="H25" s="11">
        <f>IF(A25="","",Universe!E25/BDP(A25&amp;" US Equity","HIGH_52WEEK")*100)</f>
        <v/>
      </c>
      <c r="I25">
        <f>IF(D25="","",D25&gt;=5)</f>
        <v/>
      </c>
      <c r="J25">
        <f>IF(F25="","",F25&gt;=5)</f>
        <v/>
      </c>
      <c r="K25">
        <f>IF(H25="","",H25&gt;=75)</f>
        <v/>
      </c>
      <c r="L25">
        <f>IF(OR(I25="",J25="",K25=""),FALSE,AND(I25,J25,K25))</f>
        <v/>
      </c>
    </row>
    <row r="26">
      <c r="A26">
        <f>Universe!A26</f>
        <v/>
      </c>
      <c r="B26" s="10" t="n"/>
      <c r="C26" s="11">
        <f>IF(B26="","",PERCENTRANK.INC($B$2:$B$2501,B26)*100)</f>
        <v/>
      </c>
      <c r="D26" s="10" t="n"/>
      <c r="E26" s="10">
        <f>IF(D26="","",MIN(D26,100))</f>
        <v/>
      </c>
      <c r="F26" s="10" t="n"/>
      <c r="G26" s="10">
        <f>IF(F26="","",MIN(F26,100))</f>
        <v/>
      </c>
      <c r="H26" s="11">
        <f>IF(A26="","",Universe!E26/BDP(A26&amp;" US Equity","HIGH_52WEEK")*100)</f>
        <v/>
      </c>
      <c r="I26">
        <f>IF(D26="","",D26&gt;=5)</f>
        <v/>
      </c>
      <c r="J26">
        <f>IF(F26="","",F26&gt;=5)</f>
        <v/>
      </c>
      <c r="K26">
        <f>IF(H26="","",H26&gt;=75)</f>
        <v/>
      </c>
      <c r="L26">
        <f>IF(OR(I26="",J26="",K26=""),FALSE,AND(I26,J26,K26))</f>
        <v/>
      </c>
    </row>
    <row r="27">
      <c r="A27">
        <f>Universe!A27</f>
        <v/>
      </c>
      <c r="B27" s="10" t="n"/>
      <c r="C27" s="11">
        <f>IF(B27="","",PERCENTRANK.INC($B$2:$B$2501,B27)*100)</f>
        <v/>
      </c>
      <c r="D27" s="10" t="n"/>
      <c r="E27" s="10">
        <f>IF(D27="","",MIN(D27,100))</f>
        <v/>
      </c>
      <c r="F27" s="10" t="n"/>
      <c r="G27" s="10">
        <f>IF(F27="","",MIN(F27,100))</f>
        <v/>
      </c>
      <c r="H27" s="11">
        <f>IF(A27="","",Universe!E27/BDP(A27&amp;" US Equity","HIGH_52WEEK")*100)</f>
        <v/>
      </c>
      <c r="I27">
        <f>IF(D27="","",D27&gt;=5)</f>
        <v/>
      </c>
      <c r="J27">
        <f>IF(F27="","",F27&gt;=5)</f>
        <v/>
      </c>
      <c r="K27">
        <f>IF(H27="","",H27&gt;=75)</f>
        <v/>
      </c>
      <c r="L27">
        <f>IF(OR(I27="",J27="",K27=""),FALSE,AND(I27,J27,K27))</f>
        <v/>
      </c>
    </row>
    <row r="28">
      <c r="A28">
        <f>Universe!A28</f>
        <v/>
      </c>
      <c r="B28" s="10" t="n"/>
      <c r="C28" s="11">
        <f>IF(B28="","",PERCENTRANK.INC($B$2:$B$2501,B28)*100)</f>
        <v/>
      </c>
      <c r="D28" s="10" t="n"/>
      <c r="E28" s="10">
        <f>IF(D28="","",MIN(D28,100))</f>
        <v/>
      </c>
      <c r="F28" s="10" t="n"/>
      <c r="G28" s="10">
        <f>IF(F28="","",MIN(F28,100))</f>
        <v/>
      </c>
      <c r="H28" s="11">
        <f>IF(A28="","",Universe!E28/BDP(A28&amp;" US Equity","HIGH_52WEEK")*100)</f>
        <v/>
      </c>
      <c r="I28">
        <f>IF(D28="","",D28&gt;=5)</f>
        <v/>
      </c>
      <c r="J28">
        <f>IF(F28="","",F28&gt;=5)</f>
        <v/>
      </c>
      <c r="K28">
        <f>IF(H28="","",H28&gt;=75)</f>
        <v/>
      </c>
      <c r="L28">
        <f>IF(OR(I28="",J28="",K28=""),FALSE,AND(I28,J28,K28))</f>
        <v/>
      </c>
    </row>
    <row r="29">
      <c r="A29">
        <f>Universe!A29</f>
        <v/>
      </c>
      <c r="B29" s="10" t="n"/>
      <c r="C29" s="11">
        <f>IF(B29="","",PERCENTRANK.INC($B$2:$B$2501,B29)*100)</f>
        <v/>
      </c>
      <c r="D29" s="10" t="n"/>
      <c r="E29" s="10">
        <f>IF(D29="","",MIN(D29,100))</f>
        <v/>
      </c>
      <c r="F29" s="10" t="n"/>
      <c r="G29" s="10">
        <f>IF(F29="","",MIN(F29,100))</f>
        <v/>
      </c>
      <c r="H29" s="11">
        <f>IF(A29="","",Universe!E29/BDP(A29&amp;" US Equity","HIGH_52WEEK")*100)</f>
        <v/>
      </c>
      <c r="I29">
        <f>IF(D29="","",D29&gt;=5)</f>
        <v/>
      </c>
      <c r="J29">
        <f>IF(F29="","",F29&gt;=5)</f>
        <v/>
      </c>
      <c r="K29">
        <f>IF(H29="","",H29&gt;=75)</f>
        <v/>
      </c>
      <c r="L29">
        <f>IF(OR(I29="",J29="",K29=""),FALSE,AND(I29,J29,K29))</f>
        <v/>
      </c>
    </row>
    <row r="30">
      <c r="A30">
        <f>Universe!A30</f>
        <v/>
      </c>
      <c r="B30" s="10" t="n"/>
      <c r="C30" s="11">
        <f>IF(B30="","",PERCENTRANK.INC($B$2:$B$2501,B30)*100)</f>
        <v/>
      </c>
      <c r="D30" s="10" t="n"/>
      <c r="E30" s="10">
        <f>IF(D30="","",MIN(D30,100))</f>
        <v/>
      </c>
      <c r="F30" s="10" t="n"/>
      <c r="G30" s="10">
        <f>IF(F30="","",MIN(F30,100))</f>
        <v/>
      </c>
      <c r="H30" s="11">
        <f>IF(A30="","",Universe!E30/BDP(A30&amp;" US Equity","HIGH_52WEEK")*100)</f>
        <v/>
      </c>
      <c r="I30">
        <f>IF(D30="","",D30&gt;=5)</f>
        <v/>
      </c>
      <c r="J30">
        <f>IF(F30="","",F30&gt;=5)</f>
        <v/>
      </c>
      <c r="K30">
        <f>IF(H30="","",H30&gt;=75)</f>
        <v/>
      </c>
      <c r="L30">
        <f>IF(OR(I30="",J30="",K30=""),FALSE,AND(I30,J30,K30))</f>
        <v/>
      </c>
    </row>
    <row r="31">
      <c r="A31">
        <f>Universe!A31</f>
        <v/>
      </c>
      <c r="B31" s="10" t="n"/>
      <c r="C31" s="11">
        <f>IF(B31="","",PERCENTRANK.INC($B$2:$B$2501,B31)*100)</f>
        <v/>
      </c>
      <c r="D31" s="10" t="n"/>
      <c r="E31" s="10">
        <f>IF(D31="","",MIN(D31,100))</f>
        <v/>
      </c>
      <c r="F31" s="10" t="n"/>
      <c r="G31" s="10">
        <f>IF(F31="","",MIN(F31,100))</f>
        <v/>
      </c>
      <c r="H31" s="11">
        <f>IF(A31="","",Universe!E31/BDP(A31&amp;" US Equity","HIGH_52WEEK")*100)</f>
        <v/>
      </c>
      <c r="I31">
        <f>IF(D31="","",D31&gt;=5)</f>
        <v/>
      </c>
      <c r="J31">
        <f>IF(F31="","",F31&gt;=5)</f>
        <v/>
      </c>
      <c r="K31">
        <f>IF(H31="","",H31&gt;=75)</f>
        <v/>
      </c>
      <c r="L31">
        <f>IF(OR(I31="",J31="",K31=""),FALSE,AND(I31,J31,K31))</f>
        <v/>
      </c>
    </row>
    <row r="32">
      <c r="A32">
        <f>Universe!A32</f>
        <v/>
      </c>
      <c r="B32" s="10" t="n"/>
      <c r="C32" s="11">
        <f>IF(B32="","",PERCENTRANK.INC($B$2:$B$2501,B32)*100)</f>
        <v/>
      </c>
      <c r="D32" s="10" t="n"/>
      <c r="E32" s="10">
        <f>IF(D32="","",MIN(D32,100))</f>
        <v/>
      </c>
      <c r="F32" s="10" t="n"/>
      <c r="G32" s="10">
        <f>IF(F32="","",MIN(F32,100))</f>
        <v/>
      </c>
      <c r="H32" s="11">
        <f>IF(A32="","",Universe!E32/BDP(A32&amp;" US Equity","HIGH_52WEEK")*100)</f>
        <v/>
      </c>
      <c r="I32">
        <f>IF(D32="","",D32&gt;=5)</f>
        <v/>
      </c>
      <c r="J32">
        <f>IF(F32="","",F32&gt;=5)</f>
        <v/>
      </c>
      <c r="K32">
        <f>IF(H32="","",H32&gt;=75)</f>
        <v/>
      </c>
      <c r="L32">
        <f>IF(OR(I32="",J32="",K32=""),FALSE,AND(I32,J32,K32))</f>
        <v/>
      </c>
    </row>
    <row r="33">
      <c r="A33">
        <f>Universe!A33</f>
        <v/>
      </c>
      <c r="B33" s="10" t="n"/>
      <c r="C33" s="11">
        <f>IF(B33="","",PERCENTRANK.INC($B$2:$B$2501,B33)*100)</f>
        <v/>
      </c>
      <c r="D33" s="10" t="n"/>
      <c r="E33" s="10">
        <f>IF(D33="","",MIN(D33,100))</f>
        <v/>
      </c>
      <c r="F33" s="10" t="n"/>
      <c r="G33" s="10">
        <f>IF(F33="","",MIN(F33,100))</f>
        <v/>
      </c>
      <c r="H33" s="11">
        <f>IF(A33="","",Universe!E33/BDP(A33&amp;" US Equity","HIGH_52WEEK")*100)</f>
        <v/>
      </c>
      <c r="I33">
        <f>IF(D33="","",D33&gt;=5)</f>
        <v/>
      </c>
      <c r="J33">
        <f>IF(F33="","",F33&gt;=5)</f>
        <v/>
      </c>
      <c r="K33">
        <f>IF(H33="","",H33&gt;=75)</f>
        <v/>
      </c>
      <c r="L33">
        <f>IF(OR(I33="",J33="",K33=""),FALSE,AND(I33,J33,K33))</f>
        <v/>
      </c>
    </row>
    <row r="34">
      <c r="A34">
        <f>Universe!A34</f>
        <v/>
      </c>
      <c r="B34" s="10" t="n"/>
      <c r="C34" s="11">
        <f>IF(B34="","",PERCENTRANK.INC($B$2:$B$2501,B34)*100)</f>
        <v/>
      </c>
      <c r="D34" s="10" t="n"/>
      <c r="E34" s="10">
        <f>IF(D34="","",MIN(D34,100))</f>
        <v/>
      </c>
      <c r="F34" s="10" t="n"/>
      <c r="G34" s="10">
        <f>IF(F34="","",MIN(F34,100))</f>
        <v/>
      </c>
      <c r="H34" s="11">
        <f>IF(A34="","",Universe!E34/BDP(A34&amp;" US Equity","HIGH_52WEEK")*100)</f>
        <v/>
      </c>
      <c r="I34">
        <f>IF(D34="","",D34&gt;=5)</f>
        <v/>
      </c>
      <c r="J34">
        <f>IF(F34="","",F34&gt;=5)</f>
        <v/>
      </c>
      <c r="K34">
        <f>IF(H34="","",H34&gt;=75)</f>
        <v/>
      </c>
      <c r="L34">
        <f>IF(OR(I34="",J34="",K34=""),FALSE,AND(I34,J34,K34))</f>
        <v/>
      </c>
    </row>
    <row r="35">
      <c r="A35">
        <f>Universe!A35</f>
        <v/>
      </c>
      <c r="B35" s="10" t="n"/>
      <c r="C35" s="11">
        <f>IF(B35="","",PERCENTRANK.INC($B$2:$B$2501,B35)*100)</f>
        <v/>
      </c>
      <c r="D35" s="10" t="n"/>
      <c r="E35" s="10">
        <f>IF(D35="","",MIN(D35,100))</f>
        <v/>
      </c>
      <c r="F35" s="10" t="n"/>
      <c r="G35" s="10">
        <f>IF(F35="","",MIN(F35,100))</f>
        <v/>
      </c>
      <c r="H35" s="11">
        <f>IF(A35="","",Universe!E35/BDP(A35&amp;" US Equity","HIGH_52WEEK")*100)</f>
        <v/>
      </c>
      <c r="I35">
        <f>IF(D35="","",D35&gt;=5)</f>
        <v/>
      </c>
      <c r="J35">
        <f>IF(F35="","",F35&gt;=5)</f>
        <v/>
      </c>
      <c r="K35">
        <f>IF(H35="","",H35&gt;=75)</f>
        <v/>
      </c>
      <c r="L35">
        <f>IF(OR(I35="",J35="",K35=""),FALSE,AND(I35,J35,K35))</f>
        <v/>
      </c>
    </row>
    <row r="36">
      <c r="A36">
        <f>Universe!A36</f>
        <v/>
      </c>
      <c r="B36" s="10" t="n"/>
      <c r="C36" s="11">
        <f>IF(B36="","",PERCENTRANK.INC($B$2:$B$2501,B36)*100)</f>
        <v/>
      </c>
      <c r="D36" s="10" t="n"/>
      <c r="E36" s="10">
        <f>IF(D36="","",MIN(D36,100))</f>
        <v/>
      </c>
      <c r="F36" s="10" t="n"/>
      <c r="G36" s="10">
        <f>IF(F36="","",MIN(F36,100))</f>
        <v/>
      </c>
      <c r="H36" s="11">
        <f>IF(A36="","",Universe!E36/BDP(A36&amp;" US Equity","HIGH_52WEEK")*100)</f>
        <v/>
      </c>
      <c r="I36">
        <f>IF(D36="","",D36&gt;=5)</f>
        <v/>
      </c>
      <c r="J36">
        <f>IF(F36="","",F36&gt;=5)</f>
        <v/>
      </c>
      <c r="K36">
        <f>IF(H36="","",H36&gt;=75)</f>
        <v/>
      </c>
      <c r="L36">
        <f>IF(OR(I36="",J36="",K36=""),FALSE,AND(I36,J36,K36))</f>
        <v/>
      </c>
    </row>
    <row r="37">
      <c r="A37">
        <f>Universe!A37</f>
        <v/>
      </c>
      <c r="B37" s="10" t="n"/>
      <c r="C37" s="11">
        <f>IF(B37="","",PERCENTRANK.INC($B$2:$B$2501,B37)*100)</f>
        <v/>
      </c>
      <c r="D37" s="10" t="n"/>
      <c r="E37" s="10">
        <f>IF(D37="","",MIN(D37,100))</f>
        <v/>
      </c>
      <c r="F37" s="10" t="n"/>
      <c r="G37" s="10">
        <f>IF(F37="","",MIN(F37,100))</f>
        <v/>
      </c>
      <c r="H37" s="11">
        <f>IF(A37="","",Universe!E37/BDP(A37&amp;" US Equity","HIGH_52WEEK")*100)</f>
        <v/>
      </c>
      <c r="I37">
        <f>IF(D37="","",D37&gt;=5)</f>
        <v/>
      </c>
      <c r="J37">
        <f>IF(F37="","",F37&gt;=5)</f>
        <v/>
      </c>
      <c r="K37">
        <f>IF(H37="","",H37&gt;=75)</f>
        <v/>
      </c>
      <c r="L37">
        <f>IF(OR(I37="",J37="",K37=""),FALSE,AND(I37,J37,K37))</f>
        <v/>
      </c>
    </row>
    <row r="38">
      <c r="A38">
        <f>Universe!A38</f>
        <v/>
      </c>
      <c r="B38" s="10" t="n"/>
      <c r="C38" s="11">
        <f>IF(B38="","",PERCENTRANK.INC($B$2:$B$2501,B38)*100)</f>
        <v/>
      </c>
      <c r="D38" s="10" t="n"/>
      <c r="E38" s="10">
        <f>IF(D38="","",MIN(D38,100))</f>
        <v/>
      </c>
      <c r="F38" s="10" t="n"/>
      <c r="G38" s="10">
        <f>IF(F38="","",MIN(F38,100))</f>
        <v/>
      </c>
      <c r="H38" s="11">
        <f>IF(A38="","",Universe!E38/BDP(A38&amp;" US Equity","HIGH_52WEEK")*100)</f>
        <v/>
      </c>
      <c r="I38">
        <f>IF(D38="","",D38&gt;=5)</f>
        <v/>
      </c>
      <c r="J38">
        <f>IF(F38="","",F38&gt;=5)</f>
        <v/>
      </c>
      <c r="K38">
        <f>IF(H38="","",H38&gt;=75)</f>
        <v/>
      </c>
      <c r="L38">
        <f>IF(OR(I38="",J38="",K38=""),FALSE,AND(I38,J38,K38))</f>
        <v/>
      </c>
    </row>
    <row r="39">
      <c r="A39">
        <f>Universe!A39</f>
        <v/>
      </c>
      <c r="B39" s="10" t="n"/>
      <c r="C39" s="11">
        <f>IF(B39="","",PERCENTRANK.INC($B$2:$B$2501,B39)*100)</f>
        <v/>
      </c>
      <c r="D39" s="10" t="n"/>
      <c r="E39" s="10">
        <f>IF(D39="","",MIN(D39,100))</f>
        <v/>
      </c>
      <c r="F39" s="10" t="n"/>
      <c r="G39" s="10">
        <f>IF(F39="","",MIN(F39,100))</f>
        <v/>
      </c>
      <c r="H39" s="11">
        <f>IF(A39="","",Universe!E39/BDP(A39&amp;" US Equity","HIGH_52WEEK")*100)</f>
        <v/>
      </c>
      <c r="I39">
        <f>IF(D39="","",D39&gt;=5)</f>
        <v/>
      </c>
      <c r="J39">
        <f>IF(F39="","",F39&gt;=5)</f>
        <v/>
      </c>
      <c r="K39">
        <f>IF(H39="","",H39&gt;=75)</f>
        <v/>
      </c>
      <c r="L39">
        <f>IF(OR(I39="",J39="",K39=""),FALSE,AND(I39,J39,K39))</f>
        <v/>
      </c>
    </row>
    <row r="40">
      <c r="A40">
        <f>Universe!A40</f>
        <v/>
      </c>
      <c r="B40" s="10" t="n"/>
      <c r="C40" s="11">
        <f>IF(B40="","",PERCENTRANK.INC($B$2:$B$2501,B40)*100)</f>
        <v/>
      </c>
      <c r="D40" s="10" t="n"/>
      <c r="E40" s="10">
        <f>IF(D40="","",MIN(D40,100))</f>
        <v/>
      </c>
      <c r="F40" s="10" t="n"/>
      <c r="G40" s="10">
        <f>IF(F40="","",MIN(F40,100))</f>
        <v/>
      </c>
      <c r="H40" s="11">
        <f>IF(A40="","",Universe!E40/BDP(A40&amp;" US Equity","HIGH_52WEEK")*100)</f>
        <v/>
      </c>
      <c r="I40">
        <f>IF(D40="","",D40&gt;=5)</f>
        <v/>
      </c>
      <c r="J40">
        <f>IF(F40="","",F40&gt;=5)</f>
        <v/>
      </c>
      <c r="K40">
        <f>IF(H40="","",H40&gt;=75)</f>
        <v/>
      </c>
      <c r="L40">
        <f>IF(OR(I40="",J40="",K40=""),FALSE,AND(I40,J40,K40))</f>
        <v/>
      </c>
    </row>
    <row r="41">
      <c r="A41">
        <f>Universe!A41</f>
        <v/>
      </c>
      <c r="B41" s="10" t="n"/>
      <c r="C41" s="11">
        <f>IF(B41="","",PERCENTRANK.INC($B$2:$B$2501,B41)*100)</f>
        <v/>
      </c>
      <c r="D41" s="10" t="n"/>
      <c r="E41" s="10">
        <f>IF(D41="","",MIN(D41,100))</f>
        <v/>
      </c>
      <c r="F41" s="10" t="n"/>
      <c r="G41" s="10">
        <f>IF(F41="","",MIN(F41,100))</f>
        <v/>
      </c>
      <c r="H41" s="11">
        <f>IF(A41="","",Universe!E41/BDP(A41&amp;" US Equity","HIGH_52WEEK")*100)</f>
        <v/>
      </c>
      <c r="I41">
        <f>IF(D41="","",D41&gt;=5)</f>
        <v/>
      </c>
      <c r="J41">
        <f>IF(F41="","",F41&gt;=5)</f>
        <v/>
      </c>
      <c r="K41">
        <f>IF(H41="","",H41&gt;=75)</f>
        <v/>
      </c>
      <c r="L41">
        <f>IF(OR(I41="",J41="",K41=""),FALSE,AND(I41,J41,K41))</f>
        <v/>
      </c>
    </row>
    <row r="42">
      <c r="A42">
        <f>Universe!A42</f>
        <v/>
      </c>
      <c r="B42" s="10" t="n"/>
      <c r="C42" s="11">
        <f>IF(B42="","",PERCENTRANK.INC($B$2:$B$2501,B42)*100)</f>
        <v/>
      </c>
      <c r="D42" s="10" t="n"/>
      <c r="E42" s="10">
        <f>IF(D42="","",MIN(D42,100))</f>
        <v/>
      </c>
      <c r="F42" s="10" t="n"/>
      <c r="G42" s="10">
        <f>IF(F42="","",MIN(F42,100))</f>
        <v/>
      </c>
      <c r="H42" s="11">
        <f>IF(A42="","",Universe!E42/BDP(A42&amp;" US Equity","HIGH_52WEEK")*100)</f>
        <v/>
      </c>
      <c r="I42">
        <f>IF(D42="","",D42&gt;=5)</f>
        <v/>
      </c>
      <c r="J42">
        <f>IF(F42="","",F42&gt;=5)</f>
        <v/>
      </c>
      <c r="K42">
        <f>IF(H42="","",H42&gt;=75)</f>
        <v/>
      </c>
      <c r="L42">
        <f>IF(OR(I42="",J42="",K42=""),FALSE,AND(I42,J42,K42))</f>
        <v/>
      </c>
    </row>
    <row r="43">
      <c r="A43">
        <f>Universe!A43</f>
        <v/>
      </c>
      <c r="B43" s="10" t="n"/>
      <c r="C43" s="11">
        <f>IF(B43="","",PERCENTRANK.INC($B$2:$B$2501,B43)*100)</f>
        <v/>
      </c>
      <c r="D43" s="10" t="n"/>
      <c r="E43" s="10">
        <f>IF(D43="","",MIN(D43,100))</f>
        <v/>
      </c>
      <c r="F43" s="10" t="n"/>
      <c r="G43" s="10">
        <f>IF(F43="","",MIN(F43,100))</f>
        <v/>
      </c>
      <c r="H43" s="11">
        <f>IF(A43="","",Universe!E43/BDP(A43&amp;" US Equity","HIGH_52WEEK")*100)</f>
        <v/>
      </c>
      <c r="I43">
        <f>IF(D43="","",D43&gt;=5)</f>
        <v/>
      </c>
      <c r="J43">
        <f>IF(F43="","",F43&gt;=5)</f>
        <v/>
      </c>
      <c r="K43">
        <f>IF(H43="","",H43&gt;=75)</f>
        <v/>
      </c>
      <c r="L43">
        <f>IF(OR(I43="",J43="",K43=""),FALSE,AND(I43,J43,K43))</f>
        <v/>
      </c>
    </row>
    <row r="44">
      <c r="A44">
        <f>Universe!A44</f>
        <v/>
      </c>
      <c r="B44" s="10" t="n"/>
      <c r="C44" s="11">
        <f>IF(B44="","",PERCENTRANK.INC($B$2:$B$2501,B44)*100)</f>
        <v/>
      </c>
      <c r="D44" s="10" t="n"/>
      <c r="E44" s="10">
        <f>IF(D44="","",MIN(D44,100))</f>
        <v/>
      </c>
      <c r="F44" s="10" t="n"/>
      <c r="G44" s="10">
        <f>IF(F44="","",MIN(F44,100))</f>
        <v/>
      </c>
      <c r="H44" s="11">
        <f>IF(A44="","",Universe!E44/BDP(A44&amp;" US Equity","HIGH_52WEEK")*100)</f>
        <v/>
      </c>
      <c r="I44">
        <f>IF(D44="","",D44&gt;=5)</f>
        <v/>
      </c>
      <c r="J44">
        <f>IF(F44="","",F44&gt;=5)</f>
        <v/>
      </c>
      <c r="K44">
        <f>IF(H44="","",H44&gt;=75)</f>
        <v/>
      </c>
      <c r="L44">
        <f>IF(OR(I44="",J44="",K44=""),FALSE,AND(I44,J44,K44))</f>
        <v/>
      </c>
    </row>
    <row r="45">
      <c r="A45">
        <f>Universe!A45</f>
        <v/>
      </c>
      <c r="B45" s="10" t="n"/>
      <c r="C45" s="11">
        <f>IF(B45="","",PERCENTRANK.INC($B$2:$B$2501,B45)*100)</f>
        <v/>
      </c>
      <c r="D45" s="10" t="n"/>
      <c r="E45" s="10">
        <f>IF(D45="","",MIN(D45,100))</f>
        <v/>
      </c>
      <c r="F45" s="10" t="n"/>
      <c r="G45" s="10">
        <f>IF(F45="","",MIN(F45,100))</f>
        <v/>
      </c>
      <c r="H45" s="11">
        <f>IF(A45="","",Universe!E45/BDP(A45&amp;" US Equity","HIGH_52WEEK")*100)</f>
        <v/>
      </c>
      <c r="I45">
        <f>IF(D45="","",D45&gt;=5)</f>
        <v/>
      </c>
      <c r="J45">
        <f>IF(F45="","",F45&gt;=5)</f>
        <v/>
      </c>
      <c r="K45">
        <f>IF(H45="","",H45&gt;=75)</f>
        <v/>
      </c>
      <c r="L45">
        <f>IF(OR(I45="",J45="",K45=""),FALSE,AND(I45,J45,K45))</f>
        <v/>
      </c>
    </row>
    <row r="46">
      <c r="A46">
        <f>Universe!A46</f>
        <v/>
      </c>
      <c r="B46" s="10" t="n"/>
      <c r="C46" s="11">
        <f>IF(B46="","",PERCENTRANK.INC($B$2:$B$2501,B46)*100)</f>
        <v/>
      </c>
      <c r="D46" s="10" t="n"/>
      <c r="E46" s="10">
        <f>IF(D46="","",MIN(D46,100))</f>
        <v/>
      </c>
      <c r="F46" s="10" t="n"/>
      <c r="G46" s="10">
        <f>IF(F46="","",MIN(F46,100))</f>
        <v/>
      </c>
      <c r="H46" s="11">
        <f>IF(A46="","",Universe!E46/BDP(A46&amp;" US Equity","HIGH_52WEEK")*100)</f>
        <v/>
      </c>
      <c r="I46">
        <f>IF(D46="","",D46&gt;=5)</f>
        <v/>
      </c>
      <c r="J46">
        <f>IF(F46="","",F46&gt;=5)</f>
        <v/>
      </c>
      <c r="K46">
        <f>IF(H46="","",H46&gt;=75)</f>
        <v/>
      </c>
      <c r="L46">
        <f>IF(OR(I46="",J46="",K46=""),FALSE,AND(I46,J46,K46))</f>
        <v/>
      </c>
    </row>
    <row r="47">
      <c r="A47">
        <f>Universe!A47</f>
        <v/>
      </c>
      <c r="B47" s="10" t="n"/>
      <c r="C47" s="11">
        <f>IF(B47="","",PERCENTRANK.INC($B$2:$B$2501,B47)*100)</f>
        <v/>
      </c>
      <c r="D47" s="10" t="n"/>
      <c r="E47" s="10">
        <f>IF(D47="","",MIN(D47,100))</f>
        <v/>
      </c>
      <c r="F47" s="10" t="n"/>
      <c r="G47" s="10">
        <f>IF(F47="","",MIN(F47,100))</f>
        <v/>
      </c>
      <c r="H47" s="11">
        <f>IF(A47="","",Universe!E47/BDP(A47&amp;" US Equity","HIGH_52WEEK")*100)</f>
        <v/>
      </c>
      <c r="I47">
        <f>IF(D47="","",D47&gt;=5)</f>
        <v/>
      </c>
      <c r="J47">
        <f>IF(F47="","",F47&gt;=5)</f>
        <v/>
      </c>
      <c r="K47">
        <f>IF(H47="","",H47&gt;=75)</f>
        <v/>
      </c>
      <c r="L47">
        <f>IF(OR(I47="",J47="",K47=""),FALSE,AND(I47,J47,K47))</f>
        <v/>
      </c>
    </row>
    <row r="48">
      <c r="A48">
        <f>Universe!A48</f>
        <v/>
      </c>
      <c r="B48" s="10" t="n"/>
      <c r="C48" s="11">
        <f>IF(B48="","",PERCENTRANK.INC($B$2:$B$2501,B48)*100)</f>
        <v/>
      </c>
      <c r="D48" s="10" t="n"/>
      <c r="E48" s="10">
        <f>IF(D48="","",MIN(D48,100))</f>
        <v/>
      </c>
      <c r="F48" s="10" t="n"/>
      <c r="G48" s="10">
        <f>IF(F48="","",MIN(F48,100))</f>
        <v/>
      </c>
      <c r="H48" s="11">
        <f>IF(A48="","",Universe!E48/BDP(A48&amp;" US Equity","HIGH_52WEEK")*100)</f>
        <v/>
      </c>
      <c r="I48">
        <f>IF(D48="","",D48&gt;=5)</f>
        <v/>
      </c>
      <c r="J48">
        <f>IF(F48="","",F48&gt;=5)</f>
        <v/>
      </c>
      <c r="K48">
        <f>IF(H48="","",H48&gt;=75)</f>
        <v/>
      </c>
      <c r="L48">
        <f>IF(OR(I48="",J48="",K48=""),FALSE,AND(I48,J48,K48))</f>
        <v/>
      </c>
    </row>
    <row r="49">
      <c r="A49">
        <f>Universe!A49</f>
        <v/>
      </c>
      <c r="B49" s="10" t="n"/>
      <c r="C49" s="11">
        <f>IF(B49="","",PERCENTRANK.INC($B$2:$B$2501,B49)*100)</f>
        <v/>
      </c>
      <c r="D49" s="10" t="n"/>
      <c r="E49" s="10">
        <f>IF(D49="","",MIN(D49,100))</f>
        <v/>
      </c>
      <c r="F49" s="10" t="n"/>
      <c r="G49" s="10">
        <f>IF(F49="","",MIN(F49,100))</f>
        <v/>
      </c>
      <c r="H49" s="11">
        <f>IF(A49="","",Universe!E49/BDP(A49&amp;" US Equity","HIGH_52WEEK")*100)</f>
        <v/>
      </c>
      <c r="I49">
        <f>IF(D49="","",D49&gt;=5)</f>
        <v/>
      </c>
      <c r="J49">
        <f>IF(F49="","",F49&gt;=5)</f>
        <v/>
      </c>
      <c r="K49">
        <f>IF(H49="","",H49&gt;=75)</f>
        <v/>
      </c>
      <c r="L49">
        <f>IF(OR(I49="",J49="",K49=""),FALSE,AND(I49,J49,K49))</f>
        <v/>
      </c>
    </row>
    <row r="50">
      <c r="A50">
        <f>Universe!A50</f>
        <v/>
      </c>
      <c r="B50" s="10" t="n"/>
      <c r="C50" s="11">
        <f>IF(B50="","",PERCENTRANK.INC($B$2:$B$2501,B50)*100)</f>
        <v/>
      </c>
      <c r="D50" s="10" t="n"/>
      <c r="E50" s="10">
        <f>IF(D50="","",MIN(D50,100))</f>
        <v/>
      </c>
      <c r="F50" s="10" t="n"/>
      <c r="G50" s="10">
        <f>IF(F50="","",MIN(F50,100))</f>
        <v/>
      </c>
      <c r="H50" s="11">
        <f>IF(A50="","",Universe!E50/BDP(A50&amp;" US Equity","HIGH_52WEEK")*100)</f>
        <v/>
      </c>
      <c r="I50">
        <f>IF(D50="","",D50&gt;=5)</f>
        <v/>
      </c>
      <c r="J50">
        <f>IF(F50="","",F50&gt;=5)</f>
        <v/>
      </c>
      <c r="K50">
        <f>IF(H50="","",H50&gt;=75)</f>
        <v/>
      </c>
      <c r="L50">
        <f>IF(OR(I50="",J50="",K50=""),FALSE,AND(I50,J50,K50))</f>
        <v/>
      </c>
    </row>
    <row r="51">
      <c r="A51">
        <f>Universe!A51</f>
        <v/>
      </c>
      <c r="B51" s="10" t="n"/>
      <c r="C51" s="11">
        <f>IF(B51="","",PERCENTRANK.INC($B$2:$B$2501,B51)*100)</f>
        <v/>
      </c>
      <c r="D51" s="10" t="n"/>
      <c r="E51" s="10">
        <f>IF(D51="","",MIN(D51,100))</f>
        <v/>
      </c>
      <c r="F51" s="10" t="n"/>
      <c r="G51" s="10">
        <f>IF(F51="","",MIN(F51,100))</f>
        <v/>
      </c>
      <c r="H51" s="11">
        <f>IF(A51="","",Universe!E51/BDP(A51&amp;" US Equity","HIGH_52WEEK")*100)</f>
        <v/>
      </c>
      <c r="I51">
        <f>IF(D51="","",D51&gt;=5)</f>
        <v/>
      </c>
      <c r="J51">
        <f>IF(F51="","",F51&gt;=5)</f>
        <v/>
      </c>
      <c r="K51">
        <f>IF(H51="","",H51&gt;=75)</f>
        <v/>
      </c>
      <c r="L51">
        <f>IF(OR(I51="",J51="",K51=""),FALSE,AND(I51,J51,K51))</f>
        <v/>
      </c>
    </row>
    <row r="52">
      <c r="A52">
        <f>Universe!A52</f>
        <v/>
      </c>
      <c r="B52" s="10" t="n"/>
      <c r="C52" s="11">
        <f>IF(B52="","",PERCENTRANK.INC($B$2:$B$2501,B52)*100)</f>
        <v/>
      </c>
      <c r="D52" s="10" t="n"/>
      <c r="E52" s="10">
        <f>IF(D52="","",MIN(D52,100))</f>
        <v/>
      </c>
      <c r="F52" s="10" t="n"/>
      <c r="G52" s="10">
        <f>IF(F52="","",MIN(F52,100))</f>
        <v/>
      </c>
      <c r="H52" s="11">
        <f>IF(A52="","",Universe!E52/BDP(A52&amp;" US Equity","HIGH_52WEEK")*100)</f>
        <v/>
      </c>
      <c r="I52">
        <f>IF(D52="","",D52&gt;=5)</f>
        <v/>
      </c>
      <c r="J52">
        <f>IF(F52="","",F52&gt;=5)</f>
        <v/>
      </c>
      <c r="K52">
        <f>IF(H52="","",H52&gt;=75)</f>
        <v/>
      </c>
      <c r="L52">
        <f>IF(OR(I52="",J52="",K52=""),FALSE,AND(I52,J52,K52))</f>
        <v/>
      </c>
    </row>
    <row r="53">
      <c r="A53">
        <f>Universe!A53</f>
        <v/>
      </c>
      <c r="B53" s="10" t="n"/>
      <c r="C53" s="11">
        <f>IF(B53="","",PERCENTRANK.INC($B$2:$B$2501,B53)*100)</f>
        <v/>
      </c>
      <c r="D53" s="10" t="n"/>
      <c r="E53" s="10">
        <f>IF(D53="","",MIN(D53,100))</f>
        <v/>
      </c>
      <c r="F53" s="10" t="n"/>
      <c r="G53" s="10">
        <f>IF(F53="","",MIN(F53,100))</f>
        <v/>
      </c>
      <c r="H53" s="11">
        <f>IF(A53="","",Universe!E53/BDP(A53&amp;" US Equity","HIGH_52WEEK")*100)</f>
        <v/>
      </c>
      <c r="I53">
        <f>IF(D53="","",D53&gt;=5)</f>
        <v/>
      </c>
      <c r="J53">
        <f>IF(F53="","",F53&gt;=5)</f>
        <v/>
      </c>
      <c r="K53">
        <f>IF(H53="","",H53&gt;=75)</f>
        <v/>
      </c>
      <c r="L53">
        <f>IF(OR(I53="",J53="",K53=""),FALSE,AND(I53,J53,K53))</f>
        <v/>
      </c>
    </row>
    <row r="54">
      <c r="A54">
        <f>Universe!A54</f>
        <v/>
      </c>
      <c r="B54" s="10" t="n"/>
      <c r="C54" s="11">
        <f>IF(B54="","",PERCENTRANK.INC($B$2:$B$2501,B54)*100)</f>
        <v/>
      </c>
      <c r="D54" s="10" t="n"/>
      <c r="E54" s="10">
        <f>IF(D54="","",MIN(D54,100))</f>
        <v/>
      </c>
      <c r="F54" s="10" t="n"/>
      <c r="G54" s="10">
        <f>IF(F54="","",MIN(F54,100))</f>
        <v/>
      </c>
      <c r="H54" s="11">
        <f>IF(A54="","",Universe!E54/BDP(A54&amp;" US Equity","HIGH_52WEEK")*100)</f>
        <v/>
      </c>
      <c r="I54">
        <f>IF(D54="","",D54&gt;=5)</f>
        <v/>
      </c>
      <c r="J54">
        <f>IF(F54="","",F54&gt;=5)</f>
        <v/>
      </c>
      <c r="K54">
        <f>IF(H54="","",H54&gt;=75)</f>
        <v/>
      </c>
      <c r="L54">
        <f>IF(OR(I54="",J54="",K54=""),FALSE,AND(I54,J54,K54))</f>
        <v/>
      </c>
    </row>
    <row r="55">
      <c r="A55">
        <f>Universe!A55</f>
        <v/>
      </c>
      <c r="B55" s="10" t="n"/>
      <c r="C55" s="11">
        <f>IF(B55="","",PERCENTRANK.INC($B$2:$B$2501,B55)*100)</f>
        <v/>
      </c>
      <c r="D55" s="10" t="n"/>
      <c r="E55" s="10">
        <f>IF(D55="","",MIN(D55,100))</f>
        <v/>
      </c>
      <c r="F55" s="10" t="n"/>
      <c r="G55" s="10">
        <f>IF(F55="","",MIN(F55,100))</f>
        <v/>
      </c>
      <c r="H55" s="11">
        <f>IF(A55="","",Universe!E55/BDP(A55&amp;" US Equity","HIGH_52WEEK")*100)</f>
        <v/>
      </c>
      <c r="I55">
        <f>IF(D55="","",D55&gt;=5)</f>
        <v/>
      </c>
      <c r="J55">
        <f>IF(F55="","",F55&gt;=5)</f>
        <v/>
      </c>
      <c r="K55">
        <f>IF(H55="","",H55&gt;=75)</f>
        <v/>
      </c>
      <c r="L55">
        <f>IF(OR(I55="",J55="",K55=""),FALSE,AND(I55,J55,K55))</f>
        <v/>
      </c>
    </row>
    <row r="56">
      <c r="A56">
        <f>Universe!A56</f>
        <v/>
      </c>
      <c r="B56" s="10" t="n"/>
      <c r="C56" s="11">
        <f>IF(B56="","",PERCENTRANK.INC($B$2:$B$2501,B56)*100)</f>
        <v/>
      </c>
      <c r="D56" s="10" t="n"/>
      <c r="E56" s="10">
        <f>IF(D56="","",MIN(D56,100))</f>
        <v/>
      </c>
      <c r="F56" s="10" t="n"/>
      <c r="G56" s="10">
        <f>IF(F56="","",MIN(F56,100))</f>
        <v/>
      </c>
      <c r="H56" s="11">
        <f>IF(A56="","",Universe!E56/BDP(A56&amp;" US Equity","HIGH_52WEEK")*100)</f>
        <v/>
      </c>
      <c r="I56">
        <f>IF(D56="","",D56&gt;=5)</f>
        <v/>
      </c>
      <c r="J56">
        <f>IF(F56="","",F56&gt;=5)</f>
        <v/>
      </c>
      <c r="K56">
        <f>IF(H56="","",H56&gt;=75)</f>
        <v/>
      </c>
      <c r="L56">
        <f>IF(OR(I56="",J56="",K56=""),FALSE,AND(I56,J56,K56))</f>
        <v/>
      </c>
    </row>
    <row r="57">
      <c r="A57">
        <f>Universe!A57</f>
        <v/>
      </c>
      <c r="B57" s="10" t="n"/>
      <c r="C57" s="11">
        <f>IF(B57="","",PERCENTRANK.INC($B$2:$B$2501,B57)*100)</f>
        <v/>
      </c>
      <c r="D57" s="10" t="n"/>
      <c r="E57" s="10">
        <f>IF(D57="","",MIN(D57,100))</f>
        <v/>
      </c>
      <c r="F57" s="10" t="n"/>
      <c r="G57" s="10">
        <f>IF(F57="","",MIN(F57,100))</f>
        <v/>
      </c>
      <c r="H57" s="11">
        <f>IF(A57="","",Universe!E57/BDP(A57&amp;" US Equity","HIGH_52WEEK")*100)</f>
        <v/>
      </c>
      <c r="I57">
        <f>IF(D57="","",D57&gt;=5)</f>
        <v/>
      </c>
      <c r="J57">
        <f>IF(F57="","",F57&gt;=5)</f>
        <v/>
      </c>
      <c r="K57">
        <f>IF(H57="","",H57&gt;=75)</f>
        <v/>
      </c>
      <c r="L57">
        <f>IF(OR(I57="",J57="",K57=""),FALSE,AND(I57,J57,K57))</f>
        <v/>
      </c>
    </row>
    <row r="58">
      <c r="A58">
        <f>Universe!A58</f>
        <v/>
      </c>
      <c r="B58" s="10" t="n"/>
      <c r="C58" s="11">
        <f>IF(B58="","",PERCENTRANK.INC($B$2:$B$2501,B58)*100)</f>
        <v/>
      </c>
      <c r="D58" s="10" t="n"/>
      <c r="E58" s="10">
        <f>IF(D58="","",MIN(D58,100))</f>
        <v/>
      </c>
      <c r="F58" s="10" t="n"/>
      <c r="G58" s="10">
        <f>IF(F58="","",MIN(F58,100))</f>
        <v/>
      </c>
      <c r="H58" s="11">
        <f>IF(A58="","",Universe!E58/BDP(A58&amp;" US Equity","HIGH_52WEEK")*100)</f>
        <v/>
      </c>
      <c r="I58">
        <f>IF(D58="","",D58&gt;=5)</f>
        <v/>
      </c>
      <c r="J58">
        <f>IF(F58="","",F58&gt;=5)</f>
        <v/>
      </c>
      <c r="K58">
        <f>IF(H58="","",H58&gt;=75)</f>
        <v/>
      </c>
      <c r="L58">
        <f>IF(OR(I58="",J58="",K58=""),FALSE,AND(I58,J58,K58))</f>
        <v/>
      </c>
    </row>
    <row r="59">
      <c r="A59">
        <f>Universe!A59</f>
        <v/>
      </c>
      <c r="B59" s="10" t="n"/>
      <c r="C59" s="11">
        <f>IF(B59="","",PERCENTRANK.INC($B$2:$B$2501,B59)*100)</f>
        <v/>
      </c>
      <c r="D59" s="10" t="n"/>
      <c r="E59" s="10">
        <f>IF(D59="","",MIN(D59,100))</f>
        <v/>
      </c>
      <c r="F59" s="10" t="n"/>
      <c r="G59" s="10">
        <f>IF(F59="","",MIN(F59,100))</f>
        <v/>
      </c>
      <c r="H59" s="11">
        <f>IF(A59="","",Universe!E59/BDP(A59&amp;" US Equity","HIGH_52WEEK")*100)</f>
        <v/>
      </c>
      <c r="I59">
        <f>IF(D59="","",D59&gt;=5)</f>
        <v/>
      </c>
      <c r="J59">
        <f>IF(F59="","",F59&gt;=5)</f>
        <v/>
      </c>
      <c r="K59">
        <f>IF(H59="","",H59&gt;=75)</f>
        <v/>
      </c>
      <c r="L59">
        <f>IF(OR(I59="",J59="",K59=""),FALSE,AND(I59,J59,K59))</f>
        <v/>
      </c>
    </row>
    <row r="60">
      <c r="A60">
        <f>Universe!A60</f>
        <v/>
      </c>
      <c r="B60" s="10" t="n"/>
      <c r="C60" s="11">
        <f>IF(B60="","",PERCENTRANK.INC($B$2:$B$2501,B60)*100)</f>
        <v/>
      </c>
      <c r="D60" s="10" t="n"/>
      <c r="E60" s="10">
        <f>IF(D60="","",MIN(D60,100))</f>
        <v/>
      </c>
      <c r="F60" s="10" t="n"/>
      <c r="G60" s="10">
        <f>IF(F60="","",MIN(F60,100))</f>
        <v/>
      </c>
      <c r="H60" s="11">
        <f>IF(A60="","",Universe!E60/BDP(A60&amp;" US Equity","HIGH_52WEEK")*100)</f>
        <v/>
      </c>
      <c r="I60">
        <f>IF(D60="","",D60&gt;=5)</f>
        <v/>
      </c>
      <c r="J60">
        <f>IF(F60="","",F60&gt;=5)</f>
        <v/>
      </c>
      <c r="K60">
        <f>IF(H60="","",H60&gt;=75)</f>
        <v/>
      </c>
      <c r="L60">
        <f>IF(OR(I60="",J60="",K60=""),FALSE,AND(I60,J60,K60))</f>
        <v/>
      </c>
    </row>
    <row r="61">
      <c r="A61">
        <f>Universe!A61</f>
        <v/>
      </c>
      <c r="B61" s="10" t="n"/>
      <c r="C61" s="11">
        <f>IF(B61="","",PERCENTRANK.INC($B$2:$B$2501,B61)*100)</f>
        <v/>
      </c>
      <c r="D61" s="10" t="n"/>
      <c r="E61" s="10">
        <f>IF(D61="","",MIN(D61,100))</f>
        <v/>
      </c>
      <c r="F61" s="10" t="n"/>
      <c r="G61" s="10">
        <f>IF(F61="","",MIN(F61,100))</f>
        <v/>
      </c>
      <c r="H61" s="11">
        <f>IF(A61="","",Universe!E61/BDP(A61&amp;" US Equity","HIGH_52WEEK")*100)</f>
        <v/>
      </c>
      <c r="I61">
        <f>IF(D61="","",D61&gt;=5)</f>
        <v/>
      </c>
      <c r="J61">
        <f>IF(F61="","",F61&gt;=5)</f>
        <v/>
      </c>
      <c r="K61">
        <f>IF(H61="","",H61&gt;=75)</f>
        <v/>
      </c>
      <c r="L61">
        <f>IF(OR(I61="",J61="",K61=""),FALSE,AND(I61,J61,K61))</f>
        <v/>
      </c>
    </row>
    <row r="62">
      <c r="A62">
        <f>Universe!A62</f>
        <v/>
      </c>
      <c r="B62" s="10" t="n"/>
      <c r="C62" s="11">
        <f>IF(B62="","",PERCENTRANK.INC($B$2:$B$2501,B62)*100)</f>
        <v/>
      </c>
      <c r="D62" s="10" t="n"/>
      <c r="E62" s="10">
        <f>IF(D62="","",MIN(D62,100))</f>
        <v/>
      </c>
      <c r="F62" s="10" t="n"/>
      <c r="G62" s="10">
        <f>IF(F62="","",MIN(F62,100))</f>
        <v/>
      </c>
      <c r="H62" s="11">
        <f>IF(A62="","",Universe!E62/BDP(A62&amp;" US Equity","HIGH_52WEEK")*100)</f>
        <v/>
      </c>
      <c r="I62">
        <f>IF(D62="","",D62&gt;=5)</f>
        <v/>
      </c>
      <c r="J62">
        <f>IF(F62="","",F62&gt;=5)</f>
        <v/>
      </c>
      <c r="K62">
        <f>IF(H62="","",H62&gt;=75)</f>
        <v/>
      </c>
      <c r="L62">
        <f>IF(OR(I62="",J62="",K62=""),FALSE,AND(I62,J62,K62))</f>
        <v/>
      </c>
    </row>
    <row r="63">
      <c r="A63">
        <f>Universe!A63</f>
        <v/>
      </c>
      <c r="B63" s="10" t="n"/>
      <c r="C63" s="11">
        <f>IF(B63="","",PERCENTRANK.INC($B$2:$B$2501,B63)*100)</f>
        <v/>
      </c>
      <c r="D63" s="10" t="n"/>
      <c r="E63" s="10">
        <f>IF(D63="","",MIN(D63,100))</f>
        <v/>
      </c>
      <c r="F63" s="10" t="n"/>
      <c r="G63" s="10">
        <f>IF(F63="","",MIN(F63,100))</f>
        <v/>
      </c>
      <c r="H63" s="11">
        <f>IF(A63="","",Universe!E63/BDP(A63&amp;" US Equity","HIGH_52WEEK")*100)</f>
        <v/>
      </c>
      <c r="I63">
        <f>IF(D63="","",D63&gt;=5)</f>
        <v/>
      </c>
      <c r="J63">
        <f>IF(F63="","",F63&gt;=5)</f>
        <v/>
      </c>
      <c r="K63">
        <f>IF(H63="","",H63&gt;=75)</f>
        <v/>
      </c>
      <c r="L63">
        <f>IF(OR(I63="",J63="",K63=""),FALSE,AND(I63,J63,K63))</f>
        <v/>
      </c>
    </row>
    <row r="64">
      <c r="A64">
        <f>Universe!A64</f>
        <v/>
      </c>
      <c r="B64" s="10" t="n"/>
      <c r="C64" s="11">
        <f>IF(B64="","",PERCENTRANK.INC($B$2:$B$2501,B64)*100)</f>
        <v/>
      </c>
      <c r="D64" s="10" t="n"/>
      <c r="E64" s="10">
        <f>IF(D64="","",MIN(D64,100))</f>
        <v/>
      </c>
      <c r="F64" s="10" t="n"/>
      <c r="G64" s="10">
        <f>IF(F64="","",MIN(F64,100))</f>
        <v/>
      </c>
      <c r="H64" s="11">
        <f>IF(A64="","",Universe!E64/BDP(A64&amp;" US Equity","HIGH_52WEEK")*100)</f>
        <v/>
      </c>
      <c r="I64">
        <f>IF(D64="","",D64&gt;=5)</f>
        <v/>
      </c>
      <c r="J64">
        <f>IF(F64="","",F64&gt;=5)</f>
        <v/>
      </c>
      <c r="K64">
        <f>IF(H64="","",H64&gt;=75)</f>
        <v/>
      </c>
      <c r="L64">
        <f>IF(OR(I64="",J64="",K64=""),FALSE,AND(I64,J64,K64))</f>
        <v/>
      </c>
    </row>
    <row r="65">
      <c r="A65">
        <f>Universe!A65</f>
        <v/>
      </c>
      <c r="B65" s="10" t="n"/>
      <c r="C65" s="11">
        <f>IF(B65="","",PERCENTRANK.INC($B$2:$B$2501,B65)*100)</f>
        <v/>
      </c>
      <c r="D65" s="10" t="n"/>
      <c r="E65" s="10">
        <f>IF(D65="","",MIN(D65,100))</f>
        <v/>
      </c>
      <c r="F65" s="10" t="n"/>
      <c r="G65" s="10">
        <f>IF(F65="","",MIN(F65,100))</f>
        <v/>
      </c>
      <c r="H65" s="11">
        <f>IF(A65="","",Universe!E65/BDP(A65&amp;" US Equity","HIGH_52WEEK")*100)</f>
        <v/>
      </c>
      <c r="I65">
        <f>IF(D65="","",D65&gt;=5)</f>
        <v/>
      </c>
      <c r="J65">
        <f>IF(F65="","",F65&gt;=5)</f>
        <v/>
      </c>
      <c r="K65">
        <f>IF(H65="","",H65&gt;=75)</f>
        <v/>
      </c>
      <c r="L65">
        <f>IF(OR(I65="",J65="",K65=""),FALSE,AND(I65,J65,K65))</f>
        <v/>
      </c>
    </row>
    <row r="66">
      <c r="A66">
        <f>Universe!A66</f>
        <v/>
      </c>
      <c r="B66" s="10" t="n"/>
      <c r="C66" s="11">
        <f>IF(B66="","",PERCENTRANK.INC($B$2:$B$2501,B66)*100)</f>
        <v/>
      </c>
      <c r="D66" s="10" t="n"/>
      <c r="E66" s="10">
        <f>IF(D66="","",MIN(D66,100))</f>
        <v/>
      </c>
      <c r="F66" s="10" t="n"/>
      <c r="G66" s="10">
        <f>IF(F66="","",MIN(F66,100))</f>
        <v/>
      </c>
      <c r="H66" s="11">
        <f>IF(A66="","",Universe!E66/BDP(A66&amp;" US Equity","HIGH_52WEEK")*100)</f>
        <v/>
      </c>
      <c r="I66">
        <f>IF(D66="","",D66&gt;=5)</f>
        <v/>
      </c>
      <c r="J66">
        <f>IF(F66="","",F66&gt;=5)</f>
        <v/>
      </c>
      <c r="K66">
        <f>IF(H66="","",H66&gt;=75)</f>
        <v/>
      </c>
      <c r="L66">
        <f>IF(OR(I66="",J66="",K66=""),FALSE,AND(I66,J66,K66))</f>
        <v/>
      </c>
    </row>
    <row r="67">
      <c r="A67">
        <f>Universe!A67</f>
        <v/>
      </c>
      <c r="B67" s="10" t="n"/>
      <c r="C67" s="11">
        <f>IF(B67="","",PERCENTRANK.INC($B$2:$B$2501,B67)*100)</f>
        <v/>
      </c>
      <c r="D67" s="10" t="n"/>
      <c r="E67" s="10">
        <f>IF(D67="","",MIN(D67,100))</f>
        <v/>
      </c>
      <c r="F67" s="10" t="n"/>
      <c r="G67" s="10">
        <f>IF(F67="","",MIN(F67,100))</f>
        <v/>
      </c>
      <c r="H67" s="11">
        <f>IF(A67="","",Universe!E67/BDP(A67&amp;" US Equity","HIGH_52WEEK")*100)</f>
        <v/>
      </c>
      <c r="I67">
        <f>IF(D67="","",D67&gt;=5)</f>
        <v/>
      </c>
      <c r="J67">
        <f>IF(F67="","",F67&gt;=5)</f>
        <v/>
      </c>
      <c r="K67">
        <f>IF(H67="","",H67&gt;=75)</f>
        <v/>
      </c>
      <c r="L67">
        <f>IF(OR(I67="",J67="",K67=""),FALSE,AND(I67,J67,K67))</f>
        <v/>
      </c>
    </row>
    <row r="68">
      <c r="A68">
        <f>Universe!A68</f>
        <v/>
      </c>
      <c r="B68" s="10" t="n"/>
      <c r="C68" s="11">
        <f>IF(B68="","",PERCENTRANK.INC($B$2:$B$2501,B68)*100)</f>
        <v/>
      </c>
      <c r="D68" s="10" t="n"/>
      <c r="E68" s="10">
        <f>IF(D68="","",MIN(D68,100))</f>
        <v/>
      </c>
      <c r="F68" s="10" t="n"/>
      <c r="G68" s="10">
        <f>IF(F68="","",MIN(F68,100))</f>
        <v/>
      </c>
      <c r="H68" s="11">
        <f>IF(A68="","",Universe!E68/BDP(A68&amp;" US Equity","HIGH_52WEEK")*100)</f>
        <v/>
      </c>
      <c r="I68">
        <f>IF(D68="","",D68&gt;=5)</f>
        <v/>
      </c>
      <c r="J68">
        <f>IF(F68="","",F68&gt;=5)</f>
        <v/>
      </c>
      <c r="K68">
        <f>IF(H68="","",H68&gt;=75)</f>
        <v/>
      </c>
      <c r="L68">
        <f>IF(OR(I68="",J68="",K68=""),FALSE,AND(I68,J68,K68))</f>
        <v/>
      </c>
    </row>
    <row r="69">
      <c r="A69">
        <f>Universe!A69</f>
        <v/>
      </c>
      <c r="B69" s="10" t="n"/>
      <c r="C69" s="11">
        <f>IF(B69="","",PERCENTRANK.INC($B$2:$B$2501,B69)*100)</f>
        <v/>
      </c>
      <c r="D69" s="10" t="n"/>
      <c r="E69" s="10">
        <f>IF(D69="","",MIN(D69,100))</f>
        <v/>
      </c>
      <c r="F69" s="10" t="n"/>
      <c r="G69" s="10">
        <f>IF(F69="","",MIN(F69,100))</f>
        <v/>
      </c>
      <c r="H69" s="11">
        <f>IF(A69="","",Universe!E69/BDP(A69&amp;" US Equity","HIGH_52WEEK")*100)</f>
        <v/>
      </c>
      <c r="I69">
        <f>IF(D69="","",D69&gt;=5)</f>
        <v/>
      </c>
      <c r="J69">
        <f>IF(F69="","",F69&gt;=5)</f>
        <v/>
      </c>
      <c r="K69">
        <f>IF(H69="","",H69&gt;=75)</f>
        <v/>
      </c>
      <c r="L69">
        <f>IF(OR(I69="",J69="",K69=""),FALSE,AND(I69,J69,K69))</f>
        <v/>
      </c>
    </row>
    <row r="70">
      <c r="A70">
        <f>Universe!A70</f>
        <v/>
      </c>
      <c r="B70" s="10" t="n"/>
      <c r="C70" s="11">
        <f>IF(B70="","",PERCENTRANK.INC($B$2:$B$2501,B70)*100)</f>
        <v/>
      </c>
      <c r="D70" s="10" t="n"/>
      <c r="E70" s="10">
        <f>IF(D70="","",MIN(D70,100))</f>
        <v/>
      </c>
      <c r="F70" s="10" t="n"/>
      <c r="G70" s="10">
        <f>IF(F70="","",MIN(F70,100))</f>
        <v/>
      </c>
      <c r="H70" s="11">
        <f>IF(A70="","",Universe!E70/BDP(A70&amp;" US Equity","HIGH_52WEEK")*100)</f>
        <v/>
      </c>
      <c r="I70">
        <f>IF(D70="","",D70&gt;=5)</f>
        <v/>
      </c>
      <c r="J70">
        <f>IF(F70="","",F70&gt;=5)</f>
        <v/>
      </c>
      <c r="K70">
        <f>IF(H70="","",H70&gt;=75)</f>
        <v/>
      </c>
      <c r="L70">
        <f>IF(OR(I70="",J70="",K70=""),FALSE,AND(I70,J70,K70))</f>
        <v/>
      </c>
    </row>
    <row r="71">
      <c r="A71">
        <f>Universe!A71</f>
        <v/>
      </c>
      <c r="B71" s="10" t="n"/>
      <c r="C71" s="11">
        <f>IF(B71="","",PERCENTRANK.INC($B$2:$B$2501,B71)*100)</f>
        <v/>
      </c>
      <c r="D71" s="10" t="n"/>
      <c r="E71" s="10">
        <f>IF(D71="","",MIN(D71,100))</f>
        <v/>
      </c>
      <c r="F71" s="10" t="n"/>
      <c r="G71" s="10">
        <f>IF(F71="","",MIN(F71,100))</f>
        <v/>
      </c>
      <c r="H71" s="11">
        <f>IF(A71="","",Universe!E71/BDP(A71&amp;" US Equity","HIGH_52WEEK")*100)</f>
        <v/>
      </c>
      <c r="I71">
        <f>IF(D71="","",D71&gt;=5)</f>
        <v/>
      </c>
      <c r="J71">
        <f>IF(F71="","",F71&gt;=5)</f>
        <v/>
      </c>
      <c r="K71">
        <f>IF(H71="","",H71&gt;=75)</f>
        <v/>
      </c>
      <c r="L71">
        <f>IF(OR(I71="",J71="",K71=""),FALSE,AND(I71,J71,K71))</f>
        <v/>
      </c>
    </row>
    <row r="72">
      <c r="A72">
        <f>Universe!A72</f>
        <v/>
      </c>
      <c r="B72" s="10" t="n"/>
      <c r="C72" s="11">
        <f>IF(B72="","",PERCENTRANK.INC($B$2:$B$2501,B72)*100)</f>
        <v/>
      </c>
      <c r="D72" s="10" t="n"/>
      <c r="E72" s="10">
        <f>IF(D72="","",MIN(D72,100))</f>
        <v/>
      </c>
      <c r="F72" s="10" t="n"/>
      <c r="G72" s="10">
        <f>IF(F72="","",MIN(F72,100))</f>
        <v/>
      </c>
      <c r="H72" s="11">
        <f>IF(A72="","",Universe!E72/BDP(A72&amp;" US Equity","HIGH_52WEEK")*100)</f>
        <v/>
      </c>
      <c r="I72">
        <f>IF(D72="","",D72&gt;=5)</f>
        <v/>
      </c>
      <c r="J72">
        <f>IF(F72="","",F72&gt;=5)</f>
        <v/>
      </c>
      <c r="K72">
        <f>IF(H72="","",H72&gt;=75)</f>
        <v/>
      </c>
      <c r="L72">
        <f>IF(OR(I72="",J72="",K72=""),FALSE,AND(I72,J72,K72))</f>
        <v/>
      </c>
    </row>
    <row r="73">
      <c r="A73">
        <f>Universe!A73</f>
        <v/>
      </c>
      <c r="B73" s="10" t="n"/>
      <c r="C73" s="11">
        <f>IF(B73="","",PERCENTRANK.INC($B$2:$B$2501,B73)*100)</f>
        <v/>
      </c>
      <c r="D73" s="10" t="n"/>
      <c r="E73" s="10">
        <f>IF(D73="","",MIN(D73,100))</f>
        <v/>
      </c>
      <c r="F73" s="10" t="n"/>
      <c r="G73" s="10">
        <f>IF(F73="","",MIN(F73,100))</f>
        <v/>
      </c>
      <c r="H73" s="11">
        <f>IF(A73="","",Universe!E73/BDP(A73&amp;" US Equity","HIGH_52WEEK")*100)</f>
        <v/>
      </c>
      <c r="I73">
        <f>IF(D73="","",D73&gt;=5)</f>
        <v/>
      </c>
      <c r="J73">
        <f>IF(F73="","",F73&gt;=5)</f>
        <v/>
      </c>
      <c r="K73">
        <f>IF(H73="","",H73&gt;=75)</f>
        <v/>
      </c>
      <c r="L73">
        <f>IF(OR(I73="",J73="",K73=""),FALSE,AND(I73,J73,K73))</f>
        <v/>
      </c>
    </row>
    <row r="74">
      <c r="A74">
        <f>Universe!A74</f>
        <v/>
      </c>
      <c r="B74" s="10" t="n"/>
      <c r="C74" s="11">
        <f>IF(B74="","",PERCENTRANK.INC($B$2:$B$2501,B74)*100)</f>
        <v/>
      </c>
      <c r="D74" s="10" t="n"/>
      <c r="E74" s="10">
        <f>IF(D74="","",MIN(D74,100))</f>
        <v/>
      </c>
      <c r="F74" s="10" t="n"/>
      <c r="G74" s="10">
        <f>IF(F74="","",MIN(F74,100))</f>
        <v/>
      </c>
      <c r="H74" s="11">
        <f>IF(A74="","",Universe!E74/BDP(A74&amp;" US Equity","HIGH_52WEEK")*100)</f>
        <v/>
      </c>
      <c r="I74">
        <f>IF(D74="","",D74&gt;=5)</f>
        <v/>
      </c>
      <c r="J74">
        <f>IF(F74="","",F74&gt;=5)</f>
        <v/>
      </c>
      <c r="K74">
        <f>IF(H74="","",H74&gt;=75)</f>
        <v/>
      </c>
      <c r="L74">
        <f>IF(OR(I74="",J74="",K74=""),FALSE,AND(I74,J74,K74))</f>
        <v/>
      </c>
    </row>
    <row r="75">
      <c r="A75">
        <f>Universe!A75</f>
        <v/>
      </c>
      <c r="B75" s="10" t="n"/>
      <c r="C75" s="11">
        <f>IF(B75="","",PERCENTRANK.INC($B$2:$B$2501,B75)*100)</f>
        <v/>
      </c>
      <c r="D75" s="10" t="n"/>
      <c r="E75" s="10">
        <f>IF(D75="","",MIN(D75,100))</f>
        <v/>
      </c>
      <c r="F75" s="10" t="n"/>
      <c r="G75" s="10">
        <f>IF(F75="","",MIN(F75,100))</f>
        <v/>
      </c>
      <c r="H75" s="11">
        <f>IF(A75="","",Universe!E75/BDP(A75&amp;" US Equity","HIGH_52WEEK")*100)</f>
        <v/>
      </c>
      <c r="I75">
        <f>IF(D75="","",D75&gt;=5)</f>
        <v/>
      </c>
      <c r="J75">
        <f>IF(F75="","",F75&gt;=5)</f>
        <v/>
      </c>
      <c r="K75">
        <f>IF(H75="","",H75&gt;=75)</f>
        <v/>
      </c>
      <c r="L75">
        <f>IF(OR(I75="",J75="",K75=""),FALSE,AND(I75,J75,K75))</f>
        <v/>
      </c>
    </row>
    <row r="76">
      <c r="A76">
        <f>Universe!A76</f>
        <v/>
      </c>
      <c r="B76" s="10" t="n"/>
      <c r="C76" s="11">
        <f>IF(B76="","",PERCENTRANK.INC($B$2:$B$2501,B76)*100)</f>
        <v/>
      </c>
      <c r="D76" s="10" t="n"/>
      <c r="E76" s="10">
        <f>IF(D76="","",MIN(D76,100))</f>
        <v/>
      </c>
      <c r="F76" s="10" t="n"/>
      <c r="G76" s="10">
        <f>IF(F76="","",MIN(F76,100))</f>
        <v/>
      </c>
      <c r="H76" s="11">
        <f>IF(A76="","",Universe!E76/BDP(A76&amp;" US Equity","HIGH_52WEEK")*100)</f>
        <v/>
      </c>
      <c r="I76">
        <f>IF(D76="","",D76&gt;=5)</f>
        <v/>
      </c>
      <c r="J76">
        <f>IF(F76="","",F76&gt;=5)</f>
        <v/>
      </c>
      <c r="K76">
        <f>IF(H76="","",H76&gt;=75)</f>
        <v/>
      </c>
      <c r="L76">
        <f>IF(OR(I76="",J76="",K76=""),FALSE,AND(I76,J76,K76))</f>
        <v/>
      </c>
    </row>
    <row r="77">
      <c r="A77">
        <f>Universe!A77</f>
        <v/>
      </c>
      <c r="B77" s="10" t="n"/>
      <c r="C77" s="11">
        <f>IF(B77="","",PERCENTRANK.INC($B$2:$B$2501,B77)*100)</f>
        <v/>
      </c>
      <c r="D77" s="10" t="n"/>
      <c r="E77" s="10">
        <f>IF(D77="","",MIN(D77,100))</f>
        <v/>
      </c>
      <c r="F77" s="10" t="n"/>
      <c r="G77" s="10">
        <f>IF(F77="","",MIN(F77,100))</f>
        <v/>
      </c>
      <c r="H77" s="11">
        <f>IF(A77="","",Universe!E77/BDP(A77&amp;" US Equity","HIGH_52WEEK")*100)</f>
        <v/>
      </c>
      <c r="I77">
        <f>IF(D77="","",D77&gt;=5)</f>
        <v/>
      </c>
      <c r="J77">
        <f>IF(F77="","",F77&gt;=5)</f>
        <v/>
      </c>
      <c r="K77">
        <f>IF(H77="","",H77&gt;=75)</f>
        <v/>
      </c>
      <c r="L77">
        <f>IF(OR(I77="",J77="",K77=""),FALSE,AND(I77,J77,K77))</f>
        <v/>
      </c>
    </row>
    <row r="78">
      <c r="A78">
        <f>Universe!A78</f>
        <v/>
      </c>
      <c r="B78" s="10" t="n"/>
      <c r="C78" s="11">
        <f>IF(B78="","",PERCENTRANK.INC($B$2:$B$2501,B78)*100)</f>
        <v/>
      </c>
      <c r="D78" s="10" t="n"/>
      <c r="E78" s="10">
        <f>IF(D78="","",MIN(D78,100))</f>
        <v/>
      </c>
      <c r="F78" s="10" t="n"/>
      <c r="G78" s="10">
        <f>IF(F78="","",MIN(F78,100))</f>
        <v/>
      </c>
      <c r="H78" s="11">
        <f>IF(A78="","",Universe!E78/BDP(A78&amp;" US Equity","HIGH_52WEEK")*100)</f>
        <v/>
      </c>
      <c r="I78">
        <f>IF(D78="","",D78&gt;=5)</f>
        <v/>
      </c>
      <c r="J78">
        <f>IF(F78="","",F78&gt;=5)</f>
        <v/>
      </c>
      <c r="K78">
        <f>IF(H78="","",H78&gt;=75)</f>
        <v/>
      </c>
      <c r="L78">
        <f>IF(OR(I78="",J78="",K78=""),FALSE,AND(I78,J78,K78))</f>
        <v/>
      </c>
    </row>
    <row r="79">
      <c r="A79">
        <f>Universe!A79</f>
        <v/>
      </c>
      <c r="B79" s="10" t="n"/>
      <c r="C79" s="11">
        <f>IF(B79="","",PERCENTRANK.INC($B$2:$B$2501,B79)*100)</f>
        <v/>
      </c>
      <c r="D79" s="10" t="n"/>
      <c r="E79" s="10">
        <f>IF(D79="","",MIN(D79,100))</f>
        <v/>
      </c>
      <c r="F79" s="10" t="n"/>
      <c r="G79" s="10">
        <f>IF(F79="","",MIN(F79,100))</f>
        <v/>
      </c>
      <c r="H79" s="11">
        <f>IF(A79="","",Universe!E79/BDP(A79&amp;" US Equity","HIGH_52WEEK")*100)</f>
        <v/>
      </c>
      <c r="I79">
        <f>IF(D79="","",D79&gt;=5)</f>
        <v/>
      </c>
      <c r="J79">
        <f>IF(F79="","",F79&gt;=5)</f>
        <v/>
      </c>
      <c r="K79">
        <f>IF(H79="","",H79&gt;=75)</f>
        <v/>
      </c>
      <c r="L79">
        <f>IF(OR(I79="",J79="",K79=""),FALSE,AND(I79,J79,K79))</f>
        <v/>
      </c>
    </row>
    <row r="80">
      <c r="A80">
        <f>Universe!A80</f>
        <v/>
      </c>
      <c r="B80" s="10" t="n"/>
      <c r="C80" s="11">
        <f>IF(B80="","",PERCENTRANK.INC($B$2:$B$2501,B80)*100)</f>
        <v/>
      </c>
      <c r="D80" s="10" t="n"/>
      <c r="E80" s="10">
        <f>IF(D80="","",MIN(D80,100))</f>
        <v/>
      </c>
      <c r="F80" s="10" t="n"/>
      <c r="G80" s="10">
        <f>IF(F80="","",MIN(F80,100))</f>
        <v/>
      </c>
      <c r="H80" s="11">
        <f>IF(A80="","",Universe!E80/BDP(A80&amp;" US Equity","HIGH_52WEEK")*100)</f>
        <v/>
      </c>
      <c r="I80">
        <f>IF(D80="","",D80&gt;=5)</f>
        <v/>
      </c>
      <c r="J80">
        <f>IF(F80="","",F80&gt;=5)</f>
        <v/>
      </c>
      <c r="K80">
        <f>IF(H80="","",H80&gt;=75)</f>
        <v/>
      </c>
      <c r="L80">
        <f>IF(OR(I80="",J80="",K80=""),FALSE,AND(I80,J80,K80))</f>
        <v/>
      </c>
    </row>
    <row r="81">
      <c r="A81">
        <f>Universe!A81</f>
        <v/>
      </c>
      <c r="B81" s="10" t="n"/>
      <c r="C81" s="11">
        <f>IF(B81="","",PERCENTRANK.INC($B$2:$B$2501,B81)*100)</f>
        <v/>
      </c>
      <c r="D81" s="10" t="n"/>
      <c r="E81" s="10">
        <f>IF(D81="","",MIN(D81,100))</f>
        <v/>
      </c>
      <c r="F81" s="10" t="n"/>
      <c r="G81" s="10">
        <f>IF(F81="","",MIN(F81,100))</f>
        <v/>
      </c>
      <c r="H81" s="11">
        <f>IF(A81="","",Universe!E81/BDP(A81&amp;" US Equity","HIGH_52WEEK")*100)</f>
        <v/>
      </c>
      <c r="I81">
        <f>IF(D81="","",D81&gt;=5)</f>
        <v/>
      </c>
      <c r="J81">
        <f>IF(F81="","",F81&gt;=5)</f>
        <v/>
      </c>
      <c r="K81">
        <f>IF(H81="","",H81&gt;=75)</f>
        <v/>
      </c>
      <c r="L81">
        <f>IF(OR(I81="",J81="",K81=""),FALSE,AND(I81,J81,K81))</f>
        <v/>
      </c>
    </row>
    <row r="82">
      <c r="A82">
        <f>Universe!A82</f>
        <v/>
      </c>
      <c r="B82" s="10" t="n"/>
      <c r="C82" s="11">
        <f>IF(B82="","",PERCENTRANK.INC($B$2:$B$2501,B82)*100)</f>
        <v/>
      </c>
      <c r="D82" s="10" t="n"/>
      <c r="E82" s="10">
        <f>IF(D82="","",MIN(D82,100))</f>
        <v/>
      </c>
      <c r="F82" s="10" t="n"/>
      <c r="G82" s="10">
        <f>IF(F82="","",MIN(F82,100))</f>
        <v/>
      </c>
      <c r="H82" s="11">
        <f>IF(A82="","",Universe!E82/BDP(A82&amp;" US Equity","HIGH_52WEEK")*100)</f>
        <v/>
      </c>
      <c r="I82">
        <f>IF(D82="","",D82&gt;=5)</f>
        <v/>
      </c>
      <c r="J82">
        <f>IF(F82="","",F82&gt;=5)</f>
        <v/>
      </c>
      <c r="K82">
        <f>IF(H82="","",H82&gt;=75)</f>
        <v/>
      </c>
      <c r="L82">
        <f>IF(OR(I82="",J82="",K82=""),FALSE,AND(I82,J82,K82))</f>
        <v/>
      </c>
    </row>
    <row r="83">
      <c r="A83">
        <f>Universe!A83</f>
        <v/>
      </c>
      <c r="B83" s="10" t="n"/>
      <c r="C83" s="11">
        <f>IF(B83="","",PERCENTRANK.INC($B$2:$B$2501,B83)*100)</f>
        <v/>
      </c>
      <c r="D83" s="10" t="n"/>
      <c r="E83" s="10">
        <f>IF(D83="","",MIN(D83,100))</f>
        <v/>
      </c>
      <c r="F83" s="10" t="n"/>
      <c r="G83" s="10">
        <f>IF(F83="","",MIN(F83,100))</f>
        <v/>
      </c>
      <c r="H83" s="11">
        <f>IF(A83="","",Universe!E83/BDP(A83&amp;" US Equity","HIGH_52WEEK")*100)</f>
        <v/>
      </c>
      <c r="I83">
        <f>IF(D83="","",D83&gt;=5)</f>
        <v/>
      </c>
      <c r="J83">
        <f>IF(F83="","",F83&gt;=5)</f>
        <v/>
      </c>
      <c r="K83">
        <f>IF(H83="","",H83&gt;=75)</f>
        <v/>
      </c>
      <c r="L83">
        <f>IF(OR(I83="",J83="",K83=""),FALSE,AND(I83,J83,K83))</f>
        <v/>
      </c>
    </row>
    <row r="84">
      <c r="A84">
        <f>Universe!A84</f>
        <v/>
      </c>
      <c r="B84" s="10" t="n"/>
      <c r="C84" s="11">
        <f>IF(B84="","",PERCENTRANK.INC($B$2:$B$2501,B84)*100)</f>
        <v/>
      </c>
      <c r="D84" s="10" t="n"/>
      <c r="E84" s="10">
        <f>IF(D84="","",MIN(D84,100))</f>
        <v/>
      </c>
      <c r="F84" s="10" t="n"/>
      <c r="G84" s="10">
        <f>IF(F84="","",MIN(F84,100))</f>
        <v/>
      </c>
      <c r="H84" s="11">
        <f>IF(A84="","",Universe!E84/BDP(A84&amp;" US Equity","HIGH_52WEEK")*100)</f>
        <v/>
      </c>
      <c r="I84">
        <f>IF(D84="","",D84&gt;=5)</f>
        <v/>
      </c>
      <c r="J84">
        <f>IF(F84="","",F84&gt;=5)</f>
        <v/>
      </c>
      <c r="K84">
        <f>IF(H84="","",H84&gt;=75)</f>
        <v/>
      </c>
      <c r="L84">
        <f>IF(OR(I84="",J84="",K84=""),FALSE,AND(I84,J84,K84))</f>
        <v/>
      </c>
    </row>
    <row r="85">
      <c r="A85">
        <f>Universe!A85</f>
        <v/>
      </c>
      <c r="B85" s="10" t="n"/>
      <c r="C85" s="11">
        <f>IF(B85="","",PERCENTRANK.INC($B$2:$B$2501,B85)*100)</f>
        <v/>
      </c>
      <c r="D85" s="10" t="n"/>
      <c r="E85" s="10">
        <f>IF(D85="","",MIN(D85,100))</f>
        <v/>
      </c>
      <c r="F85" s="10" t="n"/>
      <c r="G85" s="10">
        <f>IF(F85="","",MIN(F85,100))</f>
        <v/>
      </c>
      <c r="H85" s="11">
        <f>IF(A85="","",Universe!E85/BDP(A85&amp;" US Equity","HIGH_52WEEK")*100)</f>
        <v/>
      </c>
      <c r="I85">
        <f>IF(D85="","",D85&gt;=5)</f>
        <v/>
      </c>
      <c r="J85">
        <f>IF(F85="","",F85&gt;=5)</f>
        <v/>
      </c>
      <c r="K85">
        <f>IF(H85="","",H85&gt;=75)</f>
        <v/>
      </c>
      <c r="L85">
        <f>IF(OR(I85="",J85="",K85=""),FALSE,AND(I85,J85,K85))</f>
        <v/>
      </c>
    </row>
    <row r="86">
      <c r="A86">
        <f>Universe!A86</f>
        <v/>
      </c>
      <c r="B86" s="10" t="n"/>
      <c r="C86" s="11">
        <f>IF(B86="","",PERCENTRANK.INC($B$2:$B$2501,B86)*100)</f>
        <v/>
      </c>
      <c r="D86" s="10" t="n"/>
      <c r="E86" s="10">
        <f>IF(D86="","",MIN(D86,100))</f>
        <v/>
      </c>
      <c r="F86" s="10" t="n"/>
      <c r="G86" s="10">
        <f>IF(F86="","",MIN(F86,100))</f>
        <v/>
      </c>
      <c r="H86" s="11">
        <f>IF(A86="","",Universe!E86/BDP(A86&amp;" US Equity","HIGH_52WEEK")*100)</f>
        <v/>
      </c>
      <c r="I86">
        <f>IF(D86="","",D86&gt;=5)</f>
        <v/>
      </c>
      <c r="J86">
        <f>IF(F86="","",F86&gt;=5)</f>
        <v/>
      </c>
      <c r="K86">
        <f>IF(H86="","",H86&gt;=75)</f>
        <v/>
      </c>
      <c r="L86">
        <f>IF(OR(I86="",J86="",K86=""),FALSE,AND(I86,J86,K86))</f>
        <v/>
      </c>
    </row>
    <row r="87">
      <c r="A87">
        <f>Universe!A87</f>
        <v/>
      </c>
      <c r="B87" s="10" t="n"/>
      <c r="C87" s="11">
        <f>IF(B87="","",PERCENTRANK.INC($B$2:$B$2501,B87)*100)</f>
        <v/>
      </c>
      <c r="D87" s="10" t="n"/>
      <c r="E87" s="10">
        <f>IF(D87="","",MIN(D87,100))</f>
        <v/>
      </c>
      <c r="F87" s="10" t="n"/>
      <c r="G87" s="10">
        <f>IF(F87="","",MIN(F87,100))</f>
        <v/>
      </c>
      <c r="H87" s="11">
        <f>IF(A87="","",Universe!E87/BDP(A87&amp;" US Equity","HIGH_52WEEK")*100)</f>
        <v/>
      </c>
      <c r="I87">
        <f>IF(D87="","",D87&gt;=5)</f>
        <v/>
      </c>
      <c r="J87">
        <f>IF(F87="","",F87&gt;=5)</f>
        <v/>
      </c>
      <c r="K87">
        <f>IF(H87="","",H87&gt;=75)</f>
        <v/>
      </c>
      <c r="L87">
        <f>IF(OR(I87="",J87="",K87=""),FALSE,AND(I87,J87,K87))</f>
        <v/>
      </c>
    </row>
    <row r="88">
      <c r="A88">
        <f>Universe!A88</f>
        <v/>
      </c>
      <c r="B88" s="10" t="n"/>
      <c r="C88" s="11">
        <f>IF(B88="","",PERCENTRANK.INC($B$2:$B$2501,B88)*100)</f>
        <v/>
      </c>
      <c r="D88" s="10" t="n"/>
      <c r="E88" s="10">
        <f>IF(D88="","",MIN(D88,100))</f>
        <v/>
      </c>
      <c r="F88" s="10" t="n"/>
      <c r="G88" s="10">
        <f>IF(F88="","",MIN(F88,100))</f>
        <v/>
      </c>
      <c r="H88" s="11">
        <f>IF(A88="","",Universe!E88/BDP(A88&amp;" US Equity","HIGH_52WEEK")*100)</f>
        <v/>
      </c>
      <c r="I88">
        <f>IF(D88="","",D88&gt;=5)</f>
        <v/>
      </c>
      <c r="J88">
        <f>IF(F88="","",F88&gt;=5)</f>
        <v/>
      </c>
      <c r="K88">
        <f>IF(H88="","",H88&gt;=75)</f>
        <v/>
      </c>
      <c r="L88">
        <f>IF(OR(I88="",J88="",K88=""),FALSE,AND(I88,J88,K88))</f>
        <v/>
      </c>
    </row>
    <row r="89">
      <c r="A89">
        <f>Universe!A89</f>
        <v/>
      </c>
      <c r="B89" s="10" t="n"/>
      <c r="C89" s="11">
        <f>IF(B89="","",PERCENTRANK.INC($B$2:$B$2501,B89)*100)</f>
        <v/>
      </c>
      <c r="D89" s="10" t="n"/>
      <c r="E89" s="10">
        <f>IF(D89="","",MIN(D89,100))</f>
        <v/>
      </c>
      <c r="F89" s="10" t="n"/>
      <c r="G89" s="10">
        <f>IF(F89="","",MIN(F89,100))</f>
        <v/>
      </c>
      <c r="H89" s="11">
        <f>IF(A89="","",Universe!E89/BDP(A89&amp;" US Equity","HIGH_52WEEK")*100)</f>
        <v/>
      </c>
      <c r="I89">
        <f>IF(D89="","",D89&gt;=5)</f>
        <v/>
      </c>
      <c r="J89">
        <f>IF(F89="","",F89&gt;=5)</f>
        <v/>
      </c>
      <c r="K89">
        <f>IF(H89="","",H89&gt;=75)</f>
        <v/>
      </c>
      <c r="L89">
        <f>IF(OR(I89="",J89="",K89=""),FALSE,AND(I89,J89,K89))</f>
        <v/>
      </c>
    </row>
    <row r="90">
      <c r="A90">
        <f>Universe!A90</f>
        <v/>
      </c>
      <c r="B90" s="10" t="n"/>
      <c r="C90" s="11">
        <f>IF(B90="","",PERCENTRANK.INC($B$2:$B$2501,B90)*100)</f>
        <v/>
      </c>
      <c r="D90" s="10" t="n"/>
      <c r="E90" s="10">
        <f>IF(D90="","",MIN(D90,100))</f>
        <v/>
      </c>
      <c r="F90" s="10" t="n"/>
      <c r="G90" s="10">
        <f>IF(F90="","",MIN(F90,100))</f>
        <v/>
      </c>
      <c r="H90" s="11">
        <f>IF(A90="","",Universe!E90/BDP(A90&amp;" US Equity","HIGH_52WEEK")*100)</f>
        <v/>
      </c>
      <c r="I90">
        <f>IF(D90="","",D90&gt;=5)</f>
        <v/>
      </c>
      <c r="J90">
        <f>IF(F90="","",F90&gt;=5)</f>
        <v/>
      </c>
      <c r="K90">
        <f>IF(H90="","",H90&gt;=75)</f>
        <v/>
      </c>
      <c r="L90">
        <f>IF(OR(I90="",J90="",K90=""),FALSE,AND(I90,J90,K90))</f>
        <v/>
      </c>
    </row>
    <row r="91">
      <c r="A91">
        <f>Universe!A91</f>
        <v/>
      </c>
      <c r="B91" s="10" t="n"/>
      <c r="C91" s="11">
        <f>IF(B91="","",PERCENTRANK.INC($B$2:$B$2501,B91)*100)</f>
        <v/>
      </c>
      <c r="D91" s="10" t="n"/>
      <c r="E91" s="10">
        <f>IF(D91="","",MIN(D91,100))</f>
        <v/>
      </c>
      <c r="F91" s="10" t="n"/>
      <c r="G91" s="10">
        <f>IF(F91="","",MIN(F91,100))</f>
        <v/>
      </c>
      <c r="H91" s="11">
        <f>IF(A91="","",Universe!E91/BDP(A91&amp;" US Equity","HIGH_52WEEK")*100)</f>
        <v/>
      </c>
      <c r="I91">
        <f>IF(D91="","",D91&gt;=5)</f>
        <v/>
      </c>
      <c r="J91">
        <f>IF(F91="","",F91&gt;=5)</f>
        <v/>
      </c>
      <c r="K91">
        <f>IF(H91="","",H91&gt;=75)</f>
        <v/>
      </c>
      <c r="L91">
        <f>IF(OR(I91="",J91="",K91=""),FALSE,AND(I91,J91,K91))</f>
        <v/>
      </c>
    </row>
    <row r="92">
      <c r="A92">
        <f>Universe!A92</f>
        <v/>
      </c>
      <c r="B92" s="10" t="n"/>
      <c r="C92" s="11">
        <f>IF(B92="","",PERCENTRANK.INC($B$2:$B$2501,B92)*100)</f>
        <v/>
      </c>
      <c r="D92" s="10" t="n"/>
      <c r="E92" s="10">
        <f>IF(D92="","",MIN(D92,100))</f>
        <v/>
      </c>
      <c r="F92" s="10" t="n"/>
      <c r="G92" s="10">
        <f>IF(F92="","",MIN(F92,100))</f>
        <v/>
      </c>
      <c r="H92" s="11">
        <f>IF(A92="","",Universe!E92/BDP(A92&amp;" US Equity","HIGH_52WEEK")*100)</f>
        <v/>
      </c>
      <c r="I92">
        <f>IF(D92="","",D92&gt;=5)</f>
        <v/>
      </c>
      <c r="J92">
        <f>IF(F92="","",F92&gt;=5)</f>
        <v/>
      </c>
      <c r="K92">
        <f>IF(H92="","",H92&gt;=75)</f>
        <v/>
      </c>
      <c r="L92">
        <f>IF(OR(I92="",J92="",K92=""),FALSE,AND(I92,J92,K92))</f>
        <v/>
      </c>
    </row>
    <row r="93">
      <c r="A93">
        <f>Universe!A93</f>
        <v/>
      </c>
      <c r="B93" s="10" t="n"/>
      <c r="C93" s="11">
        <f>IF(B93="","",PERCENTRANK.INC($B$2:$B$2501,B93)*100)</f>
        <v/>
      </c>
      <c r="D93" s="10" t="n"/>
      <c r="E93" s="10">
        <f>IF(D93="","",MIN(D93,100))</f>
        <v/>
      </c>
      <c r="F93" s="10" t="n"/>
      <c r="G93" s="10">
        <f>IF(F93="","",MIN(F93,100))</f>
        <v/>
      </c>
      <c r="H93" s="11">
        <f>IF(A93="","",Universe!E93/BDP(A93&amp;" US Equity","HIGH_52WEEK")*100)</f>
        <v/>
      </c>
      <c r="I93">
        <f>IF(D93="","",D93&gt;=5)</f>
        <v/>
      </c>
      <c r="J93">
        <f>IF(F93="","",F93&gt;=5)</f>
        <v/>
      </c>
      <c r="K93">
        <f>IF(H93="","",H93&gt;=75)</f>
        <v/>
      </c>
      <c r="L93">
        <f>IF(OR(I93="",J93="",K93=""),FALSE,AND(I93,J93,K93))</f>
        <v/>
      </c>
    </row>
    <row r="94">
      <c r="A94">
        <f>Universe!A94</f>
        <v/>
      </c>
      <c r="B94" s="10" t="n"/>
      <c r="C94" s="11">
        <f>IF(B94="","",PERCENTRANK.INC($B$2:$B$2501,B94)*100)</f>
        <v/>
      </c>
      <c r="D94" s="10" t="n"/>
      <c r="E94" s="10">
        <f>IF(D94="","",MIN(D94,100))</f>
        <v/>
      </c>
      <c r="F94" s="10" t="n"/>
      <c r="G94" s="10">
        <f>IF(F94="","",MIN(F94,100))</f>
        <v/>
      </c>
      <c r="H94" s="11">
        <f>IF(A94="","",Universe!E94/BDP(A94&amp;" US Equity","HIGH_52WEEK")*100)</f>
        <v/>
      </c>
      <c r="I94">
        <f>IF(D94="","",D94&gt;=5)</f>
        <v/>
      </c>
      <c r="J94">
        <f>IF(F94="","",F94&gt;=5)</f>
        <v/>
      </c>
      <c r="K94">
        <f>IF(H94="","",H94&gt;=75)</f>
        <v/>
      </c>
      <c r="L94">
        <f>IF(OR(I94="",J94="",K94=""),FALSE,AND(I94,J94,K94))</f>
        <v/>
      </c>
    </row>
    <row r="95">
      <c r="A95">
        <f>Universe!A95</f>
        <v/>
      </c>
      <c r="B95" s="10" t="n"/>
      <c r="C95" s="11">
        <f>IF(B95="","",PERCENTRANK.INC($B$2:$B$2501,B95)*100)</f>
        <v/>
      </c>
      <c r="D95" s="10" t="n"/>
      <c r="E95" s="10">
        <f>IF(D95="","",MIN(D95,100))</f>
        <v/>
      </c>
      <c r="F95" s="10" t="n"/>
      <c r="G95" s="10">
        <f>IF(F95="","",MIN(F95,100))</f>
        <v/>
      </c>
      <c r="H95" s="11">
        <f>IF(A95="","",Universe!E95/BDP(A95&amp;" US Equity","HIGH_52WEEK")*100)</f>
        <v/>
      </c>
      <c r="I95">
        <f>IF(D95="","",D95&gt;=5)</f>
        <v/>
      </c>
      <c r="J95">
        <f>IF(F95="","",F95&gt;=5)</f>
        <v/>
      </c>
      <c r="K95">
        <f>IF(H95="","",H95&gt;=75)</f>
        <v/>
      </c>
      <c r="L95">
        <f>IF(OR(I95="",J95="",K95=""),FALSE,AND(I95,J95,K95))</f>
        <v/>
      </c>
    </row>
    <row r="96">
      <c r="A96">
        <f>Universe!A96</f>
        <v/>
      </c>
      <c r="B96" s="10" t="n"/>
      <c r="C96" s="11">
        <f>IF(B96="","",PERCENTRANK.INC($B$2:$B$2501,B96)*100)</f>
        <v/>
      </c>
      <c r="D96" s="10" t="n"/>
      <c r="E96" s="10">
        <f>IF(D96="","",MIN(D96,100))</f>
        <v/>
      </c>
      <c r="F96" s="10" t="n"/>
      <c r="G96" s="10">
        <f>IF(F96="","",MIN(F96,100))</f>
        <v/>
      </c>
      <c r="H96" s="11">
        <f>IF(A96="","",Universe!E96/BDP(A96&amp;" US Equity","HIGH_52WEEK")*100)</f>
        <v/>
      </c>
      <c r="I96">
        <f>IF(D96="","",D96&gt;=5)</f>
        <v/>
      </c>
      <c r="J96">
        <f>IF(F96="","",F96&gt;=5)</f>
        <v/>
      </c>
      <c r="K96">
        <f>IF(H96="","",H96&gt;=75)</f>
        <v/>
      </c>
      <c r="L96">
        <f>IF(OR(I96="",J96="",K96=""),FALSE,AND(I96,J96,K96))</f>
        <v/>
      </c>
    </row>
    <row r="97">
      <c r="A97">
        <f>Universe!A97</f>
        <v/>
      </c>
      <c r="B97" s="10" t="n"/>
      <c r="C97" s="11">
        <f>IF(B97="","",PERCENTRANK.INC($B$2:$B$2501,B97)*100)</f>
        <v/>
      </c>
      <c r="D97" s="10" t="n"/>
      <c r="E97" s="10">
        <f>IF(D97="","",MIN(D97,100))</f>
        <v/>
      </c>
      <c r="F97" s="10" t="n"/>
      <c r="G97" s="10">
        <f>IF(F97="","",MIN(F97,100))</f>
        <v/>
      </c>
      <c r="H97" s="11">
        <f>IF(A97="","",Universe!E97/BDP(A97&amp;" US Equity","HIGH_52WEEK")*100)</f>
        <v/>
      </c>
      <c r="I97">
        <f>IF(D97="","",D97&gt;=5)</f>
        <v/>
      </c>
      <c r="J97">
        <f>IF(F97="","",F97&gt;=5)</f>
        <v/>
      </c>
      <c r="K97">
        <f>IF(H97="","",H97&gt;=75)</f>
        <v/>
      </c>
      <c r="L97">
        <f>IF(OR(I97="",J97="",K97=""),FALSE,AND(I97,J97,K97))</f>
        <v/>
      </c>
    </row>
    <row r="98">
      <c r="A98">
        <f>Universe!A98</f>
        <v/>
      </c>
      <c r="B98" s="10" t="n"/>
      <c r="C98" s="11">
        <f>IF(B98="","",PERCENTRANK.INC($B$2:$B$2501,B98)*100)</f>
        <v/>
      </c>
      <c r="D98" s="10" t="n"/>
      <c r="E98" s="10">
        <f>IF(D98="","",MIN(D98,100))</f>
        <v/>
      </c>
      <c r="F98" s="10" t="n"/>
      <c r="G98" s="10">
        <f>IF(F98="","",MIN(F98,100))</f>
        <v/>
      </c>
      <c r="H98" s="11">
        <f>IF(A98="","",Universe!E98/BDP(A98&amp;" US Equity","HIGH_52WEEK")*100)</f>
        <v/>
      </c>
      <c r="I98">
        <f>IF(D98="","",D98&gt;=5)</f>
        <v/>
      </c>
      <c r="J98">
        <f>IF(F98="","",F98&gt;=5)</f>
        <v/>
      </c>
      <c r="K98">
        <f>IF(H98="","",H98&gt;=75)</f>
        <v/>
      </c>
      <c r="L98">
        <f>IF(OR(I98="",J98="",K98=""),FALSE,AND(I98,J98,K98))</f>
        <v/>
      </c>
    </row>
    <row r="99">
      <c r="A99">
        <f>Universe!A99</f>
        <v/>
      </c>
      <c r="B99" s="10" t="n"/>
      <c r="C99" s="11">
        <f>IF(B99="","",PERCENTRANK.INC($B$2:$B$2501,B99)*100)</f>
        <v/>
      </c>
      <c r="D99" s="10" t="n"/>
      <c r="E99" s="10">
        <f>IF(D99="","",MIN(D99,100))</f>
        <v/>
      </c>
      <c r="F99" s="10" t="n"/>
      <c r="G99" s="10">
        <f>IF(F99="","",MIN(F99,100))</f>
        <v/>
      </c>
      <c r="H99" s="11">
        <f>IF(A99="","",Universe!E99/BDP(A99&amp;" US Equity","HIGH_52WEEK")*100)</f>
        <v/>
      </c>
      <c r="I99">
        <f>IF(D99="","",D99&gt;=5)</f>
        <v/>
      </c>
      <c r="J99">
        <f>IF(F99="","",F99&gt;=5)</f>
        <v/>
      </c>
      <c r="K99">
        <f>IF(H99="","",H99&gt;=75)</f>
        <v/>
      </c>
      <c r="L99">
        <f>IF(OR(I99="",J99="",K99=""),FALSE,AND(I99,J99,K99))</f>
        <v/>
      </c>
    </row>
    <row r="100">
      <c r="A100">
        <f>Universe!A100</f>
        <v/>
      </c>
      <c r="B100" s="10" t="n"/>
      <c r="C100" s="11">
        <f>IF(B100="","",PERCENTRANK.INC($B$2:$B$2501,B100)*100)</f>
        <v/>
      </c>
      <c r="D100" s="10" t="n"/>
      <c r="E100" s="10">
        <f>IF(D100="","",MIN(D100,100))</f>
        <v/>
      </c>
      <c r="F100" s="10" t="n"/>
      <c r="G100" s="10">
        <f>IF(F100="","",MIN(F100,100))</f>
        <v/>
      </c>
      <c r="H100" s="11">
        <f>IF(A100="","",Universe!E100/BDP(A100&amp;" US Equity","HIGH_52WEEK")*100)</f>
        <v/>
      </c>
      <c r="I100">
        <f>IF(D100="","",D100&gt;=5)</f>
        <v/>
      </c>
      <c r="J100">
        <f>IF(F100="","",F100&gt;=5)</f>
        <v/>
      </c>
      <c r="K100">
        <f>IF(H100="","",H100&gt;=75)</f>
        <v/>
      </c>
      <c r="L100">
        <f>IF(OR(I100="",J100="",K100=""),FALSE,AND(I100,J100,K100))</f>
        <v/>
      </c>
    </row>
    <row r="101">
      <c r="A101">
        <f>Universe!A101</f>
        <v/>
      </c>
      <c r="B101" s="10" t="n"/>
      <c r="C101" s="11">
        <f>IF(B101="","",PERCENTRANK.INC($B$2:$B$2501,B101)*100)</f>
        <v/>
      </c>
      <c r="D101" s="10" t="n"/>
      <c r="E101" s="10">
        <f>IF(D101="","",MIN(D101,100))</f>
        <v/>
      </c>
      <c r="F101" s="10" t="n"/>
      <c r="G101" s="10">
        <f>IF(F101="","",MIN(F101,100))</f>
        <v/>
      </c>
      <c r="H101" s="11">
        <f>IF(A101="","",Universe!E101/BDP(A101&amp;" US Equity","HIGH_52WEEK")*100)</f>
        <v/>
      </c>
      <c r="I101">
        <f>IF(D101="","",D101&gt;=5)</f>
        <v/>
      </c>
      <c r="J101">
        <f>IF(F101="","",F101&gt;=5)</f>
        <v/>
      </c>
      <c r="K101">
        <f>IF(H101="","",H101&gt;=75)</f>
        <v/>
      </c>
      <c r="L101">
        <f>IF(OR(I101="",J101="",K101=""),FALSE,AND(I101,J101,K101))</f>
        <v/>
      </c>
    </row>
    <row r="102">
      <c r="A102">
        <f>Universe!A102</f>
        <v/>
      </c>
      <c r="B102" s="10" t="n"/>
      <c r="C102" s="11">
        <f>IF(B102="","",PERCENTRANK.INC($B$2:$B$2501,B102)*100)</f>
        <v/>
      </c>
      <c r="D102" s="10" t="n"/>
      <c r="E102" s="10">
        <f>IF(D102="","",MIN(D102,100))</f>
        <v/>
      </c>
      <c r="F102" s="10" t="n"/>
      <c r="G102" s="10">
        <f>IF(F102="","",MIN(F102,100))</f>
        <v/>
      </c>
      <c r="H102" s="11">
        <f>IF(A102="","",Universe!E102/BDP(A102&amp;" US Equity","HIGH_52WEEK")*100)</f>
        <v/>
      </c>
      <c r="I102">
        <f>IF(D102="","",D102&gt;=5)</f>
        <v/>
      </c>
      <c r="J102">
        <f>IF(F102="","",F102&gt;=5)</f>
        <v/>
      </c>
      <c r="K102">
        <f>IF(H102="","",H102&gt;=75)</f>
        <v/>
      </c>
      <c r="L102">
        <f>IF(OR(I102="",J102="",K102=""),FALSE,AND(I102,J102,K102))</f>
        <v/>
      </c>
    </row>
    <row r="103">
      <c r="A103">
        <f>Universe!A103</f>
        <v/>
      </c>
      <c r="B103" s="10" t="n"/>
      <c r="C103" s="11">
        <f>IF(B103="","",PERCENTRANK.INC($B$2:$B$2501,B103)*100)</f>
        <v/>
      </c>
      <c r="D103" s="10" t="n"/>
      <c r="E103" s="10">
        <f>IF(D103="","",MIN(D103,100))</f>
        <v/>
      </c>
      <c r="F103" s="10" t="n"/>
      <c r="G103" s="10">
        <f>IF(F103="","",MIN(F103,100))</f>
        <v/>
      </c>
      <c r="H103" s="11">
        <f>IF(A103="","",Universe!E103/BDP(A103&amp;" US Equity","HIGH_52WEEK")*100)</f>
        <v/>
      </c>
      <c r="I103">
        <f>IF(D103="","",D103&gt;=5)</f>
        <v/>
      </c>
      <c r="J103">
        <f>IF(F103="","",F103&gt;=5)</f>
        <v/>
      </c>
      <c r="K103">
        <f>IF(H103="","",H103&gt;=75)</f>
        <v/>
      </c>
      <c r="L103">
        <f>IF(OR(I103="",J103="",K103=""),FALSE,AND(I103,J103,K103))</f>
        <v/>
      </c>
    </row>
    <row r="104">
      <c r="A104">
        <f>Universe!A104</f>
        <v/>
      </c>
      <c r="B104" s="10" t="n"/>
      <c r="C104" s="11">
        <f>IF(B104="","",PERCENTRANK.INC($B$2:$B$2501,B104)*100)</f>
        <v/>
      </c>
      <c r="D104" s="10" t="n"/>
      <c r="E104" s="10">
        <f>IF(D104="","",MIN(D104,100))</f>
        <v/>
      </c>
      <c r="F104" s="10" t="n"/>
      <c r="G104" s="10">
        <f>IF(F104="","",MIN(F104,100))</f>
        <v/>
      </c>
      <c r="H104" s="11">
        <f>IF(A104="","",Universe!E104/BDP(A104&amp;" US Equity","HIGH_52WEEK")*100)</f>
        <v/>
      </c>
      <c r="I104">
        <f>IF(D104="","",D104&gt;=5)</f>
        <v/>
      </c>
      <c r="J104">
        <f>IF(F104="","",F104&gt;=5)</f>
        <v/>
      </c>
      <c r="K104">
        <f>IF(H104="","",H104&gt;=75)</f>
        <v/>
      </c>
      <c r="L104">
        <f>IF(OR(I104="",J104="",K104=""),FALSE,AND(I104,J104,K104))</f>
        <v/>
      </c>
    </row>
    <row r="105">
      <c r="A105">
        <f>Universe!A105</f>
        <v/>
      </c>
      <c r="B105" s="10" t="n"/>
      <c r="C105" s="11">
        <f>IF(B105="","",PERCENTRANK.INC($B$2:$B$2501,B105)*100)</f>
        <v/>
      </c>
      <c r="D105" s="10" t="n"/>
      <c r="E105" s="10">
        <f>IF(D105="","",MIN(D105,100))</f>
        <v/>
      </c>
      <c r="F105" s="10" t="n"/>
      <c r="G105" s="10">
        <f>IF(F105="","",MIN(F105,100))</f>
        <v/>
      </c>
      <c r="H105" s="11">
        <f>IF(A105="","",Universe!E105/BDP(A105&amp;" US Equity","HIGH_52WEEK")*100)</f>
        <v/>
      </c>
      <c r="I105">
        <f>IF(D105="","",D105&gt;=5)</f>
        <v/>
      </c>
      <c r="J105">
        <f>IF(F105="","",F105&gt;=5)</f>
        <v/>
      </c>
      <c r="K105">
        <f>IF(H105="","",H105&gt;=75)</f>
        <v/>
      </c>
      <c r="L105">
        <f>IF(OR(I105="",J105="",K105=""),FALSE,AND(I105,J105,K105))</f>
        <v/>
      </c>
    </row>
    <row r="106">
      <c r="A106">
        <f>Universe!A106</f>
        <v/>
      </c>
      <c r="B106" s="10" t="n"/>
      <c r="C106" s="11">
        <f>IF(B106="","",PERCENTRANK.INC($B$2:$B$2501,B106)*100)</f>
        <v/>
      </c>
      <c r="D106" s="10" t="n"/>
      <c r="E106" s="10">
        <f>IF(D106="","",MIN(D106,100))</f>
        <v/>
      </c>
      <c r="F106" s="10" t="n"/>
      <c r="G106" s="10">
        <f>IF(F106="","",MIN(F106,100))</f>
        <v/>
      </c>
      <c r="H106" s="11">
        <f>IF(A106="","",Universe!E106/BDP(A106&amp;" US Equity","HIGH_52WEEK")*100)</f>
        <v/>
      </c>
      <c r="I106">
        <f>IF(D106="","",D106&gt;=5)</f>
        <v/>
      </c>
      <c r="J106">
        <f>IF(F106="","",F106&gt;=5)</f>
        <v/>
      </c>
      <c r="K106">
        <f>IF(H106="","",H106&gt;=75)</f>
        <v/>
      </c>
      <c r="L106">
        <f>IF(OR(I106="",J106="",K106=""),FALSE,AND(I106,J106,K106))</f>
        <v/>
      </c>
    </row>
    <row r="107">
      <c r="A107">
        <f>Universe!A107</f>
        <v/>
      </c>
      <c r="B107" s="10" t="n"/>
      <c r="C107" s="11">
        <f>IF(B107="","",PERCENTRANK.INC($B$2:$B$2501,B107)*100)</f>
        <v/>
      </c>
      <c r="D107" s="10" t="n"/>
      <c r="E107" s="10">
        <f>IF(D107="","",MIN(D107,100))</f>
        <v/>
      </c>
      <c r="F107" s="10" t="n"/>
      <c r="G107" s="10">
        <f>IF(F107="","",MIN(F107,100))</f>
        <v/>
      </c>
      <c r="H107" s="11">
        <f>IF(A107="","",Universe!E107/BDP(A107&amp;" US Equity","HIGH_52WEEK")*100)</f>
        <v/>
      </c>
      <c r="I107">
        <f>IF(D107="","",D107&gt;=5)</f>
        <v/>
      </c>
      <c r="J107">
        <f>IF(F107="","",F107&gt;=5)</f>
        <v/>
      </c>
      <c r="K107">
        <f>IF(H107="","",H107&gt;=75)</f>
        <v/>
      </c>
      <c r="L107">
        <f>IF(OR(I107="",J107="",K107=""),FALSE,AND(I107,J107,K107))</f>
        <v/>
      </c>
    </row>
    <row r="108">
      <c r="A108">
        <f>Universe!A108</f>
        <v/>
      </c>
      <c r="B108" s="10" t="n"/>
      <c r="C108" s="11">
        <f>IF(B108="","",PERCENTRANK.INC($B$2:$B$2501,B108)*100)</f>
        <v/>
      </c>
      <c r="D108" s="10" t="n"/>
      <c r="E108" s="10">
        <f>IF(D108="","",MIN(D108,100))</f>
        <v/>
      </c>
      <c r="F108" s="10" t="n"/>
      <c r="G108" s="10">
        <f>IF(F108="","",MIN(F108,100))</f>
        <v/>
      </c>
      <c r="H108" s="11">
        <f>IF(A108="","",Universe!E108/BDP(A108&amp;" US Equity","HIGH_52WEEK")*100)</f>
        <v/>
      </c>
      <c r="I108">
        <f>IF(D108="","",D108&gt;=5)</f>
        <v/>
      </c>
      <c r="J108">
        <f>IF(F108="","",F108&gt;=5)</f>
        <v/>
      </c>
      <c r="K108">
        <f>IF(H108="","",H108&gt;=75)</f>
        <v/>
      </c>
      <c r="L108">
        <f>IF(OR(I108="",J108="",K108=""),FALSE,AND(I108,J108,K108))</f>
        <v/>
      </c>
    </row>
    <row r="109">
      <c r="A109">
        <f>Universe!A109</f>
        <v/>
      </c>
      <c r="B109" s="10" t="n"/>
      <c r="C109" s="11">
        <f>IF(B109="","",PERCENTRANK.INC($B$2:$B$2501,B109)*100)</f>
        <v/>
      </c>
      <c r="D109" s="10" t="n"/>
      <c r="E109" s="10">
        <f>IF(D109="","",MIN(D109,100))</f>
        <v/>
      </c>
      <c r="F109" s="10" t="n"/>
      <c r="G109" s="10">
        <f>IF(F109="","",MIN(F109,100))</f>
        <v/>
      </c>
      <c r="H109" s="11">
        <f>IF(A109="","",Universe!E109/BDP(A109&amp;" US Equity","HIGH_52WEEK")*100)</f>
        <v/>
      </c>
      <c r="I109">
        <f>IF(D109="","",D109&gt;=5)</f>
        <v/>
      </c>
      <c r="J109">
        <f>IF(F109="","",F109&gt;=5)</f>
        <v/>
      </c>
      <c r="K109">
        <f>IF(H109="","",H109&gt;=75)</f>
        <v/>
      </c>
      <c r="L109">
        <f>IF(OR(I109="",J109="",K109=""),FALSE,AND(I109,J109,K109))</f>
        <v/>
      </c>
    </row>
    <row r="110">
      <c r="A110">
        <f>Universe!A110</f>
        <v/>
      </c>
      <c r="B110" s="10" t="n"/>
      <c r="C110" s="11">
        <f>IF(B110="","",PERCENTRANK.INC($B$2:$B$2501,B110)*100)</f>
        <v/>
      </c>
      <c r="D110" s="10" t="n"/>
      <c r="E110" s="10">
        <f>IF(D110="","",MIN(D110,100))</f>
        <v/>
      </c>
      <c r="F110" s="10" t="n"/>
      <c r="G110" s="10">
        <f>IF(F110="","",MIN(F110,100))</f>
        <v/>
      </c>
      <c r="H110" s="11">
        <f>IF(A110="","",Universe!E110/BDP(A110&amp;" US Equity","HIGH_52WEEK")*100)</f>
        <v/>
      </c>
      <c r="I110">
        <f>IF(D110="","",D110&gt;=5)</f>
        <v/>
      </c>
      <c r="J110">
        <f>IF(F110="","",F110&gt;=5)</f>
        <v/>
      </c>
      <c r="K110">
        <f>IF(H110="","",H110&gt;=75)</f>
        <v/>
      </c>
      <c r="L110">
        <f>IF(OR(I110="",J110="",K110=""),FALSE,AND(I110,J110,K110))</f>
        <v/>
      </c>
    </row>
    <row r="111">
      <c r="A111">
        <f>Universe!A111</f>
        <v/>
      </c>
      <c r="B111" s="10" t="n"/>
      <c r="C111" s="11">
        <f>IF(B111="","",PERCENTRANK.INC($B$2:$B$2501,B111)*100)</f>
        <v/>
      </c>
      <c r="D111" s="10" t="n"/>
      <c r="E111" s="10">
        <f>IF(D111="","",MIN(D111,100))</f>
        <v/>
      </c>
      <c r="F111" s="10" t="n"/>
      <c r="G111" s="10">
        <f>IF(F111="","",MIN(F111,100))</f>
        <v/>
      </c>
      <c r="H111" s="11">
        <f>IF(A111="","",Universe!E111/BDP(A111&amp;" US Equity","HIGH_52WEEK")*100)</f>
        <v/>
      </c>
      <c r="I111">
        <f>IF(D111="","",D111&gt;=5)</f>
        <v/>
      </c>
      <c r="J111">
        <f>IF(F111="","",F111&gt;=5)</f>
        <v/>
      </c>
      <c r="K111">
        <f>IF(H111="","",H111&gt;=75)</f>
        <v/>
      </c>
      <c r="L111">
        <f>IF(OR(I111="",J111="",K111=""),FALSE,AND(I111,J111,K111))</f>
        <v/>
      </c>
    </row>
    <row r="112">
      <c r="A112">
        <f>Universe!A112</f>
        <v/>
      </c>
      <c r="B112" s="10" t="n"/>
      <c r="C112" s="11">
        <f>IF(B112="","",PERCENTRANK.INC($B$2:$B$2501,B112)*100)</f>
        <v/>
      </c>
      <c r="D112" s="10" t="n"/>
      <c r="E112" s="10">
        <f>IF(D112="","",MIN(D112,100))</f>
        <v/>
      </c>
      <c r="F112" s="10" t="n"/>
      <c r="G112" s="10">
        <f>IF(F112="","",MIN(F112,100))</f>
        <v/>
      </c>
      <c r="H112" s="11">
        <f>IF(A112="","",Universe!E112/BDP(A112&amp;" US Equity","HIGH_52WEEK")*100)</f>
        <v/>
      </c>
      <c r="I112">
        <f>IF(D112="","",D112&gt;=5)</f>
        <v/>
      </c>
      <c r="J112">
        <f>IF(F112="","",F112&gt;=5)</f>
        <v/>
      </c>
      <c r="K112">
        <f>IF(H112="","",H112&gt;=75)</f>
        <v/>
      </c>
      <c r="L112">
        <f>IF(OR(I112="",J112="",K112=""),FALSE,AND(I112,J112,K112))</f>
        <v/>
      </c>
    </row>
    <row r="113">
      <c r="A113">
        <f>Universe!A113</f>
        <v/>
      </c>
      <c r="B113" s="10" t="n"/>
      <c r="C113" s="11">
        <f>IF(B113="","",PERCENTRANK.INC($B$2:$B$2501,B113)*100)</f>
        <v/>
      </c>
      <c r="D113" s="10" t="n"/>
      <c r="E113" s="10">
        <f>IF(D113="","",MIN(D113,100))</f>
        <v/>
      </c>
      <c r="F113" s="10" t="n"/>
      <c r="G113" s="10">
        <f>IF(F113="","",MIN(F113,100))</f>
        <v/>
      </c>
      <c r="H113" s="11">
        <f>IF(A113="","",Universe!E113/BDP(A113&amp;" US Equity","HIGH_52WEEK")*100)</f>
        <v/>
      </c>
      <c r="I113">
        <f>IF(D113="","",D113&gt;=5)</f>
        <v/>
      </c>
      <c r="J113">
        <f>IF(F113="","",F113&gt;=5)</f>
        <v/>
      </c>
      <c r="K113">
        <f>IF(H113="","",H113&gt;=75)</f>
        <v/>
      </c>
      <c r="L113">
        <f>IF(OR(I113="",J113="",K113=""),FALSE,AND(I113,J113,K113))</f>
        <v/>
      </c>
    </row>
    <row r="114">
      <c r="A114">
        <f>Universe!A114</f>
        <v/>
      </c>
      <c r="B114" s="10" t="n"/>
      <c r="C114" s="11">
        <f>IF(B114="","",PERCENTRANK.INC($B$2:$B$2501,B114)*100)</f>
        <v/>
      </c>
      <c r="D114" s="10" t="n"/>
      <c r="E114" s="10">
        <f>IF(D114="","",MIN(D114,100))</f>
        <v/>
      </c>
      <c r="F114" s="10" t="n"/>
      <c r="G114" s="10">
        <f>IF(F114="","",MIN(F114,100))</f>
        <v/>
      </c>
      <c r="H114" s="11">
        <f>IF(A114="","",Universe!E114/BDP(A114&amp;" US Equity","HIGH_52WEEK")*100)</f>
        <v/>
      </c>
      <c r="I114">
        <f>IF(D114="","",D114&gt;=5)</f>
        <v/>
      </c>
      <c r="J114">
        <f>IF(F114="","",F114&gt;=5)</f>
        <v/>
      </c>
      <c r="K114">
        <f>IF(H114="","",H114&gt;=75)</f>
        <v/>
      </c>
      <c r="L114">
        <f>IF(OR(I114="",J114="",K114=""),FALSE,AND(I114,J114,K114))</f>
        <v/>
      </c>
    </row>
    <row r="115">
      <c r="A115">
        <f>Universe!A115</f>
        <v/>
      </c>
      <c r="B115" s="10" t="n"/>
      <c r="C115" s="11">
        <f>IF(B115="","",PERCENTRANK.INC($B$2:$B$2501,B115)*100)</f>
        <v/>
      </c>
      <c r="D115" s="10" t="n"/>
      <c r="E115" s="10">
        <f>IF(D115="","",MIN(D115,100))</f>
        <v/>
      </c>
      <c r="F115" s="10" t="n"/>
      <c r="G115" s="10">
        <f>IF(F115="","",MIN(F115,100))</f>
        <v/>
      </c>
      <c r="H115" s="11">
        <f>IF(A115="","",Universe!E115/BDP(A115&amp;" US Equity","HIGH_52WEEK")*100)</f>
        <v/>
      </c>
      <c r="I115">
        <f>IF(D115="","",D115&gt;=5)</f>
        <v/>
      </c>
      <c r="J115">
        <f>IF(F115="","",F115&gt;=5)</f>
        <v/>
      </c>
      <c r="K115">
        <f>IF(H115="","",H115&gt;=75)</f>
        <v/>
      </c>
      <c r="L115">
        <f>IF(OR(I115="",J115="",K115=""),FALSE,AND(I115,J115,K115))</f>
        <v/>
      </c>
    </row>
    <row r="116">
      <c r="A116">
        <f>Universe!A116</f>
        <v/>
      </c>
      <c r="B116" s="10" t="n"/>
      <c r="C116" s="11">
        <f>IF(B116="","",PERCENTRANK.INC($B$2:$B$2501,B116)*100)</f>
        <v/>
      </c>
      <c r="D116" s="10" t="n"/>
      <c r="E116" s="10">
        <f>IF(D116="","",MIN(D116,100))</f>
        <v/>
      </c>
      <c r="F116" s="10" t="n"/>
      <c r="G116" s="10">
        <f>IF(F116="","",MIN(F116,100))</f>
        <v/>
      </c>
      <c r="H116" s="11">
        <f>IF(A116="","",Universe!E116/BDP(A116&amp;" US Equity","HIGH_52WEEK")*100)</f>
        <v/>
      </c>
      <c r="I116">
        <f>IF(D116="","",D116&gt;=5)</f>
        <v/>
      </c>
      <c r="J116">
        <f>IF(F116="","",F116&gt;=5)</f>
        <v/>
      </c>
      <c r="K116">
        <f>IF(H116="","",H116&gt;=75)</f>
        <v/>
      </c>
      <c r="L116">
        <f>IF(OR(I116="",J116="",K116=""),FALSE,AND(I116,J116,K116))</f>
        <v/>
      </c>
    </row>
    <row r="117">
      <c r="A117">
        <f>Universe!A117</f>
        <v/>
      </c>
      <c r="B117" s="10" t="n"/>
      <c r="C117" s="11">
        <f>IF(B117="","",PERCENTRANK.INC($B$2:$B$2501,B117)*100)</f>
        <v/>
      </c>
      <c r="D117" s="10" t="n"/>
      <c r="E117" s="10">
        <f>IF(D117="","",MIN(D117,100))</f>
        <v/>
      </c>
      <c r="F117" s="10" t="n"/>
      <c r="G117" s="10">
        <f>IF(F117="","",MIN(F117,100))</f>
        <v/>
      </c>
      <c r="H117" s="11">
        <f>IF(A117="","",Universe!E117/BDP(A117&amp;" US Equity","HIGH_52WEEK")*100)</f>
        <v/>
      </c>
      <c r="I117">
        <f>IF(D117="","",D117&gt;=5)</f>
        <v/>
      </c>
      <c r="J117">
        <f>IF(F117="","",F117&gt;=5)</f>
        <v/>
      </c>
      <c r="K117">
        <f>IF(H117="","",H117&gt;=75)</f>
        <v/>
      </c>
      <c r="L117">
        <f>IF(OR(I117="",J117="",K117=""),FALSE,AND(I117,J117,K117))</f>
        <v/>
      </c>
    </row>
    <row r="118">
      <c r="A118">
        <f>Universe!A118</f>
        <v/>
      </c>
      <c r="B118" s="10" t="n"/>
      <c r="C118" s="11">
        <f>IF(B118="","",PERCENTRANK.INC($B$2:$B$2501,B118)*100)</f>
        <v/>
      </c>
      <c r="D118" s="10" t="n"/>
      <c r="E118" s="10">
        <f>IF(D118="","",MIN(D118,100))</f>
        <v/>
      </c>
      <c r="F118" s="10" t="n"/>
      <c r="G118" s="10">
        <f>IF(F118="","",MIN(F118,100))</f>
        <v/>
      </c>
      <c r="H118" s="11">
        <f>IF(A118="","",Universe!E118/BDP(A118&amp;" US Equity","HIGH_52WEEK")*100)</f>
        <v/>
      </c>
      <c r="I118">
        <f>IF(D118="","",D118&gt;=5)</f>
        <v/>
      </c>
      <c r="J118">
        <f>IF(F118="","",F118&gt;=5)</f>
        <v/>
      </c>
      <c r="K118">
        <f>IF(H118="","",H118&gt;=75)</f>
        <v/>
      </c>
      <c r="L118">
        <f>IF(OR(I118="",J118="",K118=""),FALSE,AND(I118,J118,K118))</f>
        <v/>
      </c>
    </row>
    <row r="119">
      <c r="A119">
        <f>Universe!A119</f>
        <v/>
      </c>
      <c r="B119" s="10" t="n"/>
      <c r="C119" s="11">
        <f>IF(B119="","",PERCENTRANK.INC($B$2:$B$2501,B119)*100)</f>
        <v/>
      </c>
      <c r="D119" s="10" t="n"/>
      <c r="E119" s="10">
        <f>IF(D119="","",MIN(D119,100))</f>
        <v/>
      </c>
      <c r="F119" s="10" t="n"/>
      <c r="G119" s="10">
        <f>IF(F119="","",MIN(F119,100))</f>
        <v/>
      </c>
      <c r="H119" s="11">
        <f>IF(A119="","",Universe!E119/BDP(A119&amp;" US Equity","HIGH_52WEEK")*100)</f>
        <v/>
      </c>
      <c r="I119">
        <f>IF(D119="","",D119&gt;=5)</f>
        <v/>
      </c>
      <c r="J119">
        <f>IF(F119="","",F119&gt;=5)</f>
        <v/>
      </c>
      <c r="K119">
        <f>IF(H119="","",H119&gt;=75)</f>
        <v/>
      </c>
      <c r="L119">
        <f>IF(OR(I119="",J119="",K119=""),FALSE,AND(I119,J119,K119))</f>
        <v/>
      </c>
    </row>
    <row r="120">
      <c r="A120">
        <f>Universe!A120</f>
        <v/>
      </c>
      <c r="B120" s="10" t="n"/>
      <c r="C120" s="11">
        <f>IF(B120="","",PERCENTRANK.INC($B$2:$B$2501,B120)*100)</f>
        <v/>
      </c>
      <c r="D120" s="10" t="n"/>
      <c r="E120" s="10">
        <f>IF(D120="","",MIN(D120,100))</f>
        <v/>
      </c>
      <c r="F120" s="10" t="n"/>
      <c r="G120" s="10">
        <f>IF(F120="","",MIN(F120,100))</f>
        <v/>
      </c>
      <c r="H120" s="11">
        <f>IF(A120="","",Universe!E120/BDP(A120&amp;" US Equity","HIGH_52WEEK")*100)</f>
        <v/>
      </c>
      <c r="I120">
        <f>IF(D120="","",D120&gt;=5)</f>
        <v/>
      </c>
      <c r="J120">
        <f>IF(F120="","",F120&gt;=5)</f>
        <v/>
      </c>
      <c r="K120">
        <f>IF(H120="","",H120&gt;=75)</f>
        <v/>
      </c>
      <c r="L120">
        <f>IF(OR(I120="",J120="",K120=""),FALSE,AND(I120,J120,K120))</f>
        <v/>
      </c>
    </row>
    <row r="121">
      <c r="A121">
        <f>Universe!A121</f>
        <v/>
      </c>
      <c r="B121" s="10" t="n"/>
      <c r="C121" s="11">
        <f>IF(B121="","",PERCENTRANK.INC($B$2:$B$2501,B121)*100)</f>
        <v/>
      </c>
      <c r="D121" s="10" t="n"/>
      <c r="E121" s="10">
        <f>IF(D121="","",MIN(D121,100))</f>
        <v/>
      </c>
      <c r="F121" s="10" t="n"/>
      <c r="G121" s="10">
        <f>IF(F121="","",MIN(F121,100))</f>
        <v/>
      </c>
      <c r="H121" s="11">
        <f>IF(A121="","",Universe!E121/BDP(A121&amp;" US Equity","HIGH_52WEEK")*100)</f>
        <v/>
      </c>
      <c r="I121">
        <f>IF(D121="","",D121&gt;=5)</f>
        <v/>
      </c>
      <c r="J121">
        <f>IF(F121="","",F121&gt;=5)</f>
        <v/>
      </c>
      <c r="K121">
        <f>IF(H121="","",H121&gt;=75)</f>
        <v/>
      </c>
      <c r="L121">
        <f>IF(OR(I121="",J121="",K121=""),FALSE,AND(I121,J121,K121))</f>
        <v/>
      </c>
    </row>
    <row r="122">
      <c r="A122">
        <f>Universe!A122</f>
        <v/>
      </c>
      <c r="B122" s="10" t="n"/>
      <c r="C122" s="11">
        <f>IF(B122="","",PERCENTRANK.INC($B$2:$B$2501,B122)*100)</f>
        <v/>
      </c>
      <c r="D122" s="10" t="n"/>
      <c r="E122" s="10">
        <f>IF(D122="","",MIN(D122,100))</f>
        <v/>
      </c>
      <c r="F122" s="10" t="n"/>
      <c r="G122" s="10">
        <f>IF(F122="","",MIN(F122,100))</f>
        <v/>
      </c>
      <c r="H122" s="11">
        <f>IF(A122="","",Universe!E122/BDP(A122&amp;" US Equity","HIGH_52WEEK")*100)</f>
        <v/>
      </c>
      <c r="I122">
        <f>IF(D122="","",D122&gt;=5)</f>
        <v/>
      </c>
      <c r="J122">
        <f>IF(F122="","",F122&gt;=5)</f>
        <v/>
      </c>
      <c r="K122">
        <f>IF(H122="","",H122&gt;=75)</f>
        <v/>
      </c>
      <c r="L122">
        <f>IF(OR(I122="",J122="",K122=""),FALSE,AND(I122,J122,K122))</f>
        <v/>
      </c>
    </row>
    <row r="123">
      <c r="A123">
        <f>Universe!A123</f>
        <v/>
      </c>
      <c r="B123" s="10" t="n"/>
      <c r="C123" s="11">
        <f>IF(B123="","",PERCENTRANK.INC($B$2:$B$2501,B123)*100)</f>
        <v/>
      </c>
      <c r="D123" s="10" t="n"/>
      <c r="E123" s="10">
        <f>IF(D123="","",MIN(D123,100))</f>
        <v/>
      </c>
      <c r="F123" s="10" t="n"/>
      <c r="G123" s="10">
        <f>IF(F123="","",MIN(F123,100))</f>
        <v/>
      </c>
      <c r="H123" s="11">
        <f>IF(A123="","",Universe!E123/BDP(A123&amp;" US Equity","HIGH_52WEEK")*100)</f>
        <v/>
      </c>
      <c r="I123">
        <f>IF(D123="","",D123&gt;=5)</f>
        <v/>
      </c>
      <c r="J123">
        <f>IF(F123="","",F123&gt;=5)</f>
        <v/>
      </c>
      <c r="K123">
        <f>IF(H123="","",H123&gt;=75)</f>
        <v/>
      </c>
      <c r="L123">
        <f>IF(OR(I123="",J123="",K123=""),FALSE,AND(I123,J123,K123))</f>
        <v/>
      </c>
    </row>
    <row r="124">
      <c r="A124">
        <f>Universe!A124</f>
        <v/>
      </c>
      <c r="B124" s="10" t="n"/>
      <c r="C124" s="11">
        <f>IF(B124="","",PERCENTRANK.INC($B$2:$B$2501,B124)*100)</f>
        <v/>
      </c>
      <c r="D124" s="10" t="n"/>
      <c r="E124" s="10">
        <f>IF(D124="","",MIN(D124,100))</f>
        <v/>
      </c>
      <c r="F124" s="10" t="n"/>
      <c r="G124" s="10">
        <f>IF(F124="","",MIN(F124,100))</f>
        <v/>
      </c>
      <c r="H124" s="11">
        <f>IF(A124="","",Universe!E124/BDP(A124&amp;" US Equity","HIGH_52WEEK")*100)</f>
        <v/>
      </c>
      <c r="I124">
        <f>IF(D124="","",D124&gt;=5)</f>
        <v/>
      </c>
      <c r="J124">
        <f>IF(F124="","",F124&gt;=5)</f>
        <v/>
      </c>
      <c r="K124">
        <f>IF(H124="","",H124&gt;=75)</f>
        <v/>
      </c>
      <c r="L124">
        <f>IF(OR(I124="",J124="",K124=""),FALSE,AND(I124,J124,K124))</f>
        <v/>
      </c>
    </row>
    <row r="125">
      <c r="A125">
        <f>Universe!A125</f>
        <v/>
      </c>
      <c r="B125" s="10" t="n"/>
      <c r="C125" s="11">
        <f>IF(B125="","",PERCENTRANK.INC($B$2:$B$2501,B125)*100)</f>
        <v/>
      </c>
      <c r="D125" s="10" t="n"/>
      <c r="E125" s="10">
        <f>IF(D125="","",MIN(D125,100))</f>
        <v/>
      </c>
      <c r="F125" s="10" t="n"/>
      <c r="G125" s="10">
        <f>IF(F125="","",MIN(F125,100))</f>
        <v/>
      </c>
      <c r="H125" s="11">
        <f>IF(A125="","",Universe!E125/BDP(A125&amp;" US Equity","HIGH_52WEEK")*100)</f>
        <v/>
      </c>
      <c r="I125">
        <f>IF(D125="","",D125&gt;=5)</f>
        <v/>
      </c>
      <c r="J125">
        <f>IF(F125="","",F125&gt;=5)</f>
        <v/>
      </c>
      <c r="K125">
        <f>IF(H125="","",H125&gt;=75)</f>
        <v/>
      </c>
      <c r="L125">
        <f>IF(OR(I125="",J125="",K125=""),FALSE,AND(I125,J125,K125))</f>
        <v/>
      </c>
    </row>
    <row r="126">
      <c r="A126">
        <f>Universe!A126</f>
        <v/>
      </c>
      <c r="B126" s="10" t="n"/>
      <c r="C126" s="11">
        <f>IF(B126="","",PERCENTRANK.INC($B$2:$B$2501,B126)*100)</f>
        <v/>
      </c>
      <c r="D126" s="10" t="n"/>
      <c r="E126" s="10">
        <f>IF(D126="","",MIN(D126,100))</f>
        <v/>
      </c>
      <c r="F126" s="10" t="n"/>
      <c r="G126" s="10">
        <f>IF(F126="","",MIN(F126,100))</f>
        <v/>
      </c>
      <c r="H126" s="11">
        <f>IF(A126="","",Universe!E126/BDP(A126&amp;" US Equity","HIGH_52WEEK")*100)</f>
        <v/>
      </c>
      <c r="I126">
        <f>IF(D126="","",D126&gt;=5)</f>
        <v/>
      </c>
      <c r="J126">
        <f>IF(F126="","",F126&gt;=5)</f>
        <v/>
      </c>
      <c r="K126">
        <f>IF(H126="","",H126&gt;=75)</f>
        <v/>
      </c>
      <c r="L126">
        <f>IF(OR(I126="",J126="",K126=""),FALSE,AND(I126,J126,K126))</f>
        <v/>
      </c>
    </row>
    <row r="127">
      <c r="A127">
        <f>Universe!A127</f>
        <v/>
      </c>
      <c r="B127" s="10" t="n"/>
      <c r="C127" s="11">
        <f>IF(B127="","",PERCENTRANK.INC($B$2:$B$2501,B127)*100)</f>
        <v/>
      </c>
      <c r="D127" s="10" t="n"/>
      <c r="E127" s="10">
        <f>IF(D127="","",MIN(D127,100))</f>
        <v/>
      </c>
      <c r="F127" s="10" t="n"/>
      <c r="G127" s="10">
        <f>IF(F127="","",MIN(F127,100))</f>
        <v/>
      </c>
      <c r="H127" s="11">
        <f>IF(A127="","",Universe!E127/BDP(A127&amp;" US Equity","HIGH_52WEEK")*100)</f>
        <v/>
      </c>
      <c r="I127">
        <f>IF(D127="","",D127&gt;=5)</f>
        <v/>
      </c>
      <c r="J127">
        <f>IF(F127="","",F127&gt;=5)</f>
        <v/>
      </c>
      <c r="K127">
        <f>IF(H127="","",H127&gt;=75)</f>
        <v/>
      </c>
      <c r="L127">
        <f>IF(OR(I127="",J127="",K127=""),FALSE,AND(I127,J127,K127))</f>
        <v/>
      </c>
    </row>
    <row r="128">
      <c r="A128">
        <f>Universe!A128</f>
        <v/>
      </c>
      <c r="B128" s="10" t="n"/>
      <c r="C128" s="11">
        <f>IF(B128="","",PERCENTRANK.INC($B$2:$B$2501,B128)*100)</f>
        <v/>
      </c>
      <c r="D128" s="10" t="n"/>
      <c r="E128" s="10">
        <f>IF(D128="","",MIN(D128,100))</f>
        <v/>
      </c>
      <c r="F128" s="10" t="n"/>
      <c r="G128" s="10">
        <f>IF(F128="","",MIN(F128,100))</f>
        <v/>
      </c>
      <c r="H128" s="11">
        <f>IF(A128="","",Universe!E128/BDP(A128&amp;" US Equity","HIGH_52WEEK")*100)</f>
        <v/>
      </c>
      <c r="I128">
        <f>IF(D128="","",D128&gt;=5)</f>
        <v/>
      </c>
      <c r="J128">
        <f>IF(F128="","",F128&gt;=5)</f>
        <v/>
      </c>
      <c r="K128">
        <f>IF(H128="","",H128&gt;=75)</f>
        <v/>
      </c>
      <c r="L128">
        <f>IF(OR(I128="",J128="",K128=""),FALSE,AND(I128,J128,K128))</f>
        <v/>
      </c>
    </row>
    <row r="129">
      <c r="A129">
        <f>Universe!A129</f>
        <v/>
      </c>
      <c r="B129" s="10" t="n"/>
      <c r="C129" s="11">
        <f>IF(B129="","",PERCENTRANK.INC($B$2:$B$2501,B129)*100)</f>
        <v/>
      </c>
      <c r="D129" s="10" t="n"/>
      <c r="E129" s="10">
        <f>IF(D129="","",MIN(D129,100))</f>
        <v/>
      </c>
      <c r="F129" s="10" t="n"/>
      <c r="G129" s="10">
        <f>IF(F129="","",MIN(F129,100))</f>
        <v/>
      </c>
      <c r="H129" s="11">
        <f>IF(A129="","",Universe!E129/BDP(A129&amp;" US Equity","HIGH_52WEEK")*100)</f>
        <v/>
      </c>
      <c r="I129">
        <f>IF(D129="","",D129&gt;=5)</f>
        <v/>
      </c>
      <c r="J129">
        <f>IF(F129="","",F129&gt;=5)</f>
        <v/>
      </c>
      <c r="K129">
        <f>IF(H129="","",H129&gt;=75)</f>
        <v/>
      </c>
      <c r="L129">
        <f>IF(OR(I129="",J129="",K129=""),FALSE,AND(I129,J129,K129))</f>
        <v/>
      </c>
    </row>
    <row r="130">
      <c r="A130">
        <f>Universe!A130</f>
        <v/>
      </c>
      <c r="B130" s="10" t="n"/>
      <c r="C130" s="11">
        <f>IF(B130="","",PERCENTRANK.INC($B$2:$B$2501,B130)*100)</f>
        <v/>
      </c>
      <c r="D130" s="10" t="n"/>
      <c r="E130" s="10">
        <f>IF(D130="","",MIN(D130,100))</f>
        <v/>
      </c>
      <c r="F130" s="10" t="n"/>
      <c r="G130" s="10">
        <f>IF(F130="","",MIN(F130,100))</f>
        <v/>
      </c>
      <c r="H130" s="11">
        <f>IF(A130="","",Universe!E130/BDP(A130&amp;" US Equity","HIGH_52WEEK")*100)</f>
        <v/>
      </c>
      <c r="I130">
        <f>IF(D130="","",D130&gt;=5)</f>
        <v/>
      </c>
      <c r="J130">
        <f>IF(F130="","",F130&gt;=5)</f>
        <v/>
      </c>
      <c r="K130">
        <f>IF(H130="","",H130&gt;=75)</f>
        <v/>
      </c>
      <c r="L130">
        <f>IF(OR(I130="",J130="",K130=""),FALSE,AND(I130,J130,K130))</f>
        <v/>
      </c>
    </row>
    <row r="131">
      <c r="A131">
        <f>Universe!A131</f>
        <v/>
      </c>
      <c r="B131" s="10" t="n"/>
      <c r="C131" s="11">
        <f>IF(B131="","",PERCENTRANK.INC($B$2:$B$2501,B131)*100)</f>
        <v/>
      </c>
      <c r="D131" s="10" t="n"/>
      <c r="E131" s="10">
        <f>IF(D131="","",MIN(D131,100))</f>
        <v/>
      </c>
      <c r="F131" s="10" t="n"/>
      <c r="G131" s="10">
        <f>IF(F131="","",MIN(F131,100))</f>
        <v/>
      </c>
      <c r="H131" s="11">
        <f>IF(A131="","",Universe!E131/BDP(A131&amp;" US Equity","HIGH_52WEEK")*100)</f>
        <v/>
      </c>
      <c r="I131">
        <f>IF(D131="","",D131&gt;=5)</f>
        <v/>
      </c>
      <c r="J131">
        <f>IF(F131="","",F131&gt;=5)</f>
        <v/>
      </c>
      <c r="K131">
        <f>IF(H131="","",H131&gt;=75)</f>
        <v/>
      </c>
      <c r="L131">
        <f>IF(OR(I131="",J131="",K131=""),FALSE,AND(I131,J131,K131))</f>
        <v/>
      </c>
    </row>
    <row r="132">
      <c r="A132">
        <f>Universe!A132</f>
        <v/>
      </c>
      <c r="B132" s="10" t="n"/>
      <c r="C132" s="11">
        <f>IF(B132="","",PERCENTRANK.INC($B$2:$B$2501,B132)*100)</f>
        <v/>
      </c>
      <c r="D132" s="10" t="n"/>
      <c r="E132" s="10">
        <f>IF(D132="","",MIN(D132,100))</f>
        <v/>
      </c>
      <c r="F132" s="10" t="n"/>
      <c r="G132" s="10">
        <f>IF(F132="","",MIN(F132,100))</f>
        <v/>
      </c>
      <c r="H132" s="11">
        <f>IF(A132="","",Universe!E132/BDP(A132&amp;" US Equity","HIGH_52WEEK")*100)</f>
        <v/>
      </c>
      <c r="I132">
        <f>IF(D132="","",D132&gt;=5)</f>
        <v/>
      </c>
      <c r="J132">
        <f>IF(F132="","",F132&gt;=5)</f>
        <v/>
      </c>
      <c r="K132">
        <f>IF(H132="","",H132&gt;=75)</f>
        <v/>
      </c>
      <c r="L132">
        <f>IF(OR(I132="",J132="",K132=""),FALSE,AND(I132,J132,K132))</f>
        <v/>
      </c>
    </row>
    <row r="133">
      <c r="A133">
        <f>Universe!A133</f>
        <v/>
      </c>
      <c r="B133" s="10" t="n"/>
      <c r="C133" s="11">
        <f>IF(B133="","",PERCENTRANK.INC($B$2:$B$2501,B133)*100)</f>
        <v/>
      </c>
      <c r="D133" s="10" t="n"/>
      <c r="E133" s="10">
        <f>IF(D133="","",MIN(D133,100))</f>
        <v/>
      </c>
      <c r="F133" s="10" t="n"/>
      <c r="G133" s="10">
        <f>IF(F133="","",MIN(F133,100))</f>
        <v/>
      </c>
      <c r="H133" s="11">
        <f>IF(A133="","",Universe!E133/BDP(A133&amp;" US Equity","HIGH_52WEEK")*100)</f>
        <v/>
      </c>
      <c r="I133">
        <f>IF(D133="","",D133&gt;=5)</f>
        <v/>
      </c>
      <c r="J133">
        <f>IF(F133="","",F133&gt;=5)</f>
        <v/>
      </c>
      <c r="K133">
        <f>IF(H133="","",H133&gt;=75)</f>
        <v/>
      </c>
      <c r="L133">
        <f>IF(OR(I133="",J133="",K133=""),FALSE,AND(I133,J133,K133))</f>
        <v/>
      </c>
    </row>
    <row r="134">
      <c r="A134">
        <f>Universe!A134</f>
        <v/>
      </c>
      <c r="B134" s="10" t="n"/>
      <c r="C134" s="11">
        <f>IF(B134="","",PERCENTRANK.INC($B$2:$B$2501,B134)*100)</f>
        <v/>
      </c>
      <c r="D134" s="10" t="n"/>
      <c r="E134" s="10">
        <f>IF(D134="","",MIN(D134,100))</f>
        <v/>
      </c>
      <c r="F134" s="10" t="n"/>
      <c r="G134" s="10">
        <f>IF(F134="","",MIN(F134,100))</f>
        <v/>
      </c>
      <c r="H134" s="11">
        <f>IF(A134="","",Universe!E134/BDP(A134&amp;" US Equity","HIGH_52WEEK")*100)</f>
        <v/>
      </c>
      <c r="I134">
        <f>IF(D134="","",D134&gt;=5)</f>
        <v/>
      </c>
      <c r="J134">
        <f>IF(F134="","",F134&gt;=5)</f>
        <v/>
      </c>
      <c r="K134">
        <f>IF(H134="","",H134&gt;=75)</f>
        <v/>
      </c>
      <c r="L134">
        <f>IF(OR(I134="",J134="",K134=""),FALSE,AND(I134,J134,K134))</f>
        <v/>
      </c>
    </row>
    <row r="135">
      <c r="A135">
        <f>Universe!A135</f>
        <v/>
      </c>
      <c r="B135" s="10" t="n"/>
      <c r="C135" s="11">
        <f>IF(B135="","",PERCENTRANK.INC($B$2:$B$2501,B135)*100)</f>
        <v/>
      </c>
      <c r="D135" s="10" t="n"/>
      <c r="E135" s="10">
        <f>IF(D135="","",MIN(D135,100))</f>
        <v/>
      </c>
      <c r="F135" s="10" t="n"/>
      <c r="G135" s="10">
        <f>IF(F135="","",MIN(F135,100))</f>
        <v/>
      </c>
      <c r="H135" s="11">
        <f>IF(A135="","",Universe!E135/BDP(A135&amp;" US Equity","HIGH_52WEEK")*100)</f>
        <v/>
      </c>
      <c r="I135">
        <f>IF(D135="","",D135&gt;=5)</f>
        <v/>
      </c>
      <c r="J135">
        <f>IF(F135="","",F135&gt;=5)</f>
        <v/>
      </c>
      <c r="K135">
        <f>IF(H135="","",H135&gt;=75)</f>
        <v/>
      </c>
      <c r="L135">
        <f>IF(OR(I135="",J135="",K135=""),FALSE,AND(I135,J135,K135))</f>
        <v/>
      </c>
    </row>
    <row r="136">
      <c r="A136">
        <f>Universe!A136</f>
        <v/>
      </c>
      <c r="B136" s="10" t="n"/>
      <c r="C136" s="11">
        <f>IF(B136="","",PERCENTRANK.INC($B$2:$B$2501,B136)*100)</f>
        <v/>
      </c>
      <c r="D136" s="10" t="n"/>
      <c r="E136" s="10">
        <f>IF(D136="","",MIN(D136,100))</f>
        <v/>
      </c>
      <c r="F136" s="10" t="n"/>
      <c r="G136" s="10">
        <f>IF(F136="","",MIN(F136,100))</f>
        <v/>
      </c>
      <c r="H136" s="11">
        <f>IF(A136="","",Universe!E136/BDP(A136&amp;" US Equity","HIGH_52WEEK")*100)</f>
        <v/>
      </c>
      <c r="I136">
        <f>IF(D136="","",D136&gt;=5)</f>
        <v/>
      </c>
      <c r="J136">
        <f>IF(F136="","",F136&gt;=5)</f>
        <v/>
      </c>
      <c r="K136">
        <f>IF(H136="","",H136&gt;=75)</f>
        <v/>
      </c>
      <c r="L136">
        <f>IF(OR(I136="",J136="",K136=""),FALSE,AND(I136,J136,K136))</f>
        <v/>
      </c>
    </row>
    <row r="137">
      <c r="A137">
        <f>Universe!A137</f>
        <v/>
      </c>
      <c r="B137" s="10" t="n"/>
      <c r="C137" s="11">
        <f>IF(B137="","",PERCENTRANK.INC($B$2:$B$2501,B137)*100)</f>
        <v/>
      </c>
      <c r="D137" s="10" t="n"/>
      <c r="E137" s="10">
        <f>IF(D137="","",MIN(D137,100))</f>
        <v/>
      </c>
      <c r="F137" s="10" t="n"/>
      <c r="G137" s="10">
        <f>IF(F137="","",MIN(F137,100))</f>
        <v/>
      </c>
      <c r="H137" s="11">
        <f>IF(A137="","",Universe!E137/BDP(A137&amp;" US Equity","HIGH_52WEEK")*100)</f>
        <v/>
      </c>
      <c r="I137">
        <f>IF(D137="","",D137&gt;=5)</f>
        <v/>
      </c>
      <c r="J137">
        <f>IF(F137="","",F137&gt;=5)</f>
        <v/>
      </c>
      <c r="K137">
        <f>IF(H137="","",H137&gt;=75)</f>
        <v/>
      </c>
      <c r="L137">
        <f>IF(OR(I137="",J137="",K137=""),FALSE,AND(I137,J137,K137))</f>
        <v/>
      </c>
    </row>
    <row r="138">
      <c r="A138">
        <f>Universe!A138</f>
        <v/>
      </c>
      <c r="B138" s="10" t="n"/>
      <c r="C138" s="11">
        <f>IF(B138="","",PERCENTRANK.INC($B$2:$B$2501,B138)*100)</f>
        <v/>
      </c>
      <c r="D138" s="10" t="n"/>
      <c r="E138" s="10">
        <f>IF(D138="","",MIN(D138,100))</f>
        <v/>
      </c>
      <c r="F138" s="10" t="n"/>
      <c r="G138" s="10">
        <f>IF(F138="","",MIN(F138,100))</f>
        <v/>
      </c>
      <c r="H138" s="11">
        <f>IF(A138="","",Universe!E138/BDP(A138&amp;" US Equity","HIGH_52WEEK")*100)</f>
        <v/>
      </c>
      <c r="I138">
        <f>IF(D138="","",D138&gt;=5)</f>
        <v/>
      </c>
      <c r="J138">
        <f>IF(F138="","",F138&gt;=5)</f>
        <v/>
      </c>
      <c r="K138">
        <f>IF(H138="","",H138&gt;=75)</f>
        <v/>
      </c>
      <c r="L138">
        <f>IF(OR(I138="",J138="",K138=""),FALSE,AND(I138,J138,K138))</f>
        <v/>
      </c>
    </row>
    <row r="139">
      <c r="A139">
        <f>Universe!A139</f>
        <v/>
      </c>
      <c r="B139" s="10" t="n"/>
      <c r="C139" s="11">
        <f>IF(B139="","",PERCENTRANK.INC($B$2:$B$2501,B139)*100)</f>
        <v/>
      </c>
      <c r="D139" s="10" t="n"/>
      <c r="E139" s="10">
        <f>IF(D139="","",MIN(D139,100))</f>
        <v/>
      </c>
      <c r="F139" s="10" t="n"/>
      <c r="G139" s="10">
        <f>IF(F139="","",MIN(F139,100))</f>
        <v/>
      </c>
      <c r="H139" s="11">
        <f>IF(A139="","",Universe!E139/BDP(A139&amp;" US Equity","HIGH_52WEEK")*100)</f>
        <v/>
      </c>
      <c r="I139">
        <f>IF(D139="","",D139&gt;=5)</f>
        <v/>
      </c>
      <c r="J139">
        <f>IF(F139="","",F139&gt;=5)</f>
        <v/>
      </c>
      <c r="K139">
        <f>IF(H139="","",H139&gt;=75)</f>
        <v/>
      </c>
      <c r="L139">
        <f>IF(OR(I139="",J139="",K139=""),FALSE,AND(I139,J139,K139))</f>
        <v/>
      </c>
    </row>
    <row r="140">
      <c r="A140">
        <f>Universe!A140</f>
        <v/>
      </c>
      <c r="B140" s="10" t="n"/>
      <c r="C140" s="11">
        <f>IF(B140="","",PERCENTRANK.INC($B$2:$B$2501,B140)*100)</f>
        <v/>
      </c>
      <c r="D140" s="10" t="n"/>
      <c r="E140" s="10">
        <f>IF(D140="","",MIN(D140,100))</f>
        <v/>
      </c>
      <c r="F140" s="10" t="n"/>
      <c r="G140" s="10">
        <f>IF(F140="","",MIN(F140,100))</f>
        <v/>
      </c>
      <c r="H140" s="11">
        <f>IF(A140="","",Universe!E140/BDP(A140&amp;" US Equity","HIGH_52WEEK")*100)</f>
        <v/>
      </c>
      <c r="I140">
        <f>IF(D140="","",D140&gt;=5)</f>
        <v/>
      </c>
      <c r="J140">
        <f>IF(F140="","",F140&gt;=5)</f>
        <v/>
      </c>
      <c r="K140">
        <f>IF(H140="","",H140&gt;=75)</f>
        <v/>
      </c>
      <c r="L140">
        <f>IF(OR(I140="",J140="",K140=""),FALSE,AND(I140,J140,K140))</f>
        <v/>
      </c>
    </row>
    <row r="141">
      <c r="A141">
        <f>Universe!A141</f>
        <v/>
      </c>
      <c r="B141" s="10" t="n"/>
      <c r="C141" s="11">
        <f>IF(B141="","",PERCENTRANK.INC($B$2:$B$2501,B141)*100)</f>
        <v/>
      </c>
      <c r="D141" s="10" t="n"/>
      <c r="E141" s="10">
        <f>IF(D141="","",MIN(D141,100))</f>
        <v/>
      </c>
      <c r="F141" s="10" t="n"/>
      <c r="G141" s="10">
        <f>IF(F141="","",MIN(F141,100))</f>
        <v/>
      </c>
      <c r="H141" s="11">
        <f>IF(A141="","",Universe!E141/BDP(A141&amp;" US Equity","HIGH_52WEEK")*100)</f>
        <v/>
      </c>
      <c r="I141">
        <f>IF(D141="","",D141&gt;=5)</f>
        <v/>
      </c>
      <c r="J141">
        <f>IF(F141="","",F141&gt;=5)</f>
        <v/>
      </c>
      <c r="K141">
        <f>IF(H141="","",H141&gt;=75)</f>
        <v/>
      </c>
      <c r="L141">
        <f>IF(OR(I141="",J141="",K141=""),FALSE,AND(I141,J141,K141))</f>
        <v/>
      </c>
    </row>
    <row r="142">
      <c r="A142">
        <f>Universe!A142</f>
        <v/>
      </c>
      <c r="B142" s="10" t="n"/>
      <c r="C142" s="11">
        <f>IF(B142="","",PERCENTRANK.INC($B$2:$B$2501,B142)*100)</f>
        <v/>
      </c>
      <c r="D142" s="10" t="n"/>
      <c r="E142" s="10">
        <f>IF(D142="","",MIN(D142,100))</f>
        <v/>
      </c>
      <c r="F142" s="10" t="n"/>
      <c r="G142" s="10">
        <f>IF(F142="","",MIN(F142,100))</f>
        <v/>
      </c>
      <c r="H142" s="11">
        <f>IF(A142="","",Universe!E142/BDP(A142&amp;" US Equity","HIGH_52WEEK")*100)</f>
        <v/>
      </c>
      <c r="I142">
        <f>IF(D142="","",D142&gt;=5)</f>
        <v/>
      </c>
      <c r="J142">
        <f>IF(F142="","",F142&gt;=5)</f>
        <v/>
      </c>
      <c r="K142">
        <f>IF(H142="","",H142&gt;=75)</f>
        <v/>
      </c>
      <c r="L142">
        <f>IF(OR(I142="",J142="",K142=""),FALSE,AND(I142,J142,K142))</f>
        <v/>
      </c>
    </row>
    <row r="143">
      <c r="A143">
        <f>Universe!A143</f>
        <v/>
      </c>
      <c r="B143" s="10" t="n"/>
      <c r="C143" s="11">
        <f>IF(B143="","",PERCENTRANK.INC($B$2:$B$2501,B143)*100)</f>
        <v/>
      </c>
      <c r="D143" s="10" t="n"/>
      <c r="E143" s="10">
        <f>IF(D143="","",MIN(D143,100))</f>
        <v/>
      </c>
      <c r="F143" s="10" t="n"/>
      <c r="G143" s="10">
        <f>IF(F143="","",MIN(F143,100))</f>
        <v/>
      </c>
      <c r="H143" s="11">
        <f>IF(A143="","",Universe!E143/BDP(A143&amp;" US Equity","HIGH_52WEEK")*100)</f>
        <v/>
      </c>
      <c r="I143">
        <f>IF(D143="","",D143&gt;=5)</f>
        <v/>
      </c>
      <c r="J143">
        <f>IF(F143="","",F143&gt;=5)</f>
        <v/>
      </c>
      <c r="K143">
        <f>IF(H143="","",H143&gt;=75)</f>
        <v/>
      </c>
      <c r="L143">
        <f>IF(OR(I143="",J143="",K143=""),FALSE,AND(I143,J143,K143))</f>
        <v/>
      </c>
    </row>
    <row r="144">
      <c r="A144">
        <f>Universe!A144</f>
        <v/>
      </c>
      <c r="B144" s="10" t="n"/>
      <c r="C144" s="11">
        <f>IF(B144="","",PERCENTRANK.INC($B$2:$B$2501,B144)*100)</f>
        <v/>
      </c>
      <c r="D144" s="10" t="n"/>
      <c r="E144" s="10">
        <f>IF(D144="","",MIN(D144,100))</f>
        <v/>
      </c>
      <c r="F144" s="10" t="n"/>
      <c r="G144" s="10">
        <f>IF(F144="","",MIN(F144,100))</f>
        <v/>
      </c>
      <c r="H144" s="11">
        <f>IF(A144="","",Universe!E144/BDP(A144&amp;" US Equity","HIGH_52WEEK")*100)</f>
        <v/>
      </c>
      <c r="I144">
        <f>IF(D144="","",D144&gt;=5)</f>
        <v/>
      </c>
      <c r="J144">
        <f>IF(F144="","",F144&gt;=5)</f>
        <v/>
      </c>
      <c r="K144">
        <f>IF(H144="","",H144&gt;=75)</f>
        <v/>
      </c>
      <c r="L144">
        <f>IF(OR(I144="",J144="",K144=""),FALSE,AND(I144,J144,K144))</f>
        <v/>
      </c>
    </row>
    <row r="145">
      <c r="A145">
        <f>Universe!A145</f>
        <v/>
      </c>
      <c r="B145" s="10" t="n"/>
      <c r="C145" s="11">
        <f>IF(B145="","",PERCENTRANK.INC($B$2:$B$2501,B145)*100)</f>
        <v/>
      </c>
      <c r="D145" s="10" t="n"/>
      <c r="E145" s="10">
        <f>IF(D145="","",MIN(D145,100))</f>
        <v/>
      </c>
      <c r="F145" s="10" t="n"/>
      <c r="G145" s="10">
        <f>IF(F145="","",MIN(F145,100))</f>
        <v/>
      </c>
      <c r="H145" s="11">
        <f>IF(A145="","",Universe!E145/BDP(A145&amp;" US Equity","HIGH_52WEEK")*100)</f>
        <v/>
      </c>
      <c r="I145">
        <f>IF(D145="","",D145&gt;=5)</f>
        <v/>
      </c>
      <c r="J145">
        <f>IF(F145="","",F145&gt;=5)</f>
        <v/>
      </c>
      <c r="K145">
        <f>IF(H145="","",H145&gt;=75)</f>
        <v/>
      </c>
      <c r="L145">
        <f>IF(OR(I145="",J145="",K145=""),FALSE,AND(I145,J145,K145))</f>
        <v/>
      </c>
    </row>
    <row r="146">
      <c r="A146">
        <f>Universe!A146</f>
        <v/>
      </c>
      <c r="B146" s="10" t="n"/>
      <c r="C146" s="11">
        <f>IF(B146="","",PERCENTRANK.INC($B$2:$B$2501,B146)*100)</f>
        <v/>
      </c>
      <c r="D146" s="10" t="n"/>
      <c r="E146" s="10">
        <f>IF(D146="","",MIN(D146,100))</f>
        <v/>
      </c>
      <c r="F146" s="10" t="n"/>
      <c r="G146" s="10">
        <f>IF(F146="","",MIN(F146,100))</f>
        <v/>
      </c>
      <c r="H146" s="11">
        <f>IF(A146="","",Universe!E146/BDP(A146&amp;" US Equity","HIGH_52WEEK")*100)</f>
        <v/>
      </c>
      <c r="I146">
        <f>IF(D146="","",D146&gt;=5)</f>
        <v/>
      </c>
      <c r="J146">
        <f>IF(F146="","",F146&gt;=5)</f>
        <v/>
      </c>
      <c r="K146">
        <f>IF(H146="","",H146&gt;=75)</f>
        <v/>
      </c>
      <c r="L146">
        <f>IF(OR(I146="",J146="",K146=""),FALSE,AND(I146,J146,K146))</f>
        <v/>
      </c>
    </row>
    <row r="147">
      <c r="A147">
        <f>Universe!A147</f>
        <v/>
      </c>
      <c r="B147" s="10" t="n"/>
      <c r="C147" s="11">
        <f>IF(B147="","",PERCENTRANK.INC($B$2:$B$2501,B147)*100)</f>
        <v/>
      </c>
      <c r="D147" s="10" t="n"/>
      <c r="E147" s="10">
        <f>IF(D147="","",MIN(D147,100))</f>
        <v/>
      </c>
      <c r="F147" s="10" t="n"/>
      <c r="G147" s="10">
        <f>IF(F147="","",MIN(F147,100))</f>
        <v/>
      </c>
      <c r="H147" s="11">
        <f>IF(A147="","",Universe!E147/BDP(A147&amp;" US Equity","HIGH_52WEEK")*100)</f>
        <v/>
      </c>
      <c r="I147">
        <f>IF(D147="","",D147&gt;=5)</f>
        <v/>
      </c>
      <c r="J147">
        <f>IF(F147="","",F147&gt;=5)</f>
        <v/>
      </c>
      <c r="K147">
        <f>IF(H147="","",H147&gt;=75)</f>
        <v/>
      </c>
      <c r="L147">
        <f>IF(OR(I147="",J147="",K147=""),FALSE,AND(I147,J147,K147))</f>
        <v/>
      </c>
    </row>
    <row r="148">
      <c r="A148">
        <f>Universe!A148</f>
        <v/>
      </c>
      <c r="B148" s="10" t="n"/>
      <c r="C148" s="11">
        <f>IF(B148="","",PERCENTRANK.INC($B$2:$B$2501,B148)*100)</f>
        <v/>
      </c>
      <c r="D148" s="10" t="n"/>
      <c r="E148" s="10">
        <f>IF(D148="","",MIN(D148,100))</f>
        <v/>
      </c>
      <c r="F148" s="10" t="n"/>
      <c r="G148" s="10">
        <f>IF(F148="","",MIN(F148,100))</f>
        <v/>
      </c>
      <c r="H148" s="11">
        <f>IF(A148="","",Universe!E148/BDP(A148&amp;" US Equity","HIGH_52WEEK")*100)</f>
        <v/>
      </c>
      <c r="I148">
        <f>IF(D148="","",D148&gt;=5)</f>
        <v/>
      </c>
      <c r="J148">
        <f>IF(F148="","",F148&gt;=5)</f>
        <v/>
      </c>
      <c r="K148">
        <f>IF(H148="","",H148&gt;=75)</f>
        <v/>
      </c>
      <c r="L148">
        <f>IF(OR(I148="",J148="",K148=""),FALSE,AND(I148,J148,K148))</f>
        <v/>
      </c>
    </row>
    <row r="149">
      <c r="A149">
        <f>Universe!A149</f>
        <v/>
      </c>
      <c r="B149" s="10" t="n"/>
      <c r="C149" s="11">
        <f>IF(B149="","",PERCENTRANK.INC($B$2:$B$2501,B149)*100)</f>
        <v/>
      </c>
      <c r="D149" s="10" t="n"/>
      <c r="E149" s="10">
        <f>IF(D149="","",MIN(D149,100))</f>
        <v/>
      </c>
      <c r="F149" s="10" t="n"/>
      <c r="G149" s="10">
        <f>IF(F149="","",MIN(F149,100))</f>
        <v/>
      </c>
      <c r="H149" s="11">
        <f>IF(A149="","",Universe!E149/BDP(A149&amp;" US Equity","HIGH_52WEEK")*100)</f>
        <v/>
      </c>
      <c r="I149">
        <f>IF(D149="","",D149&gt;=5)</f>
        <v/>
      </c>
      <c r="J149">
        <f>IF(F149="","",F149&gt;=5)</f>
        <v/>
      </c>
      <c r="K149">
        <f>IF(H149="","",H149&gt;=75)</f>
        <v/>
      </c>
      <c r="L149">
        <f>IF(OR(I149="",J149="",K149=""),FALSE,AND(I149,J149,K149))</f>
        <v/>
      </c>
    </row>
    <row r="150">
      <c r="A150">
        <f>Universe!A150</f>
        <v/>
      </c>
      <c r="B150" s="10" t="n"/>
      <c r="C150" s="11">
        <f>IF(B150="","",PERCENTRANK.INC($B$2:$B$2501,B150)*100)</f>
        <v/>
      </c>
      <c r="D150" s="10" t="n"/>
      <c r="E150" s="10">
        <f>IF(D150="","",MIN(D150,100))</f>
        <v/>
      </c>
      <c r="F150" s="10" t="n"/>
      <c r="G150" s="10">
        <f>IF(F150="","",MIN(F150,100))</f>
        <v/>
      </c>
      <c r="H150" s="11">
        <f>IF(A150="","",Universe!E150/BDP(A150&amp;" US Equity","HIGH_52WEEK")*100)</f>
        <v/>
      </c>
      <c r="I150">
        <f>IF(D150="","",D150&gt;=5)</f>
        <v/>
      </c>
      <c r="J150">
        <f>IF(F150="","",F150&gt;=5)</f>
        <v/>
      </c>
      <c r="K150">
        <f>IF(H150="","",H150&gt;=75)</f>
        <v/>
      </c>
      <c r="L150">
        <f>IF(OR(I150="",J150="",K150=""),FALSE,AND(I150,J150,K150))</f>
        <v/>
      </c>
    </row>
    <row r="151">
      <c r="A151">
        <f>Universe!A151</f>
        <v/>
      </c>
      <c r="B151" s="10" t="n"/>
      <c r="C151" s="11">
        <f>IF(B151="","",PERCENTRANK.INC($B$2:$B$2501,B151)*100)</f>
        <v/>
      </c>
      <c r="D151" s="10" t="n"/>
      <c r="E151" s="10">
        <f>IF(D151="","",MIN(D151,100))</f>
        <v/>
      </c>
      <c r="F151" s="10" t="n"/>
      <c r="G151" s="10">
        <f>IF(F151="","",MIN(F151,100))</f>
        <v/>
      </c>
      <c r="H151" s="11">
        <f>IF(A151="","",Universe!E151/BDP(A151&amp;" US Equity","HIGH_52WEEK")*100)</f>
        <v/>
      </c>
      <c r="I151">
        <f>IF(D151="","",D151&gt;=5)</f>
        <v/>
      </c>
      <c r="J151">
        <f>IF(F151="","",F151&gt;=5)</f>
        <v/>
      </c>
      <c r="K151">
        <f>IF(H151="","",H151&gt;=75)</f>
        <v/>
      </c>
      <c r="L151">
        <f>IF(OR(I151="",J151="",K151=""),FALSE,AND(I151,J151,K151))</f>
        <v/>
      </c>
    </row>
    <row r="152">
      <c r="A152">
        <f>Universe!A152</f>
        <v/>
      </c>
      <c r="B152" s="10" t="n"/>
      <c r="C152" s="11">
        <f>IF(B152="","",PERCENTRANK.INC($B$2:$B$2501,B152)*100)</f>
        <v/>
      </c>
      <c r="D152" s="10" t="n"/>
      <c r="E152" s="10">
        <f>IF(D152="","",MIN(D152,100))</f>
        <v/>
      </c>
      <c r="F152" s="10" t="n"/>
      <c r="G152" s="10">
        <f>IF(F152="","",MIN(F152,100))</f>
        <v/>
      </c>
      <c r="H152" s="11">
        <f>IF(A152="","",Universe!E152/BDP(A152&amp;" US Equity","HIGH_52WEEK")*100)</f>
        <v/>
      </c>
      <c r="I152">
        <f>IF(D152="","",D152&gt;=5)</f>
        <v/>
      </c>
      <c r="J152">
        <f>IF(F152="","",F152&gt;=5)</f>
        <v/>
      </c>
      <c r="K152">
        <f>IF(H152="","",H152&gt;=75)</f>
        <v/>
      </c>
      <c r="L152">
        <f>IF(OR(I152="",J152="",K152=""),FALSE,AND(I152,J152,K152))</f>
        <v/>
      </c>
    </row>
    <row r="153">
      <c r="A153">
        <f>Universe!A153</f>
        <v/>
      </c>
      <c r="B153" s="10" t="n"/>
      <c r="C153" s="11">
        <f>IF(B153="","",PERCENTRANK.INC($B$2:$B$2501,B153)*100)</f>
        <v/>
      </c>
      <c r="D153" s="10" t="n"/>
      <c r="E153" s="10">
        <f>IF(D153="","",MIN(D153,100))</f>
        <v/>
      </c>
      <c r="F153" s="10" t="n"/>
      <c r="G153" s="10">
        <f>IF(F153="","",MIN(F153,100))</f>
        <v/>
      </c>
      <c r="H153" s="11">
        <f>IF(A153="","",Universe!E153/BDP(A153&amp;" US Equity","HIGH_52WEEK")*100)</f>
        <v/>
      </c>
      <c r="I153">
        <f>IF(D153="","",D153&gt;=5)</f>
        <v/>
      </c>
      <c r="J153">
        <f>IF(F153="","",F153&gt;=5)</f>
        <v/>
      </c>
      <c r="K153">
        <f>IF(H153="","",H153&gt;=75)</f>
        <v/>
      </c>
      <c r="L153">
        <f>IF(OR(I153="",J153="",K153=""),FALSE,AND(I153,J153,K153))</f>
        <v/>
      </c>
    </row>
    <row r="154">
      <c r="A154">
        <f>Universe!A154</f>
        <v/>
      </c>
      <c r="B154" s="10" t="n"/>
      <c r="C154" s="11">
        <f>IF(B154="","",PERCENTRANK.INC($B$2:$B$2501,B154)*100)</f>
        <v/>
      </c>
      <c r="D154" s="10" t="n"/>
      <c r="E154" s="10">
        <f>IF(D154="","",MIN(D154,100))</f>
        <v/>
      </c>
      <c r="F154" s="10" t="n"/>
      <c r="G154" s="10">
        <f>IF(F154="","",MIN(F154,100))</f>
        <v/>
      </c>
      <c r="H154" s="11">
        <f>IF(A154="","",Universe!E154/BDP(A154&amp;" US Equity","HIGH_52WEEK")*100)</f>
        <v/>
      </c>
      <c r="I154">
        <f>IF(D154="","",D154&gt;=5)</f>
        <v/>
      </c>
      <c r="J154">
        <f>IF(F154="","",F154&gt;=5)</f>
        <v/>
      </c>
      <c r="K154">
        <f>IF(H154="","",H154&gt;=75)</f>
        <v/>
      </c>
      <c r="L154">
        <f>IF(OR(I154="",J154="",K154=""),FALSE,AND(I154,J154,K154))</f>
        <v/>
      </c>
    </row>
    <row r="155">
      <c r="A155">
        <f>Universe!A155</f>
        <v/>
      </c>
      <c r="B155" s="10" t="n"/>
      <c r="C155" s="11">
        <f>IF(B155="","",PERCENTRANK.INC($B$2:$B$2501,B155)*100)</f>
        <v/>
      </c>
      <c r="D155" s="10" t="n"/>
      <c r="E155" s="10">
        <f>IF(D155="","",MIN(D155,100))</f>
        <v/>
      </c>
      <c r="F155" s="10" t="n"/>
      <c r="G155" s="10">
        <f>IF(F155="","",MIN(F155,100))</f>
        <v/>
      </c>
      <c r="H155" s="11">
        <f>IF(A155="","",Universe!E155/BDP(A155&amp;" US Equity","HIGH_52WEEK")*100)</f>
        <v/>
      </c>
      <c r="I155">
        <f>IF(D155="","",D155&gt;=5)</f>
        <v/>
      </c>
      <c r="J155">
        <f>IF(F155="","",F155&gt;=5)</f>
        <v/>
      </c>
      <c r="K155">
        <f>IF(H155="","",H155&gt;=75)</f>
        <v/>
      </c>
      <c r="L155">
        <f>IF(OR(I155="",J155="",K155=""),FALSE,AND(I155,J155,K155))</f>
        <v/>
      </c>
    </row>
    <row r="156">
      <c r="A156">
        <f>Universe!A156</f>
        <v/>
      </c>
      <c r="B156" s="10" t="n"/>
      <c r="C156" s="11">
        <f>IF(B156="","",PERCENTRANK.INC($B$2:$B$2501,B156)*100)</f>
        <v/>
      </c>
      <c r="D156" s="10" t="n"/>
      <c r="E156" s="10">
        <f>IF(D156="","",MIN(D156,100))</f>
        <v/>
      </c>
      <c r="F156" s="10" t="n"/>
      <c r="G156" s="10">
        <f>IF(F156="","",MIN(F156,100))</f>
        <v/>
      </c>
      <c r="H156" s="11">
        <f>IF(A156="","",Universe!E156/BDP(A156&amp;" US Equity","HIGH_52WEEK")*100)</f>
        <v/>
      </c>
      <c r="I156">
        <f>IF(D156="","",D156&gt;=5)</f>
        <v/>
      </c>
      <c r="J156">
        <f>IF(F156="","",F156&gt;=5)</f>
        <v/>
      </c>
      <c r="K156">
        <f>IF(H156="","",H156&gt;=75)</f>
        <v/>
      </c>
      <c r="L156">
        <f>IF(OR(I156="",J156="",K156=""),FALSE,AND(I156,J156,K156))</f>
        <v/>
      </c>
    </row>
    <row r="157">
      <c r="A157">
        <f>Universe!A157</f>
        <v/>
      </c>
      <c r="B157" s="10" t="n"/>
      <c r="C157" s="11">
        <f>IF(B157="","",PERCENTRANK.INC($B$2:$B$2501,B157)*100)</f>
        <v/>
      </c>
      <c r="D157" s="10" t="n"/>
      <c r="E157" s="10">
        <f>IF(D157="","",MIN(D157,100))</f>
        <v/>
      </c>
      <c r="F157" s="10" t="n"/>
      <c r="G157" s="10">
        <f>IF(F157="","",MIN(F157,100))</f>
        <v/>
      </c>
      <c r="H157" s="11">
        <f>IF(A157="","",Universe!E157/BDP(A157&amp;" US Equity","HIGH_52WEEK")*100)</f>
        <v/>
      </c>
      <c r="I157">
        <f>IF(D157="","",D157&gt;=5)</f>
        <v/>
      </c>
      <c r="J157">
        <f>IF(F157="","",F157&gt;=5)</f>
        <v/>
      </c>
      <c r="K157">
        <f>IF(H157="","",H157&gt;=75)</f>
        <v/>
      </c>
      <c r="L157">
        <f>IF(OR(I157="",J157="",K157=""),FALSE,AND(I157,J157,K157))</f>
        <v/>
      </c>
    </row>
    <row r="158">
      <c r="A158">
        <f>Universe!A158</f>
        <v/>
      </c>
      <c r="B158" s="10" t="n"/>
      <c r="C158" s="11">
        <f>IF(B158="","",PERCENTRANK.INC($B$2:$B$2501,B158)*100)</f>
        <v/>
      </c>
      <c r="D158" s="10" t="n"/>
      <c r="E158" s="10">
        <f>IF(D158="","",MIN(D158,100))</f>
        <v/>
      </c>
      <c r="F158" s="10" t="n"/>
      <c r="G158" s="10">
        <f>IF(F158="","",MIN(F158,100))</f>
        <v/>
      </c>
      <c r="H158" s="11">
        <f>IF(A158="","",Universe!E158/BDP(A158&amp;" US Equity","HIGH_52WEEK")*100)</f>
        <v/>
      </c>
      <c r="I158">
        <f>IF(D158="","",D158&gt;=5)</f>
        <v/>
      </c>
      <c r="J158">
        <f>IF(F158="","",F158&gt;=5)</f>
        <v/>
      </c>
      <c r="K158">
        <f>IF(H158="","",H158&gt;=75)</f>
        <v/>
      </c>
      <c r="L158">
        <f>IF(OR(I158="",J158="",K158=""),FALSE,AND(I158,J158,K158))</f>
        <v/>
      </c>
    </row>
    <row r="159">
      <c r="A159">
        <f>Universe!A159</f>
        <v/>
      </c>
      <c r="B159" s="10" t="n"/>
      <c r="C159" s="11">
        <f>IF(B159="","",PERCENTRANK.INC($B$2:$B$2501,B159)*100)</f>
        <v/>
      </c>
      <c r="D159" s="10" t="n"/>
      <c r="E159" s="10">
        <f>IF(D159="","",MIN(D159,100))</f>
        <v/>
      </c>
      <c r="F159" s="10" t="n"/>
      <c r="G159" s="10">
        <f>IF(F159="","",MIN(F159,100))</f>
        <v/>
      </c>
      <c r="H159" s="11">
        <f>IF(A159="","",Universe!E159/BDP(A159&amp;" US Equity","HIGH_52WEEK")*100)</f>
        <v/>
      </c>
      <c r="I159">
        <f>IF(D159="","",D159&gt;=5)</f>
        <v/>
      </c>
      <c r="J159">
        <f>IF(F159="","",F159&gt;=5)</f>
        <v/>
      </c>
      <c r="K159">
        <f>IF(H159="","",H159&gt;=75)</f>
        <v/>
      </c>
      <c r="L159">
        <f>IF(OR(I159="",J159="",K159=""),FALSE,AND(I159,J159,K159))</f>
        <v/>
      </c>
    </row>
    <row r="160">
      <c r="A160">
        <f>Universe!A160</f>
        <v/>
      </c>
      <c r="B160" s="10" t="n"/>
      <c r="C160" s="11">
        <f>IF(B160="","",PERCENTRANK.INC($B$2:$B$2501,B160)*100)</f>
        <v/>
      </c>
      <c r="D160" s="10" t="n"/>
      <c r="E160" s="10">
        <f>IF(D160="","",MIN(D160,100))</f>
        <v/>
      </c>
      <c r="F160" s="10" t="n"/>
      <c r="G160" s="10">
        <f>IF(F160="","",MIN(F160,100))</f>
        <v/>
      </c>
      <c r="H160" s="11">
        <f>IF(A160="","",Universe!E160/BDP(A160&amp;" US Equity","HIGH_52WEEK")*100)</f>
        <v/>
      </c>
      <c r="I160">
        <f>IF(D160="","",D160&gt;=5)</f>
        <v/>
      </c>
      <c r="J160">
        <f>IF(F160="","",F160&gt;=5)</f>
        <v/>
      </c>
      <c r="K160">
        <f>IF(H160="","",H160&gt;=75)</f>
        <v/>
      </c>
      <c r="L160">
        <f>IF(OR(I160="",J160="",K160=""),FALSE,AND(I160,J160,K160))</f>
        <v/>
      </c>
    </row>
    <row r="161">
      <c r="A161">
        <f>Universe!A161</f>
        <v/>
      </c>
      <c r="B161" s="10" t="n"/>
      <c r="C161" s="11">
        <f>IF(B161="","",PERCENTRANK.INC($B$2:$B$2501,B161)*100)</f>
        <v/>
      </c>
      <c r="D161" s="10" t="n"/>
      <c r="E161" s="10">
        <f>IF(D161="","",MIN(D161,100))</f>
        <v/>
      </c>
      <c r="F161" s="10" t="n"/>
      <c r="G161" s="10">
        <f>IF(F161="","",MIN(F161,100))</f>
        <v/>
      </c>
      <c r="H161" s="11">
        <f>IF(A161="","",Universe!E161/BDP(A161&amp;" US Equity","HIGH_52WEEK")*100)</f>
        <v/>
      </c>
      <c r="I161">
        <f>IF(D161="","",D161&gt;=5)</f>
        <v/>
      </c>
      <c r="J161">
        <f>IF(F161="","",F161&gt;=5)</f>
        <v/>
      </c>
      <c r="K161">
        <f>IF(H161="","",H161&gt;=75)</f>
        <v/>
      </c>
      <c r="L161">
        <f>IF(OR(I161="",J161="",K161=""),FALSE,AND(I161,J161,K161))</f>
        <v/>
      </c>
    </row>
    <row r="162">
      <c r="A162">
        <f>Universe!A162</f>
        <v/>
      </c>
      <c r="B162" s="10" t="n"/>
      <c r="C162" s="11">
        <f>IF(B162="","",PERCENTRANK.INC($B$2:$B$2501,B162)*100)</f>
        <v/>
      </c>
      <c r="D162" s="10" t="n"/>
      <c r="E162" s="10">
        <f>IF(D162="","",MIN(D162,100))</f>
        <v/>
      </c>
      <c r="F162" s="10" t="n"/>
      <c r="G162" s="10">
        <f>IF(F162="","",MIN(F162,100))</f>
        <v/>
      </c>
      <c r="H162" s="11">
        <f>IF(A162="","",Universe!E162/BDP(A162&amp;" US Equity","HIGH_52WEEK")*100)</f>
        <v/>
      </c>
      <c r="I162">
        <f>IF(D162="","",D162&gt;=5)</f>
        <v/>
      </c>
      <c r="J162">
        <f>IF(F162="","",F162&gt;=5)</f>
        <v/>
      </c>
      <c r="K162">
        <f>IF(H162="","",H162&gt;=75)</f>
        <v/>
      </c>
      <c r="L162">
        <f>IF(OR(I162="",J162="",K162=""),FALSE,AND(I162,J162,K162))</f>
        <v/>
      </c>
    </row>
    <row r="163">
      <c r="A163">
        <f>Universe!A163</f>
        <v/>
      </c>
      <c r="B163" s="10" t="n"/>
      <c r="C163" s="11">
        <f>IF(B163="","",PERCENTRANK.INC($B$2:$B$2501,B163)*100)</f>
        <v/>
      </c>
      <c r="D163" s="10" t="n"/>
      <c r="E163" s="10">
        <f>IF(D163="","",MIN(D163,100))</f>
        <v/>
      </c>
      <c r="F163" s="10" t="n"/>
      <c r="G163" s="10">
        <f>IF(F163="","",MIN(F163,100))</f>
        <v/>
      </c>
      <c r="H163" s="11">
        <f>IF(A163="","",Universe!E163/BDP(A163&amp;" US Equity","HIGH_52WEEK")*100)</f>
        <v/>
      </c>
      <c r="I163">
        <f>IF(D163="","",D163&gt;=5)</f>
        <v/>
      </c>
      <c r="J163">
        <f>IF(F163="","",F163&gt;=5)</f>
        <v/>
      </c>
      <c r="K163">
        <f>IF(H163="","",H163&gt;=75)</f>
        <v/>
      </c>
      <c r="L163">
        <f>IF(OR(I163="",J163="",K163=""),FALSE,AND(I163,J163,K163))</f>
        <v/>
      </c>
    </row>
    <row r="164">
      <c r="A164">
        <f>Universe!A164</f>
        <v/>
      </c>
      <c r="B164" s="10" t="n"/>
      <c r="C164" s="11">
        <f>IF(B164="","",PERCENTRANK.INC($B$2:$B$2501,B164)*100)</f>
        <v/>
      </c>
      <c r="D164" s="10" t="n"/>
      <c r="E164" s="10">
        <f>IF(D164="","",MIN(D164,100))</f>
        <v/>
      </c>
      <c r="F164" s="10" t="n"/>
      <c r="G164" s="10">
        <f>IF(F164="","",MIN(F164,100))</f>
        <v/>
      </c>
      <c r="H164" s="11">
        <f>IF(A164="","",Universe!E164/BDP(A164&amp;" US Equity","HIGH_52WEEK")*100)</f>
        <v/>
      </c>
      <c r="I164">
        <f>IF(D164="","",D164&gt;=5)</f>
        <v/>
      </c>
      <c r="J164">
        <f>IF(F164="","",F164&gt;=5)</f>
        <v/>
      </c>
      <c r="K164">
        <f>IF(H164="","",H164&gt;=75)</f>
        <v/>
      </c>
      <c r="L164">
        <f>IF(OR(I164="",J164="",K164=""),FALSE,AND(I164,J164,K164))</f>
        <v/>
      </c>
    </row>
    <row r="165">
      <c r="A165">
        <f>Universe!A165</f>
        <v/>
      </c>
      <c r="B165" s="10" t="n"/>
      <c r="C165" s="11">
        <f>IF(B165="","",PERCENTRANK.INC($B$2:$B$2501,B165)*100)</f>
        <v/>
      </c>
      <c r="D165" s="10" t="n"/>
      <c r="E165" s="10">
        <f>IF(D165="","",MIN(D165,100))</f>
        <v/>
      </c>
      <c r="F165" s="10" t="n"/>
      <c r="G165" s="10">
        <f>IF(F165="","",MIN(F165,100))</f>
        <v/>
      </c>
      <c r="H165" s="11">
        <f>IF(A165="","",Universe!E165/BDP(A165&amp;" US Equity","HIGH_52WEEK")*100)</f>
        <v/>
      </c>
      <c r="I165">
        <f>IF(D165="","",D165&gt;=5)</f>
        <v/>
      </c>
      <c r="J165">
        <f>IF(F165="","",F165&gt;=5)</f>
        <v/>
      </c>
      <c r="K165">
        <f>IF(H165="","",H165&gt;=75)</f>
        <v/>
      </c>
      <c r="L165">
        <f>IF(OR(I165="",J165="",K165=""),FALSE,AND(I165,J165,K165))</f>
        <v/>
      </c>
    </row>
    <row r="166">
      <c r="A166">
        <f>Universe!A166</f>
        <v/>
      </c>
      <c r="B166" s="10" t="n"/>
      <c r="C166" s="11">
        <f>IF(B166="","",PERCENTRANK.INC($B$2:$B$2501,B166)*100)</f>
        <v/>
      </c>
      <c r="D166" s="10" t="n"/>
      <c r="E166" s="10">
        <f>IF(D166="","",MIN(D166,100))</f>
        <v/>
      </c>
      <c r="F166" s="10" t="n"/>
      <c r="G166" s="10">
        <f>IF(F166="","",MIN(F166,100))</f>
        <v/>
      </c>
      <c r="H166" s="11">
        <f>IF(A166="","",Universe!E166/BDP(A166&amp;" US Equity","HIGH_52WEEK")*100)</f>
        <v/>
      </c>
      <c r="I166">
        <f>IF(D166="","",D166&gt;=5)</f>
        <v/>
      </c>
      <c r="J166">
        <f>IF(F166="","",F166&gt;=5)</f>
        <v/>
      </c>
      <c r="K166">
        <f>IF(H166="","",H166&gt;=75)</f>
        <v/>
      </c>
      <c r="L166">
        <f>IF(OR(I166="",J166="",K166=""),FALSE,AND(I166,J166,K166))</f>
        <v/>
      </c>
    </row>
    <row r="167">
      <c r="A167">
        <f>Universe!A167</f>
        <v/>
      </c>
      <c r="B167" s="10" t="n"/>
      <c r="C167" s="11">
        <f>IF(B167="","",PERCENTRANK.INC($B$2:$B$2501,B167)*100)</f>
        <v/>
      </c>
      <c r="D167" s="10" t="n"/>
      <c r="E167" s="10">
        <f>IF(D167="","",MIN(D167,100))</f>
        <v/>
      </c>
      <c r="F167" s="10" t="n"/>
      <c r="G167" s="10">
        <f>IF(F167="","",MIN(F167,100))</f>
        <v/>
      </c>
      <c r="H167" s="11">
        <f>IF(A167="","",Universe!E167/BDP(A167&amp;" US Equity","HIGH_52WEEK")*100)</f>
        <v/>
      </c>
      <c r="I167">
        <f>IF(D167="","",D167&gt;=5)</f>
        <v/>
      </c>
      <c r="J167">
        <f>IF(F167="","",F167&gt;=5)</f>
        <v/>
      </c>
      <c r="K167">
        <f>IF(H167="","",H167&gt;=75)</f>
        <v/>
      </c>
      <c r="L167">
        <f>IF(OR(I167="",J167="",K167=""),FALSE,AND(I167,J167,K167))</f>
        <v/>
      </c>
    </row>
    <row r="168">
      <c r="A168">
        <f>Universe!A168</f>
        <v/>
      </c>
      <c r="B168" s="10" t="n"/>
      <c r="C168" s="11">
        <f>IF(B168="","",PERCENTRANK.INC($B$2:$B$2501,B168)*100)</f>
        <v/>
      </c>
      <c r="D168" s="10" t="n"/>
      <c r="E168" s="10">
        <f>IF(D168="","",MIN(D168,100))</f>
        <v/>
      </c>
      <c r="F168" s="10" t="n"/>
      <c r="G168" s="10">
        <f>IF(F168="","",MIN(F168,100))</f>
        <v/>
      </c>
      <c r="H168" s="11">
        <f>IF(A168="","",Universe!E168/BDP(A168&amp;" US Equity","HIGH_52WEEK")*100)</f>
        <v/>
      </c>
      <c r="I168">
        <f>IF(D168="","",D168&gt;=5)</f>
        <v/>
      </c>
      <c r="J168">
        <f>IF(F168="","",F168&gt;=5)</f>
        <v/>
      </c>
      <c r="K168">
        <f>IF(H168="","",H168&gt;=75)</f>
        <v/>
      </c>
      <c r="L168">
        <f>IF(OR(I168="",J168="",K168=""),FALSE,AND(I168,J168,K168))</f>
        <v/>
      </c>
    </row>
    <row r="169">
      <c r="A169">
        <f>Universe!A169</f>
        <v/>
      </c>
      <c r="B169" s="10" t="n"/>
      <c r="C169" s="11">
        <f>IF(B169="","",PERCENTRANK.INC($B$2:$B$2501,B169)*100)</f>
        <v/>
      </c>
      <c r="D169" s="10" t="n"/>
      <c r="E169" s="10">
        <f>IF(D169="","",MIN(D169,100))</f>
        <v/>
      </c>
      <c r="F169" s="10" t="n"/>
      <c r="G169" s="10">
        <f>IF(F169="","",MIN(F169,100))</f>
        <v/>
      </c>
      <c r="H169" s="11">
        <f>IF(A169="","",Universe!E169/BDP(A169&amp;" US Equity","HIGH_52WEEK")*100)</f>
        <v/>
      </c>
      <c r="I169">
        <f>IF(D169="","",D169&gt;=5)</f>
        <v/>
      </c>
      <c r="J169">
        <f>IF(F169="","",F169&gt;=5)</f>
        <v/>
      </c>
      <c r="K169">
        <f>IF(H169="","",H169&gt;=75)</f>
        <v/>
      </c>
      <c r="L169">
        <f>IF(OR(I169="",J169="",K169=""),FALSE,AND(I169,J169,K169))</f>
        <v/>
      </c>
    </row>
    <row r="170">
      <c r="A170">
        <f>Universe!A170</f>
        <v/>
      </c>
      <c r="B170" s="10" t="n"/>
      <c r="C170" s="11">
        <f>IF(B170="","",PERCENTRANK.INC($B$2:$B$2501,B170)*100)</f>
        <v/>
      </c>
      <c r="D170" s="10" t="n"/>
      <c r="E170" s="10">
        <f>IF(D170="","",MIN(D170,100))</f>
        <v/>
      </c>
      <c r="F170" s="10" t="n"/>
      <c r="G170" s="10">
        <f>IF(F170="","",MIN(F170,100))</f>
        <v/>
      </c>
      <c r="H170" s="11">
        <f>IF(A170="","",Universe!E170/BDP(A170&amp;" US Equity","HIGH_52WEEK")*100)</f>
        <v/>
      </c>
      <c r="I170">
        <f>IF(D170="","",D170&gt;=5)</f>
        <v/>
      </c>
      <c r="J170">
        <f>IF(F170="","",F170&gt;=5)</f>
        <v/>
      </c>
      <c r="K170">
        <f>IF(H170="","",H170&gt;=75)</f>
        <v/>
      </c>
      <c r="L170">
        <f>IF(OR(I170="",J170="",K170=""),FALSE,AND(I170,J170,K170))</f>
        <v/>
      </c>
    </row>
    <row r="171">
      <c r="A171">
        <f>Universe!A171</f>
        <v/>
      </c>
      <c r="B171" s="10" t="n"/>
      <c r="C171" s="11">
        <f>IF(B171="","",PERCENTRANK.INC($B$2:$B$2501,B171)*100)</f>
        <v/>
      </c>
      <c r="D171" s="10" t="n"/>
      <c r="E171" s="10">
        <f>IF(D171="","",MIN(D171,100))</f>
        <v/>
      </c>
      <c r="F171" s="10" t="n"/>
      <c r="G171" s="10">
        <f>IF(F171="","",MIN(F171,100))</f>
        <v/>
      </c>
      <c r="H171" s="11">
        <f>IF(A171="","",Universe!E171/BDP(A171&amp;" US Equity","HIGH_52WEEK")*100)</f>
        <v/>
      </c>
      <c r="I171">
        <f>IF(D171="","",D171&gt;=5)</f>
        <v/>
      </c>
      <c r="J171">
        <f>IF(F171="","",F171&gt;=5)</f>
        <v/>
      </c>
      <c r="K171">
        <f>IF(H171="","",H171&gt;=75)</f>
        <v/>
      </c>
      <c r="L171">
        <f>IF(OR(I171="",J171="",K171=""),FALSE,AND(I171,J171,K171))</f>
        <v/>
      </c>
    </row>
    <row r="172">
      <c r="A172">
        <f>Universe!A172</f>
        <v/>
      </c>
      <c r="B172" s="10" t="n"/>
      <c r="C172" s="11">
        <f>IF(B172="","",PERCENTRANK.INC($B$2:$B$2501,B172)*100)</f>
        <v/>
      </c>
      <c r="D172" s="10" t="n"/>
      <c r="E172" s="10">
        <f>IF(D172="","",MIN(D172,100))</f>
        <v/>
      </c>
      <c r="F172" s="10" t="n"/>
      <c r="G172" s="10">
        <f>IF(F172="","",MIN(F172,100))</f>
        <v/>
      </c>
      <c r="H172" s="11">
        <f>IF(A172="","",Universe!E172/BDP(A172&amp;" US Equity","HIGH_52WEEK")*100)</f>
        <v/>
      </c>
      <c r="I172">
        <f>IF(D172="","",D172&gt;=5)</f>
        <v/>
      </c>
      <c r="J172">
        <f>IF(F172="","",F172&gt;=5)</f>
        <v/>
      </c>
      <c r="K172">
        <f>IF(H172="","",H172&gt;=75)</f>
        <v/>
      </c>
      <c r="L172">
        <f>IF(OR(I172="",J172="",K172=""),FALSE,AND(I172,J172,K172))</f>
        <v/>
      </c>
    </row>
    <row r="173">
      <c r="A173">
        <f>Universe!A173</f>
        <v/>
      </c>
      <c r="B173" s="10" t="n"/>
      <c r="C173" s="11">
        <f>IF(B173="","",PERCENTRANK.INC($B$2:$B$2501,B173)*100)</f>
        <v/>
      </c>
      <c r="D173" s="10" t="n"/>
      <c r="E173" s="10">
        <f>IF(D173="","",MIN(D173,100))</f>
        <v/>
      </c>
      <c r="F173" s="10" t="n"/>
      <c r="G173" s="10">
        <f>IF(F173="","",MIN(F173,100))</f>
        <v/>
      </c>
      <c r="H173" s="11">
        <f>IF(A173="","",Universe!E173/BDP(A173&amp;" US Equity","HIGH_52WEEK")*100)</f>
        <v/>
      </c>
      <c r="I173">
        <f>IF(D173="","",D173&gt;=5)</f>
        <v/>
      </c>
      <c r="J173">
        <f>IF(F173="","",F173&gt;=5)</f>
        <v/>
      </c>
      <c r="K173">
        <f>IF(H173="","",H173&gt;=75)</f>
        <v/>
      </c>
      <c r="L173">
        <f>IF(OR(I173="",J173="",K173=""),FALSE,AND(I173,J173,K173))</f>
        <v/>
      </c>
    </row>
    <row r="174">
      <c r="A174">
        <f>Universe!A174</f>
        <v/>
      </c>
      <c r="B174" s="10" t="n"/>
      <c r="C174" s="11">
        <f>IF(B174="","",PERCENTRANK.INC($B$2:$B$2501,B174)*100)</f>
        <v/>
      </c>
      <c r="D174" s="10" t="n"/>
      <c r="E174" s="10">
        <f>IF(D174="","",MIN(D174,100))</f>
        <v/>
      </c>
      <c r="F174" s="10" t="n"/>
      <c r="G174" s="10">
        <f>IF(F174="","",MIN(F174,100))</f>
        <v/>
      </c>
      <c r="H174" s="11">
        <f>IF(A174="","",Universe!E174/BDP(A174&amp;" US Equity","HIGH_52WEEK")*100)</f>
        <v/>
      </c>
      <c r="I174">
        <f>IF(D174="","",D174&gt;=5)</f>
        <v/>
      </c>
      <c r="J174">
        <f>IF(F174="","",F174&gt;=5)</f>
        <v/>
      </c>
      <c r="K174">
        <f>IF(H174="","",H174&gt;=75)</f>
        <v/>
      </c>
      <c r="L174">
        <f>IF(OR(I174="",J174="",K174=""),FALSE,AND(I174,J174,K174))</f>
        <v/>
      </c>
    </row>
    <row r="175">
      <c r="A175">
        <f>Universe!A175</f>
        <v/>
      </c>
      <c r="B175" s="10" t="n"/>
      <c r="C175" s="11">
        <f>IF(B175="","",PERCENTRANK.INC($B$2:$B$2501,B175)*100)</f>
        <v/>
      </c>
      <c r="D175" s="10" t="n"/>
      <c r="E175" s="10">
        <f>IF(D175="","",MIN(D175,100))</f>
        <v/>
      </c>
      <c r="F175" s="10" t="n"/>
      <c r="G175" s="10">
        <f>IF(F175="","",MIN(F175,100))</f>
        <v/>
      </c>
      <c r="H175" s="11">
        <f>IF(A175="","",Universe!E175/BDP(A175&amp;" US Equity","HIGH_52WEEK")*100)</f>
        <v/>
      </c>
      <c r="I175">
        <f>IF(D175="","",D175&gt;=5)</f>
        <v/>
      </c>
      <c r="J175">
        <f>IF(F175="","",F175&gt;=5)</f>
        <v/>
      </c>
      <c r="K175">
        <f>IF(H175="","",H175&gt;=75)</f>
        <v/>
      </c>
      <c r="L175">
        <f>IF(OR(I175="",J175="",K175=""),FALSE,AND(I175,J175,K175))</f>
        <v/>
      </c>
    </row>
    <row r="176">
      <c r="A176">
        <f>Universe!A176</f>
        <v/>
      </c>
      <c r="B176" s="10" t="n"/>
      <c r="C176" s="11">
        <f>IF(B176="","",PERCENTRANK.INC($B$2:$B$2501,B176)*100)</f>
        <v/>
      </c>
      <c r="D176" s="10" t="n"/>
      <c r="E176" s="10">
        <f>IF(D176="","",MIN(D176,100))</f>
        <v/>
      </c>
      <c r="F176" s="10" t="n"/>
      <c r="G176" s="10">
        <f>IF(F176="","",MIN(F176,100))</f>
        <v/>
      </c>
      <c r="H176" s="11">
        <f>IF(A176="","",Universe!E176/BDP(A176&amp;" US Equity","HIGH_52WEEK")*100)</f>
        <v/>
      </c>
      <c r="I176">
        <f>IF(D176="","",D176&gt;=5)</f>
        <v/>
      </c>
      <c r="J176">
        <f>IF(F176="","",F176&gt;=5)</f>
        <v/>
      </c>
      <c r="K176">
        <f>IF(H176="","",H176&gt;=75)</f>
        <v/>
      </c>
      <c r="L176">
        <f>IF(OR(I176="",J176="",K176=""),FALSE,AND(I176,J176,K176))</f>
        <v/>
      </c>
    </row>
    <row r="177">
      <c r="A177">
        <f>Universe!A177</f>
        <v/>
      </c>
      <c r="B177" s="10" t="n"/>
      <c r="C177" s="11">
        <f>IF(B177="","",PERCENTRANK.INC($B$2:$B$2501,B177)*100)</f>
        <v/>
      </c>
      <c r="D177" s="10" t="n"/>
      <c r="E177" s="10">
        <f>IF(D177="","",MIN(D177,100))</f>
        <v/>
      </c>
      <c r="F177" s="10" t="n"/>
      <c r="G177" s="10">
        <f>IF(F177="","",MIN(F177,100))</f>
        <v/>
      </c>
      <c r="H177" s="11">
        <f>IF(A177="","",Universe!E177/BDP(A177&amp;" US Equity","HIGH_52WEEK")*100)</f>
        <v/>
      </c>
      <c r="I177">
        <f>IF(D177="","",D177&gt;=5)</f>
        <v/>
      </c>
      <c r="J177">
        <f>IF(F177="","",F177&gt;=5)</f>
        <v/>
      </c>
      <c r="K177">
        <f>IF(H177="","",H177&gt;=75)</f>
        <v/>
      </c>
      <c r="L177">
        <f>IF(OR(I177="",J177="",K177=""),FALSE,AND(I177,J177,K177))</f>
        <v/>
      </c>
    </row>
    <row r="178">
      <c r="A178">
        <f>Universe!A178</f>
        <v/>
      </c>
      <c r="B178" s="10" t="n"/>
      <c r="C178" s="11">
        <f>IF(B178="","",PERCENTRANK.INC($B$2:$B$2501,B178)*100)</f>
        <v/>
      </c>
      <c r="D178" s="10" t="n"/>
      <c r="E178" s="10">
        <f>IF(D178="","",MIN(D178,100))</f>
        <v/>
      </c>
      <c r="F178" s="10" t="n"/>
      <c r="G178" s="10">
        <f>IF(F178="","",MIN(F178,100))</f>
        <v/>
      </c>
      <c r="H178" s="11">
        <f>IF(A178="","",Universe!E178/BDP(A178&amp;" US Equity","HIGH_52WEEK")*100)</f>
        <v/>
      </c>
      <c r="I178">
        <f>IF(D178="","",D178&gt;=5)</f>
        <v/>
      </c>
      <c r="J178">
        <f>IF(F178="","",F178&gt;=5)</f>
        <v/>
      </c>
      <c r="K178">
        <f>IF(H178="","",H178&gt;=75)</f>
        <v/>
      </c>
      <c r="L178">
        <f>IF(OR(I178="",J178="",K178=""),FALSE,AND(I178,J178,K178))</f>
        <v/>
      </c>
    </row>
    <row r="179">
      <c r="A179">
        <f>Universe!A179</f>
        <v/>
      </c>
      <c r="B179" s="10" t="n"/>
      <c r="C179" s="11">
        <f>IF(B179="","",PERCENTRANK.INC($B$2:$B$2501,B179)*100)</f>
        <v/>
      </c>
      <c r="D179" s="10" t="n"/>
      <c r="E179" s="10">
        <f>IF(D179="","",MIN(D179,100))</f>
        <v/>
      </c>
      <c r="F179" s="10" t="n"/>
      <c r="G179" s="10">
        <f>IF(F179="","",MIN(F179,100))</f>
        <v/>
      </c>
      <c r="H179" s="11">
        <f>IF(A179="","",Universe!E179/BDP(A179&amp;" US Equity","HIGH_52WEEK")*100)</f>
        <v/>
      </c>
      <c r="I179">
        <f>IF(D179="","",D179&gt;=5)</f>
        <v/>
      </c>
      <c r="J179">
        <f>IF(F179="","",F179&gt;=5)</f>
        <v/>
      </c>
      <c r="K179">
        <f>IF(H179="","",H179&gt;=75)</f>
        <v/>
      </c>
      <c r="L179">
        <f>IF(OR(I179="",J179="",K179=""),FALSE,AND(I179,J179,K179))</f>
        <v/>
      </c>
    </row>
    <row r="180">
      <c r="A180">
        <f>Universe!A180</f>
        <v/>
      </c>
      <c r="B180" s="10" t="n"/>
      <c r="C180" s="11">
        <f>IF(B180="","",PERCENTRANK.INC($B$2:$B$2501,B180)*100)</f>
        <v/>
      </c>
      <c r="D180" s="10" t="n"/>
      <c r="E180" s="10">
        <f>IF(D180="","",MIN(D180,100))</f>
        <v/>
      </c>
      <c r="F180" s="10" t="n"/>
      <c r="G180" s="10">
        <f>IF(F180="","",MIN(F180,100))</f>
        <v/>
      </c>
      <c r="H180" s="11">
        <f>IF(A180="","",Universe!E180/BDP(A180&amp;" US Equity","HIGH_52WEEK")*100)</f>
        <v/>
      </c>
      <c r="I180">
        <f>IF(D180="","",D180&gt;=5)</f>
        <v/>
      </c>
      <c r="J180">
        <f>IF(F180="","",F180&gt;=5)</f>
        <v/>
      </c>
      <c r="K180">
        <f>IF(H180="","",H180&gt;=75)</f>
        <v/>
      </c>
      <c r="L180">
        <f>IF(OR(I180="",J180="",K180=""),FALSE,AND(I180,J180,K180))</f>
        <v/>
      </c>
    </row>
    <row r="181">
      <c r="A181">
        <f>Universe!A181</f>
        <v/>
      </c>
      <c r="B181" s="10" t="n"/>
      <c r="C181" s="11">
        <f>IF(B181="","",PERCENTRANK.INC($B$2:$B$2501,B181)*100)</f>
        <v/>
      </c>
      <c r="D181" s="10" t="n"/>
      <c r="E181" s="10">
        <f>IF(D181="","",MIN(D181,100))</f>
        <v/>
      </c>
      <c r="F181" s="10" t="n"/>
      <c r="G181" s="10">
        <f>IF(F181="","",MIN(F181,100))</f>
        <v/>
      </c>
      <c r="H181" s="11">
        <f>IF(A181="","",Universe!E181/BDP(A181&amp;" US Equity","HIGH_52WEEK")*100)</f>
        <v/>
      </c>
      <c r="I181">
        <f>IF(D181="","",D181&gt;=5)</f>
        <v/>
      </c>
      <c r="J181">
        <f>IF(F181="","",F181&gt;=5)</f>
        <v/>
      </c>
      <c r="K181">
        <f>IF(H181="","",H181&gt;=75)</f>
        <v/>
      </c>
      <c r="L181">
        <f>IF(OR(I181="",J181="",K181=""),FALSE,AND(I181,J181,K181))</f>
        <v/>
      </c>
    </row>
    <row r="182">
      <c r="A182">
        <f>Universe!A182</f>
        <v/>
      </c>
      <c r="B182" s="10" t="n"/>
      <c r="C182" s="11">
        <f>IF(B182="","",PERCENTRANK.INC($B$2:$B$2501,B182)*100)</f>
        <v/>
      </c>
      <c r="D182" s="10" t="n"/>
      <c r="E182" s="10">
        <f>IF(D182="","",MIN(D182,100))</f>
        <v/>
      </c>
      <c r="F182" s="10" t="n"/>
      <c r="G182" s="10">
        <f>IF(F182="","",MIN(F182,100))</f>
        <v/>
      </c>
      <c r="H182" s="11">
        <f>IF(A182="","",Universe!E182/BDP(A182&amp;" US Equity","HIGH_52WEEK")*100)</f>
        <v/>
      </c>
      <c r="I182">
        <f>IF(D182="","",D182&gt;=5)</f>
        <v/>
      </c>
      <c r="J182">
        <f>IF(F182="","",F182&gt;=5)</f>
        <v/>
      </c>
      <c r="K182">
        <f>IF(H182="","",H182&gt;=75)</f>
        <v/>
      </c>
      <c r="L182">
        <f>IF(OR(I182="",J182="",K182=""),FALSE,AND(I182,J182,K182))</f>
        <v/>
      </c>
    </row>
    <row r="183">
      <c r="A183">
        <f>Universe!A183</f>
        <v/>
      </c>
      <c r="B183" s="10" t="n"/>
      <c r="C183" s="11">
        <f>IF(B183="","",PERCENTRANK.INC($B$2:$B$2501,B183)*100)</f>
        <v/>
      </c>
      <c r="D183" s="10" t="n"/>
      <c r="E183" s="10">
        <f>IF(D183="","",MIN(D183,100))</f>
        <v/>
      </c>
      <c r="F183" s="10" t="n"/>
      <c r="G183" s="10">
        <f>IF(F183="","",MIN(F183,100))</f>
        <v/>
      </c>
      <c r="H183" s="11">
        <f>IF(A183="","",Universe!E183/BDP(A183&amp;" US Equity","HIGH_52WEEK")*100)</f>
        <v/>
      </c>
      <c r="I183">
        <f>IF(D183="","",D183&gt;=5)</f>
        <v/>
      </c>
      <c r="J183">
        <f>IF(F183="","",F183&gt;=5)</f>
        <v/>
      </c>
      <c r="K183">
        <f>IF(H183="","",H183&gt;=75)</f>
        <v/>
      </c>
      <c r="L183">
        <f>IF(OR(I183="",J183="",K183=""),FALSE,AND(I183,J183,K183))</f>
        <v/>
      </c>
    </row>
    <row r="184">
      <c r="A184">
        <f>Universe!A184</f>
        <v/>
      </c>
      <c r="B184" s="10" t="n"/>
      <c r="C184" s="11">
        <f>IF(B184="","",PERCENTRANK.INC($B$2:$B$2501,B184)*100)</f>
        <v/>
      </c>
      <c r="D184" s="10" t="n"/>
      <c r="E184" s="10">
        <f>IF(D184="","",MIN(D184,100))</f>
        <v/>
      </c>
      <c r="F184" s="10" t="n"/>
      <c r="G184" s="10">
        <f>IF(F184="","",MIN(F184,100))</f>
        <v/>
      </c>
      <c r="H184" s="11">
        <f>IF(A184="","",Universe!E184/BDP(A184&amp;" US Equity","HIGH_52WEEK")*100)</f>
        <v/>
      </c>
      <c r="I184">
        <f>IF(D184="","",D184&gt;=5)</f>
        <v/>
      </c>
      <c r="J184">
        <f>IF(F184="","",F184&gt;=5)</f>
        <v/>
      </c>
      <c r="K184">
        <f>IF(H184="","",H184&gt;=75)</f>
        <v/>
      </c>
      <c r="L184">
        <f>IF(OR(I184="",J184="",K184=""),FALSE,AND(I184,J184,K184))</f>
        <v/>
      </c>
    </row>
    <row r="185">
      <c r="A185">
        <f>Universe!A185</f>
        <v/>
      </c>
      <c r="B185" s="10" t="n"/>
      <c r="C185" s="11">
        <f>IF(B185="","",PERCENTRANK.INC($B$2:$B$2501,B185)*100)</f>
        <v/>
      </c>
      <c r="D185" s="10" t="n"/>
      <c r="E185" s="10">
        <f>IF(D185="","",MIN(D185,100))</f>
        <v/>
      </c>
      <c r="F185" s="10" t="n"/>
      <c r="G185" s="10">
        <f>IF(F185="","",MIN(F185,100))</f>
        <v/>
      </c>
      <c r="H185" s="11">
        <f>IF(A185="","",Universe!E185/BDP(A185&amp;" US Equity","HIGH_52WEEK")*100)</f>
        <v/>
      </c>
      <c r="I185">
        <f>IF(D185="","",D185&gt;=5)</f>
        <v/>
      </c>
      <c r="J185">
        <f>IF(F185="","",F185&gt;=5)</f>
        <v/>
      </c>
      <c r="K185">
        <f>IF(H185="","",H185&gt;=75)</f>
        <v/>
      </c>
      <c r="L185">
        <f>IF(OR(I185="",J185="",K185=""),FALSE,AND(I185,J185,K185))</f>
        <v/>
      </c>
    </row>
    <row r="186">
      <c r="A186">
        <f>Universe!A186</f>
        <v/>
      </c>
      <c r="B186" s="10" t="n"/>
      <c r="C186" s="11">
        <f>IF(B186="","",PERCENTRANK.INC($B$2:$B$2501,B186)*100)</f>
        <v/>
      </c>
      <c r="D186" s="10" t="n"/>
      <c r="E186" s="10">
        <f>IF(D186="","",MIN(D186,100))</f>
        <v/>
      </c>
      <c r="F186" s="10" t="n"/>
      <c r="G186" s="10">
        <f>IF(F186="","",MIN(F186,100))</f>
        <v/>
      </c>
      <c r="H186" s="11">
        <f>IF(A186="","",Universe!E186/BDP(A186&amp;" US Equity","HIGH_52WEEK")*100)</f>
        <v/>
      </c>
      <c r="I186">
        <f>IF(D186="","",D186&gt;=5)</f>
        <v/>
      </c>
      <c r="J186">
        <f>IF(F186="","",F186&gt;=5)</f>
        <v/>
      </c>
      <c r="K186">
        <f>IF(H186="","",H186&gt;=75)</f>
        <v/>
      </c>
      <c r="L186">
        <f>IF(OR(I186="",J186="",K186=""),FALSE,AND(I186,J186,K186))</f>
        <v/>
      </c>
    </row>
    <row r="187">
      <c r="A187">
        <f>Universe!A187</f>
        <v/>
      </c>
      <c r="B187" s="10" t="n"/>
      <c r="C187" s="11">
        <f>IF(B187="","",PERCENTRANK.INC($B$2:$B$2501,B187)*100)</f>
        <v/>
      </c>
      <c r="D187" s="10" t="n"/>
      <c r="E187" s="10">
        <f>IF(D187="","",MIN(D187,100))</f>
        <v/>
      </c>
      <c r="F187" s="10" t="n"/>
      <c r="G187" s="10">
        <f>IF(F187="","",MIN(F187,100))</f>
        <v/>
      </c>
      <c r="H187" s="11">
        <f>IF(A187="","",Universe!E187/BDP(A187&amp;" US Equity","HIGH_52WEEK")*100)</f>
        <v/>
      </c>
      <c r="I187">
        <f>IF(D187="","",D187&gt;=5)</f>
        <v/>
      </c>
      <c r="J187">
        <f>IF(F187="","",F187&gt;=5)</f>
        <v/>
      </c>
      <c r="K187">
        <f>IF(H187="","",H187&gt;=75)</f>
        <v/>
      </c>
      <c r="L187">
        <f>IF(OR(I187="",J187="",K187=""),FALSE,AND(I187,J187,K187))</f>
        <v/>
      </c>
    </row>
    <row r="188">
      <c r="A188">
        <f>Universe!A188</f>
        <v/>
      </c>
      <c r="B188" s="10" t="n"/>
      <c r="C188" s="11">
        <f>IF(B188="","",PERCENTRANK.INC($B$2:$B$2501,B188)*100)</f>
        <v/>
      </c>
      <c r="D188" s="10" t="n"/>
      <c r="E188" s="10">
        <f>IF(D188="","",MIN(D188,100))</f>
        <v/>
      </c>
      <c r="F188" s="10" t="n"/>
      <c r="G188" s="10">
        <f>IF(F188="","",MIN(F188,100))</f>
        <v/>
      </c>
      <c r="H188" s="11">
        <f>IF(A188="","",Universe!E188/BDP(A188&amp;" US Equity","HIGH_52WEEK")*100)</f>
        <v/>
      </c>
      <c r="I188">
        <f>IF(D188="","",D188&gt;=5)</f>
        <v/>
      </c>
      <c r="J188">
        <f>IF(F188="","",F188&gt;=5)</f>
        <v/>
      </c>
      <c r="K188">
        <f>IF(H188="","",H188&gt;=75)</f>
        <v/>
      </c>
      <c r="L188">
        <f>IF(OR(I188="",J188="",K188=""),FALSE,AND(I188,J188,K188))</f>
        <v/>
      </c>
    </row>
    <row r="189">
      <c r="A189">
        <f>Universe!A189</f>
        <v/>
      </c>
      <c r="B189" s="10" t="n"/>
      <c r="C189" s="11">
        <f>IF(B189="","",PERCENTRANK.INC($B$2:$B$2501,B189)*100)</f>
        <v/>
      </c>
      <c r="D189" s="10" t="n"/>
      <c r="E189" s="10">
        <f>IF(D189="","",MIN(D189,100))</f>
        <v/>
      </c>
      <c r="F189" s="10" t="n"/>
      <c r="G189" s="10">
        <f>IF(F189="","",MIN(F189,100))</f>
        <v/>
      </c>
      <c r="H189" s="11">
        <f>IF(A189="","",Universe!E189/BDP(A189&amp;" US Equity","HIGH_52WEEK")*100)</f>
        <v/>
      </c>
      <c r="I189">
        <f>IF(D189="","",D189&gt;=5)</f>
        <v/>
      </c>
      <c r="J189">
        <f>IF(F189="","",F189&gt;=5)</f>
        <v/>
      </c>
      <c r="K189">
        <f>IF(H189="","",H189&gt;=75)</f>
        <v/>
      </c>
      <c r="L189">
        <f>IF(OR(I189="",J189="",K189=""),FALSE,AND(I189,J189,K189))</f>
        <v/>
      </c>
    </row>
    <row r="190">
      <c r="A190">
        <f>Universe!A190</f>
        <v/>
      </c>
      <c r="B190" s="10" t="n"/>
      <c r="C190" s="11">
        <f>IF(B190="","",PERCENTRANK.INC($B$2:$B$2501,B190)*100)</f>
        <v/>
      </c>
      <c r="D190" s="10" t="n"/>
      <c r="E190" s="10">
        <f>IF(D190="","",MIN(D190,100))</f>
        <v/>
      </c>
      <c r="F190" s="10" t="n"/>
      <c r="G190" s="10">
        <f>IF(F190="","",MIN(F190,100))</f>
        <v/>
      </c>
      <c r="H190" s="11">
        <f>IF(A190="","",Universe!E190/BDP(A190&amp;" US Equity","HIGH_52WEEK")*100)</f>
        <v/>
      </c>
      <c r="I190">
        <f>IF(D190="","",D190&gt;=5)</f>
        <v/>
      </c>
      <c r="J190">
        <f>IF(F190="","",F190&gt;=5)</f>
        <v/>
      </c>
      <c r="K190">
        <f>IF(H190="","",H190&gt;=75)</f>
        <v/>
      </c>
      <c r="L190">
        <f>IF(OR(I190="",J190="",K190=""),FALSE,AND(I190,J190,K190))</f>
        <v/>
      </c>
    </row>
    <row r="191">
      <c r="A191">
        <f>Universe!A191</f>
        <v/>
      </c>
      <c r="B191" s="10" t="n"/>
      <c r="C191" s="11">
        <f>IF(B191="","",PERCENTRANK.INC($B$2:$B$2501,B191)*100)</f>
        <v/>
      </c>
      <c r="D191" s="10" t="n"/>
      <c r="E191" s="10">
        <f>IF(D191="","",MIN(D191,100))</f>
        <v/>
      </c>
      <c r="F191" s="10" t="n"/>
      <c r="G191" s="10">
        <f>IF(F191="","",MIN(F191,100))</f>
        <v/>
      </c>
      <c r="H191" s="11">
        <f>IF(A191="","",Universe!E191/BDP(A191&amp;" US Equity","HIGH_52WEEK")*100)</f>
        <v/>
      </c>
      <c r="I191">
        <f>IF(D191="","",D191&gt;=5)</f>
        <v/>
      </c>
      <c r="J191">
        <f>IF(F191="","",F191&gt;=5)</f>
        <v/>
      </c>
      <c r="K191">
        <f>IF(H191="","",H191&gt;=75)</f>
        <v/>
      </c>
      <c r="L191">
        <f>IF(OR(I191="",J191="",K191=""),FALSE,AND(I191,J191,K191))</f>
        <v/>
      </c>
    </row>
    <row r="192">
      <c r="A192">
        <f>Universe!A192</f>
        <v/>
      </c>
      <c r="B192" s="10" t="n"/>
      <c r="C192" s="11">
        <f>IF(B192="","",PERCENTRANK.INC($B$2:$B$2501,B192)*100)</f>
        <v/>
      </c>
      <c r="D192" s="10" t="n"/>
      <c r="E192" s="10">
        <f>IF(D192="","",MIN(D192,100))</f>
        <v/>
      </c>
      <c r="F192" s="10" t="n"/>
      <c r="G192" s="10">
        <f>IF(F192="","",MIN(F192,100))</f>
        <v/>
      </c>
      <c r="H192" s="11">
        <f>IF(A192="","",Universe!E192/BDP(A192&amp;" US Equity","HIGH_52WEEK")*100)</f>
        <v/>
      </c>
      <c r="I192">
        <f>IF(D192="","",D192&gt;=5)</f>
        <v/>
      </c>
      <c r="J192">
        <f>IF(F192="","",F192&gt;=5)</f>
        <v/>
      </c>
      <c r="K192">
        <f>IF(H192="","",H192&gt;=75)</f>
        <v/>
      </c>
      <c r="L192">
        <f>IF(OR(I192="",J192="",K192=""),FALSE,AND(I192,J192,K192))</f>
        <v/>
      </c>
    </row>
    <row r="193">
      <c r="A193">
        <f>Universe!A193</f>
        <v/>
      </c>
      <c r="B193" s="10" t="n"/>
      <c r="C193" s="11">
        <f>IF(B193="","",PERCENTRANK.INC($B$2:$B$2501,B193)*100)</f>
        <v/>
      </c>
      <c r="D193" s="10" t="n"/>
      <c r="E193" s="10">
        <f>IF(D193="","",MIN(D193,100))</f>
        <v/>
      </c>
      <c r="F193" s="10" t="n"/>
      <c r="G193" s="10">
        <f>IF(F193="","",MIN(F193,100))</f>
        <v/>
      </c>
      <c r="H193" s="11">
        <f>IF(A193="","",Universe!E193/BDP(A193&amp;" US Equity","HIGH_52WEEK")*100)</f>
        <v/>
      </c>
      <c r="I193">
        <f>IF(D193="","",D193&gt;=5)</f>
        <v/>
      </c>
      <c r="J193">
        <f>IF(F193="","",F193&gt;=5)</f>
        <v/>
      </c>
      <c r="K193">
        <f>IF(H193="","",H193&gt;=75)</f>
        <v/>
      </c>
      <c r="L193">
        <f>IF(OR(I193="",J193="",K193=""),FALSE,AND(I193,J193,K193))</f>
        <v/>
      </c>
    </row>
    <row r="194">
      <c r="A194">
        <f>Universe!A194</f>
        <v/>
      </c>
      <c r="B194" s="10" t="n"/>
      <c r="C194" s="11">
        <f>IF(B194="","",PERCENTRANK.INC($B$2:$B$2501,B194)*100)</f>
        <v/>
      </c>
      <c r="D194" s="10" t="n"/>
      <c r="E194" s="10">
        <f>IF(D194="","",MIN(D194,100))</f>
        <v/>
      </c>
      <c r="F194" s="10" t="n"/>
      <c r="G194" s="10">
        <f>IF(F194="","",MIN(F194,100))</f>
        <v/>
      </c>
      <c r="H194" s="11">
        <f>IF(A194="","",Universe!E194/BDP(A194&amp;" US Equity","HIGH_52WEEK")*100)</f>
        <v/>
      </c>
      <c r="I194">
        <f>IF(D194="","",D194&gt;=5)</f>
        <v/>
      </c>
      <c r="J194">
        <f>IF(F194="","",F194&gt;=5)</f>
        <v/>
      </c>
      <c r="K194">
        <f>IF(H194="","",H194&gt;=75)</f>
        <v/>
      </c>
      <c r="L194">
        <f>IF(OR(I194="",J194="",K194=""),FALSE,AND(I194,J194,K194))</f>
        <v/>
      </c>
    </row>
    <row r="195">
      <c r="A195">
        <f>Universe!A195</f>
        <v/>
      </c>
      <c r="B195" s="10" t="n"/>
      <c r="C195" s="11">
        <f>IF(B195="","",PERCENTRANK.INC($B$2:$B$2501,B195)*100)</f>
        <v/>
      </c>
      <c r="D195" s="10" t="n"/>
      <c r="E195" s="10">
        <f>IF(D195="","",MIN(D195,100))</f>
        <v/>
      </c>
      <c r="F195" s="10" t="n"/>
      <c r="G195" s="10">
        <f>IF(F195="","",MIN(F195,100))</f>
        <v/>
      </c>
      <c r="H195" s="11">
        <f>IF(A195="","",Universe!E195/BDP(A195&amp;" US Equity","HIGH_52WEEK")*100)</f>
        <v/>
      </c>
      <c r="I195">
        <f>IF(D195="","",D195&gt;=5)</f>
        <v/>
      </c>
      <c r="J195">
        <f>IF(F195="","",F195&gt;=5)</f>
        <v/>
      </c>
      <c r="K195">
        <f>IF(H195="","",H195&gt;=75)</f>
        <v/>
      </c>
      <c r="L195">
        <f>IF(OR(I195="",J195="",K195=""),FALSE,AND(I195,J195,K195))</f>
        <v/>
      </c>
    </row>
    <row r="196">
      <c r="A196">
        <f>Universe!A196</f>
        <v/>
      </c>
      <c r="B196" s="10" t="n"/>
      <c r="C196" s="11">
        <f>IF(B196="","",PERCENTRANK.INC($B$2:$B$2501,B196)*100)</f>
        <v/>
      </c>
      <c r="D196" s="10" t="n"/>
      <c r="E196" s="10">
        <f>IF(D196="","",MIN(D196,100))</f>
        <v/>
      </c>
      <c r="F196" s="10" t="n"/>
      <c r="G196" s="10">
        <f>IF(F196="","",MIN(F196,100))</f>
        <v/>
      </c>
      <c r="H196" s="11">
        <f>IF(A196="","",Universe!E196/BDP(A196&amp;" US Equity","HIGH_52WEEK")*100)</f>
        <v/>
      </c>
      <c r="I196">
        <f>IF(D196="","",D196&gt;=5)</f>
        <v/>
      </c>
      <c r="J196">
        <f>IF(F196="","",F196&gt;=5)</f>
        <v/>
      </c>
      <c r="K196">
        <f>IF(H196="","",H196&gt;=75)</f>
        <v/>
      </c>
      <c r="L196">
        <f>IF(OR(I196="",J196="",K196=""),FALSE,AND(I196,J196,K196))</f>
        <v/>
      </c>
    </row>
    <row r="197">
      <c r="A197">
        <f>Universe!A197</f>
        <v/>
      </c>
      <c r="B197" s="10" t="n"/>
      <c r="C197" s="11">
        <f>IF(B197="","",PERCENTRANK.INC($B$2:$B$2501,B197)*100)</f>
        <v/>
      </c>
      <c r="D197" s="10" t="n"/>
      <c r="E197" s="10">
        <f>IF(D197="","",MIN(D197,100))</f>
        <v/>
      </c>
      <c r="F197" s="10" t="n"/>
      <c r="G197" s="10">
        <f>IF(F197="","",MIN(F197,100))</f>
        <v/>
      </c>
      <c r="H197" s="11">
        <f>IF(A197="","",Universe!E197/BDP(A197&amp;" US Equity","HIGH_52WEEK")*100)</f>
        <v/>
      </c>
      <c r="I197">
        <f>IF(D197="","",D197&gt;=5)</f>
        <v/>
      </c>
      <c r="J197">
        <f>IF(F197="","",F197&gt;=5)</f>
        <v/>
      </c>
      <c r="K197">
        <f>IF(H197="","",H197&gt;=75)</f>
        <v/>
      </c>
      <c r="L197">
        <f>IF(OR(I197="",J197="",K197=""),FALSE,AND(I197,J197,K197))</f>
        <v/>
      </c>
    </row>
    <row r="198">
      <c r="A198">
        <f>Universe!A198</f>
        <v/>
      </c>
      <c r="B198" s="10" t="n"/>
      <c r="C198" s="11">
        <f>IF(B198="","",PERCENTRANK.INC($B$2:$B$2501,B198)*100)</f>
        <v/>
      </c>
      <c r="D198" s="10" t="n"/>
      <c r="E198" s="10">
        <f>IF(D198="","",MIN(D198,100))</f>
        <v/>
      </c>
      <c r="F198" s="10" t="n"/>
      <c r="G198" s="10">
        <f>IF(F198="","",MIN(F198,100))</f>
        <v/>
      </c>
      <c r="H198" s="11">
        <f>IF(A198="","",Universe!E198/BDP(A198&amp;" US Equity","HIGH_52WEEK")*100)</f>
        <v/>
      </c>
      <c r="I198">
        <f>IF(D198="","",D198&gt;=5)</f>
        <v/>
      </c>
      <c r="J198">
        <f>IF(F198="","",F198&gt;=5)</f>
        <v/>
      </c>
      <c r="K198">
        <f>IF(H198="","",H198&gt;=75)</f>
        <v/>
      </c>
      <c r="L198">
        <f>IF(OR(I198="",J198="",K198=""),FALSE,AND(I198,J198,K198))</f>
        <v/>
      </c>
    </row>
    <row r="199">
      <c r="A199">
        <f>Universe!A199</f>
        <v/>
      </c>
      <c r="B199" s="10" t="n"/>
      <c r="C199" s="11">
        <f>IF(B199="","",PERCENTRANK.INC($B$2:$B$2501,B199)*100)</f>
        <v/>
      </c>
      <c r="D199" s="10" t="n"/>
      <c r="E199" s="10">
        <f>IF(D199="","",MIN(D199,100))</f>
        <v/>
      </c>
      <c r="F199" s="10" t="n"/>
      <c r="G199" s="10">
        <f>IF(F199="","",MIN(F199,100))</f>
        <v/>
      </c>
      <c r="H199" s="11">
        <f>IF(A199="","",Universe!E199/BDP(A199&amp;" US Equity","HIGH_52WEEK")*100)</f>
        <v/>
      </c>
      <c r="I199">
        <f>IF(D199="","",D199&gt;=5)</f>
        <v/>
      </c>
      <c r="J199">
        <f>IF(F199="","",F199&gt;=5)</f>
        <v/>
      </c>
      <c r="K199">
        <f>IF(H199="","",H199&gt;=75)</f>
        <v/>
      </c>
      <c r="L199">
        <f>IF(OR(I199="",J199="",K199=""),FALSE,AND(I199,J199,K199))</f>
        <v/>
      </c>
    </row>
    <row r="200">
      <c r="A200">
        <f>Universe!A200</f>
        <v/>
      </c>
      <c r="B200" s="10" t="n"/>
      <c r="C200" s="11">
        <f>IF(B200="","",PERCENTRANK.INC($B$2:$B$2501,B200)*100)</f>
        <v/>
      </c>
      <c r="D200" s="10" t="n"/>
      <c r="E200" s="10">
        <f>IF(D200="","",MIN(D200,100))</f>
        <v/>
      </c>
      <c r="F200" s="10" t="n"/>
      <c r="G200" s="10">
        <f>IF(F200="","",MIN(F200,100))</f>
        <v/>
      </c>
      <c r="H200" s="11">
        <f>IF(A200="","",Universe!E200/BDP(A200&amp;" US Equity","HIGH_52WEEK")*100)</f>
        <v/>
      </c>
      <c r="I200">
        <f>IF(D200="","",D200&gt;=5)</f>
        <v/>
      </c>
      <c r="J200">
        <f>IF(F200="","",F200&gt;=5)</f>
        <v/>
      </c>
      <c r="K200">
        <f>IF(H200="","",H200&gt;=75)</f>
        <v/>
      </c>
      <c r="L200">
        <f>IF(OR(I200="",J200="",K200=""),FALSE,AND(I200,J200,K200))</f>
        <v/>
      </c>
    </row>
    <row r="201">
      <c r="A201">
        <f>Universe!A201</f>
        <v/>
      </c>
      <c r="B201" s="10" t="n"/>
      <c r="C201" s="11">
        <f>IF(B201="","",PERCENTRANK.INC($B$2:$B$2501,B201)*100)</f>
        <v/>
      </c>
      <c r="D201" s="10" t="n"/>
      <c r="E201" s="10">
        <f>IF(D201="","",MIN(D201,100))</f>
        <v/>
      </c>
      <c r="F201" s="10" t="n"/>
      <c r="G201" s="10">
        <f>IF(F201="","",MIN(F201,100))</f>
        <v/>
      </c>
      <c r="H201" s="11">
        <f>IF(A201="","",Universe!E201/BDP(A201&amp;" US Equity","HIGH_52WEEK")*100)</f>
        <v/>
      </c>
      <c r="I201">
        <f>IF(D201="","",D201&gt;=5)</f>
        <v/>
      </c>
      <c r="J201">
        <f>IF(F201="","",F201&gt;=5)</f>
        <v/>
      </c>
      <c r="K201">
        <f>IF(H201="","",H201&gt;=75)</f>
        <v/>
      </c>
      <c r="L201">
        <f>IF(OR(I201="",J201="",K201=""),FALSE,AND(I201,J201,K201))</f>
        <v/>
      </c>
    </row>
    <row r="202">
      <c r="A202">
        <f>Universe!A202</f>
        <v/>
      </c>
      <c r="B202" s="10" t="n"/>
      <c r="C202" s="11">
        <f>IF(B202="","",PERCENTRANK.INC($B$2:$B$2501,B202)*100)</f>
        <v/>
      </c>
      <c r="D202" s="10" t="n"/>
      <c r="E202" s="10">
        <f>IF(D202="","",MIN(D202,100))</f>
        <v/>
      </c>
      <c r="F202" s="10" t="n"/>
      <c r="G202" s="10">
        <f>IF(F202="","",MIN(F202,100))</f>
        <v/>
      </c>
      <c r="H202" s="11">
        <f>IF(A202="","",Universe!E202/BDP(A202&amp;" US Equity","HIGH_52WEEK")*100)</f>
        <v/>
      </c>
      <c r="I202">
        <f>IF(D202="","",D202&gt;=5)</f>
        <v/>
      </c>
      <c r="J202">
        <f>IF(F202="","",F202&gt;=5)</f>
        <v/>
      </c>
      <c r="K202">
        <f>IF(H202="","",H202&gt;=75)</f>
        <v/>
      </c>
      <c r="L202">
        <f>IF(OR(I202="",J202="",K202=""),FALSE,AND(I202,J202,K202))</f>
        <v/>
      </c>
    </row>
    <row r="203">
      <c r="A203">
        <f>Universe!A203</f>
        <v/>
      </c>
      <c r="B203" s="10" t="n"/>
      <c r="C203" s="11">
        <f>IF(B203="","",PERCENTRANK.INC($B$2:$B$2501,B203)*100)</f>
        <v/>
      </c>
      <c r="D203" s="10" t="n"/>
      <c r="E203" s="10">
        <f>IF(D203="","",MIN(D203,100))</f>
        <v/>
      </c>
      <c r="F203" s="10" t="n"/>
      <c r="G203" s="10">
        <f>IF(F203="","",MIN(F203,100))</f>
        <v/>
      </c>
      <c r="H203" s="11">
        <f>IF(A203="","",Universe!E203/BDP(A203&amp;" US Equity","HIGH_52WEEK")*100)</f>
        <v/>
      </c>
      <c r="I203">
        <f>IF(D203="","",D203&gt;=5)</f>
        <v/>
      </c>
      <c r="J203">
        <f>IF(F203="","",F203&gt;=5)</f>
        <v/>
      </c>
      <c r="K203">
        <f>IF(H203="","",H203&gt;=75)</f>
        <v/>
      </c>
      <c r="L203">
        <f>IF(OR(I203="",J203="",K203=""),FALSE,AND(I203,J203,K203))</f>
        <v/>
      </c>
    </row>
    <row r="204">
      <c r="A204">
        <f>Universe!A204</f>
        <v/>
      </c>
      <c r="B204" s="10" t="n"/>
      <c r="C204" s="11">
        <f>IF(B204="","",PERCENTRANK.INC($B$2:$B$2501,B204)*100)</f>
        <v/>
      </c>
      <c r="D204" s="10" t="n"/>
      <c r="E204" s="10">
        <f>IF(D204="","",MIN(D204,100))</f>
        <v/>
      </c>
      <c r="F204" s="10" t="n"/>
      <c r="G204" s="10">
        <f>IF(F204="","",MIN(F204,100))</f>
        <v/>
      </c>
      <c r="H204" s="11">
        <f>IF(A204="","",Universe!E204/BDP(A204&amp;" US Equity","HIGH_52WEEK")*100)</f>
        <v/>
      </c>
      <c r="I204">
        <f>IF(D204="","",D204&gt;=5)</f>
        <v/>
      </c>
      <c r="J204">
        <f>IF(F204="","",F204&gt;=5)</f>
        <v/>
      </c>
      <c r="K204">
        <f>IF(H204="","",H204&gt;=75)</f>
        <v/>
      </c>
      <c r="L204">
        <f>IF(OR(I204="",J204="",K204=""),FALSE,AND(I204,J204,K204))</f>
        <v/>
      </c>
    </row>
    <row r="205">
      <c r="A205">
        <f>Universe!A205</f>
        <v/>
      </c>
      <c r="B205" s="10" t="n"/>
      <c r="C205" s="11">
        <f>IF(B205="","",PERCENTRANK.INC($B$2:$B$2501,B205)*100)</f>
        <v/>
      </c>
      <c r="D205" s="10" t="n"/>
      <c r="E205" s="10">
        <f>IF(D205="","",MIN(D205,100))</f>
        <v/>
      </c>
      <c r="F205" s="10" t="n"/>
      <c r="G205" s="10">
        <f>IF(F205="","",MIN(F205,100))</f>
        <v/>
      </c>
      <c r="H205" s="11">
        <f>IF(A205="","",Universe!E205/BDP(A205&amp;" US Equity","HIGH_52WEEK")*100)</f>
        <v/>
      </c>
      <c r="I205">
        <f>IF(D205="","",D205&gt;=5)</f>
        <v/>
      </c>
      <c r="J205">
        <f>IF(F205="","",F205&gt;=5)</f>
        <v/>
      </c>
      <c r="K205">
        <f>IF(H205="","",H205&gt;=75)</f>
        <v/>
      </c>
      <c r="L205">
        <f>IF(OR(I205="",J205="",K205=""),FALSE,AND(I205,J205,K205))</f>
        <v/>
      </c>
    </row>
    <row r="206">
      <c r="A206">
        <f>Universe!A206</f>
        <v/>
      </c>
      <c r="B206" s="10" t="n"/>
      <c r="C206" s="11">
        <f>IF(B206="","",PERCENTRANK.INC($B$2:$B$2501,B206)*100)</f>
        <v/>
      </c>
      <c r="D206" s="10" t="n"/>
      <c r="E206" s="10">
        <f>IF(D206="","",MIN(D206,100))</f>
        <v/>
      </c>
      <c r="F206" s="10" t="n"/>
      <c r="G206" s="10">
        <f>IF(F206="","",MIN(F206,100))</f>
        <v/>
      </c>
      <c r="H206" s="11">
        <f>IF(A206="","",Universe!E206/BDP(A206&amp;" US Equity","HIGH_52WEEK")*100)</f>
        <v/>
      </c>
      <c r="I206">
        <f>IF(D206="","",D206&gt;=5)</f>
        <v/>
      </c>
      <c r="J206">
        <f>IF(F206="","",F206&gt;=5)</f>
        <v/>
      </c>
      <c r="K206">
        <f>IF(H206="","",H206&gt;=75)</f>
        <v/>
      </c>
      <c r="L206">
        <f>IF(OR(I206="",J206="",K206=""),FALSE,AND(I206,J206,K206))</f>
        <v/>
      </c>
    </row>
    <row r="207">
      <c r="A207">
        <f>Universe!A207</f>
        <v/>
      </c>
      <c r="B207" s="10" t="n"/>
      <c r="C207" s="11">
        <f>IF(B207="","",PERCENTRANK.INC($B$2:$B$2501,B207)*100)</f>
        <v/>
      </c>
      <c r="D207" s="10" t="n"/>
      <c r="E207" s="10">
        <f>IF(D207="","",MIN(D207,100))</f>
        <v/>
      </c>
      <c r="F207" s="10" t="n"/>
      <c r="G207" s="10">
        <f>IF(F207="","",MIN(F207,100))</f>
        <v/>
      </c>
      <c r="H207" s="11">
        <f>IF(A207="","",Universe!E207/BDP(A207&amp;" US Equity","HIGH_52WEEK")*100)</f>
        <v/>
      </c>
      <c r="I207">
        <f>IF(D207="","",D207&gt;=5)</f>
        <v/>
      </c>
      <c r="J207">
        <f>IF(F207="","",F207&gt;=5)</f>
        <v/>
      </c>
      <c r="K207">
        <f>IF(H207="","",H207&gt;=75)</f>
        <v/>
      </c>
      <c r="L207">
        <f>IF(OR(I207="",J207="",K207=""),FALSE,AND(I207,J207,K207))</f>
        <v/>
      </c>
    </row>
    <row r="208">
      <c r="A208">
        <f>Universe!A208</f>
        <v/>
      </c>
      <c r="B208" s="10" t="n"/>
      <c r="C208" s="11">
        <f>IF(B208="","",PERCENTRANK.INC($B$2:$B$2501,B208)*100)</f>
        <v/>
      </c>
      <c r="D208" s="10" t="n"/>
      <c r="E208" s="10">
        <f>IF(D208="","",MIN(D208,100))</f>
        <v/>
      </c>
      <c r="F208" s="10" t="n"/>
      <c r="G208" s="10">
        <f>IF(F208="","",MIN(F208,100))</f>
        <v/>
      </c>
      <c r="H208" s="11">
        <f>IF(A208="","",Universe!E208/BDP(A208&amp;" US Equity","HIGH_52WEEK")*100)</f>
        <v/>
      </c>
      <c r="I208">
        <f>IF(D208="","",D208&gt;=5)</f>
        <v/>
      </c>
      <c r="J208">
        <f>IF(F208="","",F208&gt;=5)</f>
        <v/>
      </c>
      <c r="K208">
        <f>IF(H208="","",H208&gt;=75)</f>
        <v/>
      </c>
      <c r="L208">
        <f>IF(OR(I208="",J208="",K208=""),FALSE,AND(I208,J208,K208))</f>
        <v/>
      </c>
    </row>
    <row r="209">
      <c r="A209">
        <f>Universe!A209</f>
        <v/>
      </c>
      <c r="B209" s="10" t="n"/>
      <c r="C209" s="11">
        <f>IF(B209="","",PERCENTRANK.INC($B$2:$B$2501,B209)*100)</f>
        <v/>
      </c>
      <c r="D209" s="10" t="n"/>
      <c r="E209" s="10">
        <f>IF(D209="","",MIN(D209,100))</f>
        <v/>
      </c>
      <c r="F209" s="10" t="n"/>
      <c r="G209" s="10">
        <f>IF(F209="","",MIN(F209,100))</f>
        <v/>
      </c>
      <c r="H209" s="11">
        <f>IF(A209="","",Universe!E209/BDP(A209&amp;" US Equity","HIGH_52WEEK")*100)</f>
        <v/>
      </c>
      <c r="I209">
        <f>IF(D209="","",D209&gt;=5)</f>
        <v/>
      </c>
      <c r="J209">
        <f>IF(F209="","",F209&gt;=5)</f>
        <v/>
      </c>
      <c r="K209">
        <f>IF(H209="","",H209&gt;=75)</f>
        <v/>
      </c>
      <c r="L209">
        <f>IF(OR(I209="",J209="",K209=""),FALSE,AND(I209,J209,K209))</f>
        <v/>
      </c>
    </row>
    <row r="210">
      <c r="A210">
        <f>Universe!A210</f>
        <v/>
      </c>
      <c r="B210" s="10" t="n"/>
      <c r="C210" s="11">
        <f>IF(B210="","",PERCENTRANK.INC($B$2:$B$2501,B210)*100)</f>
        <v/>
      </c>
      <c r="D210" s="10" t="n"/>
      <c r="E210" s="10">
        <f>IF(D210="","",MIN(D210,100))</f>
        <v/>
      </c>
      <c r="F210" s="10" t="n"/>
      <c r="G210" s="10">
        <f>IF(F210="","",MIN(F210,100))</f>
        <v/>
      </c>
      <c r="H210" s="11">
        <f>IF(A210="","",Universe!E210/BDP(A210&amp;" US Equity","HIGH_52WEEK")*100)</f>
        <v/>
      </c>
      <c r="I210">
        <f>IF(D210="","",D210&gt;=5)</f>
        <v/>
      </c>
      <c r="J210">
        <f>IF(F210="","",F210&gt;=5)</f>
        <v/>
      </c>
      <c r="K210">
        <f>IF(H210="","",H210&gt;=75)</f>
        <v/>
      </c>
      <c r="L210">
        <f>IF(OR(I210="",J210="",K210=""),FALSE,AND(I210,J210,K210))</f>
        <v/>
      </c>
    </row>
    <row r="211">
      <c r="A211">
        <f>Universe!A211</f>
        <v/>
      </c>
      <c r="B211" s="10" t="n"/>
      <c r="C211" s="11">
        <f>IF(B211="","",PERCENTRANK.INC($B$2:$B$2501,B211)*100)</f>
        <v/>
      </c>
      <c r="D211" s="10" t="n"/>
      <c r="E211" s="10">
        <f>IF(D211="","",MIN(D211,100))</f>
        <v/>
      </c>
      <c r="F211" s="10" t="n"/>
      <c r="G211" s="10">
        <f>IF(F211="","",MIN(F211,100))</f>
        <v/>
      </c>
      <c r="H211" s="11">
        <f>IF(A211="","",Universe!E211/BDP(A211&amp;" US Equity","HIGH_52WEEK")*100)</f>
        <v/>
      </c>
      <c r="I211">
        <f>IF(D211="","",D211&gt;=5)</f>
        <v/>
      </c>
      <c r="J211">
        <f>IF(F211="","",F211&gt;=5)</f>
        <v/>
      </c>
      <c r="K211">
        <f>IF(H211="","",H211&gt;=75)</f>
        <v/>
      </c>
      <c r="L211">
        <f>IF(OR(I211="",J211="",K211=""),FALSE,AND(I211,J211,K211))</f>
        <v/>
      </c>
    </row>
    <row r="212">
      <c r="A212">
        <f>Universe!A212</f>
        <v/>
      </c>
      <c r="B212" s="10" t="n"/>
      <c r="C212" s="11">
        <f>IF(B212="","",PERCENTRANK.INC($B$2:$B$2501,B212)*100)</f>
        <v/>
      </c>
      <c r="D212" s="10" t="n"/>
      <c r="E212" s="10">
        <f>IF(D212="","",MIN(D212,100))</f>
        <v/>
      </c>
      <c r="F212" s="10" t="n"/>
      <c r="G212" s="10">
        <f>IF(F212="","",MIN(F212,100))</f>
        <v/>
      </c>
      <c r="H212" s="11">
        <f>IF(A212="","",Universe!E212/BDP(A212&amp;" US Equity","HIGH_52WEEK")*100)</f>
        <v/>
      </c>
      <c r="I212">
        <f>IF(D212="","",D212&gt;=5)</f>
        <v/>
      </c>
      <c r="J212">
        <f>IF(F212="","",F212&gt;=5)</f>
        <v/>
      </c>
      <c r="K212">
        <f>IF(H212="","",H212&gt;=75)</f>
        <v/>
      </c>
      <c r="L212">
        <f>IF(OR(I212="",J212="",K212=""),FALSE,AND(I212,J212,K212))</f>
        <v/>
      </c>
    </row>
    <row r="213">
      <c r="A213">
        <f>Universe!A213</f>
        <v/>
      </c>
      <c r="B213" s="10" t="n"/>
      <c r="C213" s="11">
        <f>IF(B213="","",PERCENTRANK.INC($B$2:$B$2501,B213)*100)</f>
        <v/>
      </c>
      <c r="D213" s="10" t="n"/>
      <c r="E213" s="10">
        <f>IF(D213="","",MIN(D213,100))</f>
        <v/>
      </c>
      <c r="F213" s="10" t="n"/>
      <c r="G213" s="10">
        <f>IF(F213="","",MIN(F213,100))</f>
        <v/>
      </c>
      <c r="H213" s="11">
        <f>IF(A213="","",Universe!E213/BDP(A213&amp;" US Equity","HIGH_52WEEK")*100)</f>
        <v/>
      </c>
      <c r="I213">
        <f>IF(D213="","",D213&gt;=5)</f>
        <v/>
      </c>
      <c r="J213">
        <f>IF(F213="","",F213&gt;=5)</f>
        <v/>
      </c>
      <c r="K213">
        <f>IF(H213="","",H213&gt;=75)</f>
        <v/>
      </c>
      <c r="L213">
        <f>IF(OR(I213="",J213="",K213=""),FALSE,AND(I213,J213,K213))</f>
        <v/>
      </c>
    </row>
    <row r="214">
      <c r="A214">
        <f>Universe!A214</f>
        <v/>
      </c>
      <c r="B214" s="10" t="n"/>
      <c r="C214" s="11">
        <f>IF(B214="","",PERCENTRANK.INC($B$2:$B$2501,B214)*100)</f>
        <v/>
      </c>
      <c r="D214" s="10" t="n"/>
      <c r="E214" s="10">
        <f>IF(D214="","",MIN(D214,100))</f>
        <v/>
      </c>
      <c r="F214" s="10" t="n"/>
      <c r="G214" s="10">
        <f>IF(F214="","",MIN(F214,100))</f>
        <v/>
      </c>
      <c r="H214" s="11">
        <f>IF(A214="","",Universe!E214/BDP(A214&amp;" US Equity","HIGH_52WEEK")*100)</f>
        <v/>
      </c>
      <c r="I214">
        <f>IF(D214="","",D214&gt;=5)</f>
        <v/>
      </c>
      <c r="J214">
        <f>IF(F214="","",F214&gt;=5)</f>
        <v/>
      </c>
      <c r="K214">
        <f>IF(H214="","",H214&gt;=75)</f>
        <v/>
      </c>
      <c r="L214">
        <f>IF(OR(I214="",J214="",K214=""),FALSE,AND(I214,J214,K214))</f>
        <v/>
      </c>
    </row>
    <row r="215">
      <c r="A215">
        <f>Universe!A215</f>
        <v/>
      </c>
      <c r="B215" s="10" t="n"/>
      <c r="C215" s="11">
        <f>IF(B215="","",PERCENTRANK.INC($B$2:$B$2501,B215)*100)</f>
        <v/>
      </c>
      <c r="D215" s="10" t="n"/>
      <c r="E215" s="10">
        <f>IF(D215="","",MIN(D215,100))</f>
        <v/>
      </c>
      <c r="F215" s="10" t="n"/>
      <c r="G215" s="10">
        <f>IF(F215="","",MIN(F215,100))</f>
        <v/>
      </c>
      <c r="H215" s="11">
        <f>IF(A215="","",Universe!E215/BDP(A215&amp;" US Equity","HIGH_52WEEK")*100)</f>
        <v/>
      </c>
      <c r="I215">
        <f>IF(D215="","",D215&gt;=5)</f>
        <v/>
      </c>
      <c r="J215">
        <f>IF(F215="","",F215&gt;=5)</f>
        <v/>
      </c>
      <c r="K215">
        <f>IF(H215="","",H215&gt;=75)</f>
        <v/>
      </c>
      <c r="L215">
        <f>IF(OR(I215="",J215="",K215=""),FALSE,AND(I215,J215,K215))</f>
        <v/>
      </c>
    </row>
    <row r="216">
      <c r="A216">
        <f>Universe!A216</f>
        <v/>
      </c>
      <c r="B216" s="10" t="n"/>
      <c r="C216" s="11">
        <f>IF(B216="","",PERCENTRANK.INC($B$2:$B$2501,B216)*100)</f>
        <v/>
      </c>
      <c r="D216" s="10" t="n"/>
      <c r="E216" s="10">
        <f>IF(D216="","",MIN(D216,100))</f>
        <v/>
      </c>
      <c r="F216" s="10" t="n"/>
      <c r="G216" s="10">
        <f>IF(F216="","",MIN(F216,100))</f>
        <v/>
      </c>
      <c r="H216" s="11">
        <f>IF(A216="","",Universe!E216/BDP(A216&amp;" US Equity","HIGH_52WEEK")*100)</f>
        <v/>
      </c>
      <c r="I216">
        <f>IF(D216="","",D216&gt;=5)</f>
        <v/>
      </c>
      <c r="J216">
        <f>IF(F216="","",F216&gt;=5)</f>
        <v/>
      </c>
      <c r="K216">
        <f>IF(H216="","",H216&gt;=75)</f>
        <v/>
      </c>
      <c r="L216">
        <f>IF(OR(I216="",J216="",K216=""),FALSE,AND(I216,J216,K216))</f>
        <v/>
      </c>
    </row>
    <row r="217">
      <c r="A217">
        <f>Universe!A217</f>
        <v/>
      </c>
      <c r="B217" s="10" t="n"/>
      <c r="C217" s="11">
        <f>IF(B217="","",PERCENTRANK.INC($B$2:$B$2501,B217)*100)</f>
        <v/>
      </c>
      <c r="D217" s="10" t="n"/>
      <c r="E217" s="10">
        <f>IF(D217="","",MIN(D217,100))</f>
        <v/>
      </c>
      <c r="F217" s="10" t="n"/>
      <c r="G217" s="10">
        <f>IF(F217="","",MIN(F217,100))</f>
        <v/>
      </c>
      <c r="H217" s="11">
        <f>IF(A217="","",Universe!E217/BDP(A217&amp;" US Equity","HIGH_52WEEK")*100)</f>
        <v/>
      </c>
      <c r="I217">
        <f>IF(D217="","",D217&gt;=5)</f>
        <v/>
      </c>
      <c r="J217">
        <f>IF(F217="","",F217&gt;=5)</f>
        <v/>
      </c>
      <c r="K217">
        <f>IF(H217="","",H217&gt;=75)</f>
        <v/>
      </c>
      <c r="L217">
        <f>IF(OR(I217="",J217="",K217=""),FALSE,AND(I217,J217,K217))</f>
        <v/>
      </c>
    </row>
    <row r="218">
      <c r="A218">
        <f>Universe!A218</f>
        <v/>
      </c>
      <c r="B218" s="10" t="n"/>
      <c r="C218" s="11">
        <f>IF(B218="","",PERCENTRANK.INC($B$2:$B$2501,B218)*100)</f>
        <v/>
      </c>
      <c r="D218" s="10" t="n"/>
      <c r="E218" s="10">
        <f>IF(D218="","",MIN(D218,100))</f>
        <v/>
      </c>
      <c r="F218" s="10" t="n"/>
      <c r="G218" s="10">
        <f>IF(F218="","",MIN(F218,100))</f>
        <v/>
      </c>
      <c r="H218" s="11">
        <f>IF(A218="","",Universe!E218/BDP(A218&amp;" US Equity","HIGH_52WEEK")*100)</f>
        <v/>
      </c>
      <c r="I218">
        <f>IF(D218="","",D218&gt;=5)</f>
        <v/>
      </c>
      <c r="J218">
        <f>IF(F218="","",F218&gt;=5)</f>
        <v/>
      </c>
      <c r="K218">
        <f>IF(H218="","",H218&gt;=75)</f>
        <v/>
      </c>
      <c r="L218">
        <f>IF(OR(I218="",J218="",K218=""),FALSE,AND(I218,J218,K218))</f>
        <v/>
      </c>
    </row>
    <row r="219">
      <c r="A219">
        <f>Universe!A219</f>
        <v/>
      </c>
      <c r="B219" s="10" t="n"/>
      <c r="C219" s="11">
        <f>IF(B219="","",PERCENTRANK.INC($B$2:$B$2501,B219)*100)</f>
        <v/>
      </c>
      <c r="D219" s="10" t="n"/>
      <c r="E219" s="10">
        <f>IF(D219="","",MIN(D219,100))</f>
        <v/>
      </c>
      <c r="F219" s="10" t="n"/>
      <c r="G219" s="10">
        <f>IF(F219="","",MIN(F219,100))</f>
        <v/>
      </c>
      <c r="H219" s="11">
        <f>IF(A219="","",Universe!E219/BDP(A219&amp;" US Equity","HIGH_52WEEK")*100)</f>
        <v/>
      </c>
      <c r="I219">
        <f>IF(D219="","",D219&gt;=5)</f>
        <v/>
      </c>
      <c r="J219">
        <f>IF(F219="","",F219&gt;=5)</f>
        <v/>
      </c>
      <c r="K219">
        <f>IF(H219="","",H219&gt;=75)</f>
        <v/>
      </c>
      <c r="L219">
        <f>IF(OR(I219="",J219="",K219=""),FALSE,AND(I219,J219,K219))</f>
        <v/>
      </c>
    </row>
    <row r="220">
      <c r="A220">
        <f>Universe!A220</f>
        <v/>
      </c>
      <c r="B220" s="10" t="n"/>
      <c r="C220" s="11">
        <f>IF(B220="","",PERCENTRANK.INC($B$2:$B$2501,B220)*100)</f>
        <v/>
      </c>
      <c r="D220" s="10" t="n"/>
      <c r="E220" s="10">
        <f>IF(D220="","",MIN(D220,100))</f>
        <v/>
      </c>
      <c r="F220" s="10" t="n"/>
      <c r="G220" s="10">
        <f>IF(F220="","",MIN(F220,100))</f>
        <v/>
      </c>
      <c r="H220" s="11">
        <f>IF(A220="","",Universe!E220/BDP(A220&amp;" US Equity","HIGH_52WEEK")*100)</f>
        <v/>
      </c>
      <c r="I220">
        <f>IF(D220="","",D220&gt;=5)</f>
        <v/>
      </c>
      <c r="J220">
        <f>IF(F220="","",F220&gt;=5)</f>
        <v/>
      </c>
      <c r="K220">
        <f>IF(H220="","",H220&gt;=75)</f>
        <v/>
      </c>
      <c r="L220">
        <f>IF(OR(I220="",J220="",K220=""),FALSE,AND(I220,J220,K220))</f>
        <v/>
      </c>
    </row>
    <row r="221">
      <c r="A221">
        <f>Universe!A221</f>
        <v/>
      </c>
      <c r="B221" s="10" t="n"/>
      <c r="C221" s="11">
        <f>IF(B221="","",PERCENTRANK.INC($B$2:$B$2501,B221)*100)</f>
        <v/>
      </c>
      <c r="D221" s="10" t="n"/>
      <c r="E221" s="10">
        <f>IF(D221="","",MIN(D221,100))</f>
        <v/>
      </c>
      <c r="F221" s="10" t="n"/>
      <c r="G221" s="10">
        <f>IF(F221="","",MIN(F221,100))</f>
        <v/>
      </c>
      <c r="H221" s="11">
        <f>IF(A221="","",Universe!E221/BDP(A221&amp;" US Equity","HIGH_52WEEK")*100)</f>
        <v/>
      </c>
      <c r="I221">
        <f>IF(D221="","",D221&gt;=5)</f>
        <v/>
      </c>
      <c r="J221">
        <f>IF(F221="","",F221&gt;=5)</f>
        <v/>
      </c>
      <c r="K221">
        <f>IF(H221="","",H221&gt;=75)</f>
        <v/>
      </c>
      <c r="L221">
        <f>IF(OR(I221="",J221="",K221=""),FALSE,AND(I221,J221,K221))</f>
        <v/>
      </c>
    </row>
    <row r="222">
      <c r="A222">
        <f>Universe!A222</f>
        <v/>
      </c>
      <c r="B222" s="10" t="n"/>
      <c r="C222" s="11">
        <f>IF(B222="","",PERCENTRANK.INC($B$2:$B$2501,B222)*100)</f>
        <v/>
      </c>
      <c r="D222" s="10" t="n"/>
      <c r="E222" s="10">
        <f>IF(D222="","",MIN(D222,100))</f>
        <v/>
      </c>
      <c r="F222" s="10" t="n"/>
      <c r="G222" s="10">
        <f>IF(F222="","",MIN(F222,100))</f>
        <v/>
      </c>
      <c r="H222" s="11">
        <f>IF(A222="","",Universe!E222/BDP(A222&amp;" US Equity","HIGH_52WEEK")*100)</f>
        <v/>
      </c>
      <c r="I222">
        <f>IF(D222="","",D222&gt;=5)</f>
        <v/>
      </c>
      <c r="J222">
        <f>IF(F222="","",F222&gt;=5)</f>
        <v/>
      </c>
      <c r="K222">
        <f>IF(H222="","",H222&gt;=75)</f>
        <v/>
      </c>
      <c r="L222">
        <f>IF(OR(I222="",J222="",K222=""),FALSE,AND(I222,J222,K222))</f>
        <v/>
      </c>
    </row>
    <row r="223">
      <c r="A223">
        <f>Universe!A223</f>
        <v/>
      </c>
      <c r="B223" s="10" t="n"/>
      <c r="C223" s="11">
        <f>IF(B223="","",PERCENTRANK.INC($B$2:$B$2501,B223)*100)</f>
        <v/>
      </c>
      <c r="D223" s="10" t="n"/>
      <c r="E223" s="10">
        <f>IF(D223="","",MIN(D223,100))</f>
        <v/>
      </c>
      <c r="F223" s="10" t="n"/>
      <c r="G223" s="10">
        <f>IF(F223="","",MIN(F223,100))</f>
        <v/>
      </c>
      <c r="H223" s="11">
        <f>IF(A223="","",Universe!E223/BDP(A223&amp;" US Equity","HIGH_52WEEK")*100)</f>
        <v/>
      </c>
      <c r="I223">
        <f>IF(D223="","",D223&gt;=5)</f>
        <v/>
      </c>
      <c r="J223">
        <f>IF(F223="","",F223&gt;=5)</f>
        <v/>
      </c>
      <c r="K223">
        <f>IF(H223="","",H223&gt;=75)</f>
        <v/>
      </c>
      <c r="L223">
        <f>IF(OR(I223="",J223="",K223=""),FALSE,AND(I223,J223,K223))</f>
        <v/>
      </c>
    </row>
    <row r="224">
      <c r="A224">
        <f>Universe!A224</f>
        <v/>
      </c>
      <c r="B224" s="10" t="n"/>
      <c r="C224" s="11">
        <f>IF(B224="","",PERCENTRANK.INC($B$2:$B$2501,B224)*100)</f>
        <v/>
      </c>
      <c r="D224" s="10" t="n"/>
      <c r="E224" s="10">
        <f>IF(D224="","",MIN(D224,100))</f>
        <v/>
      </c>
      <c r="F224" s="10" t="n"/>
      <c r="G224" s="10">
        <f>IF(F224="","",MIN(F224,100))</f>
        <v/>
      </c>
      <c r="H224" s="11">
        <f>IF(A224="","",Universe!E224/BDP(A224&amp;" US Equity","HIGH_52WEEK")*100)</f>
        <v/>
      </c>
      <c r="I224">
        <f>IF(D224="","",D224&gt;=5)</f>
        <v/>
      </c>
      <c r="J224">
        <f>IF(F224="","",F224&gt;=5)</f>
        <v/>
      </c>
      <c r="K224">
        <f>IF(H224="","",H224&gt;=75)</f>
        <v/>
      </c>
      <c r="L224">
        <f>IF(OR(I224="",J224="",K224=""),FALSE,AND(I224,J224,K224))</f>
        <v/>
      </c>
    </row>
    <row r="225">
      <c r="A225">
        <f>Universe!A225</f>
        <v/>
      </c>
      <c r="B225" s="10" t="n"/>
      <c r="C225" s="11">
        <f>IF(B225="","",PERCENTRANK.INC($B$2:$B$2501,B225)*100)</f>
        <v/>
      </c>
      <c r="D225" s="10" t="n"/>
      <c r="E225" s="10">
        <f>IF(D225="","",MIN(D225,100))</f>
        <v/>
      </c>
      <c r="F225" s="10" t="n"/>
      <c r="G225" s="10">
        <f>IF(F225="","",MIN(F225,100))</f>
        <v/>
      </c>
      <c r="H225" s="11">
        <f>IF(A225="","",Universe!E225/BDP(A225&amp;" US Equity","HIGH_52WEEK")*100)</f>
        <v/>
      </c>
      <c r="I225">
        <f>IF(D225="","",D225&gt;=5)</f>
        <v/>
      </c>
      <c r="J225">
        <f>IF(F225="","",F225&gt;=5)</f>
        <v/>
      </c>
      <c r="K225">
        <f>IF(H225="","",H225&gt;=75)</f>
        <v/>
      </c>
      <c r="L225">
        <f>IF(OR(I225="",J225="",K225=""),FALSE,AND(I225,J225,K225))</f>
        <v/>
      </c>
    </row>
    <row r="226">
      <c r="A226">
        <f>Universe!A226</f>
        <v/>
      </c>
      <c r="B226" s="10" t="n"/>
      <c r="C226" s="11">
        <f>IF(B226="","",PERCENTRANK.INC($B$2:$B$2501,B226)*100)</f>
        <v/>
      </c>
      <c r="D226" s="10" t="n"/>
      <c r="E226" s="10">
        <f>IF(D226="","",MIN(D226,100))</f>
        <v/>
      </c>
      <c r="F226" s="10" t="n"/>
      <c r="G226" s="10">
        <f>IF(F226="","",MIN(F226,100))</f>
        <v/>
      </c>
      <c r="H226" s="11">
        <f>IF(A226="","",Universe!E226/BDP(A226&amp;" US Equity","HIGH_52WEEK")*100)</f>
        <v/>
      </c>
      <c r="I226">
        <f>IF(D226="","",D226&gt;=5)</f>
        <v/>
      </c>
      <c r="J226">
        <f>IF(F226="","",F226&gt;=5)</f>
        <v/>
      </c>
      <c r="K226">
        <f>IF(H226="","",H226&gt;=75)</f>
        <v/>
      </c>
      <c r="L226">
        <f>IF(OR(I226="",J226="",K226=""),FALSE,AND(I226,J226,K226))</f>
        <v/>
      </c>
    </row>
    <row r="227">
      <c r="A227">
        <f>Universe!A227</f>
        <v/>
      </c>
      <c r="B227" s="10" t="n"/>
      <c r="C227" s="11">
        <f>IF(B227="","",PERCENTRANK.INC($B$2:$B$2501,B227)*100)</f>
        <v/>
      </c>
      <c r="D227" s="10" t="n"/>
      <c r="E227" s="10">
        <f>IF(D227="","",MIN(D227,100))</f>
        <v/>
      </c>
      <c r="F227" s="10" t="n"/>
      <c r="G227" s="10">
        <f>IF(F227="","",MIN(F227,100))</f>
        <v/>
      </c>
      <c r="H227" s="11">
        <f>IF(A227="","",Universe!E227/BDP(A227&amp;" US Equity","HIGH_52WEEK")*100)</f>
        <v/>
      </c>
      <c r="I227">
        <f>IF(D227="","",D227&gt;=5)</f>
        <v/>
      </c>
      <c r="J227">
        <f>IF(F227="","",F227&gt;=5)</f>
        <v/>
      </c>
      <c r="K227">
        <f>IF(H227="","",H227&gt;=75)</f>
        <v/>
      </c>
      <c r="L227">
        <f>IF(OR(I227="",J227="",K227=""),FALSE,AND(I227,J227,K227))</f>
        <v/>
      </c>
    </row>
    <row r="228">
      <c r="A228">
        <f>Universe!A228</f>
        <v/>
      </c>
      <c r="B228" s="10" t="n"/>
      <c r="C228" s="11">
        <f>IF(B228="","",PERCENTRANK.INC($B$2:$B$2501,B228)*100)</f>
        <v/>
      </c>
      <c r="D228" s="10" t="n"/>
      <c r="E228" s="10">
        <f>IF(D228="","",MIN(D228,100))</f>
        <v/>
      </c>
      <c r="F228" s="10" t="n"/>
      <c r="G228" s="10">
        <f>IF(F228="","",MIN(F228,100))</f>
        <v/>
      </c>
      <c r="H228" s="11">
        <f>IF(A228="","",Universe!E228/BDP(A228&amp;" US Equity","HIGH_52WEEK")*100)</f>
        <v/>
      </c>
      <c r="I228">
        <f>IF(D228="","",D228&gt;=5)</f>
        <v/>
      </c>
      <c r="J228">
        <f>IF(F228="","",F228&gt;=5)</f>
        <v/>
      </c>
      <c r="K228">
        <f>IF(H228="","",H228&gt;=75)</f>
        <v/>
      </c>
      <c r="L228">
        <f>IF(OR(I228="",J228="",K228=""),FALSE,AND(I228,J228,K228))</f>
        <v/>
      </c>
    </row>
    <row r="229">
      <c r="A229">
        <f>Universe!A229</f>
        <v/>
      </c>
      <c r="B229" s="10" t="n"/>
      <c r="C229" s="11">
        <f>IF(B229="","",PERCENTRANK.INC($B$2:$B$2501,B229)*100)</f>
        <v/>
      </c>
      <c r="D229" s="10" t="n"/>
      <c r="E229" s="10">
        <f>IF(D229="","",MIN(D229,100))</f>
        <v/>
      </c>
      <c r="F229" s="10" t="n"/>
      <c r="G229" s="10">
        <f>IF(F229="","",MIN(F229,100))</f>
        <v/>
      </c>
      <c r="H229" s="11">
        <f>IF(A229="","",Universe!E229/BDP(A229&amp;" US Equity","HIGH_52WEEK")*100)</f>
        <v/>
      </c>
      <c r="I229">
        <f>IF(D229="","",D229&gt;=5)</f>
        <v/>
      </c>
      <c r="J229">
        <f>IF(F229="","",F229&gt;=5)</f>
        <v/>
      </c>
      <c r="K229">
        <f>IF(H229="","",H229&gt;=75)</f>
        <v/>
      </c>
      <c r="L229">
        <f>IF(OR(I229="",J229="",K229=""),FALSE,AND(I229,J229,K229))</f>
        <v/>
      </c>
    </row>
    <row r="230">
      <c r="A230">
        <f>Universe!A230</f>
        <v/>
      </c>
      <c r="B230" s="10" t="n"/>
      <c r="C230" s="11">
        <f>IF(B230="","",PERCENTRANK.INC($B$2:$B$2501,B230)*100)</f>
        <v/>
      </c>
      <c r="D230" s="10" t="n"/>
      <c r="E230" s="10">
        <f>IF(D230="","",MIN(D230,100))</f>
        <v/>
      </c>
      <c r="F230" s="10" t="n"/>
      <c r="G230" s="10">
        <f>IF(F230="","",MIN(F230,100))</f>
        <v/>
      </c>
      <c r="H230" s="11">
        <f>IF(A230="","",Universe!E230/BDP(A230&amp;" US Equity","HIGH_52WEEK")*100)</f>
        <v/>
      </c>
      <c r="I230">
        <f>IF(D230="","",D230&gt;=5)</f>
        <v/>
      </c>
      <c r="J230">
        <f>IF(F230="","",F230&gt;=5)</f>
        <v/>
      </c>
      <c r="K230">
        <f>IF(H230="","",H230&gt;=75)</f>
        <v/>
      </c>
      <c r="L230">
        <f>IF(OR(I230="",J230="",K230=""),FALSE,AND(I230,J230,K230))</f>
        <v/>
      </c>
    </row>
    <row r="231">
      <c r="A231">
        <f>Universe!A231</f>
        <v/>
      </c>
      <c r="B231" s="10" t="n"/>
      <c r="C231" s="11">
        <f>IF(B231="","",PERCENTRANK.INC($B$2:$B$2501,B231)*100)</f>
        <v/>
      </c>
      <c r="D231" s="10" t="n"/>
      <c r="E231" s="10">
        <f>IF(D231="","",MIN(D231,100))</f>
        <v/>
      </c>
      <c r="F231" s="10" t="n"/>
      <c r="G231" s="10">
        <f>IF(F231="","",MIN(F231,100))</f>
        <v/>
      </c>
      <c r="H231" s="11">
        <f>IF(A231="","",Universe!E231/BDP(A231&amp;" US Equity","HIGH_52WEEK")*100)</f>
        <v/>
      </c>
      <c r="I231">
        <f>IF(D231="","",D231&gt;=5)</f>
        <v/>
      </c>
      <c r="J231">
        <f>IF(F231="","",F231&gt;=5)</f>
        <v/>
      </c>
      <c r="K231">
        <f>IF(H231="","",H231&gt;=75)</f>
        <v/>
      </c>
      <c r="L231">
        <f>IF(OR(I231="",J231="",K231=""),FALSE,AND(I231,J231,K231))</f>
        <v/>
      </c>
    </row>
    <row r="232">
      <c r="A232">
        <f>Universe!A232</f>
        <v/>
      </c>
      <c r="B232" s="10" t="n"/>
      <c r="C232" s="11">
        <f>IF(B232="","",PERCENTRANK.INC($B$2:$B$2501,B232)*100)</f>
        <v/>
      </c>
      <c r="D232" s="10" t="n"/>
      <c r="E232" s="10">
        <f>IF(D232="","",MIN(D232,100))</f>
        <v/>
      </c>
      <c r="F232" s="10" t="n"/>
      <c r="G232" s="10">
        <f>IF(F232="","",MIN(F232,100))</f>
        <v/>
      </c>
      <c r="H232" s="11">
        <f>IF(A232="","",Universe!E232/BDP(A232&amp;" US Equity","HIGH_52WEEK")*100)</f>
        <v/>
      </c>
      <c r="I232">
        <f>IF(D232="","",D232&gt;=5)</f>
        <v/>
      </c>
      <c r="J232">
        <f>IF(F232="","",F232&gt;=5)</f>
        <v/>
      </c>
      <c r="K232">
        <f>IF(H232="","",H232&gt;=75)</f>
        <v/>
      </c>
      <c r="L232">
        <f>IF(OR(I232="",J232="",K232=""),FALSE,AND(I232,J232,K232))</f>
        <v/>
      </c>
    </row>
    <row r="233">
      <c r="A233">
        <f>Universe!A233</f>
        <v/>
      </c>
      <c r="B233" s="10" t="n"/>
      <c r="C233" s="11">
        <f>IF(B233="","",PERCENTRANK.INC($B$2:$B$2501,B233)*100)</f>
        <v/>
      </c>
      <c r="D233" s="10" t="n"/>
      <c r="E233" s="10">
        <f>IF(D233="","",MIN(D233,100))</f>
        <v/>
      </c>
      <c r="F233" s="10" t="n"/>
      <c r="G233" s="10">
        <f>IF(F233="","",MIN(F233,100))</f>
        <v/>
      </c>
      <c r="H233" s="11">
        <f>IF(A233="","",Universe!E233/BDP(A233&amp;" US Equity","HIGH_52WEEK")*100)</f>
        <v/>
      </c>
      <c r="I233">
        <f>IF(D233="","",D233&gt;=5)</f>
        <v/>
      </c>
      <c r="J233">
        <f>IF(F233="","",F233&gt;=5)</f>
        <v/>
      </c>
      <c r="K233">
        <f>IF(H233="","",H233&gt;=75)</f>
        <v/>
      </c>
      <c r="L233">
        <f>IF(OR(I233="",J233="",K233=""),FALSE,AND(I233,J233,K233))</f>
        <v/>
      </c>
    </row>
    <row r="234">
      <c r="A234">
        <f>Universe!A234</f>
        <v/>
      </c>
      <c r="B234" s="10" t="n"/>
      <c r="C234" s="11">
        <f>IF(B234="","",PERCENTRANK.INC($B$2:$B$2501,B234)*100)</f>
        <v/>
      </c>
      <c r="D234" s="10" t="n"/>
      <c r="E234" s="10">
        <f>IF(D234="","",MIN(D234,100))</f>
        <v/>
      </c>
      <c r="F234" s="10" t="n"/>
      <c r="G234" s="10">
        <f>IF(F234="","",MIN(F234,100))</f>
        <v/>
      </c>
      <c r="H234" s="11">
        <f>IF(A234="","",Universe!E234/BDP(A234&amp;" US Equity","HIGH_52WEEK")*100)</f>
        <v/>
      </c>
      <c r="I234">
        <f>IF(D234="","",D234&gt;=5)</f>
        <v/>
      </c>
      <c r="J234">
        <f>IF(F234="","",F234&gt;=5)</f>
        <v/>
      </c>
      <c r="K234">
        <f>IF(H234="","",H234&gt;=75)</f>
        <v/>
      </c>
      <c r="L234">
        <f>IF(OR(I234="",J234="",K234=""),FALSE,AND(I234,J234,K234))</f>
        <v/>
      </c>
    </row>
    <row r="235">
      <c r="A235">
        <f>Universe!A235</f>
        <v/>
      </c>
      <c r="B235" s="10" t="n"/>
      <c r="C235" s="11">
        <f>IF(B235="","",PERCENTRANK.INC($B$2:$B$2501,B235)*100)</f>
        <v/>
      </c>
      <c r="D235" s="10" t="n"/>
      <c r="E235" s="10">
        <f>IF(D235="","",MIN(D235,100))</f>
        <v/>
      </c>
      <c r="F235" s="10" t="n"/>
      <c r="G235" s="10">
        <f>IF(F235="","",MIN(F235,100))</f>
        <v/>
      </c>
      <c r="H235" s="11">
        <f>IF(A235="","",Universe!E235/BDP(A235&amp;" US Equity","HIGH_52WEEK")*100)</f>
        <v/>
      </c>
      <c r="I235">
        <f>IF(D235="","",D235&gt;=5)</f>
        <v/>
      </c>
      <c r="J235">
        <f>IF(F235="","",F235&gt;=5)</f>
        <v/>
      </c>
      <c r="K235">
        <f>IF(H235="","",H235&gt;=75)</f>
        <v/>
      </c>
      <c r="L235">
        <f>IF(OR(I235="",J235="",K235=""),FALSE,AND(I235,J235,K235))</f>
        <v/>
      </c>
    </row>
    <row r="236">
      <c r="A236">
        <f>Universe!A236</f>
        <v/>
      </c>
      <c r="B236" s="10" t="n"/>
      <c r="C236" s="11">
        <f>IF(B236="","",PERCENTRANK.INC($B$2:$B$2501,B236)*100)</f>
        <v/>
      </c>
      <c r="D236" s="10" t="n"/>
      <c r="E236" s="10">
        <f>IF(D236="","",MIN(D236,100))</f>
        <v/>
      </c>
      <c r="F236" s="10" t="n"/>
      <c r="G236" s="10">
        <f>IF(F236="","",MIN(F236,100))</f>
        <v/>
      </c>
      <c r="H236" s="11">
        <f>IF(A236="","",Universe!E236/BDP(A236&amp;" US Equity","HIGH_52WEEK")*100)</f>
        <v/>
      </c>
      <c r="I236">
        <f>IF(D236="","",D236&gt;=5)</f>
        <v/>
      </c>
      <c r="J236">
        <f>IF(F236="","",F236&gt;=5)</f>
        <v/>
      </c>
      <c r="K236">
        <f>IF(H236="","",H236&gt;=75)</f>
        <v/>
      </c>
      <c r="L236">
        <f>IF(OR(I236="",J236="",K236=""),FALSE,AND(I236,J236,K236))</f>
        <v/>
      </c>
    </row>
    <row r="237">
      <c r="A237">
        <f>Universe!A237</f>
        <v/>
      </c>
      <c r="B237" s="10" t="n"/>
      <c r="C237" s="11">
        <f>IF(B237="","",PERCENTRANK.INC($B$2:$B$2501,B237)*100)</f>
        <v/>
      </c>
      <c r="D237" s="10" t="n"/>
      <c r="E237" s="10">
        <f>IF(D237="","",MIN(D237,100))</f>
        <v/>
      </c>
      <c r="F237" s="10" t="n"/>
      <c r="G237" s="10">
        <f>IF(F237="","",MIN(F237,100))</f>
        <v/>
      </c>
      <c r="H237" s="11">
        <f>IF(A237="","",Universe!E237/BDP(A237&amp;" US Equity","HIGH_52WEEK")*100)</f>
        <v/>
      </c>
      <c r="I237">
        <f>IF(D237="","",D237&gt;=5)</f>
        <v/>
      </c>
      <c r="J237">
        <f>IF(F237="","",F237&gt;=5)</f>
        <v/>
      </c>
      <c r="K237">
        <f>IF(H237="","",H237&gt;=75)</f>
        <v/>
      </c>
      <c r="L237">
        <f>IF(OR(I237="",J237="",K237=""),FALSE,AND(I237,J237,K237))</f>
        <v/>
      </c>
    </row>
    <row r="238">
      <c r="A238">
        <f>Universe!A238</f>
        <v/>
      </c>
      <c r="B238" s="10" t="n"/>
      <c r="C238" s="11">
        <f>IF(B238="","",PERCENTRANK.INC($B$2:$B$2501,B238)*100)</f>
        <v/>
      </c>
      <c r="D238" s="10" t="n"/>
      <c r="E238" s="10">
        <f>IF(D238="","",MIN(D238,100))</f>
        <v/>
      </c>
      <c r="F238" s="10" t="n"/>
      <c r="G238" s="10">
        <f>IF(F238="","",MIN(F238,100))</f>
        <v/>
      </c>
      <c r="H238" s="11">
        <f>IF(A238="","",Universe!E238/BDP(A238&amp;" US Equity","HIGH_52WEEK")*100)</f>
        <v/>
      </c>
      <c r="I238">
        <f>IF(D238="","",D238&gt;=5)</f>
        <v/>
      </c>
      <c r="J238">
        <f>IF(F238="","",F238&gt;=5)</f>
        <v/>
      </c>
      <c r="K238">
        <f>IF(H238="","",H238&gt;=75)</f>
        <v/>
      </c>
      <c r="L238">
        <f>IF(OR(I238="",J238="",K238=""),FALSE,AND(I238,J238,K238))</f>
        <v/>
      </c>
    </row>
    <row r="239">
      <c r="A239">
        <f>Universe!A239</f>
        <v/>
      </c>
      <c r="B239" s="10" t="n"/>
      <c r="C239" s="11">
        <f>IF(B239="","",PERCENTRANK.INC($B$2:$B$2501,B239)*100)</f>
        <v/>
      </c>
      <c r="D239" s="10" t="n"/>
      <c r="E239" s="10">
        <f>IF(D239="","",MIN(D239,100))</f>
        <v/>
      </c>
      <c r="F239" s="10" t="n"/>
      <c r="G239" s="10">
        <f>IF(F239="","",MIN(F239,100))</f>
        <v/>
      </c>
      <c r="H239" s="11">
        <f>IF(A239="","",Universe!E239/BDP(A239&amp;" US Equity","HIGH_52WEEK")*100)</f>
        <v/>
      </c>
      <c r="I239">
        <f>IF(D239="","",D239&gt;=5)</f>
        <v/>
      </c>
      <c r="J239">
        <f>IF(F239="","",F239&gt;=5)</f>
        <v/>
      </c>
      <c r="K239">
        <f>IF(H239="","",H239&gt;=75)</f>
        <v/>
      </c>
      <c r="L239">
        <f>IF(OR(I239="",J239="",K239=""),FALSE,AND(I239,J239,K239))</f>
        <v/>
      </c>
    </row>
    <row r="240">
      <c r="A240">
        <f>Universe!A240</f>
        <v/>
      </c>
      <c r="B240" s="10" t="n"/>
      <c r="C240" s="11">
        <f>IF(B240="","",PERCENTRANK.INC($B$2:$B$2501,B240)*100)</f>
        <v/>
      </c>
      <c r="D240" s="10" t="n"/>
      <c r="E240" s="10">
        <f>IF(D240="","",MIN(D240,100))</f>
        <v/>
      </c>
      <c r="F240" s="10" t="n"/>
      <c r="G240" s="10">
        <f>IF(F240="","",MIN(F240,100))</f>
        <v/>
      </c>
      <c r="H240" s="11">
        <f>IF(A240="","",Universe!E240/BDP(A240&amp;" US Equity","HIGH_52WEEK")*100)</f>
        <v/>
      </c>
      <c r="I240">
        <f>IF(D240="","",D240&gt;=5)</f>
        <v/>
      </c>
      <c r="J240">
        <f>IF(F240="","",F240&gt;=5)</f>
        <v/>
      </c>
      <c r="K240">
        <f>IF(H240="","",H240&gt;=75)</f>
        <v/>
      </c>
      <c r="L240">
        <f>IF(OR(I240="",J240="",K240=""),FALSE,AND(I240,J240,K240))</f>
        <v/>
      </c>
    </row>
    <row r="241">
      <c r="A241">
        <f>Universe!A241</f>
        <v/>
      </c>
      <c r="B241" s="10" t="n"/>
      <c r="C241" s="11">
        <f>IF(B241="","",PERCENTRANK.INC($B$2:$B$2501,B241)*100)</f>
        <v/>
      </c>
      <c r="D241" s="10" t="n"/>
      <c r="E241" s="10">
        <f>IF(D241="","",MIN(D241,100))</f>
        <v/>
      </c>
      <c r="F241" s="10" t="n"/>
      <c r="G241" s="10">
        <f>IF(F241="","",MIN(F241,100))</f>
        <v/>
      </c>
      <c r="H241" s="11">
        <f>IF(A241="","",Universe!E241/BDP(A241&amp;" US Equity","HIGH_52WEEK")*100)</f>
        <v/>
      </c>
      <c r="I241">
        <f>IF(D241="","",D241&gt;=5)</f>
        <v/>
      </c>
      <c r="J241">
        <f>IF(F241="","",F241&gt;=5)</f>
        <v/>
      </c>
      <c r="K241">
        <f>IF(H241="","",H241&gt;=75)</f>
        <v/>
      </c>
      <c r="L241">
        <f>IF(OR(I241="",J241="",K241=""),FALSE,AND(I241,J241,K241))</f>
        <v/>
      </c>
    </row>
    <row r="242">
      <c r="A242">
        <f>Universe!A242</f>
        <v/>
      </c>
      <c r="B242" s="10" t="n"/>
      <c r="C242" s="11">
        <f>IF(B242="","",PERCENTRANK.INC($B$2:$B$2501,B242)*100)</f>
        <v/>
      </c>
      <c r="D242" s="10" t="n"/>
      <c r="E242" s="10">
        <f>IF(D242="","",MIN(D242,100))</f>
        <v/>
      </c>
      <c r="F242" s="10" t="n"/>
      <c r="G242" s="10">
        <f>IF(F242="","",MIN(F242,100))</f>
        <v/>
      </c>
      <c r="H242" s="11">
        <f>IF(A242="","",Universe!E242/BDP(A242&amp;" US Equity","HIGH_52WEEK")*100)</f>
        <v/>
      </c>
      <c r="I242">
        <f>IF(D242="","",D242&gt;=5)</f>
        <v/>
      </c>
      <c r="J242">
        <f>IF(F242="","",F242&gt;=5)</f>
        <v/>
      </c>
      <c r="K242">
        <f>IF(H242="","",H242&gt;=75)</f>
        <v/>
      </c>
      <c r="L242">
        <f>IF(OR(I242="",J242="",K242=""),FALSE,AND(I242,J242,K242))</f>
        <v/>
      </c>
    </row>
    <row r="243">
      <c r="A243">
        <f>Universe!A243</f>
        <v/>
      </c>
      <c r="B243" s="10" t="n"/>
      <c r="C243" s="11">
        <f>IF(B243="","",PERCENTRANK.INC($B$2:$B$2501,B243)*100)</f>
        <v/>
      </c>
      <c r="D243" s="10" t="n"/>
      <c r="E243" s="10">
        <f>IF(D243="","",MIN(D243,100))</f>
        <v/>
      </c>
      <c r="F243" s="10" t="n"/>
      <c r="G243" s="10">
        <f>IF(F243="","",MIN(F243,100))</f>
        <v/>
      </c>
      <c r="H243" s="11">
        <f>IF(A243="","",Universe!E243/BDP(A243&amp;" US Equity","HIGH_52WEEK")*100)</f>
        <v/>
      </c>
      <c r="I243">
        <f>IF(D243="","",D243&gt;=5)</f>
        <v/>
      </c>
      <c r="J243">
        <f>IF(F243="","",F243&gt;=5)</f>
        <v/>
      </c>
      <c r="K243">
        <f>IF(H243="","",H243&gt;=75)</f>
        <v/>
      </c>
      <c r="L243">
        <f>IF(OR(I243="",J243="",K243=""),FALSE,AND(I243,J243,K243))</f>
        <v/>
      </c>
    </row>
    <row r="244">
      <c r="A244">
        <f>Universe!A244</f>
        <v/>
      </c>
      <c r="B244" s="10" t="n"/>
      <c r="C244" s="11">
        <f>IF(B244="","",PERCENTRANK.INC($B$2:$B$2501,B244)*100)</f>
        <v/>
      </c>
      <c r="D244" s="10" t="n"/>
      <c r="E244" s="10">
        <f>IF(D244="","",MIN(D244,100))</f>
        <v/>
      </c>
      <c r="F244" s="10" t="n"/>
      <c r="G244" s="10">
        <f>IF(F244="","",MIN(F244,100))</f>
        <v/>
      </c>
      <c r="H244" s="11">
        <f>IF(A244="","",Universe!E244/BDP(A244&amp;" US Equity","HIGH_52WEEK")*100)</f>
        <v/>
      </c>
      <c r="I244">
        <f>IF(D244="","",D244&gt;=5)</f>
        <v/>
      </c>
      <c r="J244">
        <f>IF(F244="","",F244&gt;=5)</f>
        <v/>
      </c>
      <c r="K244">
        <f>IF(H244="","",H244&gt;=75)</f>
        <v/>
      </c>
      <c r="L244">
        <f>IF(OR(I244="",J244="",K244=""),FALSE,AND(I244,J244,K244))</f>
        <v/>
      </c>
    </row>
    <row r="245">
      <c r="A245">
        <f>Universe!A245</f>
        <v/>
      </c>
      <c r="B245" s="10" t="n"/>
      <c r="C245" s="11">
        <f>IF(B245="","",PERCENTRANK.INC($B$2:$B$2501,B245)*100)</f>
        <v/>
      </c>
      <c r="D245" s="10" t="n"/>
      <c r="E245" s="10">
        <f>IF(D245="","",MIN(D245,100))</f>
        <v/>
      </c>
      <c r="F245" s="10" t="n"/>
      <c r="G245" s="10">
        <f>IF(F245="","",MIN(F245,100))</f>
        <v/>
      </c>
      <c r="H245" s="11">
        <f>IF(A245="","",Universe!E245/BDP(A245&amp;" US Equity","HIGH_52WEEK")*100)</f>
        <v/>
      </c>
      <c r="I245">
        <f>IF(D245="","",D245&gt;=5)</f>
        <v/>
      </c>
      <c r="J245">
        <f>IF(F245="","",F245&gt;=5)</f>
        <v/>
      </c>
      <c r="K245">
        <f>IF(H245="","",H245&gt;=75)</f>
        <v/>
      </c>
      <c r="L245">
        <f>IF(OR(I245="",J245="",K245=""),FALSE,AND(I245,J245,K245))</f>
        <v/>
      </c>
    </row>
    <row r="246">
      <c r="A246">
        <f>Universe!A246</f>
        <v/>
      </c>
      <c r="B246" s="10" t="n"/>
      <c r="C246" s="11">
        <f>IF(B246="","",PERCENTRANK.INC($B$2:$B$2501,B246)*100)</f>
        <v/>
      </c>
      <c r="D246" s="10" t="n"/>
      <c r="E246" s="10">
        <f>IF(D246="","",MIN(D246,100))</f>
        <v/>
      </c>
      <c r="F246" s="10" t="n"/>
      <c r="G246" s="10">
        <f>IF(F246="","",MIN(F246,100))</f>
        <v/>
      </c>
      <c r="H246" s="11">
        <f>IF(A246="","",Universe!E246/BDP(A246&amp;" US Equity","HIGH_52WEEK")*100)</f>
        <v/>
      </c>
      <c r="I246">
        <f>IF(D246="","",D246&gt;=5)</f>
        <v/>
      </c>
      <c r="J246">
        <f>IF(F246="","",F246&gt;=5)</f>
        <v/>
      </c>
      <c r="K246">
        <f>IF(H246="","",H246&gt;=75)</f>
        <v/>
      </c>
      <c r="L246">
        <f>IF(OR(I246="",J246="",K246=""),FALSE,AND(I246,J246,K246))</f>
        <v/>
      </c>
    </row>
    <row r="247">
      <c r="A247">
        <f>Universe!A247</f>
        <v/>
      </c>
      <c r="B247" s="10" t="n"/>
      <c r="C247" s="11">
        <f>IF(B247="","",PERCENTRANK.INC($B$2:$B$2501,B247)*100)</f>
        <v/>
      </c>
      <c r="D247" s="10" t="n"/>
      <c r="E247" s="10">
        <f>IF(D247="","",MIN(D247,100))</f>
        <v/>
      </c>
      <c r="F247" s="10" t="n"/>
      <c r="G247" s="10">
        <f>IF(F247="","",MIN(F247,100))</f>
        <v/>
      </c>
      <c r="H247" s="11">
        <f>IF(A247="","",Universe!E247/BDP(A247&amp;" US Equity","HIGH_52WEEK")*100)</f>
        <v/>
      </c>
      <c r="I247">
        <f>IF(D247="","",D247&gt;=5)</f>
        <v/>
      </c>
      <c r="J247">
        <f>IF(F247="","",F247&gt;=5)</f>
        <v/>
      </c>
      <c r="K247">
        <f>IF(H247="","",H247&gt;=75)</f>
        <v/>
      </c>
      <c r="L247">
        <f>IF(OR(I247="",J247="",K247=""),FALSE,AND(I247,J247,K247))</f>
        <v/>
      </c>
    </row>
    <row r="248">
      <c r="A248">
        <f>Universe!A248</f>
        <v/>
      </c>
      <c r="B248" s="10" t="n"/>
      <c r="C248" s="11">
        <f>IF(B248="","",PERCENTRANK.INC($B$2:$B$2501,B248)*100)</f>
        <v/>
      </c>
      <c r="D248" s="10" t="n"/>
      <c r="E248" s="10">
        <f>IF(D248="","",MIN(D248,100))</f>
        <v/>
      </c>
      <c r="F248" s="10" t="n"/>
      <c r="G248" s="10">
        <f>IF(F248="","",MIN(F248,100))</f>
        <v/>
      </c>
      <c r="H248" s="11">
        <f>IF(A248="","",Universe!E248/BDP(A248&amp;" US Equity","HIGH_52WEEK")*100)</f>
        <v/>
      </c>
      <c r="I248">
        <f>IF(D248="","",D248&gt;=5)</f>
        <v/>
      </c>
      <c r="J248">
        <f>IF(F248="","",F248&gt;=5)</f>
        <v/>
      </c>
      <c r="K248">
        <f>IF(H248="","",H248&gt;=75)</f>
        <v/>
      </c>
      <c r="L248">
        <f>IF(OR(I248="",J248="",K248=""),FALSE,AND(I248,J248,K248))</f>
        <v/>
      </c>
    </row>
    <row r="249">
      <c r="A249">
        <f>Universe!A249</f>
        <v/>
      </c>
      <c r="B249" s="10" t="n"/>
      <c r="C249" s="11">
        <f>IF(B249="","",PERCENTRANK.INC($B$2:$B$2501,B249)*100)</f>
        <v/>
      </c>
      <c r="D249" s="10" t="n"/>
      <c r="E249" s="10">
        <f>IF(D249="","",MIN(D249,100))</f>
        <v/>
      </c>
      <c r="F249" s="10" t="n"/>
      <c r="G249" s="10">
        <f>IF(F249="","",MIN(F249,100))</f>
        <v/>
      </c>
      <c r="H249" s="11">
        <f>IF(A249="","",Universe!E249/BDP(A249&amp;" US Equity","HIGH_52WEEK")*100)</f>
        <v/>
      </c>
      <c r="I249">
        <f>IF(D249="","",D249&gt;=5)</f>
        <v/>
      </c>
      <c r="J249">
        <f>IF(F249="","",F249&gt;=5)</f>
        <v/>
      </c>
      <c r="K249">
        <f>IF(H249="","",H249&gt;=75)</f>
        <v/>
      </c>
      <c r="L249">
        <f>IF(OR(I249="",J249="",K249=""),FALSE,AND(I249,J249,K249))</f>
        <v/>
      </c>
    </row>
    <row r="250">
      <c r="A250">
        <f>Universe!A250</f>
        <v/>
      </c>
      <c r="B250" s="10" t="n"/>
      <c r="C250" s="11">
        <f>IF(B250="","",PERCENTRANK.INC($B$2:$B$2501,B250)*100)</f>
        <v/>
      </c>
      <c r="D250" s="10" t="n"/>
      <c r="E250" s="10">
        <f>IF(D250="","",MIN(D250,100))</f>
        <v/>
      </c>
      <c r="F250" s="10" t="n"/>
      <c r="G250" s="10">
        <f>IF(F250="","",MIN(F250,100))</f>
        <v/>
      </c>
      <c r="H250" s="11">
        <f>IF(A250="","",Universe!E250/BDP(A250&amp;" US Equity","HIGH_52WEEK")*100)</f>
        <v/>
      </c>
      <c r="I250">
        <f>IF(D250="","",D250&gt;=5)</f>
        <v/>
      </c>
      <c r="J250">
        <f>IF(F250="","",F250&gt;=5)</f>
        <v/>
      </c>
      <c r="K250">
        <f>IF(H250="","",H250&gt;=75)</f>
        <v/>
      </c>
      <c r="L250">
        <f>IF(OR(I250="",J250="",K250=""),FALSE,AND(I250,J250,K250))</f>
        <v/>
      </c>
    </row>
    <row r="251">
      <c r="A251">
        <f>Universe!A251</f>
        <v/>
      </c>
      <c r="B251" s="10" t="n"/>
      <c r="C251" s="11">
        <f>IF(B251="","",PERCENTRANK.INC($B$2:$B$2501,B251)*100)</f>
        <v/>
      </c>
      <c r="D251" s="10" t="n"/>
      <c r="E251" s="10">
        <f>IF(D251="","",MIN(D251,100))</f>
        <v/>
      </c>
      <c r="F251" s="10" t="n"/>
      <c r="G251" s="10">
        <f>IF(F251="","",MIN(F251,100))</f>
        <v/>
      </c>
      <c r="H251" s="11">
        <f>IF(A251="","",Universe!E251/BDP(A251&amp;" US Equity","HIGH_52WEEK")*100)</f>
        <v/>
      </c>
      <c r="I251">
        <f>IF(D251="","",D251&gt;=5)</f>
        <v/>
      </c>
      <c r="J251">
        <f>IF(F251="","",F251&gt;=5)</f>
        <v/>
      </c>
      <c r="K251">
        <f>IF(H251="","",H251&gt;=75)</f>
        <v/>
      </c>
      <c r="L251">
        <f>IF(OR(I251="",J251="",K251=""),FALSE,AND(I251,J251,K251))</f>
        <v/>
      </c>
    </row>
    <row r="252">
      <c r="A252">
        <f>Universe!A252</f>
        <v/>
      </c>
      <c r="B252" s="10" t="n"/>
      <c r="C252" s="11">
        <f>IF(B252="","",PERCENTRANK.INC($B$2:$B$2501,B252)*100)</f>
        <v/>
      </c>
      <c r="D252" s="10" t="n"/>
      <c r="E252" s="10">
        <f>IF(D252="","",MIN(D252,100))</f>
        <v/>
      </c>
      <c r="F252" s="10" t="n"/>
      <c r="G252" s="10">
        <f>IF(F252="","",MIN(F252,100))</f>
        <v/>
      </c>
      <c r="H252" s="11">
        <f>IF(A252="","",Universe!E252/BDP(A252&amp;" US Equity","HIGH_52WEEK")*100)</f>
        <v/>
      </c>
      <c r="I252">
        <f>IF(D252="","",D252&gt;=5)</f>
        <v/>
      </c>
      <c r="J252">
        <f>IF(F252="","",F252&gt;=5)</f>
        <v/>
      </c>
      <c r="K252">
        <f>IF(H252="","",H252&gt;=75)</f>
        <v/>
      </c>
      <c r="L252">
        <f>IF(OR(I252="",J252="",K252=""),FALSE,AND(I252,J252,K252))</f>
        <v/>
      </c>
    </row>
    <row r="253">
      <c r="A253">
        <f>Universe!A253</f>
        <v/>
      </c>
      <c r="B253" s="10" t="n"/>
      <c r="C253" s="11">
        <f>IF(B253="","",PERCENTRANK.INC($B$2:$B$2501,B253)*100)</f>
        <v/>
      </c>
      <c r="D253" s="10" t="n"/>
      <c r="E253" s="10">
        <f>IF(D253="","",MIN(D253,100))</f>
        <v/>
      </c>
      <c r="F253" s="10" t="n"/>
      <c r="G253" s="10">
        <f>IF(F253="","",MIN(F253,100))</f>
        <v/>
      </c>
      <c r="H253" s="11">
        <f>IF(A253="","",Universe!E253/BDP(A253&amp;" US Equity","HIGH_52WEEK")*100)</f>
        <v/>
      </c>
      <c r="I253">
        <f>IF(D253="","",D253&gt;=5)</f>
        <v/>
      </c>
      <c r="J253">
        <f>IF(F253="","",F253&gt;=5)</f>
        <v/>
      </c>
      <c r="K253">
        <f>IF(H253="","",H253&gt;=75)</f>
        <v/>
      </c>
      <c r="L253">
        <f>IF(OR(I253="",J253="",K253=""),FALSE,AND(I253,J253,K253))</f>
        <v/>
      </c>
    </row>
    <row r="254">
      <c r="A254">
        <f>Universe!A254</f>
        <v/>
      </c>
      <c r="B254" s="10" t="n"/>
      <c r="C254" s="11">
        <f>IF(B254="","",PERCENTRANK.INC($B$2:$B$2501,B254)*100)</f>
        <v/>
      </c>
      <c r="D254" s="10" t="n"/>
      <c r="E254" s="10">
        <f>IF(D254="","",MIN(D254,100))</f>
        <v/>
      </c>
      <c r="F254" s="10" t="n"/>
      <c r="G254" s="10">
        <f>IF(F254="","",MIN(F254,100))</f>
        <v/>
      </c>
      <c r="H254" s="11">
        <f>IF(A254="","",Universe!E254/BDP(A254&amp;" US Equity","HIGH_52WEEK")*100)</f>
        <v/>
      </c>
      <c r="I254">
        <f>IF(D254="","",D254&gt;=5)</f>
        <v/>
      </c>
      <c r="J254">
        <f>IF(F254="","",F254&gt;=5)</f>
        <v/>
      </c>
      <c r="K254">
        <f>IF(H254="","",H254&gt;=75)</f>
        <v/>
      </c>
      <c r="L254">
        <f>IF(OR(I254="",J254="",K254=""),FALSE,AND(I254,J254,K254))</f>
        <v/>
      </c>
    </row>
    <row r="255">
      <c r="A255">
        <f>Universe!A255</f>
        <v/>
      </c>
      <c r="B255" s="10" t="n"/>
      <c r="C255" s="11">
        <f>IF(B255="","",PERCENTRANK.INC($B$2:$B$2501,B255)*100)</f>
        <v/>
      </c>
      <c r="D255" s="10" t="n"/>
      <c r="E255" s="10">
        <f>IF(D255="","",MIN(D255,100))</f>
        <v/>
      </c>
      <c r="F255" s="10" t="n"/>
      <c r="G255" s="10">
        <f>IF(F255="","",MIN(F255,100))</f>
        <v/>
      </c>
      <c r="H255" s="11">
        <f>IF(A255="","",Universe!E255/BDP(A255&amp;" US Equity","HIGH_52WEEK")*100)</f>
        <v/>
      </c>
      <c r="I255">
        <f>IF(D255="","",D255&gt;=5)</f>
        <v/>
      </c>
      <c r="J255">
        <f>IF(F255="","",F255&gt;=5)</f>
        <v/>
      </c>
      <c r="K255">
        <f>IF(H255="","",H255&gt;=75)</f>
        <v/>
      </c>
      <c r="L255">
        <f>IF(OR(I255="",J255="",K255=""),FALSE,AND(I255,J255,K255))</f>
        <v/>
      </c>
    </row>
    <row r="256">
      <c r="A256">
        <f>Universe!A256</f>
        <v/>
      </c>
      <c r="B256" s="10" t="n"/>
      <c r="C256" s="11">
        <f>IF(B256="","",PERCENTRANK.INC($B$2:$B$2501,B256)*100)</f>
        <v/>
      </c>
      <c r="D256" s="10" t="n"/>
      <c r="E256" s="10">
        <f>IF(D256="","",MIN(D256,100))</f>
        <v/>
      </c>
      <c r="F256" s="10" t="n"/>
      <c r="G256" s="10">
        <f>IF(F256="","",MIN(F256,100))</f>
        <v/>
      </c>
      <c r="H256" s="11">
        <f>IF(A256="","",Universe!E256/BDP(A256&amp;" US Equity","HIGH_52WEEK")*100)</f>
        <v/>
      </c>
      <c r="I256">
        <f>IF(D256="","",D256&gt;=5)</f>
        <v/>
      </c>
      <c r="J256">
        <f>IF(F256="","",F256&gt;=5)</f>
        <v/>
      </c>
      <c r="K256">
        <f>IF(H256="","",H256&gt;=75)</f>
        <v/>
      </c>
      <c r="L256">
        <f>IF(OR(I256="",J256="",K256=""),FALSE,AND(I256,J256,K256))</f>
        <v/>
      </c>
    </row>
    <row r="257">
      <c r="A257">
        <f>Universe!A257</f>
        <v/>
      </c>
      <c r="B257" s="10" t="n"/>
      <c r="C257" s="11">
        <f>IF(B257="","",PERCENTRANK.INC($B$2:$B$2501,B257)*100)</f>
        <v/>
      </c>
      <c r="D257" s="10" t="n"/>
      <c r="E257" s="10">
        <f>IF(D257="","",MIN(D257,100))</f>
        <v/>
      </c>
      <c r="F257" s="10" t="n"/>
      <c r="G257" s="10">
        <f>IF(F257="","",MIN(F257,100))</f>
        <v/>
      </c>
      <c r="H257" s="11">
        <f>IF(A257="","",Universe!E257/BDP(A257&amp;" US Equity","HIGH_52WEEK")*100)</f>
        <v/>
      </c>
      <c r="I257">
        <f>IF(D257="","",D257&gt;=5)</f>
        <v/>
      </c>
      <c r="J257">
        <f>IF(F257="","",F257&gt;=5)</f>
        <v/>
      </c>
      <c r="K257">
        <f>IF(H257="","",H257&gt;=75)</f>
        <v/>
      </c>
      <c r="L257">
        <f>IF(OR(I257="",J257="",K257=""),FALSE,AND(I257,J257,K257))</f>
        <v/>
      </c>
    </row>
    <row r="258">
      <c r="A258">
        <f>Universe!A258</f>
        <v/>
      </c>
      <c r="B258" s="10" t="n"/>
      <c r="C258" s="11">
        <f>IF(B258="","",PERCENTRANK.INC($B$2:$B$2501,B258)*100)</f>
        <v/>
      </c>
      <c r="D258" s="10" t="n"/>
      <c r="E258" s="10">
        <f>IF(D258="","",MIN(D258,100))</f>
        <v/>
      </c>
      <c r="F258" s="10" t="n"/>
      <c r="G258" s="10">
        <f>IF(F258="","",MIN(F258,100))</f>
        <v/>
      </c>
      <c r="H258" s="11">
        <f>IF(A258="","",Universe!E258/BDP(A258&amp;" US Equity","HIGH_52WEEK")*100)</f>
        <v/>
      </c>
      <c r="I258">
        <f>IF(D258="","",D258&gt;=5)</f>
        <v/>
      </c>
      <c r="J258">
        <f>IF(F258="","",F258&gt;=5)</f>
        <v/>
      </c>
      <c r="K258">
        <f>IF(H258="","",H258&gt;=75)</f>
        <v/>
      </c>
      <c r="L258">
        <f>IF(OR(I258="",J258="",K258=""),FALSE,AND(I258,J258,K258))</f>
        <v/>
      </c>
    </row>
    <row r="259">
      <c r="A259">
        <f>Universe!A259</f>
        <v/>
      </c>
      <c r="B259" s="10" t="n"/>
      <c r="C259" s="11">
        <f>IF(B259="","",PERCENTRANK.INC($B$2:$B$2501,B259)*100)</f>
        <v/>
      </c>
      <c r="D259" s="10" t="n"/>
      <c r="E259" s="10">
        <f>IF(D259="","",MIN(D259,100))</f>
        <v/>
      </c>
      <c r="F259" s="10" t="n"/>
      <c r="G259" s="10">
        <f>IF(F259="","",MIN(F259,100))</f>
        <v/>
      </c>
      <c r="H259" s="11">
        <f>IF(A259="","",Universe!E259/BDP(A259&amp;" US Equity","HIGH_52WEEK")*100)</f>
        <v/>
      </c>
      <c r="I259">
        <f>IF(D259="","",D259&gt;=5)</f>
        <v/>
      </c>
      <c r="J259">
        <f>IF(F259="","",F259&gt;=5)</f>
        <v/>
      </c>
      <c r="K259">
        <f>IF(H259="","",H259&gt;=75)</f>
        <v/>
      </c>
      <c r="L259">
        <f>IF(OR(I259="",J259="",K259=""),FALSE,AND(I259,J259,K259))</f>
        <v/>
      </c>
    </row>
    <row r="260">
      <c r="A260">
        <f>Universe!A260</f>
        <v/>
      </c>
      <c r="B260" s="10" t="n"/>
      <c r="C260" s="11">
        <f>IF(B260="","",PERCENTRANK.INC($B$2:$B$2501,B260)*100)</f>
        <v/>
      </c>
      <c r="D260" s="10" t="n"/>
      <c r="E260" s="10">
        <f>IF(D260="","",MIN(D260,100))</f>
        <v/>
      </c>
      <c r="F260" s="10" t="n"/>
      <c r="G260" s="10">
        <f>IF(F260="","",MIN(F260,100))</f>
        <v/>
      </c>
      <c r="H260" s="11">
        <f>IF(A260="","",Universe!E260/BDP(A260&amp;" US Equity","HIGH_52WEEK")*100)</f>
        <v/>
      </c>
      <c r="I260">
        <f>IF(D260="","",D260&gt;=5)</f>
        <v/>
      </c>
      <c r="J260">
        <f>IF(F260="","",F260&gt;=5)</f>
        <v/>
      </c>
      <c r="K260">
        <f>IF(H260="","",H260&gt;=75)</f>
        <v/>
      </c>
      <c r="L260">
        <f>IF(OR(I260="",J260="",K260=""),FALSE,AND(I260,J260,K260))</f>
        <v/>
      </c>
    </row>
    <row r="261">
      <c r="A261">
        <f>Universe!A261</f>
        <v/>
      </c>
      <c r="B261" s="10" t="n"/>
      <c r="C261" s="11">
        <f>IF(B261="","",PERCENTRANK.INC($B$2:$B$2501,B261)*100)</f>
        <v/>
      </c>
      <c r="D261" s="10" t="n"/>
      <c r="E261" s="10">
        <f>IF(D261="","",MIN(D261,100))</f>
        <v/>
      </c>
      <c r="F261" s="10" t="n"/>
      <c r="G261" s="10">
        <f>IF(F261="","",MIN(F261,100))</f>
        <v/>
      </c>
      <c r="H261" s="11">
        <f>IF(A261="","",Universe!E261/BDP(A261&amp;" US Equity","HIGH_52WEEK")*100)</f>
        <v/>
      </c>
      <c r="I261">
        <f>IF(D261="","",D261&gt;=5)</f>
        <v/>
      </c>
      <c r="J261">
        <f>IF(F261="","",F261&gt;=5)</f>
        <v/>
      </c>
      <c r="K261">
        <f>IF(H261="","",H261&gt;=75)</f>
        <v/>
      </c>
      <c r="L261">
        <f>IF(OR(I261="",J261="",K261=""),FALSE,AND(I261,J261,K261))</f>
        <v/>
      </c>
    </row>
    <row r="262">
      <c r="A262">
        <f>Universe!A262</f>
        <v/>
      </c>
      <c r="B262" s="10" t="n"/>
      <c r="C262" s="11">
        <f>IF(B262="","",PERCENTRANK.INC($B$2:$B$2501,B262)*100)</f>
        <v/>
      </c>
      <c r="D262" s="10" t="n"/>
      <c r="E262" s="10">
        <f>IF(D262="","",MIN(D262,100))</f>
        <v/>
      </c>
      <c r="F262" s="10" t="n"/>
      <c r="G262" s="10">
        <f>IF(F262="","",MIN(F262,100))</f>
        <v/>
      </c>
      <c r="H262" s="11">
        <f>IF(A262="","",Universe!E262/BDP(A262&amp;" US Equity","HIGH_52WEEK")*100)</f>
        <v/>
      </c>
      <c r="I262">
        <f>IF(D262="","",D262&gt;=5)</f>
        <v/>
      </c>
      <c r="J262">
        <f>IF(F262="","",F262&gt;=5)</f>
        <v/>
      </c>
      <c r="K262">
        <f>IF(H262="","",H262&gt;=75)</f>
        <v/>
      </c>
      <c r="L262">
        <f>IF(OR(I262="",J262="",K262=""),FALSE,AND(I262,J262,K262))</f>
        <v/>
      </c>
    </row>
    <row r="263">
      <c r="A263">
        <f>Universe!A263</f>
        <v/>
      </c>
      <c r="B263" s="10" t="n"/>
      <c r="C263" s="11">
        <f>IF(B263="","",PERCENTRANK.INC($B$2:$B$2501,B263)*100)</f>
        <v/>
      </c>
      <c r="D263" s="10" t="n"/>
      <c r="E263" s="10">
        <f>IF(D263="","",MIN(D263,100))</f>
        <v/>
      </c>
      <c r="F263" s="10" t="n"/>
      <c r="G263" s="10">
        <f>IF(F263="","",MIN(F263,100))</f>
        <v/>
      </c>
      <c r="H263" s="11">
        <f>IF(A263="","",Universe!E263/BDP(A263&amp;" US Equity","HIGH_52WEEK")*100)</f>
        <v/>
      </c>
      <c r="I263">
        <f>IF(D263="","",D263&gt;=5)</f>
        <v/>
      </c>
      <c r="J263">
        <f>IF(F263="","",F263&gt;=5)</f>
        <v/>
      </c>
      <c r="K263">
        <f>IF(H263="","",H263&gt;=75)</f>
        <v/>
      </c>
      <c r="L263">
        <f>IF(OR(I263="",J263="",K263=""),FALSE,AND(I263,J263,K263))</f>
        <v/>
      </c>
    </row>
    <row r="264">
      <c r="A264">
        <f>Universe!A264</f>
        <v/>
      </c>
      <c r="B264" s="10" t="n"/>
      <c r="C264" s="11">
        <f>IF(B264="","",PERCENTRANK.INC($B$2:$B$2501,B264)*100)</f>
        <v/>
      </c>
      <c r="D264" s="10" t="n"/>
      <c r="E264" s="10">
        <f>IF(D264="","",MIN(D264,100))</f>
        <v/>
      </c>
      <c r="F264" s="10" t="n"/>
      <c r="G264" s="10">
        <f>IF(F264="","",MIN(F264,100))</f>
        <v/>
      </c>
      <c r="H264" s="11">
        <f>IF(A264="","",Universe!E264/BDP(A264&amp;" US Equity","HIGH_52WEEK")*100)</f>
        <v/>
      </c>
      <c r="I264">
        <f>IF(D264="","",D264&gt;=5)</f>
        <v/>
      </c>
      <c r="J264">
        <f>IF(F264="","",F264&gt;=5)</f>
        <v/>
      </c>
      <c r="K264">
        <f>IF(H264="","",H264&gt;=75)</f>
        <v/>
      </c>
      <c r="L264">
        <f>IF(OR(I264="",J264="",K264=""),FALSE,AND(I264,J264,K264))</f>
        <v/>
      </c>
    </row>
    <row r="265">
      <c r="A265">
        <f>Universe!A265</f>
        <v/>
      </c>
      <c r="B265" s="10" t="n"/>
      <c r="C265" s="11">
        <f>IF(B265="","",PERCENTRANK.INC($B$2:$B$2501,B265)*100)</f>
        <v/>
      </c>
      <c r="D265" s="10" t="n"/>
      <c r="E265" s="10">
        <f>IF(D265="","",MIN(D265,100))</f>
        <v/>
      </c>
      <c r="F265" s="10" t="n"/>
      <c r="G265" s="10">
        <f>IF(F265="","",MIN(F265,100))</f>
        <v/>
      </c>
      <c r="H265" s="11">
        <f>IF(A265="","",Universe!E265/BDP(A265&amp;" US Equity","HIGH_52WEEK")*100)</f>
        <v/>
      </c>
      <c r="I265">
        <f>IF(D265="","",D265&gt;=5)</f>
        <v/>
      </c>
      <c r="J265">
        <f>IF(F265="","",F265&gt;=5)</f>
        <v/>
      </c>
      <c r="K265">
        <f>IF(H265="","",H265&gt;=75)</f>
        <v/>
      </c>
      <c r="L265">
        <f>IF(OR(I265="",J265="",K265=""),FALSE,AND(I265,J265,K265))</f>
        <v/>
      </c>
    </row>
    <row r="266">
      <c r="A266">
        <f>Universe!A266</f>
        <v/>
      </c>
      <c r="B266" s="10" t="n"/>
      <c r="C266" s="11">
        <f>IF(B266="","",PERCENTRANK.INC($B$2:$B$2501,B266)*100)</f>
        <v/>
      </c>
      <c r="D266" s="10" t="n"/>
      <c r="E266" s="10">
        <f>IF(D266="","",MIN(D266,100))</f>
        <v/>
      </c>
      <c r="F266" s="10" t="n"/>
      <c r="G266" s="10">
        <f>IF(F266="","",MIN(F266,100))</f>
        <v/>
      </c>
      <c r="H266" s="11">
        <f>IF(A266="","",Universe!E266/BDP(A266&amp;" US Equity","HIGH_52WEEK")*100)</f>
        <v/>
      </c>
      <c r="I266">
        <f>IF(D266="","",D266&gt;=5)</f>
        <v/>
      </c>
      <c r="J266">
        <f>IF(F266="","",F266&gt;=5)</f>
        <v/>
      </c>
      <c r="K266">
        <f>IF(H266="","",H266&gt;=75)</f>
        <v/>
      </c>
      <c r="L266">
        <f>IF(OR(I266="",J266="",K266=""),FALSE,AND(I266,J266,K266))</f>
        <v/>
      </c>
    </row>
    <row r="267">
      <c r="A267">
        <f>Universe!A267</f>
        <v/>
      </c>
      <c r="B267" s="10" t="n"/>
      <c r="C267" s="11">
        <f>IF(B267="","",PERCENTRANK.INC($B$2:$B$2501,B267)*100)</f>
        <v/>
      </c>
      <c r="D267" s="10" t="n"/>
      <c r="E267" s="10">
        <f>IF(D267="","",MIN(D267,100))</f>
        <v/>
      </c>
      <c r="F267" s="10" t="n"/>
      <c r="G267" s="10">
        <f>IF(F267="","",MIN(F267,100))</f>
        <v/>
      </c>
      <c r="H267" s="11">
        <f>IF(A267="","",Universe!E267/BDP(A267&amp;" US Equity","HIGH_52WEEK")*100)</f>
        <v/>
      </c>
      <c r="I267">
        <f>IF(D267="","",D267&gt;=5)</f>
        <v/>
      </c>
      <c r="J267">
        <f>IF(F267="","",F267&gt;=5)</f>
        <v/>
      </c>
      <c r="K267">
        <f>IF(H267="","",H267&gt;=75)</f>
        <v/>
      </c>
      <c r="L267">
        <f>IF(OR(I267="",J267="",K267=""),FALSE,AND(I267,J267,K267))</f>
        <v/>
      </c>
    </row>
    <row r="268">
      <c r="A268">
        <f>Universe!A268</f>
        <v/>
      </c>
      <c r="B268" s="10" t="n"/>
      <c r="C268" s="11">
        <f>IF(B268="","",PERCENTRANK.INC($B$2:$B$2501,B268)*100)</f>
        <v/>
      </c>
      <c r="D268" s="10" t="n"/>
      <c r="E268" s="10">
        <f>IF(D268="","",MIN(D268,100))</f>
        <v/>
      </c>
      <c r="F268" s="10" t="n"/>
      <c r="G268" s="10">
        <f>IF(F268="","",MIN(F268,100))</f>
        <v/>
      </c>
      <c r="H268" s="11">
        <f>IF(A268="","",Universe!E268/BDP(A268&amp;" US Equity","HIGH_52WEEK")*100)</f>
        <v/>
      </c>
      <c r="I268">
        <f>IF(D268="","",D268&gt;=5)</f>
        <v/>
      </c>
      <c r="J268">
        <f>IF(F268="","",F268&gt;=5)</f>
        <v/>
      </c>
      <c r="K268">
        <f>IF(H268="","",H268&gt;=75)</f>
        <v/>
      </c>
      <c r="L268">
        <f>IF(OR(I268="",J268="",K268=""),FALSE,AND(I268,J268,K268))</f>
        <v/>
      </c>
    </row>
    <row r="269">
      <c r="A269">
        <f>Universe!A269</f>
        <v/>
      </c>
      <c r="B269" s="10" t="n"/>
      <c r="C269" s="11">
        <f>IF(B269="","",PERCENTRANK.INC($B$2:$B$2501,B269)*100)</f>
        <v/>
      </c>
      <c r="D269" s="10" t="n"/>
      <c r="E269" s="10">
        <f>IF(D269="","",MIN(D269,100))</f>
        <v/>
      </c>
      <c r="F269" s="10" t="n"/>
      <c r="G269" s="10">
        <f>IF(F269="","",MIN(F269,100))</f>
        <v/>
      </c>
      <c r="H269" s="11">
        <f>IF(A269="","",Universe!E269/BDP(A269&amp;" US Equity","HIGH_52WEEK")*100)</f>
        <v/>
      </c>
      <c r="I269">
        <f>IF(D269="","",D269&gt;=5)</f>
        <v/>
      </c>
      <c r="J269">
        <f>IF(F269="","",F269&gt;=5)</f>
        <v/>
      </c>
      <c r="K269">
        <f>IF(H269="","",H269&gt;=75)</f>
        <v/>
      </c>
      <c r="L269">
        <f>IF(OR(I269="",J269="",K269=""),FALSE,AND(I269,J269,K269))</f>
        <v/>
      </c>
    </row>
    <row r="270">
      <c r="A270">
        <f>Universe!A270</f>
        <v/>
      </c>
      <c r="B270" s="10" t="n"/>
      <c r="C270" s="11">
        <f>IF(B270="","",PERCENTRANK.INC($B$2:$B$2501,B270)*100)</f>
        <v/>
      </c>
      <c r="D270" s="10" t="n"/>
      <c r="E270" s="10">
        <f>IF(D270="","",MIN(D270,100))</f>
        <v/>
      </c>
      <c r="F270" s="10" t="n"/>
      <c r="G270" s="10">
        <f>IF(F270="","",MIN(F270,100))</f>
        <v/>
      </c>
      <c r="H270" s="11">
        <f>IF(A270="","",Universe!E270/BDP(A270&amp;" US Equity","HIGH_52WEEK")*100)</f>
        <v/>
      </c>
      <c r="I270">
        <f>IF(D270="","",D270&gt;=5)</f>
        <v/>
      </c>
      <c r="J270">
        <f>IF(F270="","",F270&gt;=5)</f>
        <v/>
      </c>
      <c r="K270">
        <f>IF(H270="","",H270&gt;=75)</f>
        <v/>
      </c>
      <c r="L270">
        <f>IF(OR(I270="",J270="",K270=""),FALSE,AND(I270,J270,K270))</f>
        <v/>
      </c>
    </row>
    <row r="271">
      <c r="A271">
        <f>Universe!A271</f>
        <v/>
      </c>
      <c r="B271" s="10" t="n"/>
      <c r="C271" s="11">
        <f>IF(B271="","",PERCENTRANK.INC($B$2:$B$2501,B271)*100)</f>
        <v/>
      </c>
      <c r="D271" s="10" t="n"/>
      <c r="E271" s="10">
        <f>IF(D271="","",MIN(D271,100))</f>
        <v/>
      </c>
      <c r="F271" s="10" t="n"/>
      <c r="G271" s="10">
        <f>IF(F271="","",MIN(F271,100))</f>
        <v/>
      </c>
      <c r="H271" s="11">
        <f>IF(A271="","",Universe!E271/BDP(A271&amp;" US Equity","HIGH_52WEEK")*100)</f>
        <v/>
      </c>
      <c r="I271">
        <f>IF(D271="","",D271&gt;=5)</f>
        <v/>
      </c>
      <c r="J271">
        <f>IF(F271="","",F271&gt;=5)</f>
        <v/>
      </c>
      <c r="K271">
        <f>IF(H271="","",H271&gt;=75)</f>
        <v/>
      </c>
      <c r="L271">
        <f>IF(OR(I271="",J271="",K271=""),FALSE,AND(I271,J271,K271))</f>
        <v/>
      </c>
    </row>
    <row r="272">
      <c r="A272">
        <f>Universe!A272</f>
        <v/>
      </c>
      <c r="B272" s="10" t="n"/>
      <c r="C272" s="11">
        <f>IF(B272="","",PERCENTRANK.INC($B$2:$B$2501,B272)*100)</f>
        <v/>
      </c>
      <c r="D272" s="10" t="n"/>
      <c r="E272" s="10">
        <f>IF(D272="","",MIN(D272,100))</f>
        <v/>
      </c>
      <c r="F272" s="10" t="n"/>
      <c r="G272" s="10">
        <f>IF(F272="","",MIN(F272,100))</f>
        <v/>
      </c>
      <c r="H272" s="11">
        <f>IF(A272="","",Universe!E272/BDP(A272&amp;" US Equity","HIGH_52WEEK")*100)</f>
        <v/>
      </c>
      <c r="I272">
        <f>IF(D272="","",D272&gt;=5)</f>
        <v/>
      </c>
      <c r="J272">
        <f>IF(F272="","",F272&gt;=5)</f>
        <v/>
      </c>
      <c r="K272">
        <f>IF(H272="","",H272&gt;=75)</f>
        <v/>
      </c>
      <c r="L272">
        <f>IF(OR(I272="",J272="",K272=""),FALSE,AND(I272,J272,K272))</f>
        <v/>
      </c>
    </row>
    <row r="273">
      <c r="A273">
        <f>Universe!A273</f>
        <v/>
      </c>
      <c r="B273" s="10" t="n"/>
      <c r="C273" s="11">
        <f>IF(B273="","",PERCENTRANK.INC($B$2:$B$2501,B273)*100)</f>
        <v/>
      </c>
      <c r="D273" s="10" t="n"/>
      <c r="E273" s="10">
        <f>IF(D273="","",MIN(D273,100))</f>
        <v/>
      </c>
      <c r="F273" s="10" t="n"/>
      <c r="G273" s="10">
        <f>IF(F273="","",MIN(F273,100))</f>
        <v/>
      </c>
      <c r="H273" s="11">
        <f>IF(A273="","",Universe!E273/BDP(A273&amp;" US Equity","HIGH_52WEEK")*100)</f>
        <v/>
      </c>
      <c r="I273">
        <f>IF(D273="","",D273&gt;=5)</f>
        <v/>
      </c>
      <c r="J273">
        <f>IF(F273="","",F273&gt;=5)</f>
        <v/>
      </c>
      <c r="K273">
        <f>IF(H273="","",H273&gt;=75)</f>
        <v/>
      </c>
      <c r="L273">
        <f>IF(OR(I273="",J273="",K273=""),FALSE,AND(I273,J273,K273))</f>
        <v/>
      </c>
    </row>
    <row r="274">
      <c r="A274">
        <f>Universe!A274</f>
        <v/>
      </c>
      <c r="B274" s="10" t="n"/>
      <c r="C274" s="11">
        <f>IF(B274="","",PERCENTRANK.INC($B$2:$B$2501,B274)*100)</f>
        <v/>
      </c>
      <c r="D274" s="10" t="n"/>
      <c r="E274" s="10">
        <f>IF(D274="","",MIN(D274,100))</f>
        <v/>
      </c>
      <c r="F274" s="10" t="n"/>
      <c r="G274" s="10">
        <f>IF(F274="","",MIN(F274,100))</f>
        <v/>
      </c>
      <c r="H274" s="11">
        <f>IF(A274="","",Universe!E274/BDP(A274&amp;" US Equity","HIGH_52WEEK")*100)</f>
        <v/>
      </c>
      <c r="I274">
        <f>IF(D274="","",D274&gt;=5)</f>
        <v/>
      </c>
      <c r="J274">
        <f>IF(F274="","",F274&gt;=5)</f>
        <v/>
      </c>
      <c r="K274">
        <f>IF(H274="","",H274&gt;=75)</f>
        <v/>
      </c>
      <c r="L274">
        <f>IF(OR(I274="",J274="",K274=""),FALSE,AND(I274,J274,K274))</f>
        <v/>
      </c>
    </row>
    <row r="275">
      <c r="A275">
        <f>Universe!A275</f>
        <v/>
      </c>
      <c r="B275" s="10" t="n"/>
      <c r="C275" s="11">
        <f>IF(B275="","",PERCENTRANK.INC($B$2:$B$2501,B275)*100)</f>
        <v/>
      </c>
      <c r="D275" s="10" t="n"/>
      <c r="E275" s="10">
        <f>IF(D275="","",MIN(D275,100))</f>
        <v/>
      </c>
      <c r="F275" s="10" t="n"/>
      <c r="G275" s="10">
        <f>IF(F275="","",MIN(F275,100))</f>
        <v/>
      </c>
      <c r="H275" s="11">
        <f>IF(A275="","",Universe!E275/BDP(A275&amp;" US Equity","HIGH_52WEEK")*100)</f>
        <v/>
      </c>
      <c r="I275">
        <f>IF(D275="","",D275&gt;=5)</f>
        <v/>
      </c>
      <c r="J275">
        <f>IF(F275="","",F275&gt;=5)</f>
        <v/>
      </c>
      <c r="K275">
        <f>IF(H275="","",H275&gt;=75)</f>
        <v/>
      </c>
      <c r="L275">
        <f>IF(OR(I275="",J275="",K275=""),FALSE,AND(I275,J275,K275))</f>
        <v/>
      </c>
    </row>
    <row r="276">
      <c r="A276">
        <f>Universe!A276</f>
        <v/>
      </c>
      <c r="B276" s="10" t="n"/>
      <c r="C276" s="11">
        <f>IF(B276="","",PERCENTRANK.INC($B$2:$B$2501,B276)*100)</f>
        <v/>
      </c>
      <c r="D276" s="10" t="n"/>
      <c r="E276" s="10">
        <f>IF(D276="","",MIN(D276,100))</f>
        <v/>
      </c>
      <c r="F276" s="10" t="n"/>
      <c r="G276" s="10">
        <f>IF(F276="","",MIN(F276,100))</f>
        <v/>
      </c>
      <c r="H276" s="11">
        <f>IF(A276="","",Universe!E276/BDP(A276&amp;" US Equity","HIGH_52WEEK")*100)</f>
        <v/>
      </c>
      <c r="I276">
        <f>IF(D276="","",D276&gt;=5)</f>
        <v/>
      </c>
      <c r="J276">
        <f>IF(F276="","",F276&gt;=5)</f>
        <v/>
      </c>
      <c r="K276">
        <f>IF(H276="","",H276&gt;=75)</f>
        <v/>
      </c>
      <c r="L276">
        <f>IF(OR(I276="",J276="",K276=""),FALSE,AND(I276,J276,K276))</f>
        <v/>
      </c>
    </row>
    <row r="277">
      <c r="A277">
        <f>Universe!A277</f>
        <v/>
      </c>
      <c r="B277" s="10" t="n"/>
      <c r="C277" s="11">
        <f>IF(B277="","",PERCENTRANK.INC($B$2:$B$2501,B277)*100)</f>
        <v/>
      </c>
      <c r="D277" s="10" t="n"/>
      <c r="E277" s="10">
        <f>IF(D277="","",MIN(D277,100))</f>
        <v/>
      </c>
      <c r="F277" s="10" t="n"/>
      <c r="G277" s="10">
        <f>IF(F277="","",MIN(F277,100))</f>
        <v/>
      </c>
      <c r="H277" s="11">
        <f>IF(A277="","",Universe!E277/BDP(A277&amp;" US Equity","HIGH_52WEEK")*100)</f>
        <v/>
      </c>
      <c r="I277">
        <f>IF(D277="","",D277&gt;=5)</f>
        <v/>
      </c>
      <c r="J277">
        <f>IF(F277="","",F277&gt;=5)</f>
        <v/>
      </c>
      <c r="K277">
        <f>IF(H277="","",H277&gt;=75)</f>
        <v/>
      </c>
      <c r="L277">
        <f>IF(OR(I277="",J277="",K277=""),FALSE,AND(I277,J277,K277))</f>
        <v/>
      </c>
    </row>
    <row r="278">
      <c r="A278">
        <f>Universe!A278</f>
        <v/>
      </c>
      <c r="B278" s="10" t="n"/>
      <c r="C278" s="11">
        <f>IF(B278="","",PERCENTRANK.INC($B$2:$B$2501,B278)*100)</f>
        <v/>
      </c>
      <c r="D278" s="10" t="n"/>
      <c r="E278" s="10">
        <f>IF(D278="","",MIN(D278,100))</f>
        <v/>
      </c>
      <c r="F278" s="10" t="n"/>
      <c r="G278" s="10">
        <f>IF(F278="","",MIN(F278,100))</f>
        <v/>
      </c>
      <c r="H278" s="11">
        <f>IF(A278="","",Universe!E278/BDP(A278&amp;" US Equity","HIGH_52WEEK")*100)</f>
        <v/>
      </c>
      <c r="I278">
        <f>IF(D278="","",D278&gt;=5)</f>
        <v/>
      </c>
      <c r="J278">
        <f>IF(F278="","",F278&gt;=5)</f>
        <v/>
      </c>
      <c r="K278">
        <f>IF(H278="","",H278&gt;=75)</f>
        <v/>
      </c>
      <c r="L278">
        <f>IF(OR(I278="",J278="",K278=""),FALSE,AND(I278,J278,K278))</f>
        <v/>
      </c>
    </row>
    <row r="279">
      <c r="A279">
        <f>Universe!A279</f>
        <v/>
      </c>
      <c r="B279" s="10" t="n"/>
      <c r="C279" s="11">
        <f>IF(B279="","",PERCENTRANK.INC($B$2:$B$2501,B279)*100)</f>
        <v/>
      </c>
      <c r="D279" s="10" t="n"/>
      <c r="E279" s="10">
        <f>IF(D279="","",MIN(D279,100))</f>
        <v/>
      </c>
      <c r="F279" s="10" t="n"/>
      <c r="G279" s="10">
        <f>IF(F279="","",MIN(F279,100))</f>
        <v/>
      </c>
      <c r="H279" s="11">
        <f>IF(A279="","",Universe!E279/BDP(A279&amp;" US Equity","HIGH_52WEEK")*100)</f>
        <v/>
      </c>
      <c r="I279">
        <f>IF(D279="","",D279&gt;=5)</f>
        <v/>
      </c>
      <c r="J279">
        <f>IF(F279="","",F279&gt;=5)</f>
        <v/>
      </c>
      <c r="K279">
        <f>IF(H279="","",H279&gt;=75)</f>
        <v/>
      </c>
      <c r="L279">
        <f>IF(OR(I279="",J279="",K279=""),FALSE,AND(I279,J279,K279))</f>
        <v/>
      </c>
    </row>
    <row r="280">
      <c r="A280">
        <f>Universe!A280</f>
        <v/>
      </c>
      <c r="B280" s="10" t="n"/>
      <c r="C280" s="11">
        <f>IF(B280="","",PERCENTRANK.INC($B$2:$B$2501,B280)*100)</f>
        <v/>
      </c>
      <c r="D280" s="10" t="n"/>
      <c r="E280" s="10">
        <f>IF(D280="","",MIN(D280,100))</f>
        <v/>
      </c>
      <c r="F280" s="10" t="n"/>
      <c r="G280" s="10">
        <f>IF(F280="","",MIN(F280,100))</f>
        <v/>
      </c>
      <c r="H280" s="11">
        <f>IF(A280="","",Universe!E280/BDP(A280&amp;" US Equity","HIGH_52WEEK")*100)</f>
        <v/>
      </c>
      <c r="I280">
        <f>IF(D280="","",D280&gt;=5)</f>
        <v/>
      </c>
      <c r="J280">
        <f>IF(F280="","",F280&gt;=5)</f>
        <v/>
      </c>
      <c r="K280">
        <f>IF(H280="","",H280&gt;=75)</f>
        <v/>
      </c>
      <c r="L280">
        <f>IF(OR(I280="",J280="",K280=""),FALSE,AND(I280,J280,K280))</f>
        <v/>
      </c>
    </row>
    <row r="281">
      <c r="A281">
        <f>Universe!A281</f>
        <v/>
      </c>
      <c r="B281" s="10" t="n"/>
      <c r="C281" s="11">
        <f>IF(B281="","",PERCENTRANK.INC($B$2:$B$2501,B281)*100)</f>
        <v/>
      </c>
      <c r="D281" s="10" t="n"/>
      <c r="E281" s="10">
        <f>IF(D281="","",MIN(D281,100))</f>
        <v/>
      </c>
      <c r="F281" s="10" t="n"/>
      <c r="G281" s="10">
        <f>IF(F281="","",MIN(F281,100))</f>
        <v/>
      </c>
      <c r="H281" s="11">
        <f>IF(A281="","",Universe!E281/BDP(A281&amp;" US Equity","HIGH_52WEEK")*100)</f>
        <v/>
      </c>
      <c r="I281">
        <f>IF(D281="","",D281&gt;=5)</f>
        <v/>
      </c>
      <c r="J281">
        <f>IF(F281="","",F281&gt;=5)</f>
        <v/>
      </c>
      <c r="K281">
        <f>IF(H281="","",H281&gt;=75)</f>
        <v/>
      </c>
      <c r="L281">
        <f>IF(OR(I281="",J281="",K281=""),FALSE,AND(I281,J281,K281))</f>
        <v/>
      </c>
    </row>
    <row r="282">
      <c r="A282">
        <f>Universe!A282</f>
        <v/>
      </c>
      <c r="B282" s="10" t="n"/>
      <c r="C282" s="11">
        <f>IF(B282="","",PERCENTRANK.INC($B$2:$B$2501,B282)*100)</f>
        <v/>
      </c>
      <c r="D282" s="10" t="n"/>
      <c r="E282" s="10">
        <f>IF(D282="","",MIN(D282,100))</f>
        <v/>
      </c>
      <c r="F282" s="10" t="n"/>
      <c r="G282" s="10">
        <f>IF(F282="","",MIN(F282,100))</f>
        <v/>
      </c>
      <c r="H282" s="11">
        <f>IF(A282="","",Universe!E282/BDP(A282&amp;" US Equity","HIGH_52WEEK")*100)</f>
        <v/>
      </c>
      <c r="I282">
        <f>IF(D282="","",D282&gt;=5)</f>
        <v/>
      </c>
      <c r="J282">
        <f>IF(F282="","",F282&gt;=5)</f>
        <v/>
      </c>
      <c r="K282">
        <f>IF(H282="","",H282&gt;=75)</f>
        <v/>
      </c>
      <c r="L282">
        <f>IF(OR(I282="",J282="",K282=""),FALSE,AND(I282,J282,K282))</f>
        <v/>
      </c>
    </row>
    <row r="283">
      <c r="A283">
        <f>Universe!A283</f>
        <v/>
      </c>
      <c r="B283" s="10" t="n"/>
      <c r="C283" s="11">
        <f>IF(B283="","",PERCENTRANK.INC($B$2:$B$2501,B283)*100)</f>
        <v/>
      </c>
      <c r="D283" s="10" t="n"/>
      <c r="E283" s="10">
        <f>IF(D283="","",MIN(D283,100))</f>
        <v/>
      </c>
      <c r="F283" s="10" t="n"/>
      <c r="G283" s="10">
        <f>IF(F283="","",MIN(F283,100))</f>
        <v/>
      </c>
      <c r="H283" s="11">
        <f>IF(A283="","",Universe!E283/BDP(A283&amp;" US Equity","HIGH_52WEEK")*100)</f>
        <v/>
      </c>
      <c r="I283">
        <f>IF(D283="","",D283&gt;=5)</f>
        <v/>
      </c>
      <c r="J283">
        <f>IF(F283="","",F283&gt;=5)</f>
        <v/>
      </c>
      <c r="K283">
        <f>IF(H283="","",H283&gt;=75)</f>
        <v/>
      </c>
      <c r="L283">
        <f>IF(OR(I283="",J283="",K283=""),FALSE,AND(I283,J283,K283))</f>
        <v/>
      </c>
    </row>
    <row r="284">
      <c r="A284">
        <f>Universe!A284</f>
        <v/>
      </c>
      <c r="B284" s="10" t="n"/>
      <c r="C284" s="11">
        <f>IF(B284="","",PERCENTRANK.INC($B$2:$B$2501,B284)*100)</f>
        <v/>
      </c>
      <c r="D284" s="10" t="n"/>
      <c r="E284" s="10">
        <f>IF(D284="","",MIN(D284,100))</f>
        <v/>
      </c>
      <c r="F284" s="10" t="n"/>
      <c r="G284" s="10">
        <f>IF(F284="","",MIN(F284,100))</f>
        <v/>
      </c>
      <c r="H284" s="11">
        <f>IF(A284="","",Universe!E284/BDP(A284&amp;" US Equity","HIGH_52WEEK")*100)</f>
        <v/>
      </c>
      <c r="I284">
        <f>IF(D284="","",D284&gt;=5)</f>
        <v/>
      </c>
      <c r="J284">
        <f>IF(F284="","",F284&gt;=5)</f>
        <v/>
      </c>
      <c r="K284">
        <f>IF(H284="","",H284&gt;=75)</f>
        <v/>
      </c>
      <c r="L284">
        <f>IF(OR(I284="",J284="",K284=""),FALSE,AND(I284,J284,K284))</f>
        <v/>
      </c>
    </row>
    <row r="285">
      <c r="A285">
        <f>Universe!A285</f>
        <v/>
      </c>
      <c r="B285" s="10" t="n"/>
      <c r="C285" s="11">
        <f>IF(B285="","",PERCENTRANK.INC($B$2:$B$2501,B285)*100)</f>
        <v/>
      </c>
      <c r="D285" s="10" t="n"/>
      <c r="E285" s="10">
        <f>IF(D285="","",MIN(D285,100))</f>
        <v/>
      </c>
      <c r="F285" s="10" t="n"/>
      <c r="G285" s="10">
        <f>IF(F285="","",MIN(F285,100))</f>
        <v/>
      </c>
      <c r="H285" s="11">
        <f>IF(A285="","",Universe!E285/BDP(A285&amp;" US Equity","HIGH_52WEEK")*100)</f>
        <v/>
      </c>
      <c r="I285">
        <f>IF(D285="","",D285&gt;=5)</f>
        <v/>
      </c>
      <c r="J285">
        <f>IF(F285="","",F285&gt;=5)</f>
        <v/>
      </c>
      <c r="K285">
        <f>IF(H285="","",H285&gt;=75)</f>
        <v/>
      </c>
      <c r="L285">
        <f>IF(OR(I285="",J285="",K285=""),FALSE,AND(I285,J285,K285))</f>
        <v/>
      </c>
    </row>
    <row r="286">
      <c r="A286">
        <f>Universe!A286</f>
        <v/>
      </c>
      <c r="B286" s="10" t="n"/>
      <c r="C286" s="11">
        <f>IF(B286="","",PERCENTRANK.INC($B$2:$B$2501,B286)*100)</f>
        <v/>
      </c>
      <c r="D286" s="10" t="n"/>
      <c r="E286" s="10">
        <f>IF(D286="","",MIN(D286,100))</f>
        <v/>
      </c>
      <c r="F286" s="10" t="n"/>
      <c r="G286" s="10">
        <f>IF(F286="","",MIN(F286,100))</f>
        <v/>
      </c>
      <c r="H286" s="11">
        <f>IF(A286="","",Universe!E286/BDP(A286&amp;" US Equity","HIGH_52WEEK")*100)</f>
        <v/>
      </c>
      <c r="I286">
        <f>IF(D286="","",D286&gt;=5)</f>
        <v/>
      </c>
      <c r="J286">
        <f>IF(F286="","",F286&gt;=5)</f>
        <v/>
      </c>
      <c r="K286">
        <f>IF(H286="","",H286&gt;=75)</f>
        <v/>
      </c>
      <c r="L286">
        <f>IF(OR(I286="",J286="",K286=""),FALSE,AND(I286,J286,K286))</f>
        <v/>
      </c>
    </row>
    <row r="287">
      <c r="A287">
        <f>Universe!A287</f>
        <v/>
      </c>
      <c r="B287" s="10" t="n"/>
      <c r="C287" s="11">
        <f>IF(B287="","",PERCENTRANK.INC($B$2:$B$2501,B287)*100)</f>
        <v/>
      </c>
      <c r="D287" s="10" t="n"/>
      <c r="E287" s="10">
        <f>IF(D287="","",MIN(D287,100))</f>
        <v/>
      </c>
      <c r="F287" s="10" t="n"/>
      <c r="G287" s="10">
        <f>IF(F287="","",MIN(F287,100))</f>
        <v/>
      </c>
      <c r="H287" s="11">
        <f>IF(A287="","",Universe!E287/BDP(A287&amp;" US Equity","HIGH_52WEEK")*100)</f>
        <v/>
      </c>
      <c r="I287">
        <f>IF(D287="","",D287&gt;=5)</f>
        <v/>
      </c>
      <c r="J287">
        <f>IF(F287="","",F287&gt;=5)</f>
        <v/>
      </c>
      <c r="K287">
        <f>IF(H287="","",H287&gt;=75)</f>
        <v/>
      </c>
      <c r="L287">
        <f>IF(OR(I287="",J287="",K287=""),FALSE,AND(I287,J287,K287))</f>
        <v/>
      </c>
    </row>
    <row r="288">
      <c r="A288">
        <f>Universe!A288</f>
        <v/>
      </c>
      <c r="B288" s="10" t="n"/>
      <c r="C288" s="11">
        <f>IF(B288="","",PERCENTRANK.INC($B$2:$B$2501,B288)*100)</f>
        <v/>
      </c>
      <c r="D288" s="10" t="n"/>
      <c r="E288" s="10">
        <f>IF(D288="","",MIN(D288,100))</f>
        <v/>
      </c>
      <c r="F288" s="10" t="n"/>
      <c r="G288" s="10">
        <f>IF(F288="","",MIN(F288,100))</f>
        <v/>
      </c>
      <c r="H288" s="11">
        <f>IF(A288="","",Universe!E288/BDP(A288&amp;" US Equity","HIGH_52WEEK")*100)</f>
        <v/>
      </c>
      <c r="I288">
        <f>IF(D288="","",D288&gt;=5)</f>
        <v/>
      </c>
      <c r="J288">
        <f>IF(F288="","",F288&gt;=5)</f>
        <v/>
      </c>
      <c r="K288">
        <f>IF(H288="","",H288&gt;=75)</f>
        <v/>
      </c>
      <c r="L288">
        <f>IF(OR(I288="",J288="",K288=""),FALSE,AND(I288,J288,K288))</f>
        <v/>
      </c>
    </row>
    <row r="289">
      <c r="A289">
        <f>Universe!A289</f>
        <v/>
      </c>
      <c r="B289" s="10" t="n"/>
      <c r="C289" s="11">
        <f>IF(B289="","",PERCENTRANK.INC($B$2:$B$2501,B289)*100)</f>
        <v/>
      </c>
      <c r="D289" s="10" t="n"/>
      <c r="E289" s="10">
        <f>IF(D289="","",MIN(D289,100))</f>
        <v/>
      </c>
      <c r="F289" s="10" t="n"/>
      <c r="G289" s="10">
        <f>IF(F289="","",MIN(F289,100))</f>
        <v/>
      </c>
      <c r="H289" s="11">
        <f>IF(A289="","",Universe!E289/BDP(A289&amp;" US Equity","HIGH_52WEEK")*100)</f>
        <v/>
      </c>
      <c r="I289">
        <f>IF(D289="","",D289&gt;=5)</f>
        <v/>
      </c>
      <c r="J289">
        <f>IF(F289="","",F289&gt;=5)</f>
        <v/>
      </c>
      <c r="K289">
        <f>IF(H289="","",H289&gt;=75)</f>
        <v/>
      </c>
      <c r="L289">
        <f>IF(OR(I289="",J289="",K289=""),FALSE,AND(I289,J289,K289))</f>
        <v/>
      </c>
    </row>
    <row r="290">
      <c r="A290">
        <f>Universe!A290</f>
        <v/>
      </c>
      <c r="B290" s="10" t="n"/>
      <c r="C290" s="11">
        <f>IF(B290="","",PERCENTRANK.INC($B$2:$B$2501,B290)*100)</f>
        <v/>
      </c>
      <c r="D290" s="10" t="n"/>
      <c r="E290" s="10">
        <f>IF(D290="","",MIN(D290,100))</f>
        <v/>
      </c>
      <c r="F290" s="10" t="n"/>
      <c r="G290" s="10">
        <f>IF(F290="","",MIN(F290,100))</f>
        <v/>
      </c>
      <c r="H290" s="11">
        <f>IF(A290="","",Universe!E290/BDP(A290&amp;" US Equity","HIGH_52WEEK")*100)</f>
        <v/>
      </c>
      <c r="I290">
        <f>IF(D290="","",D290&gt;=5)</f>
        <v/>
      </c>
      <c r="J290">
        <f>IF(F290="","",F290&gt;=5)</f>
        <v/>
      </c>
      <c r="K290">
        <f>IF(H290="","",H290&gt;=75)</f>
        <v/>
      </c>
      <c r="L290">
        <f>IF(OR(I290="",J290="",K290=""),FALSE,AND(I290,J290,K290))</f>
        <v/>
      </c>
    </row>
    <row r="291">
      <c r="A291">
        <f>Universe!A291</f>
        <v/>
      </c>
      <c r="B291" s="10" t="n"/>
      <c r="C291" s="11">
        <f>IF(B291="","",PERCENTRANK.INC($B$2:$B$2501,B291)*100)</f>
        <v/>
      </c>
      <c r="D291" s="10" t="n"/>
      <c r="E291" s="10">
        <f>IF(D291="","",MIN(D291,100))</f>
        <v/>
      </c>
      <c r="F291" s="10" t="n"/>
      <c r="G291" s="10">
        <f>IF(F291="","",MIN(F291,100))</f>
        <v/>
      </c>
      <c r="H291" s="11">
        <f>IF(A291="","",Universe!E291/BDP(A291&amp;" US Equity","HIGH_52WEEK")*100)</f>
        <v/>
      </c>
      <c r="I291">
        <f>IF(D291="","",D291&gt;=5)</f>
        <v/>
      </c>
      <c r="J291">
        <f>IF(F291="","",F291&gt;=5)</f>
        <v/>
      </c>
      <c r="K291">
        <f>IF(H291="","",H291&gt;=75)</f>
        <v/>
      </c>
      <c r="L291">
        <f>IF(OR(I291="",J291="",K291=""),FALSE,AND(I291,J291,K291))</f>
        <v/>
      </c>
    </row>
    <row r="292">
      <c r="A292">
        <f>Universe!A292</f>
        <v/>
      </c>
      <c r="B292" s="10" t="n"/>
      <c r="C292" s="11">
        <f>IF(B292="","",PERCENTRANK.INC($B$2:$B$2501,B292)*100)</f>
        <v/>
      </c>
      <c r="D292" s="10" t="n"/>
      <c r="E292" s="10">
        <f>IF(D292="","",MIN(D292,100))</f>
        <v/>
      </c>
      <c r="F292" s="10" t="n"/>
      <c r="G292" s="10">
        <f>IF(F292="","",MIN(F292,100))</f>
        <v/>
      </c>
      <c r="H292" s="11">
        <f>IF(A292="","",Universe!E292/BDP(A292&amp;" US Equity","HIGH_52WEEK")*100)</f>
        <v/>
      </c>
      <c r="I292">
        <f>IF(D292="","",D292&gt;=5)</f>
        <v/>
      </c>
      <c r="J292">
        <f>IF(F292="","",F292&gt;=5)</f>
        <v/>
      </c>
      <c r="K292">
        <f>IF(H292="","",H292&gt;=75)</f>
        <v/>
      </c>
      <c r="L292">
        <f>IF(OR(I292="",J292="",K292=""),FALSE,AND(I292,J292,K292))</f>
        <v/>
      </c>
    </row>
    <row r="293">
      <c r="A293">
        <f>Universe!A293</f>
        <v/>
      </c>
      <c r="B293" s="10" t="n"/>
      <c r="C293" s="11">
        <f>IF(B293="","",PERCENTRANK.INC($B$2:$B$2501,B293)*100)</f>
        <v/>
      </c>
      <c r="D293" s="10" t="n"/>
      <c r="E293" s="10">
        <f>IF(D293="","",MIN(D293,100))</f>
        <v/>
      </c>
      <c r="F293" s="10" t="n"/>
      <c r="G293" s="10">
        <f>IF(F293="","",MIN(F293,100))</f>
        <v/>
      </c>
      <c r="H293" s="11">
        <f>IF(A293="","",Universe!E293/BDP(A293&amp;" US Equity","HIGH_52WEEK")*100)</f>
        <v/>
      </c>
      <c r="I293">
        <f>IF(D293="","",D293&gt;=5)</f>
        <v/>
      </c>
      <c r="J293">
        <f>IF(F293="","",F293&gt;=5)</f>
        <v/>
      </c>
      <c r="K293">
        <f>IF(H293="","",H293&gt;=75)</f>
        <v/>
      </c>
      <c r="L293">
        <f>IF(OR(I293="",J293="",K293=""),FALSE,AND(I293,J293,K293))</f>
        <v/>
      </c>
    </row>
    <row r="294">
      <c r="A294">
        <f>Universe!A294</f>
        <v/>
      </c>
      <c r="B294" s="10" t="n"/>
      <c r="C294" s="11">
        <f>IF(B294="","",PERCENTRANK.INC($B$2:$B$2501,B294)*100)</f>
        <v/>
      </c>
      <c r="D294" s="10" t="n"/>
      <c r="E294" s="10">
        <f>IF(D294="","",MIN(D294,100))</f>
        <v/>
      </c>
      <c r="F294" s="10" t="n"/>
      <c r="G294" s="10">
        <f>IF(F294="","",MIN(F294,100))</f>
        <v/>
      </c>
      <c r="H294" s="11">
        <f>IF(A294="","",Universe!E294/BDP(A294&amp;" US Equity","HIGH_52WEEK")*100)</f>
        <v/>
      </c>
      <c r="I294">
        <f>IF(D294="","",D294&gt;=5)</f>
        <v/>
      </c>
      <c r="J294">
        <f>IF(F294="","",F294&gt;=5)</f>
        <v/>
      </c>
      <c r="K294">
        <f>IF(H294="","",H294&gt;=75)</f>
        <v/>
      </c>
      <c r="L294">
        <f>IF(OR(I294="",J294="",K294=""),FALSE,AND(I294,J294,K294))</f>
        <v/>
      </c>
    </row>
    <row r="295">
      <c r="A295">
        <f>Universe!A295</f>
        <v/>
      </c>
      <c r="B295" s="10" t="n"/>
      <c r="C295" s="11">
        <f>IF(B295="","",PERCENTRANK.INC($B$2:$B$2501,B295)*100)</f>
        <v/>
      </c>
      <c r="D295" s="10" t="n"/>
      <c r="E295" s="10">
        <f>IF(D295="","",MIN(D295,100))</f>
        <v/>
      </c>
      <c r="F295" s="10" t="n"/>
      <c r="G295" s="10">
        <f>IF(F295="","",MIN(F295,100))</f>
        <v/>
      </c>
      <c r="H295" s="11">
        <f>IF(A295="","",Universe!E295/BDP(A295&amp;" US Equity","HIGH_52WEEK")*100)</f>
        <v/>
      </c>
      <c r="I295">
        <f>IF(D295="","",D295&gt;=5)</f>
        <v/>
      </c>
      <c r="J295">
        <f>IF(F295="","",F295&gt;=5)</f>
        <v/>
      </c>
      <c r="K295">
        <f>IF(H295="","",H295&gt;=75)</f>
        <v/>
      </c>
      <c r="L295">
        <f>IF(OR(I295="",J295="",K295=""),FALSE,AND(I295,J295,K295))</f>
        <v/>
      </c>
    </row>
    <row r="296">
      <c r="A296">
        <f>Universe!A296</f>
        <v/>
      </c>
      <c r="B296" s="10" t="n"/>
      <c r="C296" s="11">
        <f>IF(B296="","",PERCENTRANK.INC($B$2:$B$2501,B296)*100)</f>
        <v/>
      </c>
      <c r="D296" s="10" t="n"/>
      <c r="E296" s="10">
        <f>IF(D296="","",MIN(D296,100))</f>
        <v/>
      </c>
      <c r="F296" s="10" t="n"/>
      <c r="G296" s="10">
        <f>IF(F296="","",MIN(F296,100))</f>
        <v/>
      </c>
      <c r="H296" s="11">
        <f>IF(A296="","",Universe!E296/BDP(A296&amp;" US Equity","HIGH_52WEEK")*100)</f>
        <v/>
      </c>
      <c r="I296">
        <f>IF(D296="","",D296&gt;=5)</f>
        <v/>
      </c>
      <c r="J296">
        <f>IF(F296="","",F296&gt;=5)</f>
        <v/>
      </c>
      <c r="K296">
        <f>IF(H296="","",H296&gt;=75)</f>
        <v/>
      </c>
      <c r="L296">
        <f>IF(OR(I296="",J296="",K296=""),FALSE,AND(I296,J296,K296))</f>
        <v/>
      </c>
    </row>
    <row r="297">
      <c r="A297">
        <f>Universe!A297</f>
        <v/>
      </c>
      <c r="B297" s="10" t="n"/>
      <c r="C297" s="11">
        <f>IF(B297="","",PERCENTRANK.INC($B$2:$B$2501,B297)*100)</f>
        <v/>
      </c>
      <c r="D297" s="10" t="n"/>
      <c r="E297" s="10">
        <f>IF(D297="","",MIN(D297,100))</f>
        <v/>
      </c>
      <c r="F297" s="10" t="n"/>
      <c r="G297" s="10">
        <f>IF(F297="","",MIN(F297,100))</f>
        <v/>
      </c>
      <c r="H297" s="11">
        <f>IF(A297="","",Universe!E297/BDP(A297&amp;" US Equity","HIGH_52WEEK")*100)</f>
        <v/>
      </c>
      <c r="I297">
        <f>IF(D297="","",D297&gt;=5)</f>
        <v/>
      </c>
      <c r="J297">
        <f>IF(F297="","",F297&gt;=5)</f>
        <v/>
      </c>
      <c r="K297">
        <f>IF(H297="","",H297&gt;=75)</f>
        <v/>
      </c>
      <c r="L297">
        <f>IF(OR(I297="",J297="",K297=""),FALSE,AND(I297,J297,K297))</f>
        <v/>
      </c>
    </row>
    <row r="298">
      <c r="A298">
        <f>Universe!A298</f>
        <v/>
      </c>
      <c r="B298" s="10" t="n"/>
      <c r="C298" s="11">
        <f>IF(B298="","",PERCENTRANK.INC($B$2:$B$2501,B298)*100)</f>
        <v/>
      </c>
      <c r="D298" s="10" t="n"/>
      <c r="E298" s="10">
        <f>IF(D298="","",MIN(D298,100))</f>
        <v/>
      </c>
      <c r="F298" s="10" t="n"/>
      <c r="G298" s="10">
        <f>IF(F298="","",MIN(F298,100))</f>
        <v/>
      </c>
      <c r="H298" s="11">
        <f>IF(A298="","",Universe!E298/BDP(A298&amp;" US Equity","HIGH_52WEEK")*100)</f>
        <v/>
      </c>
      <c r="I298">
        <f>IF(D298="","",D298&gt;=5)</f>
        <v/>
      </c>
      <c r="J298">
        <f>IF(F298="","",F298&gt;=5)</f>
        <v/>
      </c>
      <c r="K298">
        <f>IF(H298="","",H298&gt;=75)</f>
        <v/>
      </c>
      <c r="L298">
        <f>IF(OR(I298="",J298="",K298=""),FALSE,AND(I298,J298,K298))</f>
        <v/>
      </c>
    </row>
    <row r="299">
      <c r="A299">
        <f>Universe!A299</f>
        <v/>
      </c>
      <c r="B299" s="10" t="n"/>
      <c r="C299" s="11">
        <f>IF(B299="","",PERCENTRANK.INC($B$2:$B$2501,B299)*100)</f>
        <v/>
      </c>
      <c r="D299" s="10" t="n"/>
      <c r="E299" s="10">
        <f>IF(D299="","",MIN(D299,100))</f>
        <v/>
      </c>
      <c r="F299" s="10" t="n"/>
      <c r="G299" s="10">
        <f>IF(F299="","",MIN(F299,100))</f>
        <v/>
      </c>
      <c r="H299" s="11">
        <f>IF(A299="","",Universe!E299/BDP(A299&amp;" US Equity","HIGH_52WEEK")*100)</f>
        <v/>
      </c>
      <c r="I299">
        <f>IF(D299="","",D299&gt;=5)</f>
        <v/>
      </c>
      <c r="J299">
        <f>IF(F299="","",F299&gt;=5)</f>
        <v/>
      </c>
      <c r="K299">
        <f>IF(H299="","",H299&gt;=75)</f>
        <v/>
      </c>
      <c r="L299">
        <f>IF(OR(I299="",J299="",K299=""),FALSE,AND(I299,J299,K299))</f>
        <v/>
      </c>
    </row>
    <row r="300">
      <c r="A300">
        <f>Universe!A300</f>
        <v/>
      </c>
      <c r="B300" s="10" t="n"/>
      <c r="C300" s="11">
        <f>IF(B300="","",PERCENTRANK.INC($B$2:$B$2501,B300)*100)</f>
        <v/>
      </c>
      <c r="D300" s="10" t="n"/>
      <c r="E300" s="10">
        <f>IF(D300="","",MIN(D300,100))</f>
        <v/>
      </c>
      <c r="F300" s="10" t="n"/>
      <c r="G300" s="10">
        <f>IF(F300="","",MIN(F300,100))</f>
        <v/>
      </c>
      <c r="H300" s="11">
        <f>IF(A300="","",Universe!E300/BDP(A300&amp;" US Equity","HIGH_52WEEK")*100)</f>
        <v/>
      </c>
      <c r="I300">
        <f>IF(D300="","",D300&gt;=5)</f>
        <v/>
      </c>
      <c r="J300">
        <f>IF(F300="","",F300&gt;=5)</f>
        <v/>
      </c>
      <c r="K300">
        <f>IF(H300="","",H300&gt;=75)</f>
        <v/>
      </c>
      <c r="L300">
        <f>IF(OR(I300="",J300="",K300=""),FALSE,AND(I300,J300,K300))</f>
        <v/>
      </c>
    </row>
    <row r="301">
      <c r="A301">
        <f>Universe!A301</f>
        <v/>
      </c>
      <c r="B301" s="10" t="n"/>
      <c r="C301" s="11">
        <f>IF(B301="","",PERCENTRANK.INC($B$2:$B$2501,B301)*100)</f>
        <v/>
      </c>
      <c r="D301" s="10" t="n"/>
      <c r="E301" s="10">
        <f>IF(D301="","",MIN(D301,100))</f>
        <v/>
      </c>
      <c r="F301" s="10" t="n"/>
      <c r="G301" s="10">
        <f>IF(F301="","",MIN(F301,100))</f>
        <v/>
      </c>
      <c r="H301" s="11">
        <f>IF(A301="","",Universe!E301/BDP(A301&amp;" US Equity","HIGH_52WEEK")*100)</f>
        <v/>
      </c>
      <c r="I301">
        <f>IF(D301="","",D301&gt;=5)</f>
        <v/>
      </c>
      <c r="J301">
        <f>IF(F301="","",F301&gt;=5)</f>
        <v/>
      </c>
      <c r="K301">
        <f>IF(H301="","",H301&gt;=75)</f>
        <v/>
      </c>
      <c r="L301">
        <f>IF(OR(I301="",J301="",K301=""),FALSE,AND(I301,J301,K301))</f>
        <v/>
      </c>
    </row>
    <row r="302">
      <c r="A302">
        <f>Universe!A302</f>
        <v/>
      </c>
      <c r="B302" s="10" t="n"/>
      <c r="C302" s="11">
        <f>IF(B302="","",PERCENTRANK.INC($B$2:$B$2501,B302)*100)</f>
        <v/>
      </c>
      <c r="D302" s="10" t="n"/>
      <c r="E302" s="10">
        <f>IF(D302="","",MIN(D302,100))</f>
        <v/>
      </c>
      <c r="F302" s="10" t="n"/>
      <c r="G302" s="10">
        <f>IF(F302="","",MIN(F302,100))</f>
        <v/>
      </c>
      <c r="H302" s="11">
        <f>IF(A302="","",Universe!E302/BDP(A302&amp;" US Equity","HIGH_52WEEK")*100)</f>
        <v/>
      </c>
      <c r="I302">
        <f>IF(D302="","",D302&gt;=5)</f>
        <v/>
      </c>
      <c r="J302">
        <f>IF(F302="","",F302&gt;=5)</f>
        <v/>
      </c>
      <c r="K302">
        <f>IF(H302="","",H302&gt;=75)</f>
        <v/>
      </c>
      <c r="L302">
        <f>IF(OR(I302="",J302="",K302=""),FALSE,AND(I302,J302,K302))</f>
        <v/>
      </c>
    </row>
    <row r="303">
      <c r="A303">
        <f>Universe!A303</f>
        <v/>
      </c>
      <c r="B303" s="10" t="n"/>
      <c r="C303" s="11">
        <f>IF(B303="","",PERCENTRANK.INC($B$2:$B$2501,B303)*100)</f>
        <v/>
      </c>
      <c r="D303" s="10" t="n"/>
      <c r="E303" s="10">
        <f>IF(D303="","",MIN(D303,100))</f>
        <v/>
      </c>
      <c r="F303" s="10" t="n"/>
      <c r="G303" s="10">
        <f>IF(F303="","",MIN(F303,100))</f>
        <v/>
      </c>
      <c r="H303" s="11">
        <f>IF(A303="","",Universe!E303/BDP(A303&amp;" US Equity","HIGH_52WEEK")*100)</f>
        <v/>
      </c>
      <c r="I303">
        <f>IF(D303="","",D303&gt;=5)</f>
        <v/>
      </c>
      <c r="J303">
        <f>IF(F303="","",F303&gt;=5)</f>
        <v/>
      </c>
      <c r="K303">
        <f>IF(H303="","",H303&gt;=75)</f>
        <v/>
      </c>
      <c r="L303">
        <f>IF(OR(I303="",J303="",K303=""),FALSE,AND(I303,J303,K303))</f>
        <v/>
      </c>
    </row>
    <row r="304">
      <c r="A304">
        <f>Universe!A304</f>
        <v/>
      </c>
      <c r="B304" s="10" t="n"/>
      <c r="C304" s="11">
        <f>IF(B304="","",PERCENTRANK.INC($B$2:$B$2501,B304)*100)</f>
        <v/>
      </c>
      <c r="D304" s="10" t="n"/>
      <c r="E304" s="10">
        <f>IF(D304="","",MIN(D304,100))</f>
        <v/>
      </c>
      <c r="F304" s="10" t="n"/>
      <c r="G304" s="10">
        <f>IF(F304="","",MIN(F304,100))</f>
        <v/>
      </c>
      <c r="H304" s="11">
        <f>IF(A304="","",Universe!E304/BDP(A304&amp;" US Equity","HIGH_52WEEK")*100)</f>
        <v/>
      </c>
      <c r="I304">
        <f>IF(D304="","",D304&gt;=5)</f>
        <v/>
      </c>
      <c r="J304">
        <f>IF(F304="","",F304&gt;=5)</f>
        <v/>
      </c>
      <c r="K304">
        <f>IF(H304="","",H304&gt;=75)</f>
        <v/>
      </c>
      <c r="L304">
        <f>IF(OR(I304="",J304="",K304=""),FALSE,AND(I304,J304,K304))</f>
        <v/>
      </c>
    </row>
    <row r="305">
      <c r="A305">
        <f>Universe!A305</f>
        <v/>
      </c>
      <c r="B305" s="10" t="n"/>
      <c r="C305" s="11">
        <f>IF(B305="","",PERCENTRANK.INC($B$2:$B$2501,B305)*100)</f>
        <v/>
      </c>
      <c r="D305" s="10" t="n"/>
      <c r="E305" s="10">
        <f>IF(D305="","",MIN(D305,100))</f>
        <v/>
      </c>
      <c r="F305" s="10" t="n"/>
      <c r="G305" s="10">
        <f>IF(F305="","",MIN(F305,100))</f>
        <v/>
      </c>
      <c r="H305" s="11">
        <f>IF(A305="","",Universe!E305/BDP(A305&amp;" US Equity","HIGH_52WEEK")*100)</f>
        <v/>
      </c>
      <c r="I305">
        <f>IF(D305="","",D305&gt;=5)</f>
        <v/>
      </c>
      <c r="J305">
        <f>IF(F305="","",F305&gt;=5)</f>
        <v/>
      </c>
      <c r="K305">
        <f>IF(H305="","",H305&gt;=75)</f>
        <v/>
      </c>
      <c r="L305">
        <f>IF(OR(I305="",J305="",K305=""),FALSE,AND(I305,J305,K305))</f>
        <v/>
      </c>
    </row>
    <row r="306">
      <c r="A306">
        <f>Universe!A306</f>
        <v/>
      </c>
      <c r="B306" s="10" t="n"/>
      <c r="C306" s="11">
        <f>IF(B306="","",PERCENTRANK.INC($B$2:$B$2501,B306)*100)</f>
        <v/>
      </c>
      <c r="D306" s="10" t="n"/>
      <c r="E306" s="10">
        <f>IF(D306="","",MIN(D306,100))</f>
        <v/>
      </c>
      <c r="F306" s="10" t="n"/>
      <c r="G306" s="10">
        <f>IF(F306="","",MIN(F306,100))</f>
        <v/>
      </c>
      <c r="H306" s="11">
        <f>IF(A306="","",Universe!E306/BDP(A306&amp;" US Equity","HIGH_52WEEK")*100)</f>
        <v/>
      </c>
      <c r="I306">
        <f>IF(D306="","",D306&gt;=5)</f>
        <v/>
      </c>
      <c r="J306">
        <f>IF(F306="","",F306&gt;=5)</f>
        <v/>
      </c>
      <c r="K306">
        <f>IF(H306="","",H306&gt;=75)</f>
        <v/>
      </c>
      <c r="L306">
        <f>IF(OR(I306="",J306="",K306=""),FALSE,AND(I306,J306,K306))</f>
        <v/>
      </c>
    </row>
    <row r="307">
      <c r="A307">
        <f>Universe!A307</f>
        <v/>
      </c>
      <c r="B307" s="10" t="n"/>
      <c r="C307" s="11">
        <f>IF(B307="","",PERCENTRANK.INC($B$2:$B$2501,B307)*100)</f>
        <v/>
      </c>
      <c r="D307" s="10" t="n"/>
      <c r="E307" s="10">
        <f>IF(D307="","",MIN(D307,100))</f>
        <v/>
      </c>
      <c r="F307" s="10" t="n"/>
      <c r="G307" s="10">
        <f>IF(F307="","",MIN(F307,100))</f>
        <v/>
      </c>
      <c r="H307" s="11">
        <f>IF(A307="","",Universe!E307/BDP(A307&amp;" US Equity","HIGH_52WEEK")*100)</f>
        <v/>
      </c>
      <c r="I307">
        <f>IF(D307="","",D307&gt;=5)</f>
        <v/>
      </c>
      <c r="J307">
        <f>IF(F307="","",F307&gt;=5)</f>
        <v/>
      </c>
      <c r="K307">
        <f>IF(H307="","",H307&gt;=75)</f>
        <v/>
      </c>
      <c r="L307">
        <f>IF(OR(I307="",J307="",K307=""),FALSE,AND(I307,J307,K307))</f>
        <v/>
      </c>
    </row>
    <row r="308">
      <c r="A308">
        <f>Universe!A308</f>
        <v/>
      </c>
      <c r="B308" s="10" t="n"/>
      <c r="C308" s="11">
        <f>IF(B308="","",PERCENTRANK.INC($B$2:$B$2501,B308)*100)</f>
        <v/>
      </c>
      <c r="D308" s="10" t="n"/>
      <c r="E308" s="10">
        <f>IF(D308="","",MIN(D308,100))</f>
        <v/>
      </c>
      <c r="F308" s="10" t="n"/>
      <c r="G308" s="10">
        <f>IF(F308="","",MIN(F308,100))</f>
        <v/>
      </c>
      <c r="H308" s="11">
        <f>IF(A308="","",Universe!E308/BDP(A308&amp;" US Equity","HIGH_52WEEK")*100)</f>
        <v/>
      </c>
      <c r="I308">
        <f>IF(D308="","",D308&gt;=5)</f>
        <v/>
      </c>
      <c r="J308">
        <f>IF(F308="","",F308&gt;=5)</f>
        <v/>
      </c>
      <c r="K308">
        <f>IF(H308="","",H308&gt;=75)</f>
        <v/>
      </c>
      <c r="L308">
        <f>IF(OR(I308="",J308="",K308=""),FALSE,AND(I308,J308,K308))</f>
        <v/>
      </c>
    </row>
    <row r="309">
      <c r="A309">
        <f>Universe!A309</f>
        <v/>
      </c>
      <c r="B309" s="10" t="n"/>
      <c r="C309" s="11">
        <f>IF(B309="","",PERCENTRANK.INC($B$2:$B$2501,B309)*100)</f>
        <v/>
      </c>
      <c r="D309" s="10" t="n"/>
      <c r="E309" s="10">
        <f>IF(D309="","",MIN(D309,100))</f>
        <v/>
      </c>
      <c r="F309" s="10" t="n"/>
      <c r="G309" s="10">
        <f>IF(F309="","",MIN(F309,100))</f>
        <v/>
      </c>
      <c r="H309" s="11">
        <f>IF(A309="","",Universe!E309/BDP(A309&amp;" US Equity","HIGH_52WEEK")*100)</f>
        <v/>
      </c>
      <c r="I309">
        <f>IF(D309="","",D309&gt;=5)</f>
        <v/>
      </c>
      <c r="J309">
        <f>IF(F309="","",F309&gt;=5)</f>
        <v/>
      </c>
      <c r="K309">
        <f>IF(H309="","",H309&gt;=75)</f>
        <v/>
      </c>
      <c r="L309">
        <f>IF(OR(I309="",J309="",K309=""),FALSE,AND(I309,J309,K309))</f>
        <v/>
      </c>
    </row>
    <row r="310">
      <c r="A310">
        <f>Universe!A310</f>
        <v/>
      </c>
      <c r="B310" s="10" t="n"/>
      <c r="C310" s="11">
        <f>IF(B310="","",PERCENTRANK.INC($B$2:$B$2501,B310)*100)</f>
        <v/>
      </c>
      <c r="D310" s="10" t="n"/>
      <c r="E310" s="10">
        <f>IF(D310="","",MIN(D310,100))</f>
        <v/>
      </c>
      <c r="F310" s="10" t="n"/>
      <c r="G310" s="10">
        <f>IF(F310="","",MIN(F310,100))</f>
        <v/>
      </c>
      <c r="H310" s="11">
        <f>IF(A310="","",Universe!E310/BDP(A310&amp;" US Equity","HIGH_52WEEK")*100)</f>
        <v/>
      </c>
      <c r="I310">
        <f>IF(D310="","",D310&gt;=5)</f>
        <v/>
      </c>
      <c r="J310">
        <f>IF(F310="","",F310&gt;=5)</f>
        <v/>
      </c>
      <c r="K310">
        <f>IF(H310="","",H310&gt;=75)</f>
        <v/>
      </c>
      <c r="L310">
        <f>IF(OR(I310="",J310="",K310=""),FALSE,AND(I310,J310,K310))</f>
        <v/>
      </c>
    </row>
    <row r="311">
      <c r="A311">
        <f>Universe!A311</f>
        <v/>
      </c>
      <c r="B311" s="10" t="n"/>
      <c r="C311" s="11">
        <f>IF(B311="","",PERCENTRANK.INC($B$2:$B$2501,B311)*100)</f>
        <v/>
      </c>
      <c r="D311" s="10" t="n"/>
      <c r="E311" s="10">
        <f>IF(D311="","",MIN(D311,100))</f>
        <v/>
      </c>
      <c r="F311" s="10" t="n"/>
      <c r="G311" s="10">
        <f>IF(F311="","",MIN(F311,100))</f>
        <v/>
      </c>
      <c r="H311" s="11">
        <f>IF(A311="","",Universe!E311/BDP(A311&amp;" US Equity","HIGH_52WEEK")*100)</f>
        <v/>
      </c>
      <c r="I311">
        <f>IF(D311="","",D311&gt;=5)</f>
        <v/>
      </c>
      <c r="J311">
        <f>IF(F311="","",F311&gt;=5)</f>
        <v/>
      </c>
      <c r="K311">
        <f>IF(H311="","",H311&gt;=75)</f>
        <v/>
      </c>
      <c r="L311">
        <f>IF(OR(I311="",J311="",K311=""),FALSE,AND(I311,J311,K311))</f>
        <v/>
      </c>
    </row>
    <row r="312">
      <c r="A312">
        <f>Universe!A312</f>
        <v/>
      </c>
      <c r="B312" s="10" t="n"/>
      <c r="C312" s="11">
        <f>IF(B312="","",PERCENTRANK.INC($B$2:$B$2501,B312)*100)</f>
        <v/>
      </c>
      <c r="D312" s="10" t="n"/>
      <c r="E312" s="10">
        <f>IF(D312="","",MIN(D312,100))</f>
        <v/>
      </c>
      <c r="F312" s="10" t="n"/>
      <c r="G312" s="10">
        <f>IF(F312="","",MIN(F312,100))</f>
        <v/>
      </c>
      <c r="H312" s="11">
        <f>IF(A312="","",Universe!E312/BDP(A312&amp;" US Equity","HIGH_52WEEK")*100)</f>
        <v/>
      </c>
      <c r="I312">
        <f>IF(D312="","",D312&gt;=5)</f>
        <v/>
      </c>
      <c r="J312">
        <f>IF(F312="","",F312&gt;=5)</f>
        <v/>
      </c>
      <c r="K312">
        <f>IF(H312="","",H312&gt;=75)</f>
        <v/>
      </c>
      <c r="L312">
        <f>IF(OR(I312="",J312="",K312=""),FALSE,AND(I312,J312,K312))</f>
        <v/>
      </c>
    </row>
    <row r="313">
      <c r="A313">
        <f>Universe!A313</f>
        <v/>
      </c>
      <c r="B313" s="10" t="n"/>
      <c r="C313" s="11">
        <f>IF(B313="","",PERCENTRANK.INC($B$2:$B$2501,B313)*100)</f>
        <v/>
      </c>
      <c r="D313" s="10" t="n"/>
      <c r="E313" s="10">
        <f>IF(D313="","",MIN(D313,100))</f>
        <v/>
      </c>
      <c r="F313" s="10" t="n"/>
      <c r="G313" s="10">
        <f>IF(F313="","",MIN(F313,100))</f>
        <v/>
      </c>
      <c r="H313" s="11">
        <f>IF(A313="","",Universe!E313/BDP(A313&amp;" US Equity","HIGH_52WEEK")*100)</f>
        <v/>
      </c>
      <c r="I313">
        <f>IF(D313="","",D313&gt;=5)</f>
        <v/>
      </c>
      <c r="J313">
        <f>IF(F313="","",F313&gt;=5)</f>
        <v/>
      </c>
      <c r="K313">
        <f>IF(H313="","",H313&gt;=75)</f>
        <v/>
      </c>
      <c r="L313">
        <f>IF(OR(I313="",J313="",K313=""),FALSE,AND(I313,J313,K313))</f>
        <v/>
      </c>
    </row>
    <row r="314">
      <c r="A314">
        <f>Universe!A314</f>
        <v/>
      </c>
      <c r="B314" s="10" t="n"/>
      <c r="C314" s="11">
        <f>IF(B314="","",PERCENTRANK.INC($B$2:$B$2501,B314)*100)</f>
        <v/>
      </c>
      <c r="D314" s="10" t="n"/>
      <c r="E314" s="10">
        <f>IF(D314="","",MIN(D314,100))</f>
        <v/>
      </c>
      <c r="F314" s="10" t="n"/>
      <c r="G314" s="10">
        <f>IF(F314="","",MIN(F314,100))</f>
        <v/>
      </c>
      <c r="H314" s="11">
        <f>IF(A314="","",Universe!E314/BDP(A314&amp;" US Equity","HIGH_52WEEK")*100)</f>
        <v/>
      </c>
      <c r="I314">
        <f>IF(D314="","",D314&gt;=5)</f>
        <v/>
      </c>
      <c r="J314">
        <f>IF(F314="","",F314&gt;=5)</f>
        <v/>
      </c>
      <c r="K314">
        <f>IF(H314="","",H314&gt;=75)</f>
        <v/>
      </c>
      <c r="L314">
        <f>IF(OR(I314="",J314="",K314=""),FALSE,AND(I314,J314,K314))</f>
        <v/>
      </c>
    </row>
    <row r="315">
      <c r="A315">
        <f>Universe!A315</f>
        <v/>
      </c>
      <c r="B315" s="10" t="n"/>
      <c r="C315" s="11">
        <f>IF(B315="","",PERCENTRANK.INC($B$2:$B$2501,B315)*100)</f>
        <v/>
      </c>
      <c r="D315" s="10" t="n"/>
      <c r="E315" s="10">
        <f>IF(D315="","",MIN(D315,100))</f>
        <v/>
      </c>
      <c r="F315" s="10" t="n"/>
      <c r="G315" s="10">
        <f>IF(F315="","",MIN(F315,100))</f>
        <v/>
      </c>
      <c r="H315" s="11">
        <f>IF(A315="","",Universe!E315/BDP(A315&amp;" US Equity","HIGH_52WEEK")*100)</f>
        <v/>
      </c>
      <c r="I315">
        <f>IF(D315="","",D315&gt;=5)</f>
        <v/>
      </c>
      <c r="J315">
        <f>IF(F315="","",F315&gt;=5)</f>
        <v/>
      </c>
      <c r="K315">
        <f>IF(H315="","",H315&gt;=75)</f>
        <v/>
      </c>
      <c r="L315">
        <f>IF(OR(I315="",J315="",K315=""),FALSE,AND(I315,J315,K315))</f>
        <v/>
      </c>
    </row>
    <row r="316">
      <c r="A316">
        <f>Universe!A316</f>
        <v/>
      </c>
      <c r="B316" s="10" t="n"/>
      <c r="C316" s="11">
        <f>IF(B316="","",PERCENTRANK.INC($B$2:$B$2501,B316)*100)</f>
        <v/>
      </c>
      <c r="D316" s="10" t="n"/>
      <c r="E316" s="10">
        <f>IF(D316="","",MIN(D316,100))</f>
        <v/>
      </c>
      <c r="F316" s="10" t="n"/>
      <c r="G316" s="10">
        <f>IF(F316="","",MIN(F316,100))</f>
        <v/>
      </c>
      <c r="H316" s="11">
        <f>IF(A316="","",Universe!E316/BDP(A316&amp;" US Equity","HIGH_52WEEK")*100)</f>
        <v/>
      </c>
      <c r="I316">
        <f>IF(D316="","",D316&gt;=5)</f>
        <v/>
      </c>
      <c r="J316">
        <f>IF(F316="","",F316&gt;=5)</f>
        <v/>
      </c>
      <c r="K316">
        <f>IF(H316="","",H316&gt;=75)</f>
        <v/>
      </c>
      <c r="L316">
        <f>IF(OR(I316="",J316="",K316=""),FALSE,AND(I316,J316,K316))</f>
        <v/>
      </c>
    </row>
    <row r="317">
      <c r="A317">
        <f>Universe!A317</f>
        <v/>
      </c>
      <c r="B317" s="10" t="n"/>
      <c r="C317" s="11">
        <f>IF(B317="","",PERCENTRANK.INC($B$2:$B$2501,B317)*100)</f>
        <v/>
      </c>
      <c r="D317" s="10" t="n"/>
      <c r="E317" s="10">
        <f>IF(D317="","",MIN(D317,100))</f>
        <v/>
      </c>
      <c r="F317" s="10" t="n"/>
      <c r="G317" s="10">
        <f>IF(F317="","",MIN(F317,100))</f>
        <v/>
      </c>
      <c r="H317" s="11">
        <f>IF(A317="","",Universe!E317/BDP(A317&amp;" US Equity","HIGH_52WEEK")*100)</f>
        <v/>
      </c>
      <c r="I317">
        <f>IF(D317="","",D317&gt;=5)</f>
        <v/>
      </c>
      <c r="J317">
        <f>IF(F317="","",F317&gt;=5)</f>
        <v/>
      </c>
      <c r="K317">
        <f>IF(H317="","",H317&gt;=75)</f>
        <v/>
      </c>
      <c r="L317">
        <f>IF(OR(I317="",J317="",K317=""),FALSE,AND(I317,J317,K317))</f>
        <v/>
      </c>
    </row>
    <row r="318">
      <c r="A318">
        <f>Universe!A318</f>
        <v/>
      </c>
      <c r="B318" s="10" t="n"/>
      <c r="C318" s="11">
        <f>IF(B318="","",PERCENTRANK.INC($B$2:$B$2501,B318)*100)</f>
        <v/>
      </c>
      <c r="D318" s="10" t="n"/>
      <c r="E318" s="10">
        <f>IF(D318="","",MIN(D318,100))</f>
        <v/>
      </c>
      <c r="F318" s="10" t="n"/>
      <c r="G318" s="10">
        <f>IF(F318="","",MIN(F318,100))</f>
        <v/>
      </c>
      <c r="H318" s="11">
        <f>IF(A318="","",Universe!E318/BDP(A318&amp;" US Equity","HIGH_52WEEK")*100)</f>
        <v/>
      </c>
      <c r="I318">
        <f>IF(D318="","",D318&gt;=5)</f>
        <v/>
      </c>
      <c r="J318">
        <f>IF(F318="","",F318&gt;=5)</f>
        <v/>
      </c>
      <c r="K318">
        <f>IF(H318="","",H318&gt;=75)</f>
        <v/>
      </c>
      <c r="L318">
        <f>IF(OR(I318="",J318="",K318=""),FALSE,AND(I318,J318,K318))</f>
        <v/>
      </c>
    </row>
    <row r="319">
      <c r="A319">
        <f>Universe!A319</f>
        <v/>
      </c>
      <c r="B319" s="10" t="n"/>
      <c r="C319" s="11">
        <f>IF(B319="","",PERCENTRANK.INC($B$2:$B$2501,B319)*100)</f>
        <v/>
      </c>
      <c r="D319" s="10" t="n"/>
      <c r="E319" s="10">
        <f>IF(D319="","",MIN(D319,100))</f>
        <v/>
      </c>
      <c r="F319" s="10" t="n"/>
      <c r="G319" s="10">
        <f>IF(F319="","",MIN(F319,100))</f>
        <v/>
      </c>
      <c r="H319" s="11">
        <f>IF(A319="","",Universe!E319/BDP(A319&amp;" US Equity","HIGH_52WEEK")*100)</f>
        <v/>
      </c>
      <c r="I319">
        <f>IF(D319="","",D319&gt;=5)</f>
        <v/>
      </c>
      <c r="J319">
        <f>IF(F319="","",F319&gt;=5)</f>
        <v/>
      </c>
      <c r="K319">
        <f>IF(H319="","",H319&gt;=75)</f>
        <v/>
      </c>
      <c r="L319">
        <f>IF(OR(I319="",J319="",K319=""),FALSE,AND(I319,J319,K319))</f>
        <v/>
      </c>
    </row>
    <row r="320">
      <c r="A320">
        <f>Universe!A320</f>
        <v/>
      </c>
      <c r="B320" s="10" t="n"/>
      <c r="C320" s="11">
        <f>IF(B320="","",PERCENTRANK.INC($B$2:$B$2501,B320)*100)</f>
        <v/>
      </c>
      <c r="D320" s="10" t="n"/>
      <c r="E320" s="10">
        <f>IF(D320="","",MIN(D320,100))</f>
        <v/>
      </c>
      <c r="F320" s="10" t="n"/>
      <c r="G320" s="10">
        <f>IF(F320="","",MIN(F320,100))</f>
        <v/>
      </c>
      <c r="H320" s="11">
        <f>IF(A320="","",Universe!E320/BDP(A320&amp;" US Equity","HIGH_52WEEK")*100)</f>
        <v/>
      </c>
      <c r="I320">
        <f>IF(D320="","",D320&gt;=5)</f>
        <v/>
      </c>
      <c r="J320">
        <f>IF(F320="","",F320&gt;=5)</f>
        <v/>
      </c>
      <c r="K320">
        <f>IF(H320="","",H320&gt;=75)</f>
        <v/>
      </c>
      <c r="L320">
        <f>IF(OR(I320="",J320="",K320=""),FALSE,AND(I320,J320,K320))</f>
        <v/>
      </c>
    </row>
    <row r="321">
      <c r="A321">
        <f>Universe!A321</f>
        <v/>
      </c>
      <c r="B321" s="10" t="n"/>
      <c r="C321" s="11">
        <f>IF(B321="","",PERCENTRANK.INC($B$2:$B$2501,B321)*100)</f>
        <v/>
      </c>
      <c r="D321" s="10" t="n"/>
      <c r="E321" s="10">
        <f>IF(D321="","",MIN(D321,100))</f>
        <v/>
      </c>
      <c r="F321" s="10" t="n"/>
      <c r="G321" s="10">
        <f>IF(F321="","",MIN(F321,100))</f>
        <v/>
      </c>
      <c r="H321" s="11">
        <f>IF(A321="","",Universe!E321/BDP(A321&amp;" US Equity","HIGH_52WEEK")*100)</f>
        <v/>
      </c>
      <c r="I321">
        <f>IF(D321="","",D321&gt;=5)</f>
        <v/>
      </c>
      <c r="J321">
        <f>IF(F321="","",F321&gt;=5)</f>
        <v/>
      </c>
      <c r="K321">
        <f>IF(H321="","",H321&gt;=75)</f>
        <v/>
      </c>
      <c r="L321">
        <f>IF(OR(I321="",J321="",K321=""),FALSE,AND(I321,J321,K321))</f>
        <v/>
      </c>
    </row>
    <row r="322">
      <c r="A322">
        <f>Universe!A322</f>
        <v/>
      </c>
      <c r="B322" s="10" t="n"/>
      <c r="C322" s="11">
        <f>IF(B322="","",PERCENTRANK.INC($B$2:$B$2501,B322)*100)</f>
        <v/>
      </c>
      <c r="D322" s="10" t="n"/>
      <c r="E322" s="10">
        <f>IF(D322="","",MIN(D322,100))</f>
        <v/>
      </c>
      <c r="F322" s="10" t="n"/>
      <c r="G322" s="10">
        <f>IF(F322="","",MIN(F322,100))</f>
        <v/>
      </c>
      <c r="H322" s="11">
        <f>IF(A322="","",Universe!E322/BDP(A322&amp;" US Equity","HIGH_52WEEK")*100)</f>
        <v/>
      </c>
      <c r="I322">
        <f>IF(D322="","",D322&gt;=5)</f>
        <v/>
      </c>
      <c r="J322">
        <f>IF(F322="","",F322&gt;=5)</f>
        <v/>
      </c>
      <c r="K322">
        <f>IF(H322="","",H322&gt;=75)</f>
        <v/>
      </c>
      <c r="L322">
        <f>IF(OR(I322="",J322="",K322=""),FALSE,AND(I322,J322,K322))</f>
        <v/>
      </c>
    </row>
    <row r="323">
      <c r="A323">
        <f>Universe!A323</f>
        <v/>
      </c>
      <c r="B323" s="10" t="n"/>
      <c r="C323" s="11">
        <f>IF(B323="","",PERCENTRANK.INC($B$2:$B$2501,B323)*100)</f>
        <v/>
      </c>
      <c r="D323" s="10" t="n"/>
      <c r="E323" s="10">
        <f>IF(D323="","",MIN(D323,100))</f>
        <v/>
      </c>
      <c r="F323" s="10" t="n"/>
      <c r="G323" s="10">
        <f>IF(F323="","",MIN(F323,100))</f>
        <v/>
      </c>
      <c r="H323" s="11">
        <f>IF(A323="","",Universe!E323/BDP(A323&amp;" US Equity","HIGH_52WEEK")*100)</f>
        <v/>
      </c>
      <c r="I323">
        <f>IF(D323="","",D323&gt;=5)</f>
        <v/>
      </c>
      <c r="J323">
        <f>IF(F323="","",F323&gt;=5)</f>
        <v/>
      </c>
      <c r="K323">
        <f>IF(H323="","",H323&gt;=75)</f>
        <v/>
      </c>
      <c r="L323">
        <f>IF(OR(I323="",J323="",K323=""),FALSE,AND(I323,J323,K323))</f>
        <v/>
      </c>
    </row>
    <row r="324">
      <c r="A324">
        <f>Universe!A324</f>
        <v/>
      </c>
      <c r="B324" s="10" t="n"/>
      <c r="C324" s="11">
        <f>IF(B324="","",PERCENTRANK.INC($B$2:$B$2501,B324)*100)</f>
        <v/>
      </c>
      <c r="D324" s="10" t="n"/>
      <c r="E324" s="10">
        <f>IF(D324="","",MIN(D324,100))</f>
        <v/>
      </c>
      <c r="F324" s="10" t="n"/>
      <c r="G324" s="10">
        <f>IF(F324="","",MIN(F324,100))</f>
        <v/>
      </c>
      <c r="H324" s="11">
        <f>IF(A324="","",Universe!E324/BDP(A324&amp;" US Equity","HIGH_52WEEK")*100)</f>
        <v/>
      </c>
      <c r="I324">
        <f>IF(D324="","",D324&gt;=5)</f>
        <v/>
      </c>
      <c r="J324">
        <f>IF(F324="","",F324&gt;=5)</f>
        <v/>
      </c>
      <c r="K324">
        <f>IF(H324="","",H324&gt;=75)</f>
        <v/>
      </c>
      <c r="L324">
        <f>IF(OR(I324="",J324="",K324=""),FALSE,AND(I324,J324,K324))</f>
        <v/>
      </c>
    </row>
    <row r="325">
      <c r="A325">
        <f>Universe!A325</f>
        <v/>
      </c>
      <c r="B325" s="10" t="n"/>
      <c r="C325" s="11">
        <f>IF(B325="","",PERCENTRANK.INC($B$2:$B$2501,B325)*100)</f>
        <v/>
      </c>
      <c r="D325" s="10" t="n"/>
      <c r="E325" s="10">
        <f>IF(D325="","",MIN(D325,100))</f>
        <v/>
      </c>
      <c r="F325" s="10" t="n"/>
      <c r="G325" s="10">
        <f>IF(F325="","",MIN(F325,100))</f>
        <v/>
      </c>
      <c r="H325" s="11">
        <f>IF(A325="","",Universe!E325/BDP(A325&amp;" US Equity","HIGH_52WEEK")*100)</f>
        <v/>
      </c>
      <c r="I325">
        <f>IF(D325="","",D325&gt;=5)</f>
        <v/>
      </c>
      <c r="J325">
        <f>IF(F325="","",F325&gt;=5)</f>
        <v/>
      </c>
      <c r="K325">
        <f>IF(H325="","",H325&gt;=75)</f>
        <v/>
      </c>
      <c r="L325">
        <f>IF(OR(I325="",J325="",K325=""),FALSE,AND(I325,J325,K325))</f>
        <v/>
      </c>
    </row>
    <row r="326">
      <c r="A326">
        <f>Universe!A326</f>
        <v/>
      </c>
      <c r="B326" s="10" t="n"/>
      <c r="C326" s="11">
        <f>IF(B326="","",PERCENTRANK.INC($B$2:$B$2501,B326)*100)</f>
        <v/>
      </c>
      <c r="D326" s="10" t="n"/>
      <c r="E326" s="10">
        <f>IF(D326="","",MIN(D326,100))</f>
        <v/>
      </c>
      <c r="F326" s="10" t="n"/>
      <c r="G326" s="10">
        <f>IF(F326="","",MIN(F326,100))</f>
        <v/>
      </c>
      <c r="H326" s="11">
        <f>IF(A326="","",Universe!E326/BDP(A326&amp;" US Equity","HIGH_52WEEK")*100)</f>
        <v/>
      </c>
      <c r="I326">
        <f>IF(D326="","",D326&gt;=5)</f>
        <v/>
      </c>
      <c r="J326">
        <f>IF(F326="","",F326&gt;=5)</f>
        <v/>
      </c>
      <c r="K326">
        <f>IF(H326="","",H326&gt;=75)</f>
        <v/>
      </c>
      <c r="L326">
        <f>IF(OR(I326="",J326="",K326=""),FALSE,AND(I326,J326,K326))</f>
        <v/>
      </c>
    </row>
    <row r="327">
      <c r="A327">
        <f>Universe!A327</f>
        <v/>
      </c>
      <c r="B327" s="10" t="n"/>
      <c r="C327" s="11">
        <f>IF(B327="","",PERCENTRANK.INC($B$2:$B$2501,B327)*100)</f>
        <v/>
      </c>
      <c r="D327" s="10" t="n"/>
      <c r="E327" s="10">
        <f>IF(D327="","",MIN(D327,100))</f>
        <v/>
      </c>
      <c r="F327" s="10" t="n"/>
      <c r="G327" s="10">
        <f>IF(F327="","",MIN(F327,100))</f>
        <v/>
      </c>
      <c r="H327" s="11">
        <f>IF(A327="","",Universe!E327/BDP(A327&amp;" US Equity","HIGH_52WEEK")*100)</f>
        <v/>
      </c>
      <c r="I327">
        <f>IF(D327="","",D327&gt;=5)</f>
        <v/>
      </c>
      <c r="J327">
        <f>IF(F327="","",F327&gt;=5)</f>
        <v/>
      </c>
      <c r="K327">
        <f>IF(H327="","",H327&gt;=75)</f>
        <v/>
      </c>
      <c r="L327">
        <f>IF(OR(I327="",J327="",K327=""),FALSE,AND(I327,J327,K327))</f>
        <v/>
      </c>
    </row>
    <row r="328">
      <c r="A328">
        <f>Universe!A328</f>
        <v/>
      </c>
      <c r="B328" s="10" t="n"/>
      <c r="C328" s="11">
        <f>IF(B328="","",PERCENTRANK.INC($B$2:$B$2501,B328)*100)</f>
        <v/>
      </c>
      <c r="D328" s="10" t="n"/>
      <c r="E328" s="10">
        <f>IF(D328="","",MIN(D328,100))</f>
        <v/>
      </c>
      <c r="F328" s="10" t="n"/>
      <c r="G328" s="10">
        <f>IF(F328="","",MIN(F328,100))</f>
        <v/>
      </c>
      <c r="H328" s="11">
        <f>IF(A328="","",Universe!E328/BDP(A328&amp;" US Equity","HIGH_52WEEK")*100)</f>
        <v/>
      </c>
      <c r="I328">
        <f>IF(D328="","",D328&gt;=5)</f>
        <v/>
      </c>
      <c r="J328">
        <f>IF(F328="","",F328&gt;=5)</f>
        <v/>
      </c>
      <c r="K328">
        <f>IF(H328="","",H328&gt;=75)</f>
        <v/>
      </c>
      <c r="L328">
        <f>IF(OR(I328="",J328="",K328=""),FALSE,AND(I328,J328,K328))</f>
        <v/>
      </c>
    </row>
    <row r="329">
      <c r="A329">
        <f>Universe!A329</f>
        <v/>
      </c>
      <c r="B329" s="10" t="n"/>
      <c r="C329" s="11">
        <f>IF(B329="","",PERCENTRANK.INC($B$2:$B$2501,B329)*100)</f>
        <v/>
      </c>
      <c r="D329" s="10" t="n"/>
      <c r="E329" s="10">
        <f>IF(D329="","",MIN(D329,100))</f>
        <v/>
      </c>
      <c r="F329" s="10" t="n"/>
      <c r="G329" s="10">
        <f>IF(F329="","",MIN(F329,100))</f>
        <v/>
      </c>
      <c r="H329" s="11">
        <f>IF(A329="","",Universe!E329/BDP(A329&amp;" US Equity","HIGH_52WEEK")*100)</f>
        <v/>
      </c>
      <c r="I329">
        <f>IF(D329="","",D329&gt;=5)</f>
        <v/>
      </c>
      <c r="J329">
        <f>IF(F329="","",F329&gt;=5)</f>
        <v/>
      </c>
      <c r="K329">
        <f>IF(H329="","",H329&gt;=75)</f>
        <v/>
      </c>
      <c r="L329">
        <f>IF(OR(I329="",J329="",K329=""),FALSE,AND(I329,J329,K329))</f>
        <v/>
      </c>
    </row>
    <row r="330">
      <c r="A330">
        <f>Universe!A330</f>
        <v/>
      </c>
      <c r="B330" s="10" t="n"/>
      <c r="C330" s="11">
        <f>IF(B330="","",PERCENTRANK.INC($B$2:$B$2501,B330)*100)</f>
        <v/>
      </c>
      <c r="D330" s="10" t="n"/>
      <c r="E330" s="10">
        <f>IF(D330="","",MIN(D330,100))</f>
        <v/>
      </c>
      <c r="F330" s="10" t="n"/>
      <c r="G330" s="10">
        <f>IF(F330="","",MIN(F330,100))</f>
        <v/>
      </c>
      <c r="H330" s="11">
        <f>IF(A330="","",Universe!E330/BDP(A330&amp;" US Equity","HIGH_52WEEK")*100)</f>
        <v/>
      </c>
      <c r="I330">
        <f>IF(D330="","",D330&gt;=5)</f>
        <v/>
      </c>
      <c r="J330">
        <f>IF(F330="","",F330&gt;=5)</f>
        <v/>
      </c>
      <c r="K330">
        <f>IF(H330="","",H330&gt;=75)</f>
        <v/>
      </c>
      <c r="L330">
        <f>IF(OR(I330="",J330="",K330=""),FALSE,AND(I330,J330,K330))</f>
        <v/>
      </c>
    </row>
    <row r="331">
      <c r="A331">
        <f>Universe!A331</f>
        <v/>
      </c>
      <c r="B331" s="10" t="n"/>
      <c r="C331" s="11">
        <f>IF(B331="","",PERCENTRANK.INC($B$2:$B$2501,B331)*100)</f>
        <v/>
      </c>
      <c r="D331" s="10" t="n"/>
      <c r="E331" s="10">
        <f>IF(D331="","",MIN(D331,100))</f>
        <v/>
      </c>
      <c r="F331" s="10" t="n"/>
      <c r="G331" s="10">
        <f>IF(F331="","",MIN(F331,100))</f>
        <v/>
      </c>
      <c r="H331" s="11">
        <f>IF(A331="","",Universe!E331/BDP(A331&amp;" US Equity","HIGH_52WEEK")*100)</f>
        <v/>
      </c>
      <c r="I331">
        <f>IF(D331="","",D331&gt;=5)</f>
        <v/>
      </c>
      <c r="J331">
        <f>IF(F331="","",F331&gt;=5)</f>
        <v/>
      </c>
      <c r="K331">
        <f>IF(H331="","",H331&gt;=75)</f>
        <v/>
      </c>
      <c r="L331">
        <f>IF(OR(I331="",J331="",K331=""),FALSE,AND(I331,J331,K331))</f>
        <v/>
      </c>
    </row>
    <row r="332">
      <c r="A332">
        <f>Universe!A332</f>
        <v/>
      </c>
      <c r="B332" s="10" t="n"/>
      <c r="C332" s="11">
        <f>IF(B332="","",PERCENTRANK.INC($B$2:$B$2501,B332)*100)</f>
        <v/>
      </c>
      <c r="D332" s="10" t="n"/>
      <c r="E332" s="10">
        <f>IF(D332="","",MIN(D332,100))</f>
        <v/>
      </c>
      <c r="F332" s="10" t="n"/>
      <c r="G332" s="10">
        <f>IF(F332="","",MIN(F332,100))</f>
        <v/>
      </c>
      <c r="H332" s="11">
        <f>IF(A332="","",Universe!E332/BDP(A332&amp;" US Equity","HIGH_52WEEK")*100)</f>
        <v/>
      </c>
      <c r="I332">
        <f>IF(D332="","",D332&gt;=5)</f>
        <v/>
      </c>
      <c r="J332">
        <f>IF(F332="","",F332&gt;=5)</f>
        <v/>
      </c>
      <c r="K332">
        <f>IF(H332="","",H332&gt;=75)</f>
        <v/>
      </c>
      <c r="L332">
        <f>IF(OR(I332="",J332="",K332=""),FALSE,AND(I332,J332,K332))</f>
        <v/>
      </c>
    </row>
    <row r="333">
      <c r="A333">
        <f>Universe!A333</f>
        <v/>
      </c>
      <c r="B333" s="10" t="n"/>
      <c r="C333" s="11">
        <f>IF(B333="","",PERCENTRANK.INC($B$2:$B$2501,B333)*100)</f>
        <v/>
      </c>
      <c r="D333" s="10" t="n"/>
      <c r="E333" s="10">
        <f>IF(D333="","",MIN(D333,100))</f>
        <v/>
      </c>
      <c r="F333" s="10" t="n"/>
      <c r="G333" s="10">
        <f>IF(F333="","",MIN(F333,100))</f>
        <v/>
      </c>
      <c r="H333" s="11">
        <f>IF(A333="","",Universe!E333/BDP(A333&amp;" US Equity","HIGH_52WEEK")*100)</f>
        <v/>
      </c>
      <c r="I333">
        <f>IF(D333="","",D333&gt;=5)</f>
        <v/>
      </c>
      <c r="J333">
        <f>IF(F333="","",F333&gt;=5)</f>
        <v/>
      </c>
      <c r="K333">
        <f>IF(H333="","",H333&gt;=75)</f>
        <v/>
      </c>
      <c r="L333">
        <f>IF(OR(I333="",J333="",K333=""),FALSE,AND(I333,J333,K333))</f>
        <v/>
      </c>
    </row>
    <row r="334">
      <c r="A334">
        <f>Universe!A334</f>
        <v/>
      </c>
      <c r="B334" s="10" t="n"/>
      <c r="C334" s="11">
        <f>IF(B334="","",PERCENTRANK.INC($B$2:$B$2501,B334)*100)</f>
        <v/>
      </c>
      <c r="D334" s="10" t="n"/>
      <c r="E334" s="10">
        <f>IF(D334="","",MIN(D334,100))</f>
        <v/>
      </c>
      <c r="F334" s="10" t="n"/>
      <c r="G334" s="10">
        <f>IF(F334="","",MIN(F334,100))</f>
        <v/>
      </c>
      <c r="H334" s="11">
        <f>IF(A334="","",Universe!E334/BDP(A334&amp;" US Equity","HIGH_52WEEK")*100)</f>
        <v/>
      </c>
      <c r="I334">
        <f>IF(D334="","",D334&gt;=5)</f>
        <v/>
      </c>
      <c r="J334">
        <f>IF(F334="","",F334&gt;=5)</f>
        <v/>
      </c>
      <c r="K334">
        <f>IF(H334="","",H334&gt;=75)</f>
        <v/>
      </c>
      <c r="L334">
        <f>IF(OR(I334="",J334="",K334=""),FALSE,AND(I334,J334,K334))</f>
        <v/>
      </c>
    </row>
    <row r="335">
      <c r="A335">
        <f>Universe!A335</f>
        <v/>
      </c>
      <c r="B335" s="10" t="n"/>
      <c r="C335" s="11">
        <f>IF(B335="","",PERCENTRANK.INC($B$2:$B$2501,B335)*100)</f>
        <v/>
      </c>
      <c r="D335" s="10" t="n"/>
      <c r="E335" s="10">
        <f>IF(D335="","",MIN(D335,100))</f>
        <v/>
      </c>
      <c r="F335" s="10" t="n"/>
      <c r="G335" s="10">
        <f>IF(F335="","",MIN(F335,100))</f>
        <v/>
      </c>
      <c r="H335" s="11">
        <f>IF(A335="","",Universe!E335/BDP(A335&amp;" US Equity","HIGH_52WEEK")*100)</f>
        <v/>
      </c>
      <c r="I335">
        <f>IF(D335="","",D335&gt;=5)</f>
        <v/>
      </c>
      <c r="J335">
        <f>IF(F335="","",F335&gt;=5)</f>
        <v/>
      </c>
      <c r="K335">
        <f>IF(H335="","",H335&gt;=75)</f>
        <v/>
      </c>
      <c r="L335">
        <f>IF(OR(I335="",J335="",K335=""),FALSE,AND(I335,J335,K335))</f>
        <v/>
      </c>
    </row>
    <row r="336">
      <c r="A336">
        <f>Universe!A336</f>
        <v/>
      </c>
      <c r="B336" s="10" t="n"/>
      <c r="C336" s="11">
        <f>IF(B336="","",PERCENTRANK.INC($B$2:$B$2501,B336)*100)</f>
        <v/>
      </c>
      <c r="D336" s="10" t="n"/>
      <c r="E336" s="10">
        <f>IF(D336="","",MIN(D336,100))</f>
        <v/>
      </c>
      <c r="F336" s="10" t="n"/>
      <c r="G336" s="10">
        <f>IF(F336="","",MIN(F336,100))</f>
        <v/>
      </c>
      <c r="H336" s="11">
        <f>IF(A336="","",Universe!E336/BDP(A336&amp;" US Equity","HIGH_52WEEK")*100)</f>
        <v/>
      </c>
      <c r="I336">
        <f>IF(D336="","",D336&gt;=5)</f>
        <v/>
      </c>
      <c r="J336">
        <f>IF(F336="","",F336&gt;=5)</f>
        <v/>
      </c>
      <c r="K336">
        <f>IF(H336="","",H336&gt;=75)</f>
        <v/>
      </c>
      <c r="L336">
        <f>IF(OR(I336="",J336="",K336=""),FALSE,AND(I336,J336,K336))</f>
        <v/>
      </c>
    </row>
    <row r="337">
      <c r="A337">
        <f>Universe!A337</f>
        <v/>
      </c>
      <c r="B337" s="10" t="n"/>
      <c r="C337" s="11">
        <f>IF(B337="","",PERCENTRANK.INC($B$2:$B$2501,B337)*100)</f>
        <v/>
      </c>
      <c r="D337" s="10" t="n"/>
      <c r="E337" s="10">
        <f>IF(D337="","",MIN(D337,100))</f>
        <v/>
      </c>
      <c r="F337" s="10" t="n"/>
      <c r="G337" s="10">
        <f>IF(F337="","",MIN(F337,100))</f>
        <v/>
      </c>
      <c r="H337" s="11">
        <f>IF(A337="","",Universe!E337/BDP(A337&amp;" US Equity","HIGH_52WEEK")*100)</f>
        <v/>
      </c>
      <c r="I337">
        <f>IF(D337="","",D337&gt;=5)</f>
        <v/>
      </c>
      <c r="J337">
        <f>IF(F337="","",F337&gt;=5)</f>
        <v/>
      </c>
      <c r="K337">
        <f>IF(H337="","",H337&gt;=75)</f>
        <v/>
      </c>
      <c r="L337">
        <f>IF(OR(I337="",J337="",K337=""),FALSE,AND(I337,J337,K337))</f>
        <v/>
      </c>
    </row>
    <row r="338">
      <c r="A338">
        <f>Universe!A338</f>
        <v/>
      </c>
      <c r="B338" s="10" t="n"/>
      <c r="C338" s="11">
        <f>IF(B338="","",PERCENTRANK.INC($B$2:$B$2501,B338)*100)</f>
        <v/>
      </c>
      <c r="D338" s="10" t="n"/>
      <c r="E338" s="10">
        <f>IF(D338="","",MIN(D338,100))</f>
        <v/>
      </c>
      <c r="F338" s="10" t="n"/>
      <c r="G338" s="10">
        <f>IF(F338="","",MIN(F338,100))</f>
        <v/>
      </c>
      <c r="H338" s="11">
        <f>IF(A338="","",Universe!E338/BDP(A338&amp;" US Equity","HIGH_52WEEK")*100)</f>
        <v/>
      </c>
      <c r="I338">
        <f>IF(D338="","",D338&gt;=5)</f>
        <v/>
      </c>
      <c r="J338">
        <f>IF(F338="","",F338&gt;=5)</f>
        <v/>
      </c>
      <c r="K338">
        <f>IF(H338="","",H338&gt;=75)</f>
        <v/>
      </c>
      <c r="L338">
        <f>IF(OR(I338="",J338="",K338=""),FALSE,AND(I338,J338,K338))</f>
        <v/>
      </c>
    </row>
    <row r="339">
      <c r="A339">
        <f>Universe!A339</f>
        <v/>
      </c>
      <c r="B339" s="10" t="n"/>
      <c r="C339" s="11">
        <f>IF(B339="","",PERCENTRANK.INC($B$2:$B$2501,B339)*100)</f>
        <v/>
      </c>
      <c r="D339" s="10" t="n"/>
      <c r="E339" s="10">
        <f>IF(D339="","",MIN(D339,100))</f>
        <v/>
      </c>
      <c r="F339" s="10" t="n"/>
      <c r="G339" s="10">
        <f>IF(F339="","",MIN(F339,100))</f>
        <v/>
      </c>
      <c r="H339" s="11">
        <f>IF(A339="","",Universe!E339/BDP(A339&amp;" US Equity","HIGH_52WEEK")*100)</f>
        <v/>
      </c>
      <c r="I339">
        <f>IF(D339="","",D339&gt;=5)</f>
        <v/>
      </c>
      <c r="J339">
        <f>IF(F339="","",F339&gt;=5)</f>
        <v/>
      </c>
      <c r="K339">
        <f>IF(H339="","",H339&gt;=75)</f>
        <v/>
      </c>
      <c r="L339">
        <f>IF(OR(I339="",J339="",K339=""),FALSE,AND(I339,J339,K339))</f>
        <v/>
      </c>
    </row>
    <row r="340">
      <c r="A340">
        <f>Universe!A340</f>
        <v/>
      </c>
      <c r="B340" s="10" t="n"/>
      <c r="C340" s="11">
        <f>IF(B340="","",PERCENTRANK.INC($B$2:$B$2501,B340)*100)</f>
        <v/>
      </c>
      <c r="D340" s="10" t="n"/>
      <c r="E340" s="10">
        <f>IF(D340="","",MIN(D340,100))</f>
        <v/>
      </c>
      <c r="F340" s="10" t="n"/>
      <c r="G340" s="10">
        <f>IF(F340="","",MIN(F340,100))</f>
        <v/>
      </c>
      <c r="H340" s="11">
        <f>IF(A340="","",Universe!E340/BDP(A340&amp;" US Equity","HIGH_52WEEK")*100)</f>
        <v/>
      </c>
      <c r="I340">
        <f>IF(D340="","",D340&gt;=5)</f>
        <v/>
      </c>
      <c r="J340">
        <f>IF(F340="","",F340&gt;=5)</f>
        <v/>
      </c>
      <c r="K340">
        <f>IF(H340="","",H340&gt;=75)</f>
        <v/>
      </c>
      <c r="L340">
        <f>IF(OR(I340="",J340="",K340=""),FALSE,AND(I340,J340,K340))</f>
        <v/>
      </c>
    </row>
    <row r="341">
      <c r="A341">
        <f>Universe!A341</f>
        <v/>
      </c>
      <c r="B341" s="10" t="n"/>
      <c r="C341" s="11">
        <f>IF(B341="","",PERCENTRANK.INC($B$2:$B$2501,B341)*100)</f>
        <v/>
      </c>
      <c r="D341" s="10" t="n"/>
      <c r="E341" s="10">
        <f>IF(D341="","",MIN(D341,100))</f>
        <v/>
      </c>
      <c r="F341" s="10" t="n"/>
      <c r="G341" s="10">
        <f>IF(F341="","",MIN(F341,100))</f>
        <v/>
      </c>
      <c r="H341" s="11">
        <f>IF(A341="","",Universe!E341/BDP(A341&amp;" US Equity","HIGH_52WEEK")*100)</f>
        <v/>
      </c>
      <c r="I341">
        <f>IF(D341="","",D341&gt;=5)</f>
        <v/>
      </c>
      <c r="J341">
        <f>IF(F341="","",F341&gt;=5)</f>
        <v/>
      </c>
      <c r="K341">
        <f>IF(H341="","",H341&gt;=75)</f>
        <v/>
      </c>
      <c r="L341">
        <f>IF(OR(I341="",J341="",K341=""),FALSE,AND(I341,J341,K341))</f>
        <v/>
      </c>
    </row>
    <row r="342">
      <c r="A342">
        <f>Universe!A342</f>
        <v/>
      </c>
      <c r="B342" s="10" t="n"/>
      <c r="C342" s="11">
        <f>IF(B342="","",PERCENTRANK.INC($B$2:$B$2501,B342)*100)</f>
        <v/>
      </c>
      <c r="D342" s="10" t="n"/>
      <c r="E342" s="10">
        <f>IF(D342="","",MIN(D342,100))</f>
        <v/>
      </c>
      <c r="F342" s="10" t="n"/>
      <c r="G342" s="10">
        <f>IF(F342="","",MIN(F342,100))</f>
        <v/>
      </c>
      <c r="H342" s="11">
        <f>IF(A342="","",Universe!E342/BDP(A342&amp;" US Equity","HIGH_52WEEK")*100)</f>
        <v/>
      </c>
      <c r="I342">
        <f>IF(D342="","",D342&gt;=5)</f>
        <v/>
      </c>
      <c r="J342">
        <f>IF(F342="","",F342&gt;=5)</f>
        <v/>
      </c>
      <c r="K342">
        <f>IF(H342="","",H342&gt;=75)</f>
        <v/>
      </c>
      <c r="L342">
        <f>IF(OR(I342="",J342="",K342=""),FALSE,AND(I342,J342,K342))</f>
        <v/>
      </c>
    </row>
    <row r="343">
      <c r="A343">
        <f>Universe!A343</f>
        <v/>
      </c>
      <c r="B343" s="10" t="n"/>
      <c r="C343" s="11">
        <f>IF(B343="","",PERCENTRANK.INC($B$2:$B$2501,B343)*100)</f>
        <v/>
      </c>
      <c r="D343" s="10" t="n"/>
      <c r="E343" s="10">
        <f>IF(D343="","",MIN(D343,100))</f>
        <v/>
      </c>
      <c r="F343" s="10" t="n"/>
      <c r="G343" s="10">
        <f>IF(F343="","",MIN(F343,100))</f>
        <v/>
      </c>
      <c r="H343" s="11">
        <f>IF(A343="","",Universe!E343/BDP(A343&amp;" US Equity","HIGH_52WEEK")*100)</f>
        <v/>
      </c>
      <c r="I343">
        <f>IF(D343="","",D343&gt;=5)</f>
        <v/>
      </c>
      <c r="J343">
        <f>IF(F343="","",F343&gt;=5)</f>
        <v/>
      </c>
      <c r="K343">
        <f>IF(H343="","",H343&gt;=75)</f>
        <v/>
      </c>
      <c r="L343">
        <f>IF(OR(I343="",J343="",K343=""),FALSE,AND(I343,J343,K343))</f>
        <v/>
      </c>
    </row>
    <row r="344">
      <c r="A344">
        <f>Universe!A344</f>
        <v/>
      </c>
      <c r="B344" s="10" t="n"/>
      <c r="C344" s="11">
        <f>IF(B344="","",PERCENTRANK.INC($B$2:$B$2501,B344)*100)</f>
        <v/>
      </c>
      <c r="D344" s="10" t="n"/>
      <c r="E344" s="10">
        <f>IF(D344="","",MIN(D344,100))</f>
        <v/>
      </c>
      <c r="F344" s="10" t="n"/>
      <c r="G344" s="10">
        <f>IF(F344="","",MIN(F344,100))</f>
        <v/>
      </c>
      <c r="H344" s="11">
        <f>IF(A344="","",Universe!E344/BDP(A344&amp;" US Equity","HIGH_52WEEK")*100)</f>
        <v/>
      </c>
      <c r="I344">
        <f>IF(D344="","",D344&gt;=5)</f>
        <v/>
      </c>
      <c r="J344">
        <f>IF(F344="","",F344&gt;=5)</f>
        <v/>
      </c>
      <c r="K344">
        <f>IF(H344="","",H344&gt;=75)</f>
        <v/>
      </c>
      <c r="L344">
        <f>IF(OR(I344="",J344="",K344=""),FALSE,AND(I344,J344,K344))</f>
        <v/>
      </c>
    </row>
    <row r="345">
      <c r="A345">
        <f>Universe!A345</f>
        <v/>
      </c>
      <c r="B345" s="10" t="n"/>
      <c r="C345" s="11">
        <f>IF(B345="","",PERCENTRANK.INC($B$2:$B$2501,B345)*100)</f>
        <v/>
      </c>
      <c r="D345" s="10" t="n"/>
      <c r="E345" s="10">
        <f>IF(D345="","",MIN(D345,100))</f>
        <v/>
      </c>
      <c r="F345" s="10" t="n"/>
      <c r="G345" s="10">
        <f>IF(F345="","",MIN(F345,100))</f>
        <v/>
      </c>
      <c r="H345" s="11">
        <f>IF(A345="","",Universe!E345/BDP(A345&amp;" US Equity","HIGH_52WEEK")*100)</f>
        <v/>
      </c>
      <c r="I345">
        <f>IF(D345="","",D345&gt;=5)</f>
        <v/>
      </c>
      <c r="J345">
        <f>IF(F345="","",F345&gt;=5)</f>
        <v/>
      </c>
      <c r="K345">
        <f>IF(H345="","",H345&gt;=75)</f>
        <v/>
      </c>
      <c r="L345">
        <f>IF(OR(I345="",J345="",K345=""),FALSE,AND(I345,J345,K345))</f>
        <v/>
      </c>
    </row>
    <row r="346">
      <c r="A346">
        <f>Universe!A346</f>
        <v/>
      </c>
      <c r="B346" s="10" t="n"/>
      <c r="C346" s="11">
        <f>IF(B346="","",PERCENTRANK.INC($B$2:$B$2501,B346)*100)</f>
        <v/>
      </c>
      <c r="D346" s="10" t="n"/>
      <c r="E346" s="10">
        <f>IF(D346="","",MIN(D346,100))</f>
        <v/>
      </c>
      <c r="F346" s="10" t="n"/>
      <c r="G346" s="10">
        <f>IF(F346="","",MIN(F346,100))</f>
        <v/>
      </c>
      <c r="H346" s="11">
        <f>IF(A346="","",Universe!E346/BDP(A346&amp;" US Equity","HIGH_52WEEK")*100)</f>
        <v/>
      </c>
      <c r="I346">
        <f>IF(D346="","",D346&gt;=5)</f>
        <v/>
      </c>
      <c r="J346">
        <f>IF(F346="","",F346&gt;=5)</f>
        <v/>
      </c>
      <c r="K346">
        <f>IF(H346="","",H346&gt;=75)</f>
        <v/>
      </c>
      <c r="L346">
        <f>IF(OR(I346="",J346="",K346=""),FALSE,AND(I346,J346,K346))</f>
        <v/>
      </c>
    </row>
    <row r="347">
      <c r="A347">
        <f>Universe!A347</f>
        <v/>
      </c>
      <c r="B347" s="10" t="n"/>
      <c r="C347" s="11">
        <f>IF(B347="","",PERCENTRANK.INC($B$2:$B$2501,B347)*100)</f>
        <v/>
      </c>
      <c r="D347" s="10" t="n"/>
      <c r="E347" s="10">
        <f>IF(D347="","",MIN(D347,100))</f>
        <v/>
      </c>
      <c r="F347" s="10" t="n"/>
      <c r="G347" s="10">
        <f>IF(F347="","",MIN(F347,100))</f>
        <v/>
      </c>
      <c r="H347" s="11">
        <f>IF(A347="","",Universe!E347/BDP(A347&amp;" US Equity","HIGH_52WEEK")*100)</f>
        <v/>
      </c>
      <c r="I347">
        <f>IF(D347="","",D347&gt;=5)</f>
        <v/>
      </c>
      <c r="J347">
        <f>IF(F347="","",F347&gt;=5)</f>
        <v/>
      </c>
      <c r="K347">
        <f>IF(H347="","",H347&gt;=75)</f>
        <v/>
      </c>
      <c r="L347">
        <f>IF(OR(I347="",J347="",K347=""),FALSE,AND(I347,J347,K347))</f>
        <v/>
      </c>
    </row>
    <row r="348">
      <c r="A348">
        <f>Universe!A348</f>
        <v/>
      </c>
      <c r="B348" s="10" t="n"/>
      <c r="C348" s="11">
        <f>IF(B348="","",PERCENTRANK.INC($B$2:$B$2501,B348)*100)</f>
        <v/>
      </c>
      <c r="D348" s="10" t="n"/>
      <c r="E348" s="10">
        <f>IF(D348="","",MIN(D348,100))</f>
        <v/>
      </c>
      <c r="F348" s="10" t="n"/>
      <c r="G348" s="10">
        <f>IF(F348="","",MIN(F348,100))</f>
        <v/>
      </c>
      <c r="H348" s="11">
        <f>IF(A348="","",Universe!E348/BDP(A348&amp;" US Equity","HIGH_52WEEK")*100)</f>
        <v/>
      </c>
      <c r="I348">
        <f>IF(D348="","",D348&gt;=5)</f>
        <v/>
      </c>
      <c r="J348">
        <f>IF(F348="","",F348&gt;=5)</f>
        <v/>
      </c>
      <c r="K348">
        <f>IF(H348="","",H348&gt;=75)</f>
        <v/>
      </c>
      <c r="L348">
        <f>IF(OR(I348="",J348="",K348=""),FALSE,AND(I348,J348,K348))</f>
        <v/>
      </c>
    </row>
    <row r="349">
      <c r="A349">
        <f>Universe!A349</f>
        <v/>
      </c>
      <c r="B349" s="10" t="n"/>
      <c r="C349" s="11">
        <f>IF(B349="","",PERCENTRANK.INC($B$2:$B$2501,B349)*100)</f>
        <v/>
      </c>
      <c r="D349" s="10" t="n"/>
      <c r="E349" s="10">
        <f>IF(D349="","",MIN(D349,100))</f>
        <v/>
      </c>
      <c r="F349" s="10" t="n"/>
      <c r="G349" s="10">
        <f>IF(F349="","",MIN(F349,100))</f>
        <v/>
      </c>
      <c r="H349" s="11">
        <f>IF(A349="","",Universe!E349/BDP(A349&amp;" US Equity","HIGH_52WEEK")*100)</f>
        <v/>
      </c>
      <c r="I349">
        <f>IF(D349="","",D349&gt;=5)</f>
        <v/>
      </c>
      <c r="J349">
        <f>IF(F349="","",F349&gt;=5)</f>
        <v/>
      </c>
      <c r="K349">
        <f>IF(H349="","",H349&gt;=75)</f>
        <v/>
      </c>
      <c r="L349">
        <f>IF(OR(I349="",J349="",K349=""),FALSE,AND(I349,J349,K349))</f>
        <v/>
      </c>
    </row>
    <row r="350">
      <c r="A350">
        <f>Universe!A350</f>
        <v/>
      </c>
      <c r="B350" s="10" t="n"/>
      <c r="C350" s="11">
        <f>IF(B350="","",PERCENTRANK.INC($B$2:$B$2501,B350)*100)</f>
        <v/>
      </c>
      <c r="D350" s="10" t="n"/>
      <c r="E350" s="10">
        <f>IF(D350="","",MIN(D350,100))</f>
        <v/>
      </c>
      <c r="F350" s="10" t="n"/>
      <c r="G350" s="10">
        <f>IF(F350="","",MIN(F350,100))</f>
        <v/>
      </c>
      <c r="H350" s="11">
        <f>IF(A350="","",Universe!E350/BDP(A350&amp;" US Equity","HIGH_52WEEK")*100)</f>
        <v/>
      </c>
      <c r="I350">
        <f>IF(D350="","",D350&gt;=5)</f>
        <v/>
      </c>
      <c r="J350">
        <f>IF(F350="","",F350&gt;=5)</f>
        <v/>
      </c>
      <c r="K350">
        <f>IF(H350="","",H350&gt;=75)</f>
        <v/>
      </c>
      <c r="L350">
        <f>IF(OR(I350="",J350="",K350=""),FALSE,AND(I350,J350,K350))</f>
        <v/>
      </c>
    </row>
    <row r="351">
      <c r="A351">
        <f>Universe!A351</f>
        <v/>
      </c>
      <c r="B351" s="10" t="n"/>
      <c r="C351" s="11">
        <f>IF(B351="","",PERCENTRANK.INC($B$2:$B$2501,B351)*100)</f>
        <v/>
      </c>
      <c r="D351" s="10" t="n"/>
      <c r="E351" s="10">
        <f>IF(D351="","",MIN(D351,100))</f>
        <v/>
      </c>
      <c r="F351" s="10" t="n"/>
      <c r="G351" s="10">
        <f>IF(F351="","",MIN(F351,100))</f>
        <v/>
      </c>
      <c r="H351" s="11">
        <f>IF(A351="","",Universe!E351/BDP(A351&amp;" US Equity","HIGH_52WEEK")*100)</f>
        <v/>
      </c>
      <c r="I351">
        <f>IF(D351="","",D351&gt;=5)</f>
        <v/>
      </c>
      <c r="J351">
        <f>IF(F351="","",F351&gt;=5)</f>
        <v/>
      </c>
      <c r="K351">
        <f>IF(H351="","",H351&gt;=75)</f>
        <v/>
      </c>
      <c r="L351">
        <f>IF(OR(I351="",J351="",K351=""),FALSE,AND(I351,J351,K351))</f>
        <v/>
      </c>
    </row>
    <row r="352">
      <c r="A352">
        <f>Universe!A352</f>
        <v/>
      </c>
      <c r="B352" s="10" t="n"/>
      <c r="C352" s="11">
        <f>IF(B352="","",PERCENTRANK.INC($B$2:$B$2501,B352)*100)</f>
        <v/>
      </c>
      <c r="D352" s="10" t="n"/>
      <c r="E352" s="10">
        <f>IF(D352="","",MIN(D352,100))</f>
        <v/>
      </c>
      <c r="F352" s="10" t="n"/>
      <c r="G352" s="10">
        <f>IF(F352="","",MIN(F352,100))</f>
        <v/>
      </c>
      <c r="H352" s="11">
        <f>IF(A352="","",Universe!E352/BDP(A352&amp;" US Equity","HIGH_52WEEK")*100)</f>
        <v/>
      </c>
      <c r="I352">
        <f>IF(D352="","",D352&gt;=5)</f>
        <v/>
      </c>
      <c r="J352">
        <f>IF(F352="","",F352&gt;=5)</f>
        <v/>
      </c>
      <c r="K352">
        <f>IF(H352="","",H352&gt;=75)</f>
        <v/>
      </c>
      <c r="L352">
        <f>IF(OR(I352="",J352="",K352=""),FALSE,AND(I352,J352,K352))</f>
        <v/>
      </c>
    </row>
    <row r="353">
      <c r="A353">
        <f>Universe!A353</f>
        <v/>
      </c>
      <c r="B353" s="10" t="n"/>
      <c r="C353" s="11">
        <f>IF(B353="","",PERCENTRANK.INC($B$2:$B$2501,B353)*100)</f>
        <v/>
      </c>
      <c r="D353" s="10" t="n"/>
      <c r="E353" s="10">
        <f>IF(D353="","",MIN(D353,100))</f>
        <v/>
      </c>
      <c r="F353" s="10" t="n"/>
      <c r="G353" s="10">
        <f>IF(F353="","",MIN(F353,100))</f>
        <v/>
      </c>
      <c r="H353" s="11">
        <f>IF(A353="","",Universe!E353/BDP(A353&amp;" US Equity","HIGH_52WEEK")*100)</f>
        <v/>
      </c>
      <c r="I353">
        <f>IF(D353="","",D353&gt;=5)</f>
        <v/>
      </c>
      <c r="J353">
        <f>IF(F353="","",F353&gt;=5)</f>
        <v/>
      </c>
      <c r="K353">
        <f>IF(H353="","",H353&gt;=75)</f>
        <v/>
      </c>
      <c r="L353">
        <f>IF(OR(I353="",J353="",K353=""),FALSE,AND(I353,J353,K353))</f>
        <v/>
      </c>
    </row>
    <row r="354">
      <c r="A354">
        <f>Universe!A354</f>
        <v/>
      </c>
      <c r="B354" s="10" t="n"/>
      <c r="C354" s="11">
        <f>IF(B354="","",PERCENTRANK.INC($B$2:$B$2501,B354)*100)</f>
        <v/>
      </c>
      <c r="D354" s="10" t="n"/>
      <c r="E354" s="10">
        <f>IF(D354="","",MIN(D354,100))</f>
        <v/>
      </c>
      <c r="F354" s="10" t="n"/>
      <c r="G354" s="10">
        <f>IF(F354="","",MIN(F354,100))</f>
        <v/>
      </c>
      <c r="H354" s="11">
        <f>IF(A354="","",Universe!E354/BDP(A354&amp;" US Equity","HIGH_52WEEK")*100)</f>
        <v/>
      </c>
      <c r="I354">
        <f>IF(D354="","",D354&gt;=5)</f>
        <v/>
      </c>
      <c r="J354">
        <f>IF(F354="","",F354&gt;=5)</f>
        <v/>
      </c>
      <c r="K354">
        <f>IF(H354="","",H354&gt;=75)</f>
        <v/>
      </c>
      <c r="L354">
        <f>IF(OR(I354="",J354="",K354=""),FALSE,AND(I354,J354,K354))</f>
        <v/>
      </c>
    </row>
    <row r="355">
      <c r="A355">
        <f>Universe!A355</f>
        <v/>
      </c>
      <c r="B355" s="10" t="n"/>
      <c r="C355" s="11">
        <f>IF(B355="","",PERCENTRANK.INC($B$2:$B$2501,B355)*100)</f>
        <v/>
      </c>
      <c r="D355" s="10" t="n"/>
      <c r="E355" s="10">
        <f>IF(D355="","",MIN(D355,100))</f>
        <v/>
      </c>
      <c r="F355" s="10" t="n"/>
      <c r="G355" s="10">
        <f>IF(F355="","",MIN(F355,100))</f>
        <v/>
      </c>
      <c r="H355" s="11">
        <f>IF(A355="","",Universe!E355/BDP(A355&amp;" US Equity","HIGH_52WEEK")*100)</f>
        <v/>
      </c>
      <c r="I355">
        <f>IF(D355="","",D355&gt;=5)</f>
        <v/>
      </c>
      <c r="J355">
        <f>IF(F355="","",F355&gt;=5)</f>
        <v/>
      </c>
      <c r="K355">
        <f>IF(H355="","",H355&gt;=75)</f>
        <v/>
      </c>
      <c r="L355">
        <f>IF(OR(I355="",J355="",K355=""),FALSE,AND(I355,J355,K355))</f>
        <v/>
      </c>
    </row>
    <row r="356">
      <c r="A356">
        <f>Universe!A356</f>
        <v/>
      </c>
      <c r="B356" s="10" t="n"/>
      <c r="C356" s="11">
        <f>IF(B356="","",PERCENTRANK.INC($B$2:$B$2501,B356)*100)</f>
        <v/>
      </c>
      <c r="D356" s="10" t="n"/>
      <c r="E356" s="10">
        <f>IF(D356="","",MIN(D356,100))</f>
        <v/>
      </c>
      <c r="F356" s="10" t="n"/>
      <c r="G356" s="10">
        <f>IF(F356="","",MIN(F356,100))</f>
        <v/>
      </c>
      <c r="H356" s="11">
        <f>IF(A356="","",Universe!E356/BDP(A356&amp;" US Equity","HIGH_52WEEK")*100)</f>
        <v/>
      </c>
      <c r="I356">
        <f>IF(D356="","",D356&gt;=5)</f>
        <v/>
      </c>
      <c r="J356">
        <f>IF(F356="","",F356&gt;=5)</f>
        <v/>
      </c>
      <c r="K356">
        <f>IF(H356="","",H356&gt;=75)</f>
        <v/>
      </c>
      <c r="L356">
        <f>IF(OR(I356="",J356="",K356=""),FALSE,AND(I356,J356,K356))</f>
        <v/>
      </c>
    </row>
    <row r="357">
      <c r="A357">
        <f>Universe!A357</f>
        <v/>
      </c>
      <c r="B357" s="10" t="n"/>
      <c r="C357" s="11">
        <f>IF(B357="","",PERCENTRANK.INC($B$2:$B$2501,B357)*100)</f>
        <v/>
      </c>
      <c r="D357" s="10" t="n"/>
      <c r="E357" s="10">
        <f>IF(D357="","",MIN(D357,100))</f>
        <v/>
      </c>
      <c r="F357" s="10" t="n"/>
      <c r="G357" s="10">
        <f>IF(F357="","",MIN(F357,100))</f>
        <v/>
      </c>
      <c r="H357" s="11">
        <f>IF(A357="","",Universe!E357/BDP(A357&amp;" US Equity","HIGH_52WEEK")*100)</f>
        <v/>
      </c>
      <c r="I357">
        <f>IF(D357="","",D357&gt;=5)</f>
        <v/>
      </c>
      <c r="J357">
        <f>IF(F357="","",F357&gt;=5)</f>
        <v/>
      </c>
      <c r="K357">
        <f>IF(H357="","",H357&gt;=75)</f>
        <v/>
      </c>
      <c r="L357">
        <f>IF(OR(I357="",J357="",K357=""),FALSE,AND(I357,J357,K357))</f>
        <v/>
      </c>
    </row>
    <row r="358">
      <c r="A358">
        <f>Universe!A358</f>
        <v/>
      </c>
      <c r="B358" s="10" t="n"/>
      <c r="C358" s="11">
        <f>IF(B358="","",PERCENTRANK.INC($B$2:$B$2501,B358)*100)</f>
        <v/>
      </c>
      <c r="D358" s="10" t="n"/>
      <c r="E358" s="10">
        <f>IF(D358="","",MIN(D358,100))</f>
        <v/>
      </c>
      <c r="F358" s="10" t="n"/>
      <c r="G358" s="10">
        <f>IF(F358="","",MIN(F358,100))</f>
        <v/>
      </c>
      <c r="H358" s="11">
        <f>IF(A358="","",Universe!E358/BDP(A358&amp;" US Equity","HIGH_52WEEK")*100)</f>
        <v/>
      </c>
      <c r="I358">
        <f>IF(D358="","",D358&gt;=5)</f>
        <v/>
      </c>
      <c r="J358">
        <f>IF(F358="","",F358&gt;=5)</f>
        <v/>
      </c>
      <c r="K358">
        <f>IF(H358="","",H358&gt;=75)</f>
        <v/>
      </c>
      <c r="L358">
        <f>IF(OR(I358="",J358="",K358=""),FALSE,AND(I358,J358,K358))</f>
        <v/>
      </c>
    </row>
    <row r="359">
      <c r="A359">
        <f>Universe!A359</f>
        <v/>
      </c>
      <c r="B359" s="10" t="n"/>
      <c r="C359" s="11">
        <f>IF(B359="","",PERCENTRANK.INC($B$2:$B$2501,B359)*100)</f>
        <v/>
      </c>
      <c r="D359" s="10" t="n"/>
      <c r="E359" s="10">
        <f>IF(D359="","",MIN(D359,100))</f>
        <v/>
      </c>
      <c r="F359" s="10" t="n"/>
      <c r="G359" s="10">
        <f>IF(F359="","",MIN(F359,100))</f>
        <v/>
      </c>
      <c r="H359" s="11">
        <f>IF(A359="","",Universe!E359/BDP(A359&amp;" US Equity","HIGH_52WEEK")*100)</f>
        <v/>
      </c>
      <c r="I359">
        <f>IF(D359="","",D359&gt;=5)</f>
        <v/>
      </c>
      <c r="J359">
        <f>IF(F359="","",F359&gt;=5)</f>
        <v/>
      </c>
      <c r="K359">
        <f>IF(H359="","",H359&gt;=75)</f>
        <v/>
      </c>
      <c r="L359">
        <f>IF(OR(I359="",J359="",K359=""),FALSE,AND(I359,J359,K359))</f>
        <v/>
      </c>
    </row>
    <row r="360">
      <c r="A360">
        <f>Universe!A360</f>
        <v/>
      </c>
      <c r="B360" s="10" t="n"/>
      <c r="C360" s="11">
        <f>IF(B360="","",PERCENTRANK.INC($B$2:$B$2501,B360)*100)</f>
        <v/>
      </c>
      <c r="D360" s="10" t="n"/>
      <c r="E360" s="10">
        <f>IF(D360="","",MIN(D360,100))</f>
        <v/>
      </c>
      <c r="F360" s="10" t="n"/>
      <c r="G360" s="10">
        <f>IF(F360="","",MIN(F360,100))</f>
        <v/>
      </c>
      <c r="H360" s="11">
        <f>IF(A360="","",Universe!E360/BDP(A360&amp;" US Equity","HIGH_52WEEK")*100)</f>
        <v/>
      </c>
      <c r="I360">
        <f>IF(D360="","",D360&gt;=5)</f>
        <v/>
      </c>
      <c r="J360">
        <f>IF(F360="","",F360&gt;=5)</f>
        <v/>
      </c>
      <c r="K360">
        <f>IF(H360="","",H360&gt;=75)</f>
        <v/>
      </c>
      <c r="L360">
        <f>IF(OR(I360="",J360="",K360=""),FALSE,AND(I360,J360,K360))</f>
        <v/>
      </c>
    </row>
    <row r="361">
      <c r="A361">
        <f>Universe!A361</f>
        <v/>
      </c>
      <c r="B361" s="10" t="n"/>
      <c r="C361" s="11">
        <f>IF(B361="","",PERCENTRANK.INC($B$2:$B$2501,B361)*100)</f>
        <v/>
      </c>
      <c r="D361" s="10" t="n"/>
      <c r="E361" s="10">
        <f>IF(D361="","",MIN(D361,100))</f>
        <v/>
      </c>
      <c r="F361" s="10" t="n"/>
      <c r="G361" s="10">
        <f>IF(F361="","",MIN(F361,100))</f>
        <v/>
      </c>
      <c r="H361" s="11">
        <f>IF(A361="","",Universe!E361/BDP(A361&amp;" US Equity","HIGH_52WEEK")*100)</f>
        <v/>
      </c>
      <c r="I361">
        <f>IF(D361="","",D361&gt;=5)</f>
        <v/>
      </c>
      <c r="J361">
        <f>IF(F361="","",F361&gt;=5)</f>
        <v/>
      </c>
      <c r="K361">
        <f>IF(H361="","",H361&gt;=75)</f>
        <v/>
      </c>
      <c r="L361">
        <f>IF(OR(I361="",J361="",K361=""),FALSE,AND(I361,J361,K361))</f>
        <v/>
      </c>
    </row>
    <row r="362">
      <c r="A362">
        <f>Universe!A362</f>
        <v/>
      </c>
      <c r="B362" s="10" t="n"/>
      <c r="C362" s="11">
        <f>IF(B362="","",PERCENTRANK.INC($B$2:$B$2501,B362)*100)</f>
        <v/>
      </c>
      <c r="D362" s="10" t="n"/>
      <c r="E362" s="10">
        <f>IF(D362="","",MIN(D362,100))</f>
        <v/>
      </c>
      <c r="F362" s="10" t="n"/>
      <c r="G362" s="10">
        <f>IF(F362="","",MIN(F362,100))</f>
        <v/>
      </c>
      <c r="H362" s="11">
        <f>IF(A362="","",Universe!E362/BDP(A362&amp;" US Equity","HIGH_52WEEK")*100)</f>
        <v/>
      </c>
      <c r="I362">
        <f>IF(D362="","",D362&gt;=5)</f>
        <v/>
      </c>
      <c r="J362">
        <f>IF(F362="","",F362&gt;=5)</f>
        <v/>
      </c>
      <c r="K362">
        <f>IF(H362="","",H362&gt;=75)</f>
        <v/>
      </c>
      <c r="L362">
        <f>IF(OR(I362="",J362="",K362=""),FALSE,AND(I362,J362,K362))</f>
        <v/>
      </c>
    </row>
    <row r="363">
      <c r="A363">
        <f>Universe!A363</f>
        <v/>
      </c>
      <c r="B363" s="10" t="n"/>
      <c r="C363" s="11">
        <f>IF(B363="","",PERCENTRANK.INC($B$2:$B$2501,B363)*100)</f>
        <v/>
      </c>
      <c r="D363" s="10" t="n"/>
      <c r="E363" s="10">
        <f>IF(D363="","",MIN(D363,100))</f>
        <v/>
      </c>
      <c r="F363" s="10" t="n"/>
      <c r="G363" s="10">
        <f>IF(F363="","",MIN(F363,100))</f>
        <v/>
      </c>
      <c r="H363" s="11">
        <f>IF(A363="","",Universe!E363/BDP(A363&amp;" US Equity","HIGH_52WEEK")*100)</f>
        <v/>
      </c>
      <c r="I363">
        <f>IF(D363="","",D363&gt;=5)</f>
        <v/>
      </c>
      <c r="J363">
        <f>IF(F363="","",F363&gt;=5)</f>
        <v/>
      </c>
      <c r="K363">
        <f>IF(H363="","",H363&gt;=75)</f>
        <v/>
      </c>
      <c r="L363">
        <f>IF(OR(I363="",J363="",K363=""),FALSE,AND(I363,J363,K363))</f>
        <v/>
      </c>
    </row>
    <row r="364">
      <c r="A364">
        <f>Universe!A364</f>
        <v/>
      </c>
      <c r="B364" s="10" t="n"/>
      <c r="C364" s="11">
        <f>IF(B364="","",PERCENTRANK.INC($B$2:$B$2501,B364)*100)</f>
        <v/>
      </c>
      <c r="D364" s="10" t="n"/>
      <c r="E364" s="10">
        <f>IF(D364="","",MIN(D364,100))</f>
        <v/>
      </c>
      <c r="F364" s="10" t="n"/>
      <c r="G364" s="10">
        <f>IF(F364="","",MIN(F364,100))</f>
        <v/>
      </c>
      <c r="H364" s="11">
        <f>IF(A364="","",Universe!E364/BDP(A364&amp;" US Equity","HIGH_52WEEK")*100)</f>
        <v/>
      </c>
      <c r="I364">
        <f>IF(D364="","",D364&gt;=5)</f>
        <v/>
      </c>
      <c r="J364">
        <f>IF(F364="","",F364&gt;=5)</f>
        <v/>
      </c>
      <c r="K364">
        <f>IF(H364="","",H364&gt;=75)</f>
        <v/>
      </c>
      <c r="L364">
        <f>IF(OR(I364="",J364="",K364=""),FALSE,AND(I364,J364,K364))</f>
        <v/>
      </c>
    </row>
    <row r="365">
      <c r="A365">
        <f>Universe!A365</f>
        <v/>
      </c>
      <c r="B365" s="10" t="n"/>
      <c r="C365" s="11">
        <f>IF(B365="","",PERCENTRANK.INC($B$2:$B$2501,B365)*100)</f>
        <v/>
      </c>
      <c r="D365" s="10" t="n"/>
      <c r="E365" s="10">
        <f>IF(D365="","",MIN(D365,100))</f>
        <v/>
      </c>
      <c r="F365" s="10" t="n"/>
      <c r="G365" s="10">
        <f>IF(F365="","",MIN(F365,100))</f>
        <v/>
      </c>
      <c r="H365" s="11">
        <f>IF(A365="","",Universe!E365/BDP(A365&amp;" US Equity","HIGH_52WEEK")*100)</f>
        <v/>
      </c>
      <c r="I365">
        <f>IF(D365="","",D365&gt;=5)</f>
        <v/>
      </c>
      <c r="J365">
        <f>IF(F365="","",F365&gt;=5)</f>
        <v/>
      </c>
      <c r="K365">
        <f>IF(H365="","",H365&gt;=75)</f>
        <v/>
      </c>
      <c r="L365">
        <f>IF(OR(I365="",J365="",K365=""),FALSE,AND(I365,J365,K365))</f>
        <v/>
      </c>
    </row>
    <row r="366">
      <c r="A366">
        <f>Universe!A366</f>
        <v/>
      </c>
      <c r="B366" s="10" t="n"/>
      <c r="C366" s="11">
        <f>IF(B366="","",PERCENTRANK.INC($B$2:$B$2501,B366)*100)</f>
        <v/>
      </c>
      <c r="D366" s="10" t="n"/>
      <c r="E366" s="10">
        <f>IF(D366="","",MIN(D366,100))</f>
        <v/>
      </c>
      <c r="F366" s="10" t="n"/>
      <c r="G366" s="10">
        <f>IF(F366="","",MIN(F366,100))</f>
        <v/>
      </c>
      <c r="H366" s="11">
        <f>IF(A366="","",Universe!E366/BDP(A366&amp;" US Equity","HIGH_52WEEK")*100)</f>
        <v/>
      </c>
      <c r="I366">
        <f>IF(D366="","",D366&gt;=5)</f>
        <v/>
      </c>
      <c r="J366">
        <f>IF(F366="","",F366&gt;=5)</f>
        <v/>
      </c>
      <c r="K366">
        <f>IF(H366="","",H366&gt;=75)</f>
        <v/>
      </c>
      <c r="L366">
        <f>IF(OR(I366="",J366="",K366=""),FALSE,AND(I366,J366,K366))</f>
        <v/>
      </c>
    </row>
    <row r="367">
      <c r="A367">
        <f>Universe!A367</f>
        <v/>
      </c>
      <c r="B367" s="10" t="n"/>
      <c r="C367" s="11">
        <f>IF(B367="","",PERCENTRANK.INC($B$2:$B$2501,B367)*100)</f>
        <v/>
      </c>
      <c r="D367" s="10" t="n"/>
      <c r="E367" s="10">
        <f>IF(D367="","",MIN(D367,100))</f>
        <v/>
      </c>
      <c r="F367" s="10" t="n"/>
      <c r="G367" s="10">
        <f>IF(F367="","",MIN(F367,100))</f>
        <v/>
      </c>
      <c r="H367" s="11">
        <f>IF(A367="","",Universe!E367/BDP(A367&amp;" US Equity","HIGH_52WEEK")*100)</f>
        <v/>
      </c>
      <c r="I367">
        <f>IF(D367="","",D367&gt;=5)</f>
        <v/>
      </c>
      <c r="J367">
        <f>IF(F367="","",F367&gt;=5)</f>
        <v/>
      </c>
      <c r="K367">
        <f>IF(H367="","",H367&gt;=75)</f>
        <v/>
      </c>
      <c r="L367">
        <f>IF(OR(I367="",J367="",K367=""),FALSE,AND(I367,J367,K367))</f>
        <v/>
      </c>
    </row>
    <row r="368">
      <c r="A368">
        <f>Universe!A368</f>
        <v/>
      </c>
      <c r="B368" s="10" t="n"/>
      <c r="C368" s="11">
        <f>IF(B368="","",PERCENTRANK.INC($B$2:$B$2501,B368)*100)</f>
        <v/>
      </c>
      <c r="D368" s="10" t="n"/>
      <c r="E368" s="10">
        <f>IF(D368="","",MIN(D368,100))</f>
        <v/>
      </c>
      <c r="F368" s="10" t="n"/>
      <c r="G368" s="10">
        <f>IF(F368="","",MIN(F368,100))</f>
        <v/>
      </c>
      <c r="H368" s="11">
        <f>IF(A368="","",Universe!E368/BDP(A368&amp;" US Equity","HIGH_52WEEK")*100)</f>
        <v/>
      </c>
      <c r="I368">
        <f>IF(D368="","",D368&gt;=5)</f>
        <v/>
      </c>
      <c r="J368">
        <f>IF(F368="","",F368&gt;=5)</f>
        <v/>
      </c>
      <c r="K368">
        <f>IF(H368="","",H368&gt;=75)</f>
        <v/>
      </c>
      <c r="L368">
        <f>IF(OR(I368="",J368="",K368=""),FALSE,AND(I368,J368,K368))</f>
        <v/>
      </c>
    </row>
    <row r="369">
      <c r="A369">
        <f>Universe!A369</f>
        <v/>
      </c>
      <c r="B369" s="10" t="n"/>
      <c r="C369" s="11">
        <f>IF(B369="","",PERCENTRANK.INC($B$2:$B$2501,B369)*100)</f>
        <v/>
      </c>
      <c r="D369" s="10" t="n"/>
      <c r="E369" s="10">
        <f>IF(D369="","",MIN(D369,100))</f>
        <v/>
      </c>
      <c r="F369" s="10" t="n"/>
      <c r="G369" s="10">
        <f>IF(F369="","",MIN(F369,100))</f>
        <v/>
      </c>
      <c r="H369" s="11">
        <f>IF(A369="","",Universe!E369/BDP(A369&amp;" US Equity","HIGH_52WEEK")*100)</f>
        <v/>
      </c>
      <c r="I369">
        <f>IF(D369="","",D369&gt;=5)</f>
        <v/>
      </c>
      <c r="J369">
        <f>IF(F369="","",F369&gt;=5)</f>
        <v/>
      </c>
      <c r="K369">
        <f>IF(H369="","",H369&gt;=75)</f>
        <v/>
      </c>
      <c r="L369">
        <f>IF(OR(I369="",J369="",K369=""),FALSE,AND(I369,J369,K369))</f>
        <v/>
      </c>
    </row>
    <row r="370">
      <c r="A370">
        <f>Universe!A370</f>
        <v/>
      </c>
      <c r="B370" s="10" t="n"/>
      <c r="C370" s="11">
        <f>IF(B370="","",PERCENTRANK.INC($B$2:$B$2501,B370)*100)</f>
        <v/>
      </c>
      <c r="D370" s="10" t="n"/>
      <c r="E370" s="10">
        <f>IF(D370="","",MIN(D370,100))</f>
        <v/>
      </c>
      <c r="F370" s="10" t="n"/>
      <c r="G370" s="10">
        <f>IF(F370="","",MIN(F370,100))</f>
        <v/>
      </c>
      <c r="H370" s="11">
        <f>IF(A370="","",Universe!E370/BDP(A370&amp;" US Equity","HIGH_52WEEK")*100)</f>
        <v/>
      </c>
      <c r="I370">
        <f>IF(D370="","",D370&gt;=5)</f>
        <v/>
      </c>
      <c r="J370">
        <f>IF(F370="","",F370&gt;=5)</f>
        <v/>
      </c>
      <c r="K370">
        <f>IF(H370="","",H370&gt;=75)</f>
        <v/>
      </c>
      <c r="L370">
        <f>IF(OR(I370="",J370="",K370=""),FALSE,AND(I370,J370,K370))</f>
        <v/>
      </c>
    </row>
    <row r="371">
      <c r="A371">
        <f>Universe!A371</f>
        <v/>
      </c>
      <c r="B371" s="10" t="n"/>
      <c r="C371" s="11">
        <f>IF(B371="","",PERCENTRANK.INC($B$2:$B$2501,B371)*100)</f>
        <v/>
      </c>
      <c r="D371" s="10" t="n"/>
      <c r="E371" s="10">
        <f>IF(D371="","",MIN(D371,100))</f>
        <v/>
      </c>
      <c r="F371" s="10" t="n"/>
      <c r="G371" s="10">
        <f>IF(F371="","",MIN(F371,100))</f>
        <v/>
      </c>
      <c r="H371" s="11">
        <f>IF(A371="","",Universe!E371/BDP(A371&amp;" US Equity","HIGH_52WEEK")*100)</f>
        <v/>
      </c>
      <c r="I371">
        <f>IF(D371="","",D371&gt;=5)</f>
        <v/>
      </c>
      <c r="J371">
        <f>IF(F371="","",F371&gt;=5)</f>
        <v/>
      </c>
      <c r="K371">
        <f>IF(H371="","",H371&gt;=75)</f>
        <v/>
      </c>
      <c r="L371">
        <f>IF(OR(I371="",J371="",K371=""),FALSE,AND(I371,J371,K371))</f>
        <v/>
      </c>
    </row>
    <row r="372">
      <c r="A372">
        <f>Universe!A372</f>
        <v/>
      </c>
      <c r="B372" s="10" t="n"/>
      <c r="C372" s="11">
        <f>IF(B372="","",PERCENTRANK.INC($B$2:$B$2501,B372)*100)</f>
        <v/>
      </c>
      <c r="D372" s="10" t="n"/>
      <c r="E372" s="10">
        <f>IF(D372="","",MIN(D372,100))</f>
        <v/>
      </c>
      <c r="F372" s="10" t="n"/>
      <c r="G372" s="10">
        <f>IF(F372="","",MIN(F372,100))</f>
        <v/>
      </c>
      <c r="H372" s="11">
        <f>IF(A372="","",Universe!E372/BDP(A372&amp;" US Equity","HIGH_52WEEK")*100)</f>
        <v/>
      </c>
      <c r="I372">
        <f>IF(D372="","",D372&gt;=5)</f>
        <v/>
      </c>
      <c r="J372">
        <f>IF(F372="","",F372&gt;=5)</f>
        <v/>
      </c>
      <c r="K372">
        <f>IF(H372="","",H372&gt;=75)</f>
        <v/>
      </c>
      <c r="L372">
        <f>IF(OR(I372="",J372="",K372=""),FALSE,AND(I372,J372,K372))</f>
        <v/>
      </c>
    </row>
    <row r="373">
      <c r="A373">
        <f>Universe!A373</f>
        <v/>
      </c>
      <c r="B373" s="10" t="n"/>
      <c r="C373" s="11">
        <f>IF(B373="","",PERCENTRANK.INC($B$2:$B$2501,B373)*100)</f>
        <v/>
      </c>
      <c r="D373" s="10" t="n"/>
      <c r="E373" s="10">
        <f>IF(D373="","",MIN(D373,100))</f>
        <v/>
      </c>
      <c r="F373" s="10" t="n"/>
      <c r="G373" s="10">
        <f>IF(F373="","",MIN(F373,100))</f>
        <v/>
      </c>
      <c r="H373" s="11">
        <f>IF(A373="","",Universe!E373/BDP(A373&amp;" US Equity","HIGH_52WEEK")*100)</f>
        <v/>
      </c>
      <c r="I373">
        <f>IF(D373="","",D373&gt;=5)</f>
        <v/>
      </c>
      <c r="J373">
        <f>IF(F373="","",F373&gt;=5)</f>
        <v/>
      </c>
      <c r="K373">
        <f>IF(H373="","",H373&gt;=75)</f>
        <v/>
      </c>
      <c r="L373">
        <f>IF(OR(I373="",J373="",K373=""),FALSE,AND(I373,J373,K373))</f>
        <v/>
      </c>
    </row>
    <row r="374">
      <c r="A374">
        <f>Universe!A374</f>
        <v/>
      </c>
      <c r="B374" s="10" t="n"/>
      <c r="C374" s="11">
        <f>IF(B374="","",PERCENTRANK.INC($B$2:$B$2501,B374)*100)</f>
        <v/>
      </c>
      <c r="D374" s="10" t="n"/>
      <c r="E374" s="10">
        <f>IF(D374="","",MIN(D374,100))</f>
        <v/>
      </c>
      <c r="F374" s="10" t="n"/>
      <c r="G374" s="10">
        <f>IF(F374="","",MIN(F374,100))</f>
        <v/>
      </c>
      <c r="H374" s="11">
        <f>IF(A374="","",Universe!E374/BDP(A374&amp;" US Equity","HIGH_52WEEK")*100)</f>
        <v/>
      </c>
      <c r="I374">
        <f>IF(D374="","",D374&gt;=5)</f>
        <v/>
      </c>
      <c r="J374">
        <f>IF(F374="","",F374&gt;=5)</f>
        <v/>
      </c>
      <c r="K374">
        <f>IF(H374="","",H374&gt;=75)</f>
        <v/>
      </c>
      <c r="L374">
        <f>IF(OR(I374="",J374="",K374=""),FALSE,AND(I374,J374,K374))</f>
        <v/>
      </c>
    </row>
    <row r="375">
      <c r="A375">
        <f>Universe!A375</f>
        <v/>
      </c>
      <c r="B375" s="10" t="n"/>
      <c r="C375" s="11">
        <f>IF(B375="","",PERCENTRANK.INC($B$2:$B$2501,B375)*100)</f>
        <v/>
      </c>
      <c r="D375" s="10" t="n"/>
      <c r="E375" s="10">
        <f>IF(D375="","",MIN(D375,100))</f>
        <v/>
      </c>
      <c r="F375" s="10" t="n"/>
      <c r="G375" s="10">
        <f>IF(F375="","",MIN(F375,100))</f>
        <v/>
      </c>
      <c r="H375" s="11">
        <f>IF(A375="","",Universe!E375/BDP(A375&amp;" US Equity","HIGH_52WEEK")*100)</f>
        <v/>
      </c>
      <c r="I375">
        <f>IF(D375="","",D375&gt;=5)</f>
        <v/>
      </c>
      <c r="J375">
        <f>IF(F375="","",F375&gt;=5)</f>
        <v/>
      </c>
      <c r="K375">
        <f>IF(H375="","",H375&gt;=75)</f>
        <v/>
      </c>
      <c r="L375">
        <f>IF(OR(I375="",J375="",K375=""),FALSE,AND(I375,J375,K375))</f>
        <v/>
      </c>
    </row>
    <row r="376">
      <c r="A376">
        <f>Universe!A376</f>
        <v/>
      </c>
      <c r="B376" s="10" t="n"/>
      <c r="C376" s="11">
        <f>IF(B376="","",PERCENTRANK.INC($B$2:$B$2501,B376)*100)</f>
        <v/>
      </c>
      <c r="D376" s="10" t="n"/>
      <c r="E376" s="10">
        <f>IF(D376="","",MIN(D376,100))</f>
        <v/>
      </c>
      <c r="F376" s="10" t="n"/>
      <c r="G376" s="10">
        <f>IF(F376="","",MIN(F376,100))</f>
        <v/>
      </c>
      <c r="H376" s="11">
        <f>IF(A376="","",Universe!E376/BDP(A376&amp;" US Equity","HIGH_52WEEK")*100)</f>
        <v/>
      </c>
      <c r="I376">
        <f>IF(D376="","",D376&gt;=5)</f>
        <v/>
      </c>
      <c r="J376">
        <f>IF(F376="","",F376&gt;=5)</f>
        <v/>
      </c>
      <c r="K376">
        <f>IF(H376="","",H376&gt;=75)</f>
        <v/>
      </c>
      <c r="L376">
        <f>IF(OR(I376="",J376="",K376=""),FALSE,AND(I376,J376,K376))</f>
        <v/>
      </c>
    </row>
    <row r="377">
      <c r="A377">
        <f>Universe!A377</f>
        <v/>
      </c>
      <c r="B377" s="10" t="n"/>
      <c r="C377" s="11">
        <f>IF(B377="","",PERCENTRANK.INC($B$2:$B$2501,B377)*100)</f>
        <v/>
      </c>
      <c r="D377" s="10" t="n"/>
      <c r="E377" s="10">
        <f>IF(D377="","",MIN(D377,100))</f>
        <v/>
      </c>
      <c r="F377" s="10" t="n"/>
      <c r="G377" s="10">
        <f>IF(F377="","",MIN(F377,100))</f>
        <v/>
      </c>
      <c r="H377" s="11">
        <f>IF(A377="","",Universe!E377/BDP(A377&amp;" US Equity","HIGH_52WEEK")*100)</f>
        <v/>
      </c>
      <c r="I377">
        <f>IF(D377="","",D377&gt;=5)</f>
        <v/>
      </c>
      <c r="J377">
        <f>IF(F377="","",F377&gt;=5)</f>
        <v/>
      </c>
      <c r="K377">
        <f>IF(H377="","",H377&gt;=75)</f>
        <v/>
      </c>
      <c r="L377">
        <f>IF(OR(I377="",J377="",K377=""),FALSE,AND(I377,J377,K377))</f>
        <v/>
      </c>
    </row>
    <row r="378">
      <c r="A378">
        <f>Universe!A378</f>
        <v/>
      </c>
      <c r="B378" s="10" t="n"/>
      <c r="C378" s="11">
        <f>IF(B378="","",PERCENTRANK.INC($B$2:$B$2501,B378)*100)</f>
        <v/>
      </c>
      <c r="D378" s="10" t="n"/>
      <c r="E378" s="10">
        <f>IF(D378="","",MIN(D378,100))</f>
        <v/>
      </c>
      <c r="F378" s="10" t="n"/>
      <c r="G378" s="10">
        <f>IF(F378="","",MIN(F378,100))</f>
        <v/>
      </c>
      <c r="H378" s="11">
        <f>IF(A378="","",Universe!E378/BDP(A378&amp;" US Equity","HIGH_52WEEK")*100)</f>
        <v/>
      </c>
      <c r="I378">
        <f>IF(D378="","",D378&gt;=5)</f>
        <v/>
      </c>
      <c r="J378">
        <f>IF(F378="","",F378&gt;=5)</f>
        <v/>
      </c>
      <c r="K378">
        <f>IF(H378="","",H378&gt;=75)</f>
        <v/>
      </c>
      <c r="L378">
        <f>IF(OR(I378="",J378="",K378=""),FALSE,AND(I378,J378,K378))</f>
        <v/>
      </c>
    </row>
    <row r="379">
      <c r="A379">
        <f>Universe!A379</f>
        <v/>
      </c>
      <c r="B379" s="10" t="n"/>
      <c r="C379" s="11">
        <f>IF(B379="","",PERCENTRANK.INC($B$2:$B$2501,B379)*100)</f>
        <v/>
      </c>
      <c r="D379" s="10" t="n"/>
      <c r="E379" s="10">
        <f>IF(D379="","",MIN(D379,100))</f>
        <v/>
      </c>
      <c r="F379" s="10" t="n"/>
      <c r="G379" s="10">
        <f>IF(F379="","",MIN(F379,100))</f>
        <v/>
      </c>
      <c r="H379" s="11">
        <f>IF(A379="","",Universe!E379/BDP(A379&amp;" US Equity","HIGH_52WEEK")*100)</f>
        <v/>
      </c>
      <c r="I379">
        <f>IF(D379="","",D379&gt;=5)</f>
        <v/>
      </c>
      <c r="J379">
        <f>IF(F379="","",F379&gt;=5)</f>
        <v/>
      </c>
      <c r="K379">
        <f>IF(H379="","",H379&gt;=75)</f>
        <v/>
      </c>
      <c r="L379">
        <f>IF(OR(I379="",J379="",K379=""),FALSE,AND(I379,J379,K379))</f>
        <v/>
      </c>
    </row>
    <row r="380">
      <c r="A380">
        <f>Universe!A380</f>
        <v/>
      </c>
      <c r="B380" s="10" t="n"/>
      <c r="C380" s="11">
        <f>IF(B380="","",PERCENTRANK.INC($B$2:$B$2501,B380)*100)</f>
        <v/>
      </c>
      <c r="D380" s="10" t="n"/>
      <c r="E380" s="10">
        <f>IF(D380="","",MIN(D380,100))</f>
        <v/>
      </c>
      <c r="F380" s="10" t="n"/>
      <c r="G380" s="10">
        <f>IF(F380="","",MIN(F380,100))</f>
        <v/>
      </c>
      <c r="H380" s="11">
        <f>IF(A380="","",Universe!E380/BDP(A380&amp;" US Equity","HIGH_52WEEK")*100)</f>
        <v/>
      </c>
      <c r="I380">
        <f>IF(D380="","",D380&gt;=5)</f>
        <v/>
      </c>
      <c r="J380">
        <f>IF(F380="","",F380&gt;=5)</f>
        <v/>
      </c>
      <c r="K380">
        <f>IF(H380="","",H380&gt;=75)</f>
        <v/>
      </c>
      <c r="L380">
        <f>IF(OR(I380="",J380="",K380=""),FALSE,AND(I380,J380,K380))</f>
        <v/>
      </c>
    </row>
    <row r="381">
      <c r="A381">
        <f>Universe!A381</f>
        <v/>
      </c>
      <c r="B381" s="10" t="n"/>
      <c r="C381" s="11">
        <f>IF(B381="","",PERCENTRANK.INC($B$2:$B$2501,B381)*100)</f>
        <v/>
      </c>
      <c r="D381" s="10" t="n"/>
      <c r="E381" s="10">
        <f>IF(D381="","",MIN(D381,100))</f>
        <v/>
      </c>
      <c r="F381" s="10" t="n"/>
      <c r="G381" s="10">
        <f>IF(F381="","",MIN(F381,100))</f>
        <v/>
      </c>
      <c r="H381" s="11">
        <f>IF(A381="","",Universe!E381/BDP(A381&amp;" US Equity","HIGH_52WEEK")*100)</f>
        <v/>
      </c>
      <c r="I381">
        <f>IF(D381="","",D381&gt;=5)</f>
        <v/>
      </c>
      <c r="J381">
        <f>IF(F381="","",F381&gt;=5)</f>
        <v/>
      </c>
      <c r="K381">
        <f>IF(H381="","",H381&gt;=75)</f>
        <v/>
      </c>
      <c r="L381">
        <f>IF(OR(I381="",J381="",K381=""),FALSE,AND(I381,J381,K381))</f>
        <v/>
      </c>
    </row>
    <row r="382">
      <c r="A382">
        <f>Universe!A382</f>
        <v/>
      </c>
      <c r="B382" s="10" t="n"/>
      <c r="C382" s="11">
        <f>IF(B382="","",PERCENTRANK.INC($B$2:$B$2501,B382)*100)</f>
        <v/>
      </c>
      <c r="D382" s="10" t="n"/>
      <c r="E382" s="10">
        <f>IF(D382="","",MIN(D382,100))</f>
        <v/>
      </c>
      <c r="F382" s="10" t="n"/>
      <c r="G382" s="10">
        <f>IF(F382="","",MIN(F382,100))</f>
        <v/>
      </c>
      <c r="H382" s="11">
        <f>IF(A382="","",Universe!E382/BDP(A382&amp;" US Equity","HIGH_52WEEK")*100)</f>
        <v/>
      </c>
      <c r="I382">
        <f>IF(D382="","",D382&gt;=5)</f>
        <v/>
      </c>
      <c r="J382">
        <f>IF(F382="","",F382&gt;=5)</f>
        <v/>
      </c>
      <c r="K382">
        <f>IF(H382="","",H382&gt;=75)</f>
        <v/>
      </c>
      <c r="L382">
        <f>IF(OR(I382="",J382="",K382=""),FALSE,AND(I382,J382,K382))</f>
        <v/>
      </c>
    </row>
    <row r="383">
      <c r="A383">
        <f>Universe!A383</f>
        <v/>
      </c>
      <c r="B383" s="10" t="n"/>
      <c r="C383" s="11">
        <f>IF(B383="","",PERCENTRANK.INC($B$2:$B$2501,B383)*100)</f>
        <v/>
      </c>
      <c r="D383" s="10" t="n"/>
      <c r="E383" s="10">
        <f>IF(D383="","",MIN(D383,100))</f>
        <v/>
      </c>
      <c r="F383" s="10" t="n"/>
      <c r="G383" s="10">
        <f>IF(F383="","",MIN(F383,100))</f>
        <v/>
      </c>
      <c r="H383" s="11">
        <f>IF(A383="","",Universe!E383/BDP(A383&amp;" US Equity","HIGH_52WEEK")*100)</f>
        <v/>
      </c>
      <c r="I383">
        <f>IF(D383="","",D383&gt;=5)</f>
        <v/>
      </c>
      <c r="J383">
        <f>IF(F383="","",F383&gt;=5)</f>
        <v/>
      </c>
      <c r="K383">
        <f>IF(H383="","",H383&gt;=75)</f>
        <v/>
      </c>
      <c r="L383">
        <f>IF(OR(I383="",J383="",K383=""),FALSE,AND(I383,J383,K383))</f>
        <v/>
      </c>
    </row>
    <row r="384">
      <c r="A384">
        <f>Universe!A384</f>
        <v/>
      </c>
      <c r="B384" s="10" t="n"/>
      <c r="C384" s="11">
        <f>IF(B384="","",PERCENTRANK.INC($B$2:$B$2501,B384)*100)</f>
        <v/>
      </c>
      <c r="D384" s="10" t="n"/>
      <c r="E384" s="10">
        <f>IF(D384="","",MIN(D384,100))</f>
        <v/>
      </c>
      <c r="F384" s="10" t="n"/>
      <c r="G384" s="10">
        <f>IF(F384="","",MIN(F384,100))</f>
        <v/>
      </c>
      <c r="H384" s="11">
        <f>IF(A384="","",Universe!E384/BDP(A384&amp;" US Equity","HIGH_52WEEK")*100)</f>
        <v/>
      </c>
      <c r="I384">
        <f>IF(D384="","",D384&gt;=5)</f>
        <v/>
      </c>
      <c r="J384">
        <f>IF(F384="","",F384&gt;=5)</f>
        <v/>
      </c>
      <c r="K384">
        <f>IF(H384="","",H384&gt;=75)</f>
        <v/>
      </c>
      <c r="L384">
        <f>IF(OR(I384="",J384="",K384=""),FALSE,AND(I384,J384,K384))</f>
        <v/>
      </c>
    </row>
    <row r="385">
      <c r="A385">
        <f>Universe!A385</f>
        <v/>
      </c>
      <c r="B385" s="10" t="n"/>
      <c r="C385" s="11">
        <f>IF(B385="","",PERCENTRANK.INC($B$2:$B$2501,B385)*100)</f>
        <v/>
      </c>
      <c r="D385" s="10" t="n"/>
      <c r="E385" s="10">
        <f>IF(D385="","",MIN(D385,100))</f>
        <v/>
      </c>
      <c r="F385" s="10" t="n"/>
      <c r="G385" s="10">
        <f>IF(F385="","",MIN(F385,100))</f>
        <v/>
      </c>
      <c r="H385" s="11">
        <f>IF(A385="","",Universe!E385/BDP(A385&amp;" US Equity","HIGH_52WEEK")*100)</f>
        <v/>
      </c>
      <c r="I385">
        <f>IF(D385="","",D385&gt;=5)</f>
        <v/>
      </c>
      <c r="J385">
        <f>IF(F385="","",F385&gt;=5)</f>
        <v/>
      </c>
      <c r="K385">
        <f>IF(H385="","",H385&gt;=75)</f>
        <v/>
      </c>
      <c r="L385">
        <f>IF(OR(I385="",J385="",K385=""),FALSE,AND(I385,J385,K385))</f>
        <v/>
      </c>
    </row>
    <row r="386">
      <c r="A386">
        <f>Universe!A386</f>
        <v/>
      </c>
      <c r="B386" s="10" t="n"/>
      <c r="C386" s="11">
        <f>IF(B386="","",PERCENTRANK.INC($B$2:$B$2501,B386)*100)</f>
        <v/>
      </c>
      <c r="D386" s="10" t="n"/>
      <c r="E386" s="10">
        <f>IF(D386="","",MIN(D386,100))</f>
        <v/>
      </c>
      <c r="F386" s="10" t="n"/>
      <c r="G386" s="10">
        <f>IF(F386="","",MIN(F386,100))</f>
        <v/>
      </c>
      <c r="H386" s="11">
        <f>IF(A386="","",Universe!E386/BDP(A386&amp;" US Equity","HIGH_52WEEK")*100)</f>
        <v/>
      </c>
      <c r="I386">
        <f>IF(D386="","",D386&gt;=5)</f>
        <v/>
      </c>
      <c r="J386">
        <f>IF(F386="","",F386&gt;=5)</f>
        <v/>
      </c>
      <c r="K386">
        <f>IF(H386="","",H386&gt;=75)</f>
        <v/>
      </c>
      <c r="L386">
        <f>IF(OR(I386="",J386="",K386=""),FALSE,AND(I386,J386,K386))</f>
        <v/>
      </c>
    </row>
    <row r="387">
      <c r="A387">
        <f>Universe!A387</f>
        <v/>
      </c>
      <c r="B387" s="10" t="n"/>
      <c r="C387" s="11">
        <f>IF(B387="","",PERCENTRANK.INC($B$2:$B$2501,B387)*100)</f>
        <v/>
      </c>
      <c r="D387" s="10" t="n"/>
      <c r="E387" s="10">
        <f>IF(D387="","",MIN(D387,100))</f>
        <v/>
      </c>
      <c r="F387" s="10" t="n"/>
      <c r="G387" s="10">
        <f>IF(F387="","",MIN(F387,100))</f>
        <v/>
      </c>
      <c r="H387" s="11">
        <f>IF(A387="","",Universe!E387/BDP(A387&amp;" US Equity","HIGH_52WEEK")*100)</f>
        <v/>
      </c>
      <c r="I387">
        <f>IF(D387="","",D387&gt;=5)</f>
        <v/>
      </c>
      <c r="J387">
        <f>IF(F387="","",F387&gt;=5)</f>
        <v/>
      </c>
      <c r="K387">
        <f>IF(H387="","",H387&gt;=75)</f>
        <v/>
      </c>
      <c r="L387">
        <f>IF(OR(I387="",J387="",K387=""),FALSE,AND(I387,J387,K387))</f>
        <v/>
      </c>
    </row>
    <row r="388">
      <c r="A388">
        <f>Universe!A388</f>
        <v/>
      </c>
      <c r="B388" s="10" t="n"/>
      <c r="C388" s="11">
        <f>IF(B388="","",PERCENTRANK.INC($B$2:$B$2501,B388)*100)</f>
        <v/>
      </c>
      <c r="D388" s="10" t="n"/>
      <c r="E388" s="10">
        <f>IF(D388="","",MIN(D388,100))</f>
        <v/>
      </c>
      <c r="F388" s="10" t="n"/>
      <c r="G388" s="10">
        <f>IF(F388="","",MIN(F388,100))</f>
        <v/>
      </c>
      <c r="H388" s="11">
        <f>IF(A388="","",Universe!E388/BDP(A388&amp;" US Equity","HIGH_52WEEK")*100)</f>
        <v/>
      </c>
      <c r="I388">
        <f>IF(D388="","",D388&gt;=5)</f>
        <v/>
      </c>
      <c r="J388">
        <f>IF(F388="","",F388&gt;=5)</f>
        <v/>
      </c>
      <c r="K388">
        <f>IF(H388="","",H388&gt;=75)</f>
        <v/>
      </c>
      <c r="L388">
        <f>IF(OR(I388="",J388="",K388=""),FALSE,AND(I388,J388,K388))</f>
        <v/>
      </c>
    </row>
    <row r="389">
      <c r="A389">
        <f>Universe!A389</f>
        <v/>
      </c>
      <c r="B389" s="10" t="n"/>
      <c r="C389" s="11">
        <f>IF(B389="","",PERCENTRANK.INC($B$2:$B$2501,B389)*100)</f>
        <v/>
      </c>
      <c r="D389" s="10" t="n"/>
      <c r="E389" s="10">
        <f>IF(D389="","",MIN(D389,100))</f>
        <v/>
      </c>
      <c r="F389" s="10" t="n"/>
      <c r="G389" s="10">
        <f>IF(F389="","",MIN(F389,100))</f>
        <v/>
      </c>
      <c r="H389" s="11">
        <f>IF(A389="","",Universe!E389/BDP(A389&amp;" US Equity","HIGH_52WEEK")*100)</f>
        <v/>
      </c>
      <c r="I389">
        <f>IF(D389="","",D389&gt;=5)</f>
        <v/>
      </c>
      <c r="J389">
        <f>IF(F389="","",F389&gt;=5)</f>
        <v/>
      </c>
      <c r="K389">
        <f>IF(H389="","",H389&gt;=75)</f>
        <v/>
      </c>
      <c r="L389">
        <f>IF(OR(I389="",J389="",K389=""),FALSE,AND(I389,J389,K389))</f>
        <v/>
      </c>
    </row>
    <row r="390">
      <c r="A390">
        <f>Universe!A390</f>
        <v/>
      </c>
      <c r="B390" s="10" t="n"/>
      <c r="C390" s="11">
        <f>IF(B390="","",PERCENTRANK.INC($B$2:$B$2501,B390)*100)</f>
        <v/>
      </c>
      <c r="D390" s="10" t="n"/>
      <c r="E390" s="10">
        <f>IF(D390="","",MIN(D390,100))</f>
        <v/>
      </c>
      <c r="F390" s="10" t="n"/>
      <c r="G390" s="10">
        <f>IF(F390="","",MIN(F390,100))</f>
        <v/>
      </c>
      <c r="H390" s="11">
        <f>IF(A390="","",Universe!E390/BDP(A390&amp;" US Equity","HIGH_52WEEK")*100)</f>
        <v/>
      </c>
      <c r="I390">
        <f>IF(D390="","",D390&gt;=5)</f>
        <v/>
      </c>
      <c r="J390">
        <f>IF(F390="","",F390&gt;=5)</f>
        <v/>
      </c>
      <c r="K390">
        <f>IF(H390="","",H390&gt;=75)</f>
        <v/>
      </c>
      <c r="L390">
        <f>IF(OR(I390="",J390="",K390=""),FALSE,AND(I390,J390,K390))</f>
        <v/>
      </c>
    </row>
    <row r="391">
      <c r="A391">
        <f>Universe!A391</f>
        <v/>
      </c>
      <c r="B391" s="10" t="n"/>
      <c r="C391" s="11">
        <f>IF(B391="","",PERCENTRANK.INC($B$2:$B$2501,B391)*100)</f>
        <v/>
      </c>
      <c r="D391" s="10" t="n"/>
      <c r="E391" s="10">
        <f>IF(D391="","",MIN(D391,100))</f>
        <v/>
      </c>
      <c r="F391" s="10" t="n"/>
      <c r="G391" s="10">
        <f>IF(F391="","",MIN(F391,100))</f>
        <v/>
      </c>
      <c r="H391" s="11">
        <f>IF(A391="","",Universe!E391/BDP(A391&amp;" US Equity","HIGH_52WEEK")*100)</f>
        <v/>
      </c>
      <c r="I391">
        <f>IF(D391="","",D391&gt;=5)</f>
        <v/>
      </c>
      <c r="J391">
        <f>IF(F391="","",F391&gt;=5)</f>
        <v/>
      </c>
      <c r="K391">
        <f>IF(H391="","",H391&gt;=75)</f>
        <v/>
      </c>
      <c r="L391">
        <f>IF(OR(I391="",J391="",K391=""),FALSE,AND(I391,J391,K391))</f>
        <v/>
      </c>
    </row>
    <row r="392">
      <c r="A392">
        <f>Universe!A392</f>
        <v/>
      </c>
      <c r="B392" s="10" t="n"/>
      <c r="C392" s="11">
        <f>IF(B392="","",PERCENTRANK.INC($B$2:$B$2501,B392)*100)</f>
        <v/>
      </c>
      <c r="D392" s="10" t="n"/>
      <c r="E392" s="10">
        <f>IF(D392="","",MIN(D392,100))</f>
        <v/>
      </c>
      <c r="F392" s="10" t="n"/>
      <c r="G392" s="10">
        <f>IF(F392="","",MIN(F392,100))</f>
        <v/>
      </c>
      <c r="H392" s="11">
        <f>IF(A392="","",Universe!E392/BDP(A392&amp;" US Equity","HIGH_52WEEK")*100)</f>
        <v/>
      </c>
      <c r="I392">
        <f>IF(D392="","",D392&gt;=5)</f>
        <v/>
      </c>
      <c r="J392">
        <f>IF(F392="","",F392&gt;=5)</f>
        <v/>
      </c>
      <c r="K392">
        <f>IF(H392="","",H392&gt;=75)</f>
        <v/>
      </c>
      <c r="L392">
        <f>IF(OR(I392="",J392="",K392=""),FALSE,AND(I392,J392,K392))</f>
        <v/>
      </c>
    </row>
    <row r="393">
      <c r="A393">
        <f>Universe!A393</f>
        <v/>
      </c>
      <c r="B393" s="10" t="n"/>
      <c r="C393" s="11">
        <f>IF(B393="","",PERCENTRANK.INC($B$2:$B$2501,B393)*100)</f>
        <v/>
      </c>
      <c r="D393" s="10" t="n"/>
      <c r="E393" s="10">
        <f>IF(D393="","",MIN(D393,100))</f>
        <v/>
      </c>
      <c r="F393" s="10" t="n"/>
      <c r="G393" s="10">
        <f>IF(F393="","",MIN(F393,100))</f>
        <v/>
      </c>
      <c r="H393" s="11">
        <f>IF(A393="","",Universe!E393/BDP(A393&amp;" US Equity","HIGH_52WEEK")*100)</f>
        <v/>
      </c>
      <c r="I393">
        <f>IF(D393="","",D393&gt;=5)</f>
        <v/>
      </c>
      <c r="J393">
        <f>IF(F393="","",F393&gt;=5)</f>
        <v/>
      </c>
      <c r="K393">
        <f>IF(H393="","",H393&gt;=75)</f>
        <v/>
      </c>
      <c r="L393">
        <f>IF(OR(I393="",J393="",K393=""),FALSE,AND(I393,J393,K393))</f>
        <v/>
      </c>
    </row>
    <row r="394">
      <c r="A394">
        <f>Universe!A394</f>
        <v/>
      </c>
      <c r="B394" s="10" t="n"/>
      <c r="C394" s="11">
        <f>IF(B394="","",PERCENTRANK.INC($B$2:$B$2501,B394)*100)</f>
        <v/>
      </c>
      <c r="D394" s="10" t="n"/>
      <c r="E394" s="10">
        <f>IF(D394="","",MIN(D394,100))</f>
        <v/>
      </c>
      <c r="F394" s="10" t="n"/>
      <c r="G394" s="10">
        <f>IF(F394="","",MIN(F394,100))</f>
        <v/>
      </c>
      <c r="H394" s="11">
        <f>IF(A394="","",Universe!E394/BDP(A394&amp;" US Equity","HIGH_52WEEK")*100)</f>
        <v/>
      </c>
      <c r="I394">
        <f>IF(D394="","",D394&gt;=5)</f>
        <v/>
      </c>
      <c r="J394">
        <f>IF(F394="","",F394&gt;=5)</f>
        <v/>
      </c>
      <c r="K394">
        <f>IF(H394="","",H394&gt;=75)</f>
        <v/>
      </c>
      <c r="L394">
        <f>IF(OR(I394="",J394="",K394=""),FALSE,AND(I394,J394,K394))</f>
        <v/>
      </c>
    </row>
    <row r="395">
      <c r="A395">
        <f>Universe!A395</f>
        <v/>
      </c>
      <c r="B395" s="10" t="n"/>
      <c r="C395" s="11">
        <f>IF(B395="","",PERCENTRANK.INC($B$2:$B$2501,B395)*100)</f>
        <v/>
      </c>
      <c r="D395" s="10" t="n"/>
      <c r="E395" s="10">
        <f>IF(D395="","",MIN(D395,100))</f>
        <v/>
      </c>
      <c r="F395" s="10" t="n"/>
      <c r="G395" s="10">
        <f>IF(F395="","",MIN(F395,100))</f>
        <v/>
      </c>
      <c r="H395" s="11">
        <f>IF(A395="","",Universe!E395/BDP(A395&amp;" US Equity","HIGH_52WEEK")*100)</f>
        <v/>
      </c>
      <c r="I395">
        <f>IF(D395="","",D395&gt;=5)</f>
        <v/>
      </c>
      <c r="J395">
        <f>IF(F395="","",F395&gt;=5)</f>
        <v/>
      </c>
      <c r="K395">
        <f>IF(H395="","",H395&gt;=75)</f>
        <v/>
      </c>
      <c r="L395">
        <f>IF(OR(I395="",J395="",K395=""),FALSE,AND(I395,J395,K395))</f>
        <v/>
      </c>
    </row>
    <row r="396">
      <c r="A396">
        <f>Universe!A396</f>
        <v/>
      </c>
      <c r="B396" s="10" t="n"/>
      <c r="C396" s="11">
        <f>IF(B396="","",PERCENTRANK.INC($B$2:$B$2501,B396)*100)</f>
        <v/>
      </c>
      <c r="D396" s="10" t="n"/>
      <c r="E396" s="10">
        <f>IF(D396="","",MIN(D396,100))</f>
        <v/>
      </c>
      <c r="F396" s="10" t="n"/>
      <c r="G396" s="10">
        <f>IF(F396="","",MIN(F396,100))</f>
        <v/>
      </c>
      <c r="H396" s="11">
        <f>IF(A396="","",Universe!E396/BDP(A396&amp;" US Equity","HIGH_52WEEK")*100)</f>
        <v/>
      </c>
      <c r="I396">
        <f>IF(D396="","",D396&gt;=5)</f>
        <v/>
      </c>
      <c r="J396">
        <f>IF(F396="","",F396&gt;=5)</f>
        <v/>
      </c>
      <c r="K396">
        <f>IF(H396="","",H396&gt;=75)</f>
        <v/>
      </c>
      <c r="L396">
        <f>IF(OR(I396="",J396="",K396=""),FALSE,AND(I396,J396,K396))</f>
        <v/>
      </c>
    </row>
    <row r="397">
      <c r="A397">
        <f>Universe!A397</f>
        <v/>
      </c>
      <c r="B397" s="10" t="n"/>
      <c r="C397" s="11">
        <f>IF(B397="","",PERCENTRANK.INC($B$2:$B$2501,B397)*100)</f>
        <v/>
      </c>
      <c r="D397" s="10" t="n"/>
      <c r="E397" s="10">
        <f>IF(D397="","",MIN(D397,100))</f>
        <v/>
      </c>
      <c r="F397" s="10" t="n"/>
      <c r="G397" s="10">
        <f>IF(F397="","",MIN(F397,100))</f>
        <v/>
      </c>
      <c r="H397" s="11">
        <f>IF(A397="","",Universe!E397/BDP(A397&amp;" US Equity","HIGH_52WEEK")*100)</f>
        <v/>
      </c>
      <c r="I397">
        <f>IF(D397="","",D397&gt;=5)</f>
        <v/>
      </c>
      <c r="J397">
        <f>IF(F397="","",F397&gt;=5)</f>
        <v/>
      </c>
      <c r="K397">
        <f>IF(H397="","",H397&gt;=75)</f>
        <v/>
      </c>
      <c r="L397">
        <f>IF(OR(I397="",J397="",K397=""),FALSE,AND(I397,J397,K397))</f>
        <v/>
      </c>
    </row>
    <row r="398">
      <c r="A398">
        <f>Universe!A398</f>
        <v/>
      </c>
      <c r="B398" s="10" t="n"/>
      <c r="C398" s="11">
        <f>IF(B398="","",PERCENTRANK.INC($B$2:$B$2501,B398)*100)</f>
        <v/>
      </c>
      <c r="D398" s="10" t="n"/>
      <c r="E398" s="10">
        <f>IF(D398="","",MIN(D398,100))</f>
        <v/>
      </c>
      <c r="F398" s="10" t="n"/>
      <c r="G398" s="10">
        <f>IF(F398="","",MIN(F398,100))</f>
        <v/>
      </c>
      <c r="H398" s="11">
        <f>IF(A398="","",Universe!E398/BDP(A398&amp;" US Equity","HIGH_52WEEK")*100)</f>
        <v/>
      </c>
      <c r="I398">
        <f>IF(D398="","",D398&gt;=5)</f>
        <v/>
      </c>
      <c r="J398">
        <f>IF(F398="","",F398&gt;=5)</f>
        <v/>
      </c>
      <c r="K398">
        <f>IF(H398="","",H398&gt;=75)</f>
        <v/>
      </c>
      <c r="L398">
        <f>IF(OR(I398="",J398="",K398=""),FALSE,AND(I398,J398,K398))</f>
        <v/>
      </c>
    </row>
    <row r="399">
      <c r="A399">
        <f>Universe!A399</f>
        <v/>
      </c>
      <c r="B399" s="10" t="n"/>
      <c r="C399" s="11">
        <f>IF(B399="","",PERCENTRANK.INC($B$2:$B$2501,B399)*100)</f>
        <v/>
      </c>
      <c r="D399" s="10" t="n"/>
      <c r="E399" s="10">
        <f>IF(D399="","",MIN(D399,100))</f>
        <v/>
      </c>
      <c r="F399" s="10" t="n"/>
      <c r="G399" s="10">
        <f>IF(F399="","",MIN(F399,100))</f>
        <v/>
      </c>
      <c r="H399" s="11">
        <f>IF(A399="","",Universe!E399/BDP(A399&amp;" US Equity","HIGH_52WEEK")*100)</f>
        <v/>
      </c>
      <c r="I399">
        <f>IF(D399="","",D399&gt;=5)</f>
        <v/>
      </c>
      <c r="J399">
        <f>IF(F399="","",F399&gt;=5)</f>
        <v/>
      </c>
      <c r="K399">
        <f>IF(H399="","",H399&gt;=75)</f>
        <v/>
      </c>
      <c r="L399">
        <f>IF(OR(I399="",J399="",K399=""),FALSE,AND(I399,J399,K399))</f>
        <v/>
      </c>
    </row>
    <row r="400">
      <c r="A400">
        <f>Universe!A400</f>
        <v/>
      </c>
      <c r="B400" s="10" t="n"/>
      <c r="C400" s="11">
        <f>IF(B400="","",PERCENTRANK.INC($B$2:$B$2501,B400)*100)</f>
        <v/>
      </c>
      <c r="D400" s="10" t="n"/>
      <c r="E400" s="10">
        <f>IF(D400="","",MIN(D400,100))</f>
        <v/>
      </c>
      <c r="F400" s="10" t="n"/>
      <c r="G400" s="10">
        <f>IF(F400="","",MIN(F400,100))</f>
        <v/>
      </c>
      <c r="H400" s="11">
        <f>IF(A400="","",Universe!E400/BDP(A400&amp;" US Equity","HIGH_52WEEK")*100)</f>
        <v/>
      </c>
      <c r="I400">
        <f>IF(D400="","",D400&gt;=5)</f>
        <v/>
      </c>
      <c r="J400">
        <f>IF(F400="","",F400&gt;=5)</f>
        <v/>
      </c>
      <c r="K400">
        <f>IF(H400="","",H400&gt;=75)</f>
        <v/>
      </c>
      <c r="L400">
        <f>IF(OR(I400="",J400="",K400=""),FALSE,AND(I400,J400,K400))</f>
        <v/>
      </c>
    </row>
    <row r="401">
      <c r="A401">
        <f>Universe!A401</f>
        <v/>
      </c>
      <c r="B401" s="10" t="n"/>
      <c r="C401" s="11">
        <f>IF(B401="","",PERCENTRANK.INC($B$2:$B$2501,B401)*100)</f>
        <v/>
      </c>
      <c r="D401" s="10" t="n"/>
      <c r="E401" s="10">
        <f>IF(D401="","",MIN(D401,100))</f>
        <v/>
      </c>
      <c r="F401" s="10" t="n"/>
      <c r="G401" s="10">
        <f>IF(F401="","",MIN(F401,100))</f>
        <v/>
      </c>
      <c r="H401" s="11">
        <f>IF(A401="","",Universe!E401/BDP(A401&amp;" US Equity","HIGH_52WEEK")*100)</f>
        <v/>
      </c>
      <c r="I401">
        <f>IF(D401="","",D401&gt;=5)</f>
        <v/>
      </c>
      <c r="J401">
        <f>IF(F401="","",F401&gt;=5)</f>
        <v/>
      </c>
      <c r="K401">
        <f>IF(H401="","",H401&gt;=75)</f>
        <v/>
      </c>
      <c r="L401">
        <f>IF(OR(I401="",J401="",K401=""),FALSE,AND(I401,J401,K401))</f>
        <v/>
      </c>
    </row>
    <row r="402">
      <c r="A402">
        <f>Universe!A402</f>
        <v/>
      </c>
      <c r="B402" s="10" t="n"/>
      <c r="C402" s="11">
        <f>IF(B402="","",PERCENTRANK.INC($B$2:$B$2501,B402)*100)</f>
        <v/>
      </c>
      <c r="D402" s="10" t="n"/>
      <c r="E402" s="10">
        <f>IF(D402="","",MIN(D402,100))</f>
        <v/>
      </c>
      <c r="F402" s="10" t="n"/>
      <c r="G402" s="10">
        <f>IF(F402="","",MIN(F402,100))</f>
        <v/>
      </c>
      <c r="H402" s="11">
        <f>IF(A402="","",Universe!E402/BDP(A402&amp;" US Equity","HIGH_52WEEK")*100)</f>
        <v/>
      </c>
      <c r="I402">
        <f>IF(D402="","",D402&gt;=5)</f>
        <v/>
      </c>
      <c r="J402">
        <f>IF(F402="","",F402&gt;=5)</f>
        <v/>
      </c>
      <c r="K402">
        <f>IF(H402="","",H402&gt;=75)</f>
        <v/>
      </c>
      <c r="L402">
        <f>IF(OR(I402="",J402="",K402=""),FALSE,AND(I402,J402,K402))</f>
        <v/>
      </c>
    </row>
    <row r="403">
      <c r="A403">
        <f>Universe!A403</f>
        <v/>
      </c>
      <c r="B403" s="10" t="n"/>
      <c r="C403" s="11">
        <f>IF(B403="","",PERCENTRANK.INC($B$2:$B$2501,B403)*100)</f>
        <v/>
      </c>
      <c r="D403" s="10" t="n"/>
      <c r="E403" s="10">
        <f>IF(D403="","",MIN(D403,100))</f>
        <v/>
      </c>
      <c r="F403" s="10" t="n"/>
      <c r="G403" s="10">
        <f>IF(F403="","",MIN(F403,100))</f>
        <v/>
      </c>
      <c r="H403" s="11">
        <f>IF(A403="","",Universe!E403/BDP(A403&amp;" US Equity","HIGH_52WEEK")*100)</f>
        <v/>
      </c>
      <c r="I403">
        <f>IF(D403="","",D403&gt;=5)</f>
        <v/>
      </c>
      <c r="J403">
        <f>IF(F403="","",F403&gt;=5)</f>
        <v/>
      </c>
      <c r="K403">
        <f>IF(H403="","",H403&gt;=75)</f>
        <v/>
      </c>
      <c r="L403">
        <f>IF(OR(I403="",J403="",K403=""),FALSE,AND(I403,J403,K403))</f>
        <v/>
      </c>
    </row>
    <row r="404">
      <c r="A404">
        <f>Universe!A404</f>
        <v/>
      </c>
      <c r="B404" s="10" t="n"/>
      <c r="C404" s="11">
        <f>IF(B404="","",PERCENTRANK.INC($B$2:$B$2501,B404)*100)</f>
        <v/>
      </c>
      <c r="D404" s="10" t="n"/>
      <c r="E404" s="10">
        <f>IF(D404="","",MIN(D404,100))</f>
        <v/>
      </c>
      <c r="F404" s="10" t="n"/>
      <c r="G404" s="10">
        <f>IF(F404="","",MIN(F404,100))</f>
        <v/>
      </c>
      <c r="H404" s="11">
        <f>IF(A404="","",Universe!E404/BDP(A404&amp;" US Equity","HIGH_52WEEK")*100)</f>
        <v/>
      </c>
      <c r="I404">
        <f>IF(D404="","",D404&gt;=5)</f>
        <v/>
      </c>
      <c r="J404">
        <f>IF(F404="","",F404&gt;=5)</f>
        <v/>
      </c>
      <c r="K404">
        <f>IF(H404="","",H404&gt;=75)</f>
        <v/>
      </c>
      <c r="L404">
        <f>IF(OR(I404="",J404="",K404=""),FALSE,AND(I404,J404,K404))</f>
        <v/>
      </c>
    </row>
    <row r="405">
      <c r="A405">
        <f>Universe!A405</f>
        <v/>
      </c>
      <c r="B405" s="10" t="n"/>
      <c r="C405" s="11">
        <f>IF(B405="","",PERCENTRANK.INC($B$2:$B$2501,B405)*100)</f>
        <v/>
      </c>
      <c r="D405" s="10" t="n"/>
      <c r="E405" s="10">
        <f>IF(D405="","",MIN(D405,100))</f>
        <v/>
      </c>
      <c r="F405" s="10" t="n"/>
      <c r="G405" s="10">
        <f>IF(F405="","",MIN(F405,100))</f>
        <v/>
      </c>
      <c r="H405" s="11">
        <f>IF(A405="","",Universe!E405/BDP(A405&amp;" US Equity","HIGH_52WEEK")*100)</f>
        <v/>
      </c>
      <c r="I405">
        <f>IF(D405="","",D405&gt;=5)</f>
        <v/>
      </c>
      <c r="J405">
        <f>IF(F405="","",F405&gt;=5)</f>
        <v/>
      </c>
      <c r="K405">
        <f>IF(H405="","",H405&gt;=75)</f>
        <v/>
      </c>
      <c r="L405">
        <f>IF(OR(I405="",J405="",K405=""),FALSE,AND(I405,J405,K405))</f>
        <v/>
      </c>
    </row>
    <row r="406">
      <c r="A406">
        <f>Universe!A406</f>
        <v/>
      </c>
      <c r="B406" s="10" t="n"/>
      <c r="C406" s="11">
        <f>IF(B406="","",PERCENTRANK.INC($B$2:$B$2501,B406)*100)</f>
        <v/>
      </c>
      <c r="D406" s="10" t="n"/>
      <c r="E406" s="10">
        <f>IF(D406="","",MIN(D406,100))</f>
        <v/>
      </c>
      <c r="F406" s="10" t="n"/>
      <c r="G406" s="10">
        <f>IF(F406="","",MIN(F406,100))</f>
        <v/>
      </c>
      <c r="H406" s="11">
        <f>IF(A406="","",Universe!E406/BDP(A406&amp;" US Equity","HIGH_52WEEK")*100)</f>
        <v/>
      </c>
      <c r="I406">
        <f>IF(D406="","",D406&gt;=5)</f>
        <v/>
      </c>
      <c r="J406">
        <f>IF(F406="","",F406&gt;=5)</f>
        <v/>
      </c>
      <c r="K406">
        <f>IF(H406="","",H406&gt;=75)</f>
        <v/>
      </c>
      <c r="L406">
        <f>IF(OR(I406="",J406="",K406=""),FALSE,AND(I406,J406,K406))</f>
        <v/>
      </c>
    </row>
    <row r="407">
      <c r="A407">
        <f>Universe!A407</f>
        <v/>
      </c>
      <c r="B407" s="10" t="n"/>
      <c r="C407" s="11">
        <f>IF(B407="","",PERCENTRANK.INC($B$2:$B$2501,B407)*100)</f>
        <v/>
      </c>
      <c r="D407" s="10" t="n"/>
      <c r="E407" s="10">
        <f>IF(D407="","",MIN(D407,100))</f>
        <v/>
      </c>
      <c r="F407" s="10" t="n"/>
      <c r="G407" s="10">
        <f>IF(F407="","",MIN(F407,100))</f>
        <v/>
      </c>
      <c r="H407" s="11">
        <f>IF(A407="","",Universe!E407/BDP(A407&amp;" US Equity","HIGH_52WEEK")*100)</f>
        <v/>
      </c>
      <c r="I407">
        <f>IF(D407="","",D407&gt;=5)</f>
        <v/>
      </c>
      <c r="J407">
        <f>IF(F407="","",F407&gt;=5)</f>
        <v/>
      </c>
      <c r="K407">
        <f>IF(H407="","",H407&gt;=75)</f>
        <v/>
      </c>
      <c r="L407">
        <f>IF(OR(I407="",J407="",K407=""),FALSE,AND(I407,J407,K407))</f>
        <v/>
      </c>
    </row>
    <row r="408">
      <c r="A408">
        <f>Universe!A408</f>
        <v/>
      </c>
      <c r="B408" s="10" t="n"/>
      <c r="C408" s="11">
        <f>IF(B408="","",PERCENTRANK.INC($B$2:$B$2501,B408)*100)</f>
        <v/>
      </c>
      <c r="D408" s="10" t="n"/>
      <c r="E408" s="10">
        <f>IF(D408="","",MIN(D408,100))</f>
        <v/>
      </c>
      <c r="F408" s="10" t="n"/>
      <c r="G408" s="10">
        <f>IF(F408="","",MIN(F408,100))</f>
        <v/>
      </c>
      <c r="H408" s="11">
        <f>IF(A408="","",Universe!E408/BDP(A408&amp;" US Equity","HIGH_52WEEK")*100)</f>
        <v/>
      </c>
      <c r="I408">
        <f>IF(D408="","",D408&gt;=5)</f>
        <v/>
      </c>
      <c r="J408">
        <f>IF(F408="","",F408&gt;=5)</f>
        <v/>
      </c>
      <c r="K408">
        <f>IF(H408="","",H408&gt;=75)</f>
        <v/>
      </c>
      <c r="L408">
        <f>IF(OR(I408="",J408="",K408=""),FALSE,AND(I408,J408,K408))</f>
        <v/>
      </c>
    </row>
    <row r="409">
      <c r="A409">
        <f>Universe!A409</f>
        <v/>
      </c>
      <c r="B409" s="10" t="n"/>
      <c r="C409" s="11">
        <f>IF(B409="","",PERCENTRANK.INC($B$2:$B$2501,B409)*100)</f>
        <v/>
      </c>
      <c r="D409" s="10" t="n"/>
      <c r="E409" s="10">
        <f>IF(D409="","",MIN(D409,100))</f>
        <v/>
      </c>
      <c r="F409" s="10" t="n"/>
      <c r="G409" s="10">
        <f>IF(F409="","",MIN(F409,100))</f>
        <v/>
      </c>
      <c r="H409" s="11">
        <f>IF(A409="","",Universe!E409/BDP(A409&amp;" US Equity","HIGH_52WEEK")*100)</f>
        <v/>
      </c>
      <c r="I409">
        <f>IF(D409="","",D409&gt;=5)</f>
        <v/>
      </c>
      <c r="J409">
        <f>IF(F409="","",F409&gt;=5)</f>
        <v/>
      </c>
      <c r="K409">
        <f>IF(H409="","",H409&gt;=75)</f>
        <v/>
      </c>
      <c r="L409">
        <f>IF(OR(I409="",J409="",K409=""),FALSE,AND(I409,J409,K409))</f>
        <v/>
      </c>
    </row>
    <row r="410">
      <c r="A410">
        <f>Universe!A410</f>
        <v/>
      </c>
      <c r="B410" s="10" t="n"/>
      <c r="C410" s="11">
        <f>IF(B410="","",PERCENTRANK.INC($B$2:$B$2501,B410)*100)</f>
        <v/>
      </c>
      <c r="D410" s="10" t="n"/>
      <c r="E410" s="10">
        <f>IF(D410="","",MIN(D410,100))</f>
        <v/>
      </c>
      <c r="F410" s="10" t="n"/>
      <c r="G410" s="10">
        <f>IF(F410="","",MIN(F410,100))</f>
        <v/>
      </c>
      <c r="H410" s="11">
        <f>IF(A410="","",Universe!E410/BDP(A410&amp;" US Equity","HIGH_52WEEK")*100)</f>
        <v/>
      </c>
      <c r="I410">
        <f>IF(D410="","",D410&gt;=5)</f>
        <v/>
      </c>
      <c r="J410">
        <f>IF(F410="","",F410&gt;=5)</f>
        <v/>
      </c>
      <c r="K410">
        <f>IF(H410="","",H410&gt;=75)</f>
        <v/>
      </c>
      <c r="L410">
        <f>IF(OR(I410="",J410="",K410=""),FALSE,AND(I410,J410,K410))</f>
        <v/>
      </c>
    </row>
    <row r="411">
      <c r="A411">
        <f>Universe!A411</f>
        <v/>
      </c>
      <c r="B411" s="10" t="n"/>
      <c r="C411" s="11">
        <f>IF(B411="","",PERCENTRANK.INC($B$2:$B$2501,B411)*100)</f>
        <v/>
      </c>
      <c r="D411" s="10" t="n"/>
      <c r="E411" s="10">
        <f>IF(D411="","",MIN(D411,100))</f>
        <v/>
      </c>
      <c r="F411" s="10" t="n"/>
      <c r="G411" s="10">
        <f>IF(F411="","",MIN(F411,100))</f>
        <v/>
      </c>
      <c r="H411" s="11">
        <f>IF(A411="","",Universe!E411/BDP(A411&amp;" US Equity","HIGH_52WEEK")*100)</f>
        <v/>
      </c>
      <c r="I411">
        <f>IF(D411="","",D411&gt;=5)</f>
        <v/>
      </c>
      <c r="J411">
        <f>IF(F411="","",F411&gt;=5)</f>
        <v/>
      </c>
      <c r="K411">
        <f>IF(H411="","",H411&gt;=75)</f>
        <v/>
      </c>
      <c r="L411">
        <f>IF(OR(I411="",J411="",K411=""),FALSE,AND(I411,J411,K411))</f>
        <v/>
      </c>
    </row>
    <row r="412">
      <c r="A412">
        <f>Universe!A412</f>
        <v/>
      </c>
      <c r="B412" s="10" t="n"/>
      <c r="C412" s="11">
        <f>IF(B412="","",PERCENTRANK.INC($B$2:$B$2501,B412)*100)</f>
        <v/>
      </c>
      <c r="D412" s="10" t="n"/>
      <c r="E412" s="10">
        <f>IF(D412="","",MIN(D412,100))</f>
        <v/>
      </c>
      <c r="F412" s="10" t="n"/>
      <c r="G412" s="10">
        <f>IF(F412="","",MIN(F412,100))</f>
        <v/>
      </c>
      <c r="H412" s="11">
        <f>IF(A412="","",Universe!E412/BDP(A412&amp;" US Equity","HIGH_52WEEK")*100)</f>
        <v/>
      </c>
      <c r="I412">
        <f>IF(D412="","",D412&gt;=5)</f>
        <v/>
      </c>
      <c r="J412">
        <f>IF(F412="","",F412&gt;=5)</f>
        <v/>
      </c>
      <c r="K412">
        <f>IF(H412="","",H412&gt;=75)</f>
        <v/>
      </c>
      <c r="L412">
        <f>IF(OR(I412="",J412="",K412=""),FALSE,AND(I412,J412,K412))</f>
        <v/>
      </c>
    </row>
    <row r="413">
      <c r="A413">
        <f>Universe!A413</f>
        <v/>
      </c>
      <c r="B413" s="10" t="n"/>
      <c r="C413" s="11">
        <f>IF(B413="","",PERCENTRANK.INC($B$2:$B$2501,B413)*100)</f>
        <v/>
      </c>
      <c r="D413" s="10" t="n"/>
      <c r="E413" s="10">
        <f>IF(D413="","",MIN(D413,100))</f>
        <v/>
      </c>
      <c r="F413" s="10" t="n"/>
      <c r="G413" s="10">
        <f>IF(F413="","",MIN(F413,100))</f>
        <v/>
      </c>
      <c r="H413" s="11">
        <f>IF(A413="","",Universe!E413/BDP(A413&amp;" US Equity","HIGH_52WEEK")*100)</f>
        <v/>
      </c>
      <c r="I413">
        <f>IF(D413="","",D413&gt;=5)</f>
        <v/>
      </c>
      <c r="J413">
        <f>IF(F413="","",F413&gt;=5)</f>
        <v/>
      </c>
      <c r="K413">
        <f>IF(H413="","",H413&gt;=75)</f>
        <v/>
      </c>
      <c r="L413">
        <f>IF(OR(I413="",J413="",K413=""),FALSE,AND(I413,J413,K413))</f>
        <v/>
      </c>
    </row>
    <row r="414">
      <c r="A414">
        <f>Universe!A414</f>
        <v/>
      </c>
      <c r="B414" s="10" t="n"/>
      <c r="C414" s="11">
        <f>IF(B414="","",PERCENTRANK.INC($B$2:$B$2501,B414)*100)</f>
        <v/>
      </c>
      <c r="D414" s="10" t="n"/>
      <c r="E414" s="10">
        <f>IF(D414="","",MIN(D414,100))</f>
        <v/>
      </c>
      <c r="F414" s="10" t="n"/>
      <c r="G414" s="10">
        <f>IF(F414="","",MIN(F414,100))</f>
        <v/>
      </c>
      <c r="H414" s="11">
        <f>IF(A414="","",Universe!E414/BDP(A414&amp;" US Equity","HIGH_52WEEK")*100)</f>
        <v/>
      </c>
      <c r="I414">
        <f>IF(D414="","",D414&gt;=5)</f>
        <v/>
      </c>
      <c r="J414">
        <f>IF(F414="","",F414&gt;=5)</f>
        <v/>
      </c>
      <c r="K414">
        <f>IF(H414="","",H414&gt;=75)</f>
        <v/>
      </c>
      <c r="L414">
        <f>IF(OR(I414="",J414="",K414=""),FALSE,AND(I414,J414,K414))</f>
        <v/>
      </c>
    </row>
    <row r="415">
      <c r="A415">
        <f>Universe!A415</f>
        <v/>
      </c>
      <c r="B415" s="10" t="n"/>
      <c r="C415" s="11">
        <f>IF(B415="","",PERCENTRANK.INC($B$2:$B$2501,B415)*100)</f>
        <v/>
      </c>
      <c r="D415" s="10" t="n"/>
      <c r="E415" s="10">
        <f>IF(D415="","",MIN(D415,100))</f>
        <v/>
      </c>
      <c r="F415" s="10" t="n"/>
      <c r="G415" s="10">
        <f>IF(F415="","",MIN(F415,100))</f>
        <v/>
      </c>
      <c r="H415" s="11">
        <f>IF(A415="","",Universe!E415/BDP(A415&amp;" US Equity","HIGH_52WEEK")*100)</f>
        <v/>
      </c>
      <c r="I415">
        <f>IF(D415="","",D415&gt;=5)</f>
        <v/>
      </c>
      <c r="J415">
        <f>IF(F415="","",F415&gt;=5)</f>
        <v/>
      </c>
      <c r="K415">
        <f>IF(H415="","",H415&gt;=75)</f>
        <v/>
      </c>
      <c r="L415">
        <f>IF(OR(I415="",J415="",K415=""),FALSE,AND(I415,J415,K415))</f>
        <v/>
      </c>
    </row>
    <row r="416">
      <c r="A416">
        <f>Universe!A416</f>
        <v/>
      </c>
      <c r="B416" s="10" t="n"/>
      <c r="C416" s="11">
        <f>IF(B416="","",PERCENTRANK.INC($B$2:$B$2501,B416)*100)</f>
        <v/>
      </c>
      <c r="D416" s="10" t="n"/>
      <c r="E416" s="10">
        <f>IF(D416="","",MIN(D416,100))</f>
        <v/>
      </c>
      <c r="F416" s="10" t="n"/>
      <c r="G416" s="10">
        <f>IF(F416="","",MIN(F416,100))</f>
        <v/>
      </c>
      <c r="H416" s="11">
        <f>IF(A416="","",Universe!E416/BDP(A416&amp;" US Equity","HIGH_52WEEK")*100)</f>
        <v/>
      </c>
      <c r="I416">
        <f>IF(D416="","",D416&gt;=5)</f>
        <v/>
      </c>
      <c r="J416">
        <f>IF(F416="","",F416&gt;=5)</f>
        <v/>
      </c>
      <c r="K416">
        <f>IF(H416="","",H416&gt;=75)</f>
        <v/>
      </c>
      <c r="L416">
        <f>IF(OR(I416="",J416="",K416=""),FALSE,AND(I416,J416,K416))</f>
        <v/>
      </c>
    </row>
    <row r="417">
      <c r="A417">
        <f>Universe!A417</f>
        <v/>
      </c>
      <c r="B417" s="10" t="n"/>
      <c r="C417" s="11">
        <f>IF(B417="","",PERCENTRANK.INC($B$2:$B$2501,B417)*100)</f>
        <v/>
      </c>
      <c r="D417" s="10" t="n"/>
      <c r="E417" s="10">
        <f>IF(D417="","",MIN(D417,100))</f>
        <v/>
      </c>
      <c r="F417" s="10" t="n"/>
      <c r="G417" s="10">
        <f>IF(F417="","",MIN(F417,100))</f>
        <v/>
      </c>
      <c r="H417" s="11">
        <f>IF(A417="","",Universe!E417/BDP(A417&amp;" US Equity","HIGH_52WEEK")*100)</f>
        <v/>
      </c>
      <c r="I417">
        <f>IF(D417="","",D417&gt;=5)</f>
        <v/>
      </c>
      <c r="J417">
        <f>IF(F417="","",F417&gt;=5)</f>
        <v/>
      </c>
      <c r="K417">
        <f>IF(H417="","",H417&gt;=75)</f>
        <v/>
      </c>
      <c r="L417">
        <f>IF(OR(I417="",J417="",K417=""),FALSE,AND(I417,J417,K417))</f>
        <v/>
      </c>
    </row>
    <row r="418">
      <c r="A418">
        <f>Universe!A418</f>
        <v/>
      </c>
      <c r="B418" s="10" t="n"/>
      <c r="C418" s="11">
        <f>IF(B418="","",PERCENTRANK.INC($B$2:$B$2501,B418)*100)</f>
        <v/>
      </c>
      <c r="D418" s="10" t="n"/>
      <c r="E418" s="10">
        <f>IF(D418="","",MIN(D418,100))</f>
        <v/>
      </c>
      <c r="F418" s="10" t="n"/>
      <c r="G418" s="10">
        <f>IF(F418="","",MIN(F418,100))</f>
        <v/>
      </c>
      <c r="H418" s="11">
        <f>IF(A418="","",Universe!E418/BDP(A418&amp;" US Equity","HIGH_52WEEK")*100)</f>
        <v/>
      </c>
      <c r="I418">
        <f>IF(D418="","",D418&gt;=5)</f>
        <v/>
      </c>
      <c r="J418">
        <f>IF(F418="","",F418&gt;=5)</f>
        <v/>
      </c>
      <c r="K418">
        <f>IF(H418="","",H418&gt;=75)</f>
        <v/>
      </c>
      <c r="L418">
        <f>IF(OR(I418="",J418="",K418=""),FALSE,AND(I418,J418,K418))</f>
        <v/>
      </c>
    </row>
    <row r="419">
      <c r="A419">
        <f>Universe!A419</f>
        <v/>
      </c>
      <c r="B419" s="10" t="n"/>
      <c r="C419" s="11">
        <f>IF(B419="","",PERCENTRANK.INC($B$2:$B$2501,B419)*100)</f>
        <v/>
      </c>
      <c r="D419" s="10" t="n"/>
      <c r="E419" s="10">
        <f>IF(D419="","",MIN(D419,100))</f>
        <v/>
      </c>
      <c r="F419" s="10" t="n"/>
      <c r="G419" s="10">
        <f>IF(F419="","",MIN(F419,100))</f>
        <v/>
      </c>
      <c r="H419" s="11">
        <f>IF(A419="","",Universe!E419/BDP(A419&amp;" US Equity","HIGH_52WEEK")*100)</f>
        <v/>
      </c>
      <c r="I419">
        <f>IF(D419="","",D419&gt;=5)</f>
        <v/>
      </c>
      <c r="J419">
        <f>IF(F419="","",F419&gt;=5)</f>
        <v/>
      </c>
      <c r="K419">
        <f>IF(H419="","",H419&gt;=75)</f>
        <v/>
      </c>
      <c r="L419">
        <f>IF(OR(I419="",J419="",K419=""),FALSE,AND(I419,J419,K419))</f>
        <v/>
      </c>
    </row>
    <row r="420">
      <c r="A420">
        <f>Universe!A420</f>
        <v/>
      </c>
      <c r="B420" s="10" t="n"/>
      <c r="C420" s="11">
        <f>IF(B420="","",PERCENTRANK.INC($B$2:$B$2501,B420)*100)</f>
        <v/>
      </c>
      <c r="D420" s="10" t="n"/>
      <c r="E420" s="10">
        <f>IF(D420="","",MIN(D420,100))</f>
        <v/>
      </c>
      <c r="F420" s="10" t="n"/>
      <c r="G420" s="10">
        <f>IF(F420="","",MIN(F420,100))</f>
        <v/>
      </c>
      <c r="H420" s="11">
        <f>IF(A420="","",Universe!E420/BDP(A420&amp;" US Equity","HIGH_52WEEK")*100)</f>
        <v/>
      </c>
      <c r="I420">
        <f>IF(D420="","",D420&gt;=5)</f>
        <v/>
      </c>
      <c r="J420">
        <f>IF(F420="","",F420&gt;=5)</f>
        <v/>
      </c>
      <c r="K420">
        <f>IF(H420="","",H420&gt;=75)</f>
        <v/>
      </c>
      <c r="L420">
        <f>IF(OR(I420="",J420="",K420=""),FALSE,AND(I420,J420,K420))</f>
        <v/>
      </c>
    </row>
    <row r="421">
      <c r="A421">
        <f>Universe!A421</f>
        <v/>
      </c>
      <c r="B421" s="10" t="n"/>
      <c r="C421" s="11">
        <f>IF(B421="","",PERCENTRANK.INC($B$2:$B$2501,B421)*100)</f>
        <v/>
      </c>
      <c r="D421" s="10" t="n"/>
      <c r="E421" s="10">
        <f>IF(D421="","",MIN(D421,100))</f>
        <v/>
      </c>
      <c r="F421" s="10" t="n"/>
      <c r="G421" s="10">
        <f>IF(F421="","",MIN(F421,100))</f>
        <v/>
      </c>
      <c r="H421" s="11">
        <f>IF(A421="","",Universe!E421/BDP(A421&amp;" US Equity","HIGH_52WEEK")*100)</f>
        <v/>
      </c>
      <c r="I421">
        <f>IF(D421="","",D421&gt;=5)</f>
        <v/>
      </c>
      <c r="J421">
        <f>IF(F421="","",F421&gt;=5)</f>
        <v/>
      </c>
      <c r="K421">
        <f>IF(H421="","",H421&gt;=75)</f>
        <v/>
      </c>
      <c r="L421">
        <f>IF(OR(I421="",J421="",K421=""),FALSE,AND(I421,J421,K421))</f>
        <v/>
      </c>
    </row>
    <row r="422">
      <c r="A422">
        <f>Universe!A422</f>
        <v/>
      </c>
      <c r="B422" s="10" t="n"/>
      <c r="C422" s="11">
        <f>IF(B422="","",PERCENTRANK.INC($B$2:$B$2501,B422)*100)</f>
        <v/>
      </c>
      <c r="D422" s="10" t="n"/>
      <c r="E422" s="10">
        <f>IF(D422="","",MIN(D422,100))</f>
        <v/>
      </c>
      <c r="F422" s="10" t="n"/>
      <c r="G422" s="10">
        <f>IF(F422="","",MIN(F422,100))</f>
        <v/>
      </c>
      <c r="H422" s="11">
        <f>IF(A422="","",Universe!E422/BDP(A422&amp;" US Equity","HIGH_52WEEK")*100)</f>
        <v/>
      </c>
      <c r="I422">
        <f>IF(D422="","",D422&gt;=5)</f>
        <v/>
      </c>
      <c r="J422">
        <f>IF(F422="","",F422&gt;=5)</f>
        <v/>
      </c>
      <c r="K422">
        <f>IF(H422="","",H422&gt;=75)</f>
        <v/>
      </c>
      <c r="L422">
        <f>IF(OR(I422="",J422="",K422=""),FALSE,AND(I422,J422,K422))</f>
        <v/>
      </c>
    </row>
    <row r="423">
      <c r="A423">
        <f>Universe!A423</f>
        <v/>
      </c>
      <c r="B423" s="10" t="n"/>
      <c r="C423" s="11">
        <f>IF(B423="","",PERCENTRANK.INC($B$2:$B$2501,B423)*100)</f>
        <v/>
      </c>
      <c r="D423" s="10" t="n"/>
      <c r="E423" s="10">
        <f>IF(D423="","",MIN(D423,100))</f>
        <v/>
      </c>
      <c r="F423" s="10" t="n"/>
      <c r="G423" s="10">
        <f>IF(F423="","",MIN(F423,100))</f>
        <v/>
      </c>
      <c r="H423" s="11">
        <f>IF(A423="","",Universe!E423/BDP(A423&amp;" US Equity","HIGH_52WEEK")*100)</f>
        <v/>
      </c>
      <c r="I423">
        <f>IF(D423="","",D423&gt;=5)</f>
        <v/>
      </c>
      <c r="J423">
        <f>IF(F423="","",F423&gt;=5)</f>
        <v/>
      </c>
      <c r="K423">
        <f>IF(H423="","",H423&gt;=75)</f>
        <v/>
      </c>
      <c r="L423">
        <f>IF(OR(I423="",J423="",K423=""),FALSE,AND(I423,J423,K423))</f>
        <v/>
      </c>
    </row>
    <row r="424">
      <c r="A424">
        <f>Universe!A424</f>
        <v/>
      </c>
      <c r="B424" s="10" t="n"/>
      <c r="C424" s="11">
        <f>IF(B424="","",PERCENTRANK.INC($B$2:$B$2501,B424)*100)</f>
        <v/>
      </c>
      <c r="D424" s="10" t="n"/>
      <c r="E424" s="10">
        <f>IF(D424="","",MIN(D424,100))</f>
        <v/>
      </c>
      <c r="F424" s="10" t="n"/>
      <c r="G424" s="10">
        <f>IF(F424="","",MIN(F424,100))</f>
        <v/>
      </c>
      <c r="H424" s="11">
        <f>IF(A424="","",Universe!E424/BDP(A424&amp;" US Equity","HIGH_52WEEK")*100)</f>
        <v/>
      </c>
      <c r="I424">
        <f>IF(D424="","",D424&gt;=5)</f>
        <v/>
      </c>
      <c r="J424">
        <f>IF(F424="","",F424&gt;=5)</f>
        <v/>
      </c>
      <c r="K424">
        <f>IF(H424="","",H424&gt;=75)</f>
        <v/>
      </c>
      <c r="L424">
        <f>IF(OR(I424="",J424="",K424=""),FALSE,AND(I424,J424,K424))</f>
        <v/>
      </c>
    </row>
    <row r="425">
      <c r="A425">
        <f>Universe!A425</f>
        <v/>
      </c>
      <c r="B425" s="10" t="n"/>
      <c r="C425" s="11">
        <f>IF(B425="","",PERCENTRANK.INC($B$2:$B$2501,B425)*100)</f>
        <v/>
      </c>
      <c r="D425" s="10" t="n"/>
      <c r="E425" s="10">
        <f>IF(D425="","",MIN(D425,100))</f>
        <v/>
      </c>
      <c r="F425" s="10" t="n"/>
      <c r="G425" s="10">
        <f>IF(F425="","",MIN(F425,100))</f>
        <v/>
      </c>
      <c r="H425" s="11">
        <f>IF(A425="","",Universe!E425/BDP(A425&amp;" US Equity","HIGH_52WEEK")*100)</f>
        <v/>
      </c>
      <c r="I425">
        <f>IF(D425="","",D425&gt;=5)</f>
        <v/>
      </c>
      <c r="J425">
        <f>IF(F425="","",F425&gt;=5)</f>
        <v/>
      </c>
      <c r="K425">
        <f>IF(H425="","",H425&gt;=75)</f>
        <v/>
      </c>
      <c r="L425">
        <f>IF(OR(I425="",J425="",K425=""),FALSE,AND(I425,J425,K425))</f>
        <v/>
      </c>
    </row>
    <row r="426">
      <c r="A426">
        <f>Universe!A426</f>
        <v/>
      </c>
      <c r="B426" s="10" t="n"/>
      <c r="C426" s="11">
        <f>IF(B426="","",PERCENTRANK.INC($B$2:$B$2501,B426)*100)</f>
        <v/>
      </c>
      <c r="D426" s="10" t="n"/>
      <c r="E426" s="10">
        <f>IF(D426="","",MIN(D426,100))</f>
        <v/>
      </c>
      <c r="F426" s="10" t="n"/>
      <c r="G426" s="10">
        <f>IF(F426="","",MIN(F426,100))</f>
        <v/>
      </c>
      <c r="H426" s="11">
        <f>IF(A426="","",Universe!E426/BDP(A426&amp;" US Equity","HIGH_52WEEK")*100)</f>
        <v/>
      </c>
      <c r="I426">
        <f>IF(D426="","",D426&gt;=5)</f>
        <v/>
      </c>
      <c r="J426">
        <f>IF(F426="","",F426&gt;=5)</f>
        <v/>
      </c>
      <c r="K426">
        <f>IF(H426="","",H426&gt;=75)</f>
        <v/>
      </c>
      <c r="L426">
        <f>IF(OR(I426="",J426="",K426=""),FALSE,AND(I426,J426,K426))</f>
        <v/>
      </c>
    </row>
    <row r="427">
      <c r="A427">
        <f>Universe!A427</f>
        <v/>
      </c>
      <c r="B427" s="10" t="n"/>
      <c r="C427" s="11">
        <f>IF(B427="","",PERCENTRANK.INC($B$2:$B$2501,B427)*100)</f>
        <v/>
      </c>
      <c r="D427" s="10" t="n"/>
      <c r="E427" s="10">
        <f>IF(D427="","",MIN(D427,100))</f>
        <v/>
      </c>
      <c r="F427" s="10" t="n"/>
      <c r="G427" s="10">
        <f>IF(F427="","",MIN(F427,100))</f>
        <v/>
      </c>
      <c r="H427" s="11">
        <f>IF(A427="","",Universe!E427/BDP(A427&amp;" US Equity","HIGH_52WEEK")*100)</f>
        <v/>
      </c>
      <c r="I427">
        <f>IF(D427="","",D427&gt;=5)</f>
        <v/>
      </c>
      <c r="J427">
        <f>IF(F427="","",F427&gt;=5)</f>
        <v/>
      </c>
      <c r="K427">
        <f>IF(H427="","",H427&gt;=75)</f>
        <v/>
      </c>
      <c r="L427">
        <f>IF(OR(I427="",J427="",K427=""),FALSE,AND(I427,J427,K427))</f>
        <v/>
      </c>
    </row>
    <row r="428">
      <c r="A428">
        <f>Universe!A428</f>
        <v/>
      </c>
      <c r="B428" s="10" t="n"/>
      <c r="C428" s="11">
        <f>IF(B428="","",PERCENTRANK.INC($B$2:$B$2501,B428)*100)</f>
        <v/>
      </c>
      <c r="D428" s="10" t="n"/>
      <c r="E428" s="10">
        <f>IF(D428="","",MIN(D428,100))</f>
        <v/>
      </c>
      <c r="F428" s="10" t="n"/>
      <c r="G428" s="10">
        <f>IF(F428="","",MIN(F428,100))</f>
        <v/>
      </c>
      <c r="H428" s="11">
        <f>IF(A428="","",Universe!E428/BDP(A428&amp;" US Equity","HIGH_52WEEK")*100)</f>
        <v/>
      </c>
      <c r="I428">
        <f>IF(D428="","",D428&gt;=5)</f>
        <v/>
      </c>
      <c r="J428">
        <f>IF(F428="","",F428&gt;=5)</f>
        <v/>
      </c>
      <c r="K428">
        <f>IF(H428="","",H428&gt;=75)</f>
        <v/>
      </c>
      <c r="L428">
        <f>IF(OR(I428="",J428="",K428=""),FALSE,AND(I428,J428,K428))</f>
        <v/>
      </c>
    </row>
    <row r="429">
      <c r="A429">
        <f>Universe!A429</f>
        <v/>
      </c>
      <c r="B429" s="10" t="n"/>
      <c r="C429" s="11">
        <f>IF(B429="","",PERCENTRANK.INC($B$2:$B$2501,B429)*100)</f>
        <v/>
      </c>
      <c r="D429" s="10" t="n"/>
      <c r="E429" s="10">
        <f>IF(D429="","",MIN(D429,100))</f>
        <v/>
      </c>
      <c r="F429" s="10" t="n"/>
      <c r="G429" s="10">
        <f>IF(F429="","",MIN(F429,100))</f>
        <v/>
      </c>
      <c r="H429" s="11">
        <f>IF(A429="","",Universe!E429/BDP(A429&amp;" US Equity","HIGH_52WEEK")*100)</f>
        <v/>
      </c>
      <c r="I429">
        <f>IF(D429="","",D429&gt;=5)</f>
        <v/>
      </c>
      <c r="J429">
        <f>IF(F429="","",F429&gt;=5)</f>
        <v/>
      </c>
      <c r="K429">
        <f>IF(H429="","",H429&gt;=75)</f>
        <v/>
      </c>
      <c r="L429">
        <f>IF(OR(I429="",J429="",K429=""),FALSE,AND(I429,J429,K429))</f>
        <v/>
      </c>
    </row>
    <row r="430">
      <c r="A430">
        <f>Universe!A430</f>
        <v/>
      </c>
      <c r="B430" s="10" t="n"/>
      <c r="C430" s="11">
        <f>IF(B430="","",PERCENTRANK.INC($B$2:$B$2501,B430)*100)</f>
        <v/>
      </c>
      <c r="D430" s="10" t="n"/>
      <c r="E430" s="10">
        <f>IF(D430="","",MIN(D430,100))</f>
        <v/>
      </c>
      <c r="F430" s="10" t="n"/>
      <c r="G430" s="10">
        <f>IF(F430="","",MIN(F430,100))</f>
        <v/>
      </c>
      <c r="H430" s="11">
        <f>IF(A430="","",Universe!E430/BDP(A430&amp;" US Equity","HIGH_52WEEK")*100)</f>
        <v/>
      </c>
      <c r="I430">
        <f>IF(D430="","",D430&gt;=5)</f>
        <v/>
      </c>
      <c r="J430">
        <f>IF(F430="","",F430&gt;=5)</f>
        <v/>
      </c>
      <c r="K430">
        <f>IF(H430="","",H430&gt;=75)</f>
        <v/>
      </c>
      <c r="L430">
        <f>IF(OR(I430="",J430="",K430=""),FALSE,AND(I430,J430,K430))</f>
        <v/>
      </c>
    </row>
    <row r="431">
      <c r="A431">
        <f>Universe!A431</f>
        <v/>
      </c>
      <c r="B431" s="10" t="n"/>
      <c r="C431" s="11">
        <f>IF(B431="","",PERCENTRANK.INC($B$2:$B$2501,B431)*100)</f>
        <v/>
      </c>
      <c r="D431" s="10" t="n"/>
      <c r="E431" s="10">
        <f>IF(D431="","",MIN(D431,100))</f>
        <v/>
      </c>
      <c r="F431" s="10" t="n"/>
      <c r="G431" s="10">
        <f>IF(F431="","",MIN(F431,100))</f>
        <v/>
      </c>
      <c r="H431" s="11">
        <f>IF(A431="","",Universe!E431/BDP(A431&amp;" US Equity","HIGH_52WEEK")*100)</f>
        <v/>
      </c>
      <c r="I431">
        <f>IF(D431="","",D431&gt;=5)</f>
        <v/>
      </c>
      <c r="J431">
        <f>IF(F431="","",F431&gt;=5)</f>
        <v/>
      </c>
      <c r="K431">
        <f>IF(H431="","",H431&gt;=75)</f>
        <v/>
      </c>
      <c r="L431">
        <f>IF(OR(I431="",J431="",K431=""),FALSE,AND(I431,J431,K431))</f>
        <v/>
      </c>
    </row>
    <row r="432">
      <c r="A432">
        <f>Universe!A432</f>
        <v/>
      </c>
      <c r="B432" s="10" t="n"/>
      <c r="C432" s="11">
        <f>IF(B432="","",PERCENTRANK.INC($B$2:$B$2501,B432)*100)</f>
        <v/>
      </c>
      <c r="D432" s="10" t="n"/>
      <c r="E432" s="10">
        <f>IF(D432="","",MIN(D432,100))</f>
        <v/>
      </c>
      <c r="F432" s="10" t="n"/>
      <c r="G432" s="10">
        <f>IF(F432="","",MIN(F432,100))</f>
        <v/>
      </c>
      <c r="H432" s="11">
        <f>IF(A432="","",Universe!E432/BDP(A432&amp;" US Equity","HIGH_52WEEK")*100)</f>
        <v/>
      </c>
      <c r="I432">
        <f>IF(D432="","",D432&gt;=5)</f>
        <v/>
      </c>
      <c r="J432">
        <f>IF(F432="","",F432&gt;=5)</f>
        <v/>
      </c>
      <c r="K432">
        <f>IF(H432="","",H432&gt;=75)</f>
        <v/>
      </c>
      <c r="L432">
        <f>IF(OR(I432="",J432="",K432=""),FALSE,AND(I432,J432,K432))</f>
        <v/>
      </c>
    </row>
    <row r="433">
      <c r="A433">
        <f>Universe!A433</f>
        <v/>
      </c>
      <c r="B433" s="10" t="n"/>
      <c r="C433" s="11">
        <f>IF(B433="","",PERCENTRANK.INC($B$2:$B$2501,B433)*100)</f>
        <v/>
      </c>
      <c r="D433" s="10" t="n"/>
      <c r="E433" s="10">
        <f>IF(D433="","",MIN(D433,100))</f>
        <v/>
      </c>
      <c r="F433" s="10" t="n"/>
      <c r="G433" s="10">
        <f>IF(F433="","",MIN(F433,100))</f>
        <v/>
      </c>
      <c r="H433" s="11">
        <f>IF(A433="","",Universe!E433/BDP(A433&amp;" US Equity","HIGH_52WEEK")*100)</f>
        <v/>
      </c>
      <c r="I433">
        <f>IF(D433="","",D433&gt;=5)</f>
        <v/>
      </c>
      <c r="J433">
        <f>IF(F433="","",F433&gt;=5)</f>
        <v/>
      </c>
      <c r="K433">
        <f>IF(H433="","",H433&gt;=75)</f>
        <v/>
      </c>
      <c r="L433">
        <f>IF(OR(I433="",J433="",K433=""),FALSE,AND(I433,J433,K433))</f>
        <v/>
      </c>
    </row>
    <row r="434">
      <c r="A434">
        <f>Universe!A434</f>
        <v/>
      </c>
      <c r="B434" s="10" t="n"/>
      <c r="C434" s="11">
        <f>IF(B434="","",PERCENTRANK.INC($B$2:$B$2501,B434)*100)</f>
        <v/>
      </c>
      <c r="D434" s="10" t="n"/>
      <c r="E434" s="10">
        <f>IF(D434="","",MIN(D434,100))</f>
        <v/>
      </c>
      <c r="F434" s="10" t="n"/>
      <c r="G434" s="10">
        <f>IF(F434="","",MIN(F434,100))</f>
        <v/>
      </c>
      <c r="H434" s="11">
        <f>IF(A434="","",Universe!E434/BDP(A434&amp;" US Equity","HIGH_52WEEK")*100)</f>
        <v/>
      </c>
      <c r="I434">
        <f>IF(D434="","",D434&gt;=5)</f>
        <v/>
      </c>
      <c r="J434">
        <f>IF(F434="","",F434&gt;=5)</f>
        <v/>
      </c>
      <c r="K434">
        <f>IF(H434="","",H434&gt;=75)</f>
        <v/>
      </c>
      <c r="L434">
        <f>IF(OR(I434="",J434="",K434=""),FALSE,AND(I434,J434,K434))</f>
        <v/>
      </c>
    </row>
    <row r="435">
      <c r="A435">
        <f>Universe!A435</f>
        <v/>
      </c>
      <c r="B435" s="10" t="n"/>
      <c r="C435" s="11">
        <f>IF(B435="","",PERCENTRANK.INC($B$2:$B$2501,B435)*100)</f>
        <v/>
      </c>
      <c r="D435" s="10" t="n"/>
      <c r="E435" s="10">
        <f>IF(D435="","",MIN(D435,100))</f>
        <v/>
      </c>
      <c r="F435" s="10" t="n"/>
      <c r="G435" s="10">
        <f>IF(F435="","",MIN(F435,100))</f>
        <v/>
      </c>
      <c r="H435" s="11">
        <f>IF(A435="","",Universe!E435/BDP(A435&amp;" US Equity","HIGH_52WEEK")*100)</f>
        <v/>
      </c>
      <c r="I435">
        <f>IF(D435="","",D435&gt;=5)</f>
        <v/>
      </c>
      <c r="J435">
        <f>IF(F435="","",F435&gt;=5)</f>
        <v/>
      </c>
      <c r="K435">
        <f>IF(H435="","",H435&gt;=75)</f>
        <v/>
      </c>
      <c r="L435">
        <f>IF(OR(I435="",J435="",K435=""),FALSE,AND(I435,J435,K435))</f>
        <v/>
      </c>
    </row>
    <row r="436">
      <c r="A436">
        <f>Universe!A436</f>
        <v/>
      </c>
      <c r="B436" s="10" t="n"/>
      <c r="C436" s="11">
        <f>IF(B436="","",PERCENTRANK.INC($B$2:$B$2501,B436)*100)</f>
        <v/>
      </c>
      <c r="D436" s="10" t="n"/>
      <c r="E436" s="10">
        <f>IF(D436="","",MIN(D436,100))</f>
        <v/>
      </c>
      <c r="F436" s="10" t="n"/>
      <c r="G436" s="10">
        <f>IF(F436="","",MIN(F436,100))</f>
        <v/>
      </c>
      <c r="H436" s="11">
        <f>IF(A436="","",Universe!E436/BDP(A436&amp;" US Equity","HIGH_52WEEK")*100)</f>
        <v/>
      </c>
      <c r="I436">
        <f>IF(D436="","",D436&gt;=5)</f>
        <v/>
      </c>
      <c r="J436">
        <f>IF(F436="","",F436&gt;=5)</f>
        <v/>
      </c>
      <c r="K436">
        <f>IF(H436="","",H436&gt;=75)</f>
        <v/>
      </c>
      <c r="L436">
        <f>IF(OR(I436="",J436="",K436=""),FALSE,AND(I436,J436,K436))</f>
        <v/>
      </c>
    </row>
    <row r="437">
      <c r="A437">
        <f>Universe!A437</f>
        <v/>
      </c>
      <c r="B437" s="10" t="n"/>
      <c r="C437" s="11">
        <f>IF(B437="","",PERCENTRANK.INC($B$2:$B$2501,B437)*100)</f>
        <v/>
      </c>
      <c r="D437" s="10" t="n"/>
      <c r="E437" s="10">
        <f>IF(D437="","",MIN(D437,100))</f>
        <v/>
      </c>
      <c r="F437" s="10" t="n"/>
      <c r="G437" s="10">
        <f>IF(F437="","",MIN(F437,100))</f>
        <v/>
      </c>
      <c r="H437" s="11">
        <f>IF(A437="","",Universe!E437/BDP(A437&amp;" US Equity","HIGH_52WEEK")*100)</f>
        <v/>
      </c>
      <c r="I437">
        <f>IF(D437="","",D437&gt;=5)</f>
        <v/>
      </c>
      <c r="J437">
        <f>IF(F437="","",F437&gt;=5)</f>
        <v/>
      </c>
      <c r="K437">
        <f>IF(H437="","",H437&gt;=75)</f>
        <v/>
      </c>
      <c r="L437">
        <f>IF(OR(I437="",J437="",K437=""),FALSE,AND(I437,J437,K437))</f>
        <v/>
      </c>
    </row>
    <row r="438">
      <c r="A438">
        <f>Universe!A438</f>
        <v/>
      </c>
      <c r="B438" s="10" t="n"/>
      <c r="C438" s="11">
        <f>IF(B438="","",PERCENTRANK.INC($B$2:$B$2501,B438)*100)</f>
        <v/>
      </c>
      <c r="D438" s="10" t="n"/>
      <c r="E438" s="10">
        <f>IF(D438="","",MIN(D438,100))</f>
        <v/>
      </c>
      <c r="F438" s="10" t="n"/>
      <c r="G438" s="10">
        <f>IF(F438="","",MIN(F438,100))</f>
        <v/>
      </c>
      <c r="H438" s="11">
        <f>IF(A438="","",Universe!E438/BDP(A438&amp;" US Equity","HIGH_52WEEK")*100)</f>
        <v/>
      </c>
      <c r="I438">
        <f>IF(D438="","",D438&gt;=5)</f>
        <v/>
      </c>
      <c r="J438">
        <f>IF(F438="","",F438&gt;=5)</f>
        <v/>
      </c>
      <c r="K438">
        <f>IF(H438="","",H438&gt;=75)</f>
        <v/>
      </c>
      <c r="L438">
        <f>IF(OR(I438="",J438="",K438=""),FALSE,AND(I438,J438,K438))</f>
        <v/>
      </c>
    </row>
    <row r="439">
      <c r="A439">
        <f>Universe!A439</f>
        <v/>
      </c>
      <c r="B439" s="10" t="n"/>
      <c r="C439" s="11">
        <f>IF(B439="","",PERCENTRANK.INC($B$2:$B$2501,B439)*100)</f>
        <v/>
      </c>
      <c r="D439" s="10" t="n"/>
      <c r="E439" s="10">
        <f>IF(D439="","",MIN(D439,100))</f>
        <v/>
      </c>
      <c r="F439" s="10" t="n"/>
      <c r="G439" s="10">
        <f>IF(F439="","",MIN(F439,100))</f>
        <v/>
      </c>
      <c r="H439" s="11">
        <f>IF(A439="","",Universe!E439/BDP(A439&amp;" US Equity","HIGH_52WEEK")*100)</f>
        <v/>
      </c>
      <c r="I439">
        <f>IF(D439="","",D439&gt;=5)</f>
        <v/>
      </c>
      <c r="J439">
        <f>IF(F439="","",F439&gt;=5)</f>
        <v/>
      </c>
      <c r="K439">
        <f>IF(H439="","",H439&gt;=75)</f>
        <v/>
      </c>
      <c r="L439">
        <f>IF(OR(I439="",J439="",K439=""),FALSE,AND(I439,J439,K439))</f>
        <v/>
      </c>
    </row>
    <row r="440">
      <c r="A440">
        <f>Universe!A440</f>
        <v/>
      </c>
      <c r="B440" s="10" t="n"/>
      <c r="C440" s="11">
        <f>IF(B440="","",PERCENTRANK.INC($B$2:$B$2501,B440)*100)</f>
        <v/>
      </c>
      <c r="D440" s="10" t="n"/>
      <c r="E440" s="10">
        <f>IF(D440="","",MIN(D440,100))</f>
        <v/>
      </c>
      <c r="F440" s="10" t="n"/>
      <c r="G440" s="10">
        <f>IF(F440="","",MIN(F440,100))</f>
        <v/>
      </c>
      <c r="H440" s="11">
        <f>IF(A440="","",Universe!E440/BDP(A440&amp;" US Equity","HIGH_52WEEK")*100)</f>
        <v/>
      </c>
      <c r="I440">
        <f>IF(D440="","",D440&gt;=5)</f>
        <v/>
      </c>
      <c r="J440">
        <f>IF(F440="","",F440&gt;=5)</f>
        <v/>
      </c>
      <c r="K440">
        <f>IF(H440="","",H440&gt;=75)</f>
        <v/>
      </c>
      <c r="L440">
        <f>IF(OR(I440="",J440="",K440=""),FALSE,AND(I440,J440,K440))</f>
        <v/>
      </c>
    </row>
    <row r="441">
      <c r="A441">
        <f>Universe!A441</f>
        <v/>
      </c>
      <c r="B441" s="10" t="n"/>
      <c r="C441" s="11">
        <f>IF(B441="","",PERCENTRANK.INC($B$2:$B$2501,B441)*100)</f>
        <v/>
      </c>
      <c r="D441" s="10" t="n"/>
      <c r="E441" s="10">
        <f>IF(D441="","",MIN(D441,100))</f>
        <v/>
      </c>
      <c r="F441" s="10" t="n"/>
      <c r="G441" s="10">
        <f>IF(F441="","",MIN(F441,100))</f>
        <v/>
      </c>
      <c r="H441" s="11">
        <f>IF(A441="","",Universe!E441/BDP(A441&amp;" US Equity","HIGH_52WEEK")*100)</f>
        <v/>
      </c>
      <c r="I441">
        <f>IF(D441="","",D441&gt;=5)</f>
        <v/>
      </c>
      <c r="J441">
        <f>IF(F441="","",F441&gt;=5)</f>
        <v/>
      </c>
      <c r="K441">
        <f>IF(H441="","",H441&gt;=75)</f>
        <v/>
      </c>
      <c r="L441">
        <f>IF(OR(I441="",J441="",K441=""),FALSE,AND(I441,J441,K441))</f>
        <v/>
      </c>
    </row>
    <row r="442">
      <c r="A442">
        <f>Universe!A442</f>
        <v/>
      </c>
      <c r="B442" s="10" t="n"/>
      <c r="C442" s="11">
        <f>IF(B442="","",PERCENTRANK.INC($B$2:$B$2501,B442)*100)</f>
        <v/>
      </c>
      <c r="D442" s="10" t="n"/>
      <c r="E442" s="10">
        <f>IF(D442="","",MIN(D442,100))</f>
        <v/>
      </c>
      <c r="F442" s="10" t="n"/>
      <c r="G442" s="10">
        <f>IF(F442="","",MIN(F442,100))</f>
        <v/>
      </c>
      <c r="H442" s="11">
        <f>IF(A442="","",Universe!E442/BDP(A442&amp;" US Equity","HIGH_52WEEK")*100)</f>
        <v/>
      </c>
      <c r="I442">
        <f>IF(D442="","",D442&gt;=5)</f>
        <v/>
      </c>
      <c r="J442">
        <f>IF(F442="","",F442&gt;=5)</f>
        <v/>
      </c>
      <c r="K442">
        <f>IF(H442="","",H442&gt;=75)</f>
        <v/>
      </c>
      <c r="L442">
        <f>IF(OR(I442="",J442="",K442=""),FALSE,AND(I442,J442,K442))</f>
        <v/>
      </c>
    </row>
    <row r="443">
      <c r="A443">
        <f>Universe!A443</f>
        <v/>
      </c>
      <c r="B443" s="10" t="n"/>
      <c r="C443" s="11">
        <f>IF(B443="","",PERCENTRANK.INC($B$2:$B$2501,B443)*100)</f>
        <v/>
      </c>
      <c r="D443" s="10" t="n"/>
      <c r="E443" s="10">
        <f>IF(D443="","",MIN(D443,100))</f>
        <v/>
      </c>
      <c r="F443" s="10" t="n"/>
      <c r="G443" s="10">
        <f>IF(F443="","",MIN(F443,100))</f>
        <v/>
      </c>
      <c r="H443" s="11">
        <f>IF(A443="","",Universe!E443/BDP(A443&amp;" US Equity","HIGH_52WEEK")*100)</f>
        <v/>
      </c>
      <c r="I443">
        <f>IF(D443="","",D443&gt;=5)</f>
        <v/>
      </c>
      <c r="J443">
        <f>IF(F443="","",F443&gt;=5)</f>
        <v/>
      </c>
      <c r="K443">
        <f>IF(H443="","",H443&gt;=75)</f>
        <v/>
      </c>
      <c r="L443">
        <f>IF(OR(I443="",J443="",K443=""),FALSE,AND(I443,J443,K443))</f>
        <v/>
      </c>
    </row>
    <row r="444">
      <c r="A444">
        <f>Universe!A444</f>
        <v/>
      </c>
      <c r="B444" s="10" t="n"/>
      <c r="C444" s="11">
        <f>IF(B444="","",PERCENTRANK.INC($B$2:$B$2501,B444)*100)</f>
        <v/>
      </c>
      <c r="D444" s="10" t="n"/>
      <c r="E444" s="10">
        <f>IF(D444="","",MIN(D444,100))</f>
        <v/>
      </c>
      <c r="F444" s="10" t="n"/>
      <c r="G444" s="10">
        <f>IF(F444="","",MIN(F444,100))</f>
        <v/>
      </c>
      <c r="H444" s="11">
        <f>IF(A444="","",Universe!E444/BDP(A444&amp;" US Equity","HIGH_52WEEK")*100)</f>
        <v/>
      </c>
      <c r="I444">
        <f>IF(D444="","",D444&gt;=5)</f>
        <v/>
      </c>
      <c r="J444">
        <f>IF(F444="","",F444&gt;=5)</f>
        <v/>
      </c>
      <c r="K444">
        <f>IF(H444="","",H444&gt;=75)</f>
        <v/>
      </c>
      <c r="L444">
        <f>IF(OR(I444="",J444="",K444=""),FALSE,AND(I444,J444,K444))</f>
        <v/>
      </c>
    </row>
    <row r="445">
      <c r="A445">
        <f>Universe!A445</f>
        <v/>
      </c>
      <c r="B445" s="10" t="n"/>
      <c r="C445" s="11">
        <f>IF(B445="","",PERCENTRANK.INC($B$2:$B$2501,B445)*100)</f>
        <v/>
      </c>
      <c r="D445" s="10" t="n"/>
      <c r="E445" s="10">
        <f>IF(D445="","",MIN(D445,100))</f>
        <v/>
      </c>
      <c r="F445" s="10" t="n"/>
      <c r="G445" s="10">
        <f>IF(F445="","",MIN(F445,100))</f>
        <v/>
      </c>
      <c r="H445" s="11">
        <f>IF(A445="","",Universe!E445/BDP(A445&amp;" US Equity","HIGH_52WEEK")*100)</f>
        <v/>
      </c>
      <c r="I445">
        <f>IF(D445="","",D445&gt;=5)</f>
        <v/>
      </c>
      <c r="J445">
        <f>IF(F445="","",F445&gt;=5)</f>
        <v/>
      </c>
      <c r="K445">
        <f>IF(H445="","",H445&gt;=75)</f>
        <v/>
      </c>
      <c r="L445">
        <f>IF(OR(I445="",J445="",K445=""),FALSE,AND(I445,J445,K445))</f>
        <v/>
      </c>
    </row>
    <row r="446">
      <c r="A446">
        <f>Universe!A446</f>
        <v/>
      </c>
      <c r="B446" s="10" t="n"/>
      <c r="C446" s="11">
        <f>IF(B446="","",PERCENTRANK.INC($B$2:$B$2501,B446)*100)</f>
        <v/>
      </c>
      <c r="D446" s="10" t="n"/>
      <c r="E446" s="10">
        <f>IF(D446="","",MIN(D446,100))</f>
        <v/>
      </c>
      <c r="F446" s="10" t="n"/>
      <c r="G446" s="10">
        <f>IF(F446="","",MIN(F446,100))</f>
        <v/>
      </c>
      <c r="H446" s="11">
        <f>IF(A446="","",Universe!E446/BDP(A446&amp;" US Equity","HIGH_52WEEK")*100)</f>
        <v/>
      </c>
      <c r="I446">
        <f>IF(D446="","",D446&gt;=5)</f>
        <v/>
      </c>
      <c r="J446">
        <f>IF(F446="","",F446&gt;=5)</f>
        <v/>
      </c>
      <c r="K446">
        <f>IF(H446="","",H446&gt;=75)</f>
        <v/>
      </c>
      <c r="L446">
        <f>IF(OR(I446="",J446="",K446=""),FALSE,AND(I446,J446,K446))</f>
        <v/>
      </c>
    </row>
    <row r="447">
      <c r="A447">
        <f>Universe!A447</f>
        <v/>
      </c>
      <c r="B447" s="10" t="n"/>
      <c r="C447" s="11">
        <f>IF(B447="","",PERCENTRANK.INC($B$2:$B$2501,B447)*100)</f>
        <v/>
      </c>
      <c r="D447" s="10" t="n"/>
      <c r="E447" s="10">
        <f>IF(D447="","",MIN(D447,100))</f>
        <v/>
      </c>
      <c r="F447" s="10" t="n"/>
      <c r="G447" s="10">
        <f>IF(F447="","",MIN(F447,100))</f>
        <v/>
      </c>
      <c r="H447" s="11">
        <f>IF(A447="","",Universe!E447/BDP(A447&amp;" US Equity","HIGH_52WEEK")*100)</f>
        <v/>
      </c>
      <c r="I447">
        <f>IF(D447="","",D447&gt;=5)</f>
        <v/>
      </c>
      <c r="J447">
        <f>IF(F447="","",F447&gt;=5)</f>
        <v/>
      </c>
      <c r="K447">
        <f>IF(H447="","",H447&gt;=75)</f>
        <v/>
      </c>
      <c r="L447">
        <f>IF(OR(I447="",J447="",K447=""),FALSE,AND(I447,J447,K447))</f>
        <v/>
      </c>
    </row>
    <row r="448">
      <c r="A448">
        <f>Universe!A448</f>
        <v/>
      </c>
      <c r="B448" s="10" t="n"/>
      <c r="C448" s="11">
        <f>IF(B448="","",PERCENTRANK.INC($B$2:$B$2501,B448)*100)</f>
        <v/>
      </c>
      <c r="D448" s="10" t="n"/>
      <c r="E448" s="10">
        <f>IF(D448="","",MIN(D448,100))</f>
        <v/>
      </c>
      <c r="F448" s="10" t="n"/>
      <c r="G448" s="10">
        <f>IF(F448="","",MIN(F448,100))</f>
        <v/>
      </c>
      <c r="H448" s="11">
        <f>IF(A448="","",Universe!E448/BDP(A448&amp;" US Equity","HIGH_52WEEK")*100)</f>
        <v/>
      </c>
      <c r="I448">
        <f>IF(D448="","",D448&gt;=5)</f>
        <v/>
      </c>
      <c r="J448">
        <f>IF(F448="","",F448&gt;=5)</f>
        <v/>
      </c>
      <c r="K448">
        <f>IF(H448="","",H448&gt;=75)</f>
        <v/>
      </c>
      <c r="L448">
        <f>IF(OR(I448="",J448="",K448=""),FALSE,AND(I448,J448,K448))</f>
        <v/>
      </c>
    </row>
    <row r="449">
      <c r="A449">
        <f>Universe!A449</f>
        <v/>
      </c>
      <c r="B449" s="10" t="n"/>
      <c r="C449" s="11">
        <f>IF(B449="","",PERCENTRANK.INC($B$2:$B$2501,B449)*100)</f>
        <v/>
      </c>
      <c r="D449" s="10" t="n"/>
      <c r="E449" s="10">
        <f>IF(D449="","",MIN(D449,100))</f>
        <v/>
      </c>
      <c r="F449" s="10" t="n"/>
      <c r="G449" s="10">
        <f>IF(F449="","",MIN(F449,100))</f>
        <v/>
      </c>
      <c r="H449" s="11">
        <f>IF(A449="","",Universe!E449/BDP(A449&amp;" US Equity","HIGH_52WEEK")*100)</f>
        <v/>
      </c>
      <c r="I449">
        <f>IF(D449="","",D449&gt;=5)</f>
        <v/>
      </c>
      <c r="J449">
        <f>IF(F449="","",F449&gt;=5)</f>
        <v/>
      </c>
      <c r="K449">
        <f>IF(H449="","",H449&gt;=75)</f>
        <v/>
      </c>
      <c r="L449">
        <f>IF(OR(I449="",J449="",K449=""),FALSE,AND(I449,J449,K449))</f>
        <v/>
      </c>
    </row>
    <row r="450">
      <c r="A450">
        <f>Universe!A450</f>
        <v/>
      </c>
      <c r="B450" s="10" t="n"/>
      <c r="C450" s="11">
        <f>IF(B450="","",PERCENTRANK.INC($B$2:$B$2501,B450)*100)</f>
        <v/>
      </c>
      <c r="D450" s="10" t="n"/>
      <c r="E450" s="10">
        <f>IF(D450="","",MIN(D450,100))</f>
        <v/>
      </c>
      <c r="F450" s="10" t="n"/>
      <c r="G450" s="10">
        <f>IF(F450="","",MIN(F450,100))</f>
        <v/>
      </c>
      <c r="H450" s="11">
        <f>IF(A450="","",Universe!E450/BDP(A450&amp;" US Equity","HIGH_52WEEK")*100)</f>
        <v/>
      </c>
      <c r="I450">
        <f>IF(D450="","",D450&gt;=5)</f>
        <v/>
      </c>
      <c r="J450">
        <f>IF(F450="","",F450&gt;=5)</f>
        <v/>
      </c>
      <c r="K450">
        <f>IF(H450="","",H450&gt;=75)</f>
        <v/>
      </c>
      <c r="L450">
        <f>IF(OR(I450="",J450="",K450=""),FALSE,AND(I450,J450,K450))</f>
        <v/>
      </c>
    </row>
    <row r="451">
      <c r="A451">
        <f>Universe!A451</f>
        <v/>
      </c>
      <c r="B451" s="10" t="n"/>
      <c r="C451" s="11">
        <f>IF(B451="","",PERCENTRANK.INC($B$2:$B$2501,B451)*100)</f>
        <v/>
      </c>
      <c r="D451" s="10" t="n"/>
      <c r="E451" s="10">
        <f>IF(D451="","",MIN(D451,100))</f>
        <v/>
      </c>
      <c r="F451" s="10" t="n"/>
      <c r="G451" s="10">
        <f>IF(F451="","",MIN(F451,100))</f>
        <v/>
      </c>
      <c r="H451" s="11">
        <f>IF(A451="","",Universe!E451/BDP(A451&amp;" US Equity","HIGH_52WEEK")*100)</f>
        <v/>
      </c>
      <c r="I451">
        <f>IF(D451="","",D451&gt;=5)</f>
        <v/>
      </c>
      <c r="J451">
        <f>IF(F451="","",F451&gt;=5)</f>
        <v/>
      </c>
      <c r="K451">
        <f>IF(H451="","",H451&gt;=75)</f>
        <v/>
      </c>
      <c r="L451">
        <f>IF(OR(I451="",J451="",K451=""),FALSE,AND(I451,J451,K451))</f>
        <v/>
      </c>
    </row>
    <row r="452">
      <c r="A452">
        <f>Universe!A452</f>
        <v/>
      </c>
      <c r="B452" s="10" t="n"/>
      <c r="C452" s="11">
        <f>IF(B452="","",PERCENTRANK.INC($B$2:$B$2501,B452)*100)</f>
        <v/>
      </c>
      <c r="D452" s="10" t="n"/>
      <c r="E452" s="10">
        <f>IF(D452="","",MIN(D452,100))</f>
        <v/>
      </c>
      <c r="F452" s="10" t="n"/>
      <c r="G452" s="10">
        <f>IF(F452="","",MIN(F452,100))</f>
        <v/>
      </c>
      <c r="H452" s="11">
        <f>IF(A452="","",Universe!E452/BDP(A452&amp;" US Equity","HIGH_52WEEK")*100)</f>
        <v/>
      </c>
      <c r="I452">
        <f>IF(D452="","",D452&gt;=5)</f>
        <v/>
      </c>
      <c r="J452">
        <f>IF(F452="","",F452&gt;=5)</f>
        <v/>
      </c>
      <c r="K452">
        <f>IF(H452="","",H452&gt;=75)</f>
        <v/>
      </c>
      <c r="L452">
        <f>IF(OR(I452="",J452="",K452=""),FALSE,AND(I452,J452,K452))</f>
        <v/>
      </c>
    </row>
    <row r="453">
      <c r="A453">
        <f>Universe!A453</f>
        <v/>
      </c>
      <c r="B453" s="10" t="n"/>
      <c r="C453" s="11">
        <f>IF(B453="","",PERCENTRANK.INC($B$2:$B$2501,B453)*100)</f>
        <v/>
      </c>
      <c r="D453" s="10" t="n"/>
      <c r="E453" s="10">
        <f>IF(D453="","",MIN(D453,100))</f>
        <v/>
      </c>
      <c r="F453" s="10" t="n"/>
      <c r="G453" s="10">
        <f>IF(F453="","",MIN(F453,100))</f>
        <v/>
      </c>
      <c r="H453" s="11">
        <f>IF(A453="","",Universe!E453/BDP(A453&amp;" US Equity","HIGH_52WEEK")*100)</f>
        <v/>
      </c>
      <c r="I453">
        <f>IF(D453="","",D453&gt;=5)</f>
        <v/>
      </c>
      <c r="J453">
        <f>IF(F453="","",F453&gt;=5)</f>
        <v/>
      </c>
      <c r="K453">
        <f>IF(H453="","",H453&gt;=75)</f>
        <v/>
      </c>
      <c r="L453">
        <f>IF(OR(I453="",J453="",K453=""),FALSE,AND(I453,J453,K453))</f>
        <v/>
      </c>
    </row>
    <row r="454">
      <c r="A454">
        <f>Universe!A454</f>
        <v/>
      </c>
      <c r="B454" s="10" t="n"/>
      <c r="C454" s="11">
        <f>IF(B454="","",PERCENTRANK.INC($B$2:$B$2501,B454)*100)</f>
        <v/>
      </c>
      <c r="D454" s="10" t="n"/>
      <c r="E454" s="10">
        <f>IF(D454="","",MIN(D454,100))</f>
        <v/>
      </c>
      <c r="F454" s="10" t="n"/>
      <c r="G454" s="10">
        <f>IF(F454="","",MIN(F454,100))</f>
        <v/>
      </c>
      <c r="H454" s="11">
        <f>IF(A454="","",Universe!E454/BDP(A454&amp;" US Equity","HIGH_52WEEK")*100)</f>
        <v/>
      </c>
      <c r="I454">
        <f>IF(D454="","",D454&gt;=5)</f>
        <v/>
      </c>
      <c r="J454">
        <f>IF(F454="","",F454&gt;=5)</f>
        <v/>
      </c>
      <c r="K454">
        <f>IF(H454="","",H454&gt;=75)</f>
        <v/>
      </c>
      <c r="L454">
        <f>IF(OR(I454="",J454="",K454=""),FALSE,AND(I454,J454,K454))</f>
        <v/>
      </c>
    </row>
    <row r="455">
      <c r="A455">
        <f>Universe!A455</f>
        <v/>
      </c>
      <c r="B455" s="10" t="n"/>
      <c r="C455" s="11">
        <f>IF(B455="","",PERCENTRANK.INC($B$2:$B$2501,B455)*100)</f>
        <v/>
      </c>
      <c r="D455" s="10" t="n"/>
      <c r="E455" s="10">
        <f>IF(D455="","",MIN(D455,100))</f>
        <v/>
      </c>
      <c r="F455" s="10" t="n"/>
      <c r="G455" s="10">
        <f>IF(F455="","",MIN(F455,100))</f>
        <v/>
      </c>
      <c r="H455" s="11">
        <f>IF(A455="","",Universe!E455/BDP(A455&amp;" US Equity","HIGH_52WEEK")*100)</f>
        <v/>
      </c>
      <c r="I455">
        <f>IF(D455="","",D455&gt;=5)</f>
        <v/>
      </c>
      <c r="J455">
        <f>IF(F455="","",F455&gt;=5)</f>
        <v/>
      </c>
      <c r="K455">
        <f>IF(H455="","",H455&gt;=75)</f>
        <v/>
      </c>
      <c r="L455">
        <f>IF(OR(I455="",J455="",K455=""),FALSE,AND(I455,J455,K455))</f>
        <v/>
      </c>
    </row>
    <row r="456">
      <c r="A456">
        <f>Universe!A456</f>
        <v/>
      </c>
      <c r="B456" s="10" t="n"/>
      <c r="C456" s="11">
        <f>IF(B456="","",PERCENTRANK.INC($B$2:$B$2501,B456)*100)</f>
        <v/>
      </c>
      <c r="D456" s="10" t="n"/>
      <c r="E456" s="10">
        <f>IF(D456="","",MIN(D456,100))</f>
        <v/>
      </c>
      <c r="F456" s="10" t="n"/>
      <c r="G456" s="10">
        <f>IF(F456="","",MIN(F456,100))</f>
        <v/>
      </c>
      <c r="H456" s="11">
        <f>IF(A456="","",Universe!E456/BDP(A456&amp;" US Equity","HIGH_52WEEK")*100)</f>
        <v/>
      </c>
      <c r="I456">
        <f>IF(D456="","",D456&gt;=5)</f>
        <v/>
      </c>
      <c r="J456">
        <f>IF(F456="","",F456&gt;=5)</f>
        <v/>
      </c>
      <c r="K456">
        <f>IF(H456="","",H456&gt;=75)</f>
        <v/>
      </c>
      <c r="L456">
        <f>IF(OR(I456="",J456="",K456=""),FALSE,AND(I456,J456,K456))</f>
        <v/>
      </c>
    </row>
    <row r="457">
      <c r="A457">
        <f>Universe!A457</f>
        <v/>
      </c>
      <c r="B457" s="10" t="n"/>
      <c r="C457" s="11">
        <f>IF(B457="","",PERCENTRANK.INC($B$2:$B$2501,B457)*100)</f>
        <v/>
      </c>
      <c r="D457" s="10" t="n"/>
      <c r="E457" s="10">
        <f>IF(D457="","",MIN(D457,100))</f>
        <v/>
      </c>
      <c r="F457" s="10" t="n"/>
      <c r="G457" s="10">
        <f>IF(F457="","",MIN(F457,100))</f>
        <v/>
      </c>
      <c r="H457" s="11">
        <f>IF(A457="","",Universe!E457/BDP(A457&amp;" US Equity","HIGH_52WEEK")*100)</f>
        <v/>
      </c>
      <c r="I457">
        <f>IF(D457="","",D457&gt;=5)</f>
        <v/>
      </c>
      <c r="J457">
        <f>IF(F457="","",F457&gt;=5)</f>
        <v/>
      </c>
      <c r="K457">
        <f>IF(H457="","",H457&gt;=75)</f>
        <v/>
      </c>
      <c r="L457">
        <f>IF(OR(I457="",J457="",K457=""),FALSE,AND(I457,J457,K457))</f>
        <v/>
      </c>
    </row>
    <row r="458">
      <c r="A458">
        <f>Universe!A458</f>
        <v/>
      </c>
      <c r="B458" s="10" t="n"/>
      <c r="C458" s="11">
        <f>IF(B458="","",PERCENTRANK.INC($B$2:$B$2501,B458)*100)</f>
        <v/>
      </c>
      <c r="D458" s="10" t="n"/>
      <c r="E458" s="10">
        <f>IF(D458="","",MIN(D458,100))</f>
        <v/>
      </c>
      <c r="F458" s="10" t="n"/>
      <c r="G458" s="10">
        <f>IF(F458="","",MIN(F458,100))</f>
        <v/>
      </c>
      <c r="H458" s="11">
        <f>IF(A458="","",Universe!E458/BDP(A458&amp;" US Equity","HIGH_52WEEK")*100)</f>
        <v/>
      </c>
      <c r="I458">
        <f>IF(D458="","",D458&gt;=5)</f>
        <v/>
      </c>
      <c r="J458">
        <f>IF(F458="","",F458&gt;=5)</f>
        <v/>
      </c>
      <c r="K458">
        <f>IF(H458="","",H458&gt;=75)</f>
        <v/>
      </c>
      <c r="L458">
        <f>IF(OR(I458="",J458="",K458=""),FALSE,AND(I458,J458,K458))</f>
        <v/>
      </c>
    </row>
    <row r="459">
      <c r="A459">
        <f>Universe!A459</f>
        <v/>
      </c>
      <c r="B459" s="10" t="n"/>
      <c r="C459" s="11">
        <f>IF(B459="","",PERCENTRANK.INC($B$2:$B$2501,B459)*100)</f>
        <v/>
      </c>
      <c r="D459" s="10" t="n"/>
      <c r="E459" s="10">
        <f>IF(D459="","",MIN(D459,100))</f>
        <v/>
      </c>
      <c r="F459" s="10" t="n"/>
      <c r="G459" s="10">
        <f>IF(F459="","",MIN(F459,100))</f>
        <v/>
      </c>
      <c r="H459" s="11">
        <f>IF(A459="","",Universe!E459/BDP(A459&amp;" US Equity","HIGH_52WEEK")*100)</f>
        <v/>
      </c>
      <c r="I459">
        <f>IF(D459="","",D459&gt;=5)</f>
        <v/>
      </c>
      <c r="J459">
        <f>IF(F459="","",F459&gt;=5)</f>
        <v/>
      </c>
      <c r="K459">
        <f>IF(H459="","",H459&gt;=75)</f>
        <v/>
      </c>
      <c r="L459">
        <f>IF(OR(I459="",J459="",K459=""),FALSE,AND(I459,J459,K459))</f>
        <v/>
      </c>
    </row>
    <row r="460">
      <c r="A460">
        <f>Universe!A460</f>
        <v/>
      </c>
      <c r="B460" s="10" t="n"/>
      <c r="C460" s="11">
        <f>IF(B460="","",PERCENTRANK.INC($B$2:$B$2501,B460)*100)</f>
        <v/>
      </c>
      <c r="D460" s="10" t="n"/>
      <c r="E460" s="10">
        <f>IF(D460="","",MIN(D460,100))</f>
        <v/>
      </c>
      <c r="F460" s="10" t="n"/>
      <c r="G460" s="10">
        <f>IF(F460="","",MIN(F460,100))</f>
        <v/>
      </c>
      <c r="H460" s="11">
        <f>IF(A460="","",Universe!E460/BDP(A460&amp;" US Equity","HIGH_52WEEK")*100)</f>
        <v/>
      </c>
      <c r="I460">
        <f>IF(D460="","",D460&gt;=5)</f>
        <v/>
      </c>
      <c r="J460">
        <f>IF(F460="","",F460&gt;=5)</f>
        <v/>
      </c>
      <c r="K460">
        <f>IF(H460="","",H460&gt;=75)</f>
        <v/>
      </c>
      <c r="L460">
        <f>IF(OR(I460="",J460="",K460=""),FALSE,AND(I460,J460,K460))</f>
        <v/>
      </c>
    </row>
    <row r="461">
      <c r="A461">
        <f>Universe!A461</f>
        <v/>
      </c>
      <c r="B461" s="10" t="n"/>
      <c r="C461" s="11">
        <f>IF(B461="","",PERCENTRANK.INC($B$2:$B$2501,B461)*100)</f>
        <v/>
      </c>
      <c r="D461" s="10" t="n"/>
      <c r="E461" s="10">
        <f>IF(D461="","",MIN(D461,100))</f>
        <v/>
      </c>
      <c r="F461" s="10" t="n"/>
      <c r="G461" s="10">
        <f>IF(F461="","",MIN(F461,100))</f>
        <v/>
      </c>
      <c r="H461" s="11">
        <f>IF(A461="","",Universe!E461/BDP(A461&amp;" US Equity","HIGH_52WEEK")*100)</f>
        <v/>
      </c>
      <c r="I461">
        <f>IF(D461="","",D461&gt;=5)</f>
        <v/>
      </c>
      <c r="J461">
        <f>IF(F461="","",F461&gt;=5)</f>
        <v/>
      </c>
      <c r="K461">
        <f>IF(H461="","",H461&gt;=75)</f>
        <v/>
      </c>
      <c r="L461">
        <f>IF(OR(I461="",J461="",K461=""),FALSE,AND(I461,J461,K461))</f>
        <v/>
      </c>
    </row>
    <row r="462">
      <c r="A462">
        <f>Universe!A462</f>
        <v/>
      </c>
      <c r="B462" s="10" t="n"/>
      <c r="C462" s="11">
        <f>IF(B462="","",PERCENTRANK.INC($B$2:$B$2501,B462)*100)</f>
        <v/>
      </c>
      <c r="D462" s="10" t="n"/>
      <c r="E462" s="10">
        <f>IF(D462="","",MIN(D462,100))</f>
        <v/>
      </c>
      <c r="F462" s="10" t="n"/>
      <c r="G462" s="10">
        <f>IF(F462="","",MIN(F462,100))</f>
        <v/>
      </c>
      <c r="H462" s="11">
        <f>IF(A462="","",Universe!E462/BDP(A462&amp;" US Equity","HIGH_52WEEK")*100)</f>
        <v/>
      </c>
      <c r="I462">
        <f>IF(D462="","",D462&gt;=5)</f>
        <v/>
      </c>
      <c r="J462">
        <f>IF(F462="","",F462&gt;=5)</f>
        <v/>
      </c>
      <c r="K462">
        <f>IF(H462="","",H462&gt;=75)</f>
        <v/>
      </c>
      <c r="L462">
        <f>IF(OR(I462="",J462="",K462=""),FALSE,AND(I462,J462,K462))</f>
        <v/>
      </c>
    </row>
    <row r="463">
      <c r="A463">
        <f>Universe!A463</f>
        <v/>
      </c>
      <c r="B463" s="10" t="n"/>
      <c r="C463" s="11">
        <f>IF(B463="","",PERCENTRANK.INC($B$2:$B$2501,B463)*100)</f>
        <v/>
      </c>
      <c r="D463" s="10" t="n"/>
      <c r="E463" s="10">
        <f>IF(D463="","",MIN(D463,100))</f>
        <v/>
      </c>
      <c r="F463" s="10" t="n"/>
      <c r="G463" s="10">
        <f>IF(F463="","",MIN(F463,100))</f>
        <v/>
      </c>
      <c r="H463" s="11">
        <f>IF(A463="","",Universe!E463/BDP(A463&amp;" US Equity","HIGH_52WEEK")*100)</f>
        <v/>
      </c>
      <c r="I463">
        <f>IF(D463="","",D463&gt;=5)</f>
        <v/>
      </c>
      <c r="J463">
        <f>IF(F463="","",F463&gt;=5)</f>
        <v/>
      </c>
      <c r="K463">
        <f>IF(H463="","",H463&gt;=75)</f>
        <v/>
      </c>
      <c r="L463">
        <f>IF(OR(I463="",J463="",K463=""),FALSE,AND(I463,J463,K463))</f>
        <v/>
      </c>
    </row>
    <row r="464">
      <c r="A464">
        <f>Universe!A464</f>
        <v/>
      </c>
      <c r="B464" s="10" t="n"/>
      <c r="C464" s="11">
        <f>IF(B464="","",PERCENTRANK.INC($B$2:$B$2501,B464)*100)</f>
        <v/>
      </c>
      <c r="D464" s="10" t="n"/>
      <c r="E464" s="10">
        <f>IF(D464="","",MIN(D464,100))</f>
        <v/>
      </c>
      <c r="F464" s="10" t="n"/>
      <c r="G464" s="10">
        <f>IF(F464="","",MIN(F464,100))</f>
        <v/>
      </c>
      <c r="H464" s="11">
        <f>IF(A464="","",Universe!E464/BDP(A464&amp;" US Equity","HIGH_52WEEK")*100)</f>
        <v/>
      </c>
      <c r="I464">
        <f>IF(D464="","",D464&gt;=5)</f>
        <v/>
      </c>
      <c r="J464">
        <f>IF(F464="","",F464&gt;=5)</f>
        <v/>
      </c>
      <c r="K464">
        <f>IF(H464="","",H464&gt;=75)</f>
        <v/>
      </c>
      <c r="L464">
        <f>IF(OR(I464="",J464="",K464=""),FALSE,AND(I464,J464,K464))</f>
        <v/>
      </c>
    </row>
    <row r="465">
      <c r="A465">
        <f>Universe!A465</f>
        <v/>
      </c>
      <c r="B465" s="10" t="n"/>
      <c r="C465" s="11">
        <f>IF(B465="","",PERCENTRANK.INC($B$2:$B$2501,B465)*100)</f>
        <v/>
      </c>
      <c r="D465" s="10" t="n"/>
      <c r="E465" s="10">
        <f>IF(D465="","",MIN(D465,100))</f>
        <v/>
      </c>
      <c r="F465" s="10" t="n"/>
      <c r="G465" s="10">
        <f>IF(F465="","",MIN(F465,100))</f>
        <v/>
      </c>
      <c r="H465" s="11">
        <f>IF(A465="","",Universe!E465/BDP(A465&amp;" US Equity","HIGH_52WEEK")*100)</f>
        <v/>
      </c>
      <c r="I465">
        <f>IF(D465="","",D465&gt;=5)</f>
        <v/>
      </c>
      <c r="J465">
        <f>IF(F465="","",F465&gt;=5)</f>
        <v/>
      </c>
      <c r="K465">
        <f>IF(H465="","",H465&gt;=75)</f>
        <v/>
      </c>
      <c r="L465">
        <f>IF(OR(I465="",J465="",K465=""),FALSE,AND(I465,J465,K465))</f>
        <v/>
      </c>
    </row>
    <row r="466">
      <c r="A466">
        <f>Universe!A466</f>
        <v/>
      </c>
      <c r="B466" s="10" t="n"/>
      <c r="C466" s="11">
        <f>IF(B466="","",PERCENTRANK.INC($B$2:$B$2501,B466)*100)</f>
        <v/>
      </c>
      <c r="D466" s="10" t="n"/>
      <c r="E466" s="10">
        <f>IF(D466="","",MIN(D466,100))</f>
        <v/>
      </c>
      <c r="F466" s="10" t="n"/>
      <c r="G466" s="10">
        <f>IF(F466="","",MIN(F466,100))</f>
        <v/>
      </c>
      <c r="H466" s="11">
        <f>IF(A466="","",Universe!E466/BDP(A466&amp;" US Equity","HIGH_52WEEK")*100)</f>
        <v/>
      </c>
      <c r="I466">
        <f>IF(D466="","",D466&gt;=5)</f>
        <v/>
      </c>
      <c r="J466">
        <f>IF(F466="","",F466&gt;=5)</f>
        <v/>
      </c>
      <c r="K466">
        <f>IF(H466="","",H466&gt;=75)</f>
        <v/>
      </c>
      <c r="L466">
        <f>IF(OR(I466="",J466="",K466=""),FALSE,AND(I466,J466,K466))</f>
        <v/>
      </c>
    </row>
    <row r="467">
      <c r="A467">
        <f>Universe!A467</f>
        <v/>
      </c>
      <c r="B467" s="10" t="n"/>
      <c r="C467" s="11">
        <f>IF(B467="","",PERCENTRANK.INC($B$2:$B$2501,B467)*100)</f>
        <v/>
      </c>
      <c r="D467" s="10" t="n"/>
      <c r="E467" s="10">
        <f>IF(D467="","",MIN(D467,100))</f>
        <v/>
      </c>
      <c r="F467" s="10" t="n"/>
      <c r="G467" s="10">
        <f>IF(F467="","",MIN(F467,100))</f>
        <v/>
      </c>
      <c r="H467" s="11">
        <f>IF(A467="","",Universe!E467/BDP(A467&amp;" US Equity","HIGH_52WEEK")*100)</f>
        <v/>
      </c>
      <c r="I467">
        <f>IF(D467="","",D467&gt;=5)</f>
        <v/>
      </c>
      <c r="J467">
        <f>IF(F467="","",F467&gt;=5)</f>
        <v/>
      </c>
      <c r="K467">
        <f>IF(H467="","",H467&gt;=75)</f>
        <v/>
      </c>
      <c r="L467">
        <f>IF(OR(I467="",J467="",K467=""),FALSE,AND(I467,J467,K467))</f>
        <v/>
      </c>
    </row>
    <row r="468">
      <c r="A468">
        <f>Universe!A468</f>
        <v/>
      </c>
      <c r="B468" s="10" t="n"/>
      <c r="C468" s="11">
        <f>IF(B468="","",PERCENTRANK.INC($B$2:$B$2501,B468)*100)</f>
        <v/>
      </c>
      <c r="D468" s="10" t="n"/>
      <c r="E468" s="10">
        <f>IF(D468="","",MIN(D468,100))</f>
        <v/>
      </c>
      <c r="F468" s="10" t="n"/>
      <c r="G468" s="10">
        <f>IF(F468="","",MIN(F468,100))</f>
        <v/>
      </c>
      <c r="H468" s="11">
        <f>IF(A468="","",Universe!E468/BDP(A468&amp;" US Equity","HIGH_52WEEK")*100)</f>
        <v/>
      </c>
      <c r="I468">
        <f>IF(D468="","",D468&gt;=5)</f>
        <v/>
      </c>
      <c r="J468">
        <f>IF(F468="","",F468&gt;=5)</f>
        <v/>
      </c>
      <c r="K468">
        <f>IF(H468="","",H468&gt;=75)</f>
        <v/>
      </c>
      <c r="L468">
        <f>IF(OR(I468="",J468="",K468=""),FALSE,AND(I468,J468,K468))</f>
        <v/>
      </c>
    </row>
    <row r="469">
      <c r="A469">
        <f>Universe!A469</f>
        <v/>
      </c>
      <c r="B469" s="10" t="n"/>
      <c r="C469" s="11">
        <f>IF(B469="","",PERCENTRANK.INC($B$2:$B$2501,B469)*100)</f>
        <v/>
      </c>
      <c r="D469" s="10" t="n"/>
      <c r="E469" s="10">
        <f>IF(D469="","",MIN(D469,100))</f>
        <v/>
      </c>
      <c r="F469" s="10" t="n"/>
      <c r="G469" s="10">
        <f>IF(F469="","",MIN(F469,100))</f>
        <v/>
      </c>
      <c r="H469" s="11">
        <f>IF(A469="","",Universe!E469/BDP(A469&amp;" US Equity","HIGH_52WEEK")*100)</f>
        <v/>
      </c>
      <c r="I469">
        <f>IF(D469="","",D469&gt;=5)</f>
        <v/>
      </c>
      <c r="J469">
        <f>IF(F469="","",F469&gt;=5)</f>
        <v/>
      </c>
      <c r="K469">
        <f>IF(H469="","",H469&gt;=75)</f>
        <v/>
      </c>
      <c r="L469">
        <f>IF(OR(I469="",J469="",K469=""),FALSE,AND(I469,J469,K469))</f>
        <v/>
      </c>
    </row>
    <row r="470">
      <c r="A470">
        <f>Universe!A470</f>
        <v/>
      </c>
      <c r="B470" s="10" t="n"/>
      <c r="C470" s="11">
        <f>IF(B470="","",PERCENTRANK.INC($B$2:$B$2501,B470)*100)</f>
        <v/>
      </c>
      <c r="D470" s="10" t="n"/>
      <c r="E470" s="10">
        <f>IF(D470="","",MIN(D470,100))</f>
        <v/>
      </c>
      <c r="F470" s="10" t="n"/>
      <c r="G470" s="10">
        <f>IF(F470="","",MIN(F470,100))</f>
        <v/>
      </c>
      <c r="H470" s="11">
        <f>IF(A470="","",Universe!E470/BDP(A470&amp;" US Equity","HIGH_52WEEK")*100)</f>
        <v/>
      </c>
      <c r="I470">
        <f>IF(D470="","",D470&gt;=5)</f>
        <v/>
      </c>
      <c r="J470">
        <f>IF(F470="","",F470&gt;=5)</f>
        <v/>
      </c>
      <c r="K470">
        <f>IF(H470="","",H470&gt;=75)</f>
        <v/>
      </c>
      <c r="L470">
        <f>IF(OR(I470="",J470="",K470=""),FALSE,AND(I470,J470,K470))</f>
        <v/>
      </c>
    </row>
    <row r="471">
      <c r="A471">
        <f>Universe!A471</f>
        <v/>
      </c>
      <c r="B471" s="10" t="n"/>
      <c r="C471" s="11">
        <f>IF(B471="","",PERCENTRANK.INC($B$2:$B$2501,B471)*100)</f>
        <v/>
      </c>
      <c r="D471" s="10" t="n"/>
      <c r="E471" s="10">
        <f>IF(D471="","",MIN(D471,100))</f>
        <v/>
      </c>
      <c r="F471" s="10" t="n"/>
      <c r="G471" s="10">
        <f>IF(F471="","",MIN(F471,100))</f>
        <v/>
      </c>
      <c r="H471" s="11">
        <f>IF(A471="","",Universe!E471/BDP(A471&amp;" US Equity","HIGH_52WEEK")*100)</f>
        <v/>
      </c>
      <c r="I471">
        <f>IF(D471="","",D471&gt;=5)</f>
        <v/>
      </c>
      <c r="J471">
        <f>IF(F471="","",F471&gt;=5)</f>
        <v/>
      </c>
      <c r="K471">
        <f>IF(H471="","",H471&gt;=75)</f>
        <v/>
      </c>
      <c r="L471">
        <f>IF(OR(I471="",J471="",K471=""),FALSE,AND(I471,J471,K471))</f>
        <v/>
      </c>
    </row>
    <row r="472">
      <c r="A472">
        <f>Universe!A472</f>
        <v/>
      </c>
      <c r="B472" s="10" t="n"/>
      <c r="C472" s="11">
        <f>IF(B472="","",PERCENTRANK.INC($B$2:$B$2501,B472)*100)</f>
        <v/>
      </c>
      <c r="D472" s="10" t="n"/>
      <c r="E472" s="10">
        <f>IF(D472="","",MIN(D472,100))</f>
        <v/>
      </c>
      <c r="F472" s="10" t="n"/>
      <c r="G472" s="10">
        <f>IF(F472="","",MIN(F472,100))</f>
        <v/>
      </c>
      <c r="H472" s="11">
        <f>IF(A472="","",Universe!E472/BDP(A472&amp;" US Equity","HIGH_52WEEK")*100)</f>
        <v/>
      </c>
      <c r="I472">
        <f>IF(D472="","",D472&gt;=5)</f>
        <v/>
      </c>
      <c r="J472">
        <f>IF(F472="","",F472&gt;=5)</f>
        <v/>
      </c>
      <c r="K472">
        <f>IF(H472="","",H472&gt;=75)</f>
        <v/>
      </c>
      <c r="L472">
        <f>IF(OR(I472="",J472="",K472=""),FALSE,AND(I472,J472,K472))</f>
        <v/>
      </c>
    </row>
    <row r="473">
      <c r="A473">
        <f>Universe!A473</f>
        <v/>
      </c>
      <c r="B473" s="10" t="n"/>
      <c r="C473" s="11">
        <f>IF(B473="","",PERCENTRANK.INC($B$2:$B$2501,B473)*100)</f>
        <v/>
      </c>
      <c r="D473" s="10" t="n"/>
      <c r="E473" s="10">
        <f>IF(D473="","",MIN(D473,100))</f>
        <v/>
      </c>
      <c r="F473" s="10" t="n"/>
      <c r="G473" s="10">
        <f>IF(F473="","",MIN(F473,100))</f>
        <v/>
      </c>
      <c r="H473" s="11">
        <f>IF(A473="","",Universe!E473/BDP(A473&amp;" US Equity","HIGH_52WEEK")*100)</f>
        <v/>
      </c>
      <c r="I473">
        <f>IF(D473="","",D473&gt;=5)</f>
        <v/>
      </c>
      <c r="J473">
        <f>IF(F473="","",F473&gt;=5)</f>
        <v/>
      </c>
      <c r="K473">
        <f>IF(H473="","",H473&gt;=75)</f>
        <v/>
      </c>
      <c r="L473">
        <f>IF(OR(I473="",J473="",K473=""),FALSE,AND(I473,J473,K473))</f>
        <v/>
      </c>
    </row>
    <row r="474">
      <c r="A474">
        <f>Universe!A474</f>
        <v/>
      </c>
      <c r="B474" s="10" t="n"/>
      <c r="C474" s="11">
        <f>IF(B474="","",PERCENTRANK.INC($B$2:$B$2501,B474)*100)</f>
        <v/>
      </c>
      <c r="D474" s="10" t="n"/>
      <c r="E474" s="10">
        <f>IF(D474="","",MIN(D474,100))</f>
        <v/>
      </c>
      <c r="F474" s="10" t="n"/>
      <c r="G474" s="10">
        <f>IF(F474="","",MIN(F474,100))</f>
        <v/>
      </c>
      <c r="H474" s="11">
        <f>IF(A474="","",Universe!E474/BDP(A474&amp;" US Equity","HIGH_52WEEK")*100)</f>
        <v/>
      </c>
      <c r="I474">
        <f>IF(D474="","",D474&gt;=5)</f>
        <v/>
      </c>
      <c r="J474">
        <f>IF(F474="","",F474&gt;=5)</f>
        <v/>
      </c>
      <c r="K474">
        <f>IF(H474="","",H474&gt;=75)</f>
        <v/>
      </c>
      <c r="L474">
        <f>IF(OR(I474="",J474="",K474=""),FALSE,AND(I474,J474,K474))</f>
        <v/>
      </c>
    </row>
    <row r="475">
      <c r="A475">
        <f>Universe!A475</f>
        <v/>
      </c>
      <c r="B475" s="10" t="n"/>
      <c r="C475" s="11">
        <f>IF(B475="","",PERCENTRANK.INC($B$2:$B$2501,B475)*100)</f>
        <v/>
      </c>
      <c r="D475" s="10" t="n"/>
      <c r="E475" s="10">
        <f>IF(D475="","",MIN(D475,100))</f>
        <v/>
      </c>
      <c r="F475" s="10" t="n"/>
      <c r="G475" s="10">
        <f>IF(F475="","",MIN(F475,100))</f>
        <v/>
      </c>
      <c r="H475" s="11">
        <f>IF(A475="","",Universe!E475/BDP(A475&amp;" US Equity","HIGH_52WEEK")*100)</f>
        <v/>
      </c>
      <c r="I475">
        <f>IF(D475="","",D475&gt;=5)</f>
        <v/>
      </c>
      <c r="J475">
        <f>IF(F475="","",F475&gt;=5)</f>
        <v/>
      </c>
      <c r="K475">
        <f>IF(H475="","",H475&gt;=75)</f>
        <v/>
      </c>
      <c r="L475">
        <f>IF(OR(I475="",J475="",K475=""),FALSE,AND(I475,J475,K475))</f>
        <v/>
      </c>
    </row>
    <row r="476">
      <c r="A476">
        <f>Universe!A476</f>
        <v/>
      </c>
      <c r="B476" s="10" t="n"/>
      <c r="C476" s="11">
        <f>IF(B476="","",PERCENTRANK.INC($B$2:$B$2501,B476)*100)</f>
        <v/>
      </c>
      <c r="D476" s="10" t="n"/>
      <c r="E476" s="10">
        <f>IF(D476="","",MIN(D476,100))</f>
        <v/>
      </c>
      <c r="F476" s="10" t="n"/>
      <c r="G476" s="10">
        <f>IF(F476="","",MIN(F476,100))</f>
        <v/>
      </c>
      <c r="H476" s="11">
        <f>IF(A476="","",Universe!E476/BDP(A476&amp;" US Equity","HIGH_52WEEK")*100)</f>
        <v/>
      </c>
      <c r="I476">
        <f>IF(D476="","",D476&gt;=5)</f>
        <v/>
      </c>
      <c r="J476">
        <f>IF(F476="","",F476&gt;=5)</f>
        <v/>
      </c>
      <c r="K476">
        <f>IF(H476="","",H476&gt;=75)</f>
        <v/>
      </c>
      <c r="L476">
        <f>IF(OR(I476="",J476="",K476=""),FALSE,AND(I476,J476,K476))</f>
        <v/>
      </c>
    </row>
    <row r="477">
      <c r="A477">
        <f>Universe!A477</f>
        <v/>
      </c>
      <c r="B477" s="10" t="n"/>
      <c r="C477" s="11">
        <f>IF(B477="","",PERCENTRANK.INC($B$2:$B$2501,B477)*100)</f>
        <v/>
      </c>
      <c r="D477" s="10" t="n"/>
      <c r="E477" s="10">
        <f>IF(D477="","",MIN(D477,100))</f>
        <v/>
      </c>
      <c r="F477" s="10" t="n"/>
      <c r="G477" s="10">
        <f>IF(F477="","",MIN(F477,100))</f>
        <v/>
      </c>
      <c r="H477" s="11">
        <f>IF(A477="","",Universe!E477/BDP(A477&amp;" US Equity","HIGH_52WEEK")*100)</f>
        <v/>
      </c>
      <c r="I477">
        <f>IF(D477="","",D477&gt;=5)</f>
        <v/>
      </c>
      <c r="J477">
        <f>IF(F477="","",F477&gt;=5)</f>
        <v/>
      </c>
      <c r="K477">
        <f>IF(H477="","",H477&gt;=75)</f>
        <v/>
      </c>
      <c r="L477">
        <f>IF(OR(I477="",J477="",K477=""),FALSE,AND(I477,J477,K477))</f>
        <v/>
      </c>
    </row>
    <row r="478">
      <c r="A478">
        <f>Universe!A478</f>
        <v/>
      </c>
      <c r="B478" s="10" t="n"/>
      <c r="C478" s="11">
        <f>IF(B478="","",PERCENTRANK.INC($B$2:$B$2501,B478)*100)</f>
        <v/>
      </c>
      <c r="D478" s="10" t="n"/>
      <c r="E478" s="10">
        <f>IF(D478="","",MIN(D478,100))</f>
        <v/>
      </c>
      <c r="F478" s="10" t="n"/>
      <c r="G478" s="10">
        <f>IF(F478="","",MIN(F478,100))</f>
        <v/>
      </c>
      <c r="H478" s="11">
        <f>IF(A478="","",Universe!E478/BDP(A478&amp;" US Equity","HIGH_52WEEK")*100)</f>
        <v/>
      </c>
      <c r="I478">
        <f>IF(D478="","",D478&gt;=5)</f>
        <v/>
      </c>
      <c r="J478">
        <f>IF(F478="","",F478&gt;=5)</f>
        <v/>
      </c>
      <c r="K478">
        <f>IF(H478="","",H478&gt;=75)</f>
        <v/>
      </c>
      <c r="L478">
        <f>IF(OR(I478="",J478="",K478=""),FALSE,AND(I478,J478,K478))</f>
        <v/>
      </c>
    </row>
    <row r="479">
      <c r="A479">
        <f>Universe!A479</f>
        <v/>
      </c>
      <c r="B479" s="10" t="n"/>
      <c r="C479" s="11">
        <f>IF(B479="","",PERCENTRANK.INC($B$2:$B$2501,B479)*100)</f>
        <v/>
      </c>
      <c r="D479" s="10" t="n"/>
      <c r="E479" s="10">
        <f>IF(D479="","",MIN(D479,100))</f>
        <v/>
      </c>
      <c r="F479" s="10" t="n"/>
      <c r="G479" s="10">
        <f>IF(F479="","",MIN(F479,100))</f>
        <v/>
      </c>
      <c r="H479" s="11">
        <f>IF(A479="","",Universe!E479/BDP(A479&amp;" US Equity","HIGH_52WEEK")*100)</f>
        <v/>
      </c>
      <c r="I479">
        <f>IF(D479="","",D479&gt;=5)</f>
        <v/>
      </c>
      <c r="J479">
        <f>IF(F479="","",F479&gt;=5)</f>
        <v/>
      </c>
      <c r="K479">
        <f>IF(H479="","",H479&gt;=75)</f>
        <v/>
      </c>
      <c r="L479">
        <f>IF(OR(I479="",J479="",K479=""),FALSE,AND(I479,J479,K479))</f>
        <v/>
      </c>
    </row>
    <row r="480">
      <c r="A480">
        <f>Universe!A480</f>
        <v/>
      </c>
      <c r="B480" s="10" t="n"/>
      <c r="C480" s="11">
        <f>IF(B480="","",PERCENTRANK.INC($B$2:$B$2501,B480)*100)</f>
        <v/>
      </c>
      <c r="D480" s="10" t="n"/>
      <c r="E480" s="10">
        <f>IF(D480="","",MIN(D480,100))</f>
        <v/>
      </c>
      <c r="F480" s="10" t="n"/>
      <c r="G480" s="10">
        <f>IF(F480="","",MIN(F480,100))</f>
        <v/>
      </c>
      <c r="H480" s="11">
        <f>IF(A480="","",Universe!E480/BDP(A480&amp;" US Equity","HIGH_52WEEK")*100)</f>
        <v/>
      </c>
      <c r="I480">
        <f>IF(D480="","",D480&gt;=5)</f>
        <v/>
      </c>
      <c r="J480">
        <f>IF(F480="","",F480&gt;=5)</f>
        <v/>
      </c>
      <c r="K480">
        <f>IF(H480="","",H480&gt;=75)</f>
        <v/>
      </c>
      <c r="L480">
        <f>IF(OR(I480="",J480="",K480=""),FALSE,AND(I480,J480,K480))</f>
        <v/>
      </c>
    </row>
    <row r="481">
      <c r="A481">
        <f>Universe!A481</f>
        <v/>
      </c>
      <c r="B481" s="10" t="n"/>
      <c r="C481" s="11">
        <f>IF(B481="","",PERCENTRANK.INC($B$2:$B$2501,B481)*100)</f>
        <v/>
      </c>
      <c r="D481" s="10" t="n"/>
      <c r="E481" s="10">
        <f>IF(D481="","",MIN(D481,100))</f>
        <v/>
      </c>
      <c r="F481" s="10" t="n"/>
      <c r="G481" s="10">
        <f>IF(F481="","",MIN(F481,100))</f>
        <v/>
      </c>
      <c r="H481" s="11">
        <f>IF(A481="","",Universe!E481/BDP(A481&amp;" US Equity","HIGH_52WEEK")*100)</f>
        <v/>
      </c>
      <c r="I481">
        <f>IF(D481="","",D481&gt;=5)</f>
        <v/>
      </c>
      <c r="J481">
        <f>IF(F481="","",F481&gt;=5)</f>
        <v/>
      </c>
      <c r="K481">
        <f>IF(H481="","",H481&gt;=75)</f>
        <v/>
      </c>
      <c r="L481">
        <f>IF(OR(I481="",J481="",K481=""),FALSE,AND(I481,J481,K481))</f>
        <v/>
      </c>
    </row>
    <row r="482">
      <c r="A482">
        <f>Universe!A482</f>
        <v/>
      </c>
      <c r="B482" s="10" t="n"/>
      <c r="C482" s="11">
        <f>IF(B482="","",PERCENTRANK.INC($B$2:$B$2501,B482)*100)</f>
        <v/>
      </c>
      <c r="D482" s="10" t="n"/>
      <c r="E482" s="10">
        <f>IF(D482="","",MIN(D482,100))</f>
        <v/>
      </c>
      <c r="F482" s="10" t="n"/>
      <c r="G482" s="10">
        <f>IF(F482="","",MIN(F482,100))</f>
        <v/>
      </c>
      <c r="H482" s="11">
        <f>IF(A482="","",Universe!E482/BDP(A482&amp;" US Equity","HIGH_52WEEK")*100)</f>
        <v/>
      </c>
      <c r="I482">
        <f>IF(D482="","",D482&gt;=5)</f>
        <v/>
      </c>
      <c r="J482">
        <f>IF(F482="","",F482&gt;=5)</f>
        <v/>
      </c>
      <c r="K482">
        <f>IF(H482="","",H482&gt;=75)</f>
        <v/>
      </c>
      <c r="L482">
        <f>IF(OR(I482="",J482="",K482=""),FALSE,AND(I482,J482,K482))</f>
        <v/>
      </c>
    </row>
    <row r="483">
      <c r="A483">
        <f>Universe!A483</f>
        <v/>
      </c>
      <c r="B483" s="10" t="n"/>
      <c r="C483" s="11">
        <f>IF(B483="","",PERCENTRANK.INC($B$2:$B$2501,B483)*100)</f>
        <v/>
      </c>
      <c r="D483" s="10" t="n"/>
      <c r="E483" s="10">
        <f>IF(D483="","",MIN(D483,100))</f>
        <v/>
      </c>
      <c r="F483" s="10" t="n"/>
      <c r="G483" s="10">
        <f>IF(F483="","",MIN(F483,100))</f>
        <v/>
      </c>
      <c r="H483" s="11">
        <f>IF(A483="","",Universe!E483/BDP(A483&amp;" US Equity","HIGH_52WEEK")*100)</f>
        <v/>
      </c>
      <c r="I483">
        <f>IF(D483="","",D483&gt;=5)</f>
        <v/>
      </c>
      <c r="J483">
        <f>IF(F483="","",F483&gt;=5)</f>
        <v/>
      </c>
      <c r="K483">
        <f>IF(H483="","",H483&gt;=75)</f>
        <v/>
      </c>
      <c r="L483">
        <f>IF(OR(I483="",J483="",K483=""),FALSE,AND(I483,J483,K483))</f>
        <v/>
      </c>
    </row>
    <row r="484">
      <c r="A484">
        <f>Universe!A484</f>
        <v/>
      </c>
      <c r="B484" s="10" t="n"/>
      <c r="C484" s="11">
        <f>IF(B484="","",PERCENTRANK.INC($B$2:$B$2501,B484)*100)</f>
        <v/>
      </c>
      <c r="D484" s="10" t="n"/>
      <c r="E484" s="10">
        <f>IF(D484="","",MIN(D484,100))</f>
        <v/>
      </c>
      <c r="F484" s="10" t="n"/>
      <c r="G484" s="10">
        <f>IF(F484="","",MIN(F484,100))</f>
        <v/>
      </c>
      <c r="H484" s="11">
        <f>IF(A484="","",Universe!E484/BDP(A484&amp;" US Equity","HIGH_52WEEK")*100)</f>
        <v/>
      </c>
      <c r="I484">
        <f>IF(D484="","",D484&gt;=5)</f>
        <v/>
      </c>
      <c r="J484">
        <f>IF(F484="","",F484&gt;=5)</f>
        <v/>
      </c>
      <c r="K484">
        <f>IF(H484="","",H484&gt;=75)</f>
        <v/>
      </c>
      <c r="L484">
        <f>IF(OR(I484="",J484="",K484=""),FALSE,AND(I484,J484,K484))</f>
        <v/>
      </c>
    </row>
    <row r="485">
      <c r="A485">
        <f>Universe!A485</f>
        <v/>
      </c>
      <c r="B485" s="10" t="n"/>
      <c r="C485" s="11">
        <f>IF(B485="","",PERCENTRANK.INC($B$2:$B$2501,B485)*100)</f>
        <v/>
      </c>
      <c r="D485" s="10" t="n"/>
      <c r="E485" s="10">
        <f>IF(D485="","",MIN(D485,100))</f>
        <v/>
      </c>
      <c r="F485" s="10" t="n"/>
      <c r="G485" s="10">
        <f>IF(F485="","",MIN(F485,100))</f>
        <v/>
      </c>
      <c r="H485" s="11">
        <f>IF(A485="","",Universe!E485/BDP(A485&amp;" US Equity","HIGH_52WEEK")*100)</f>
        <v/>
      </c>
      <c r="I485">
        <f>IF(D485="","",D485&gt;=5)</f>
        <v/>
      </c>
      <c r="J485">
        <f>IF(F485="","",F485&gt;=5)</f>
        <v/>
      </c>
      <c r="K485">
        <f>IF(H485="","",H485&gt;=75)</f>
        <v/>
      </c>
      <c r="L485">
        <f>IF(OR(I485="",J485="",K485=""),FALSE,AND(I485,J485,K485))</f>
        <v/>
      </c>
    </row>
    <row r="486">
      <c r="A486">
        <f>Universe!A486</f>
        <v/>
      </c>
      <c r="B486" s="10" t="n"/>
      <c r="C486" s="11">
        <f>IF(B486="","",PERCENTRANK.INC($B$2:$B$2501,B486)*100)</f>
        <v/>
      </c>
      <c r="D486" s="10" t="n"/>
      <c r="E486" s="10">
        <f>IF(D486="","",MIN(D486,100))</f>
        <v/>
      </c>
      <c r="F486" s="10" t="n"/>
      <c r="G486" s="10">
        <f>IF(F486="","",MIN(F486,100))</f>
        <v/>
      </c>
      <c r="H486" s="11">
        <f>IF(A486="","",Universe!E486/BDP(A486&amp;" US Equity","HIGH_52WEEK")*100)</f>
        <v/>
      </c>
      <c r="I486">
        <f>IF(D486="","",D486&gt;=5)</f>
        <v/>
      </c>
      <c r="J486">
        <f>IF(F486="","",F486&gt;=5)</f>
        <v/>
      </c>
      <c r="K486">
        <f>IF(H486="","",H486&gt;=75)</f>
        <v/>
      </c>
      <c r="L486">
        <f>IF(OR(I486="",J486="",K486=""),FALSE,AND(I486,J486,K486))</f>
        <v/>
      </c>
    </row>
    <row r="487">
      <c r="A487">
        <f>Universe!A487</f>
        <v/>
      </c>
      <c r="B487" s="10" t="n"/>
      <c r="C487" s="11">
        <f>IF(B487="","",PERCENTRANK.INC($B$2:$B$2501,B487)*100)</f>
        <v/>
      </c>
      <c r="D487" s="10" t="n"/>
      <c r="E487" s="10">
        <f>IF(D487="","",MIN(D487,100))</f>
        <v/>
      </c>
      <c r="F487" s="10" t="n"/>
      <c r="G487" s="10">
        <f>IF(F487="","",MIN(F487,100))</f>
        <v/>
      </c>
      <c r="H487" s="11">
        <f>IF(A487="","",Universe!E487/BDP(A487&amp;" US Equity","HIGH_52WEEK")*100)</f>
        <v/>
      </c>
      <c r="I487">
        <f>IF(D487="","",D487&gt;=5)</f>
        <v/>
      </c>
      <c r="J487">
        <f>IF(F487="","",F487&gt;=5)</f>
        <v/>
      </c>
      <c r="K487">
        <f>IF(H487="","",H487&gt;=75)</f>
        <v/>
      </c>
      <c r="L487">
        <f>IF(OR(I487="",J487="",K487=""),FALSE,AND(I487,J487,K487))</f>
        <v/>
      </c>
    </row>
    <row r="488">
      <c r="A488">
        <f>Universe!A488</f>
        <v/>
      </c>
      <c r="B488" s="10" t="n"/>
      <c r="C488" s="11">
        <f>IF(B488="","",PERCENTRANK.INC($B$2:$B$2501,B488)*100)</f>
        <v/>
      </c>
      <c r="D488" s="10" t="n"/>
      <c r="E488" s="10">
        <f>IF(D488="","",MIN(D488,100))</f>
        <v/>
      </c>
      <c r="F488" s="10" t="n"/>
      <c r="G488" s="10">
        <f>IF(F488="","",MIN(F488,100))</f>
        <v/>
      </c>
      <c r="H488" s="11">
        <f>IF(A488="","",Universe!E488/BDP(A488&amp;" US Equity","HIGH_52WEEK")*100)</f>
        <v/>
      </c>
      <c r="I488">
        <f>IF(D488="","",D488&gt;=5)</f>
        <v/>
      </c>
      <c r="J488">
        <f>IF(F488="","",F488&gt;=5)</f>
        <v/>
      </c>
      <c r="K488">
        <f>IF(H488="","",H488&gt;=75)</f>
        <v/>
      </c>
      <c r="L488">
        <f>IF(OR(I488="",J488="",K488=""),FALSE,AND(I488,J488,K488))</f>
        <v/>
      </c>
    </row>
    <row r="489">
      <c r="A489">
        <f>Universe!A489</f>
        <v/>
      </c>
      <c r="B489" s="10" t="n"/>
      <c r="C489" s="11">
        <f>IF(B489="","",PERCENTRANK.INC($B$2:$B$2501,B489)*100)</f>
        <v/>
      </c>
      <c r="D489" s="10" t="n"/>
      <c r="E489" s="10">
        <f>IF(D489="","",MIN(D489,100))</f>
        <v/>
      </c>
      <c r="F489" s="10" t="n"/>
      <c r="G489" s="10">
        <f>IF(F489="","",MIN(F489,100))</f>
        <v/>
      </c>
      <c r="H489" s="11">
        <f>IF(A489="","",Universe!E489/BDP(A489&amp;" US Equity","HIGH_52WEEK")*100)</f>
        <v/>
      </c>
      <c r="I489">
        <f>IF(D489="","",D489&gt;=5)</f>
        <v/>
      </c>
      <c r="J489">
        <f>IF(F489="","",F489&gt;=5)</f>
        <v/>
      </c>
      <c r="K489">
        <f>IF(H489="","",H489&gt;=75)</f>
        <v/>
      </c>
      <c r="L489">
        <f>IF(OR(I489="",J489="",K489=""),FALSE,AND(I489,J489,K489))</f>
        <v/>
      </c>
    </row>
    <row r="490">
      <c r="A490">
        <f>Universe!A490</f>
        <v/>
      </c>
      <c r="B490" s="10" t="n"/>
      <c r="C490" s="11">
        <f>IF(B490="","",PERCENTRANK.INC($B$2:$B$2501,B490)*100)</f>
        <v/>
      </c>
      <c r="D490" s="10" t="n"/>
      <c r="E490" s="10">
        <f>IF(D490="","",MIN(D490,100))</f>
        <v/>
      </c>
      <c r="F490" s="10" t="n"/>
      <c r="G490" s="10">
        <f>IF(F490="","",MIN(F490,100))</f>
        <v/>
      </c>
      <c r="H490" s="11">
        <f>IF(A490="","",Universe!E490/BDP(A490&amp;" US Equity","HIGH_52WEEK")*100)</f>
        <v/>
      </c>
      <c r="I490">
        <f>IF(D490="","",D490&gt;=5)</f>
        <v/>
      </c>
      <c r="J490">
        <f>IF(F490="","",F490&gt;=5)</f>
        <v/>
      </c>
      <c r="K490">
        <f>IF(H490="","",H490&gt;=75)</f>
        <v/>
      </c>
      <c r="L490">
        <f>IF(OR(I490="",J490="",K490=""),FALSE,AND(I490,J490,K490))</f>
        <v/>
      </c>
    </row>
    <row r="491">
      <c r="A491">
        <f>Universe!A491</f>
        <v/>
      </c>
      <c r="B491" s="10" t="n"/>
      <c r="C491" s="11">
        <f>IF(B491="","",PERCENTRANK.INC($B$2:$B$2501,B491)*100)</f>
        <v/>
      </c>
      <c r="D491" s="10" t="n"/>
      <c r="E491" s="10">
        <f>IF(D491="","",MIN(D491,100))</f>
        <v/>
      </c>
      <c r="F491" s="10" t="n"/>
      <c r="G491" s="10">
        <f>IF(F491="","",MIN(F491,100))</f>
        <v/>
      </c>
      <c r="H491" s="11">
        <f>IF(A491="","",Universe!E491/BDP(A491&amp;" US Equity","HIGH_52WEEK")*100)</f>
        <v/>
      </c>
      <c r="I491">
        <f>IF(D491="","",D491&gt;=5)</f>
        <v/>
      </c>
      <c r="J491">
        <f>IF(F491="","",F491&gt;=5)</f>
        <v/>
      </c>
      <c r="K491">
        <f>IF(H491="","",H491&gt;=75)</f>
        <v/>
      </c>
      <c r="L491">
        <f>IF(OR(I491="",J491="",K491=""),FALSE,AND(I491,J491,K491))</f>
        <v/>
      </c>
    </row>
    <row r="492">
      <c r="A492">
        <f>Universe!A492</f>
        <v/>
      </c>
      <c r="B492" s="10" t="n"/>
      <c r="C492" s="11">
        <f>IF(B492="","",PERCENTRANK.INC($B$2:$B$2501,B492)*100)</f>
        <v/>
      </c>
      <c r="D492" s="10" t="n"/>
      <c r="E492" s="10">
        <f>IF(D492="","",MIN(D492,100))</f>
        <v/>
      </c>
      <c r="F492" s="10" t="n"/>
      <c r="G492" s="10">
        <f>IF(F492="","",MIN(F492,100))</f>
        <v/>
      </c>
      <c r="H492" s="11">
        <f>IF(A492="","",Universe!E492/BDP(A492&amp;" US Equity","HIGH_52WEEK")*100)</f>
        <v/>
      </c>
      <c r="I492">
        <f>IF(D492="","",D492&gt;=5)</f>
        <v/>
      </c>
      <c r="J492">
        <f>IF(F492="","",F492&gt;=5)</f>
        <v/>
      </c>
      <c r="K492">
        <f>IF(H492="","",H492&gt;=75)</f>
        <v/>
      </c>
      <c r="L492">
        <f>IF(OR(I492="",J492="",K492=""),FALSE,AND(I492,J492,K492))</f>
        <v/>
      </c>
    </row>
    <row r="493">
      <c r="A493">
        <f>Universe!A493</f>
        <v/>
      </c>
      <c r="B493" s="10" t="n"/>
      <c r="C493" s="11">
        <f>IF(B493="","",PERCENTRANK.INC($B$2:$B$2501,B493)*100)</f>
        <v/>
      </c>
      <c r="D493" s="10" t="n"/>
      <c r="E493" s="10">
        <f>IF(D493="","",MIN(D493,100))</f>
        <v/>
      </c>
      <c r="F493" s="10" t="n"/>
      <c r="G493" s="10">
        <f>IF(F493="","",MIN(F493,100))</f>
        <v/>
      </c>
      <c r="H493" s="11">
        <f>IF(A493="","",Universe!E493/BDP(A493&amp;" US Equity","HIGH_52WEEK")*100)</f>
        <v/>
      </c>
      <c r="I493">
        <f>IF(D493="","",D493&gt;=5)</f>
        <v/>
      </c>
      <c r="J493">
        <f>IF(F493="","",F493&gt;=5)</f>
        <v/>
      </c>
      <c r="K493">
        <f>IF(H493="","",H493&gt;=75)</f>
        <v/>
      </c>
      <c r="L493">
        <f>IF(OR(I493="",J493="",K493=""),FALSE,AND(I493,J493,K493))</f>
        <v/>
      </c>
    </row>
    <row r="494">
      <c r="A494">
        <f>Universe!A494</f>
        <v/>
      </c>
      <c r="B494" s="10" t="n"/>
      <c r="C494" s="11">
        <f>IF(B494="","",PERCENTRANK.INC($B$2:$B$2501,B494)*100)</f>
        <v/>
      </c>
      <c r="D494" s="10" t="n"/>
      <c r="E494" s="10">
        <f>IF(D494="","",MIN(D494,100))</f>
        <v/>
      </c>
      <c r="F494" s="10" t="n"/>
      <c r="G494" s="10">
        <f>IF(F494="","",MIN(F494,100))</f>
        <v/>
      </c>
      <c r="H494" s="11">
        <f>IF(A494="","",Universe!E494/BDP(A494&amp;" US Equity","HIGH_52WEEK")*100)</f>
        <v/>
      </c>
      <c r="I494">
        <f>IF(D494="","",D494&gt;=5)</f>
        <v/>
      </c>
      <c r="J494">
        <f>IF(F494="","",F494&gt;=5)</f>
        <v/>
      </c>
      <c r="K494">
        <f>IF(H494="","",H494&gt;=75)</f>
        <v/>
      </c>
      <c r="L494">
        <f>IF(OR(I494="",J494="",K494=""),FALSE,AND(I494,J494,K494))</f>
        <v/>
      </c>
    </row>
    <row r="495">
      <c r="A495">
        <f>Universe!A495</f>
        <v/>
      </c>
      <c r="B495" s="10" t="n"/>
      <c r="C495" s="11">
        <f>IF(B495="","",PERCENTRANK.INC($B$2:$B$2501,B495)*100)</f>
        <v/>
      </c>
      <c r="D495" s="10" t="n"/>
      <c r="E495" s="10">
        <f>IF(D495="","",MIN(D495,100))</f>
        <v/>
      </c>
      <c r="F495" s="10" t="n"/>
      <c r="G495" s="10">
        <f>IF(F495="","",MIN(F495,100))</f>
        <v/>
      </c>
      <c r="H495" s="11">
        <f>IF(A495="","",Universe!E495/BDP(A495&amp;" US Equity","HIGH_52WEEK")*100)</f>
        <v/>
      </c>
      <c r="I495">
        <f>IF(D495="","",D495&gt;=5)</f>
        <v/>
      </c>
      <c r="J495">
        <f>IF(F495="","",F495&gt;=5)</f>
        <v/>
      </c>
      <c r="K495">
        <f>IF(H495="","",H495&gt;=75)</f>
        <v/>
      </c>
      <c r="L495">
        <f>IF(OR(I495="",J495="",K495=""),FALSE,AND(I495,J495,K495))</f>
        <v/>
      </c>
    </row>
    <row r="496">
      <c r="A496">
        <f>Universe!A496</f>
        <v/>
      </c>
      <c r="B496" s="10" t="n"/>
      <c r="C496" s="11">
        <f>IF(B496="","",PERCENTRANK.INC($B$2:$B$2501,B496)*100)</f>
        <v/>
      </c>
      <c r="D496" s="10" t="n"/>
      <c r="E496" s="10">
        <f>IF(D496="","",MIN(D496,100))</f>
        <v/>
      </c>
      <c r="F496" s="10" t="n"/>
      <c r="G496" s="10">
        <f>IF(F496="","",MIN(F496,100))</f>
        <v/>
      </c>
      <c r="H496" s="11">
        <f>IF(A496="","",Universe!E496/BDP(A496&amp;" US Equity","HIGH_52WEEK")*100)</f>
        <v/>
      </c>
      <c r="I496">
        <f>IF(D496="","",D496&gt;=5)</f>
        <v/>
      </c>
      <c r="J496">
        <f>IF(F496="","",F496&gt;=5)</f>
        <v/>
      </c>
      <c r="K496">
        <f>IF(H496="","",H496&gt;=75)</f>
        <v/>
      </c>
      <c r="L496">
        <f>IF(OR(I496="",J496="",K496=""),FALSE,AND(I496,J496,K496))</f>
        <v/>
      </c>
    </row>
    <row r="497">
      <c r="A497">
        <f>Universe!A497</f>
        <v/>
      </c>
      <c r="B497" s="10" t="n"/>
      <c r="C497" s="11">
        <f>IF(B497="","",PERCENTRANK.INC($B$2:$B$2501,B497)*100)</f>
        <v/>
      </c>
      <c r="D497" s="10" t="n"/>
      <c r="E497" s="10">
        <f>IF(D497="","",MIN(D497,100))</f>
        <v/>
      </c>
      <c r="F497" s="10" t="n"/>
      <c r="G497" s="10">
        <f>IF(F497="","",MIN(F497,100))</f>
        <v/>
      </c>
      <c r="H497" s="11">
        <f>IF(A497="","",Universe!E497/BDP(A497&amp;" US Equity","HIGH_52WEEK")*100)</f>
        <v/>
      </c>
      <c r="I497">
        <f>IF(D497="","",D497&gt;=5)</f>
        <v/>
      </c>
      <c r="J497">
        <f>IF(F497="","",F497&gt;=5)</f>
        <v/>
      </c>
      <c r="K497">
        <f>IF(H497="","",H497&gt;=75)</f>
        <v/>
      </c>
      <c r="L497">
        <f>IF(OR(I497="",J497="",K497=""),FALSE,AND(I497,J497,K497))</f>
        <v/>
      </c>
    </row>
    <row r="498">
      <c r="A498">
        <f>Universe!A498</f>
        <v/>
      </c>
      <c r="B498" s="10" t="n"/>
      <c r="C498" s="11">
        <f>IF(B498="","",PERCENTRANK.INC($B$2:$B$2501,B498)*100)</f>
        <v/>
      </c>
      <c r="D498" s="10" t="n"/>
      <c r="E498" s="10">
        <f>IF(D498="","",MIN(D498,100))</f>
        <v/>
      </c>
      <c r="F498" s="10" t="n"/>
      <c r="G498" s="10">
        <f>IF(F498="","",MIN(F498,100))</f>
        <v/>
      </c>
      <c r="H498" s="11">
        <f>IF(A498="","",Universe!E498/BDP(A498&amp;" US Equity","HIGH_52WEEK")*100)</f>
        <v/>
      </c>
      <c r="I498">
        <f>IF(D498="","",D498&gt;=5)</f>
        <v/>
      </c>
      <c r="J498">
        <f>IF(F498="","",F498&gt;=5)</f>
        <v/>
      </c>
      <c r="K498">
        <f>IF(H498="","",H498&gt;=75)</f>
        <v/>
      </c>
      <c r="L498">
        <f>IF(OR(I498="",J498="",K498=""),FALSE,AND(I498,J498,K498))</f>
        <v/>
      </c>
    </row>
    <row r="499">
      <c r="A499">
        <f>Universe!A499</f>
        <v/>
      </c>
      <c r="B499" s="10" t="n"/>
      <c r="C499" s="11">
        <f>IF(B499="","",PERCENTRANK.INC($B$2:$B$2501,B499)*100)</f>
        <v/>
      </c>
      <c r="D499" s="10" t="n"/>
      <c r="E499" s="10">
        <f>IF(D499="","",MIN(D499,100))</f>
        <v/>
      </c>
      <c r="F499" s="10" t="n"/>
      <c r="G499" s="10">
        <f>IF(F499="","",MIN(F499,100))</f>
        <v/>
      </c>
      <c r="H499" s="11">
        <f>IF(A499="","",Universe!E499/BDP(A499&amp;" US Equity","HIGH_52WEEK")*100)</f>
        <v/>
      </c>
      <c r="I499">
        <f>IF(D499="","",D499&gt;=5)</f>
        <v/>
      </c>
      <c r="J499">
        <f>IF(F499="","",F499&gt;=5)</f>
        <v/>
      </c>
      <c r="K499">
        <f>IF(H499="","",H499&gt;=75)</f>
        <v/>
      </c>
      <c r="L499">
        <f>IF(OR(I499="",J499="",K499=""),FALSE,AND(I499,J499,K499))</f>
        <v/>
      </c>
    </row>
    <row r="500">
      <c r="A500">
        <f>Universe!A500</f>
        <v/>
      </c>
      <c r="B500" s="10" t="n"/>
      <c r="C500" s="11">
        <f>IF(B500="","",PERCENTRANK.INC($B$2:$B$2501,B500)*100)</f>
        <v/>
      </c>
      <c r="D500" s="10" t="n"/>
      <c r="E500" s="10">
        <f>IF(D500="","",MIN(D500,100))</f>
        <v/>
      </c>
      <c r="F500" s="10" t="n"/>
      <c r="G500" s="10">
        <f>IF(F500="","",MIN(F500,100))</f>
        <v/>
      </c>
      <c r="H500" s="11">
        <f>IF(A500="","",Universe!E500/BDP(A500&amp;" US Equity","HIGH_52WEEK")*100)</f>
        <v/>
      </c>
      <c r="I500">
        <f>IF(D500="","",D500&gt;=5)</f>
        <v/>
      </c>
      <c r="J500">
        <f>IF(F500="","",F500&gt;=5)</f>
        <v/>
      </c>
      <c r="K500">
        <f>IF(H500="","",H500&gt;=75)</f>
        <v/>
      </c>
      <c r="L500">
        <f>IF(OR(I500="",J500="",K500=""),FALSE,AND(I500,J500,K500))</f>
        <v/>
      </c>
    </row>
    <row r="501">
      <c r="A501">
        <f>Universe!A501</f>
        <v/>
      </c>
      <c r="B501" s="10" t="n"/>
      <c r="C501" s="11">
        <f>IF(B501="","",PERCENTRANK.INC($B$2:$B$2501,B501)*100)</f>
        <v/>
      </c>
      <c r="D501" s="10" t="n"/>
      <c r="E501" s="10">
        <f>IF(D501="","",MIN(D501,100))</f>
        <v/>
      </c>
      <c r="F501" s="10" t="n"/>
      <c r="G501" s="10">
        <f>IF(F501="","",MIN(F501,100))</f>
        <v/>
      </c>
      <c r="H501" s="11">
        <f>IF(A501="","",Universe!E501/BDP(A501&amp;" US Equity","HIGH_52WEEK")*100)</f>
        <v/>
      </c>
      <c r="I501">
        <f>IF(D501="","",D501&gt;=5)</f>
        <v/>
      </c>
      <c r="J501">
        <f>IF(F501="","",F501&gt;=5)</f>
        <v/>
      </c>
      <c r="K501">
        <f>IF(H501="","",H501&gt;=75)</f>
        <v/>
      </c>
      <c r="L501">
        <f>IF(OR(I501="",J501="",K501=""),FALSE,AND(I501,J501,K501))</f>
        <v/>
      </c>
    </row>
    <row r="502">
      <c r="A502">
        <f>Universe!A502</f>
        <v/>
      </c>
      <c r="B502" s="10" t="n"/>
      <c r="C502" s="11">
        <f>IF(B502="","",PERCENTRANK.INC($B$2:$B$2501,B502)*100)</f>
        <v/>
      </c>
      <c r="D502" s="10" t="n"/>
      <c r="E502" s="10">
        <f>IF(D502="","",MIN(D502,100))</f>
        <v/>
      </c>
      <c r="F502" s="10" t="n"/>
      <c r="G502" s="10">
        <f>IF(F502="","",MIN(F502,100))</f>
        <v/>
      </c>
      <c r="H502" s="11">
        <f>IF(A502="","",Universe!E502/BDP(A502&amp;" US Equity","HIGH_52WEEK")*100)</f>
        <v/>
      </c>
      <c r="I502">
        <f>IF(D502="","",D502&gt;=5)</f>
        <v/>
      </c>
      <c r="J502">
        <f>IF(F502="","",F502&gt;=5)</f>
        <v/>
      </c>
      <c r="K502">
        <f>IF(H502="","",H502&gt;=75)</f>
        <v/>
      </c>
      <c r="L502">
        <f>IF(OR(I502="",J502="",K502=""),FALSE,AND(I502,J502,K502))</f>
        <v/>
      </c>
    </row>
    <row r="503">
      <c r="A503">
        <f>Universe!A503</f>
        <v/>
      </c>
      <c r="B503" s="10" t="n"/>
      <c r="C503" s="11">
        <f>IF(B503="","",PERCENTRANK.INC($B$2:$B$2501,B503)*100)</f>
        <v/>
      </c>
      <c r="D503" s="10" t="n"/>
      <c r="E503" s="10">
        <f>IF(D503="","",MIN(D503,100))</f>
        <v/>
      </c>
      <c r="F503" s="10" t="n"/>
      <c r="G503" s="10">
        <f>IF(F503="","",MIN(F503,100))</f>
        <v/>
      </c>
      <c r="H503" s="11">
        <f>IF(A503="","",Universe!E503/BDP(A503&amp;" US Equity","HIGH_52WEEK")*100)</f>
        <v/>
      </c>
      <c r="I503">
        <f>IF(D503="","",D503&gt;=5)</f>
        <v/>
      </c>
      <c r="J503">
        <f>IF(F503="","",F503&gt;=5)</f>
        <v/>
      </c>
      <c r="K503">
        <f>IF(H503="","",H503&gt;=75)</f>
        <v/>
      </c>
      <c r="L503">
        <f>IF(OR(I503="",J503="",K503=""),FALSE,AND(I503,J503,K503))</f>
        <v/>
      </c>
    </row>
    <row r="504">
      <c r="A504">
        <f>Universe!A504</f>
        <v/>
      </c>
      <c r="B504" s="10" t="n"/>
      <c r="C504" s="11">
        <f>IF(B504="","",PERCENTRANK.INC($B$2:$B$2501,B504)*100)</f>
        <v/>
      </c>
      <c r="D504" s="10" t="n"/>
      <c r="E504" s="10">
        <f>IF(D504="","",MIN(D504,100))</f>
        <v/>
      </c>
      <c r="F504" s="10" t="n"/>
      <c r="G504" s="10">
        <f>IF(F504="","",MIN(F504,100))</f>
        <v/>
      </c>
      <c r="H504" s="11">
        <f>IF(A504="","",Universe!E504/BDP(A504&amp;" US Equity","HIGH_52WEEK")*100)</f>
        <v/>
      </c>
      <c r="I504">
        <f>IF(D504="","",D504&gt;=5)</f>
        <v/>
      </c>
      <c r="J504">
        <f>IF(F504="","",F504&gt;=5)</f>
        <v/>
      </c>
      <c r="K504">
        <f>IF(H504="","",H504&gt;=75)</f>
        <v/>
      </c>
      <c r="L504">
        <f>IF(OR(I504="",J504="",K504=""),FALSE,AND(I504,J504,K504))</f>
        <v/>
      </c>
    </row>
    <row r="505">
      <c r="A505">
        <f>Universe!A505</f>
        <v/>
      </c>
      <c r="B505" s="10" t="n"/>
      <c r="C505" s="11">
        <f>IF(B505="","",PERCENTRANK.INC($B$2:$B$2501,B505)*100)</f>
        <v/>
      </c>
      <c r="D505" s="10" t="n"/>
      <c r="E505" s="10">
        <f>IF(D505="","",MIN(D505,100))</f>
        <v/>
      </c>
      <c r="F505" s="10" t="n"/>
      <c r="G505" s="10">
        <f>IF(F505="","",MIN(F505,100))</f>
        <v/>
      </c>
      <c r="H505" s="11">
        <f>IF(A505="","",Universe!E505/BDP(A505&amp;" US Equity","HIGH_52WEEK")*100)</f>
        <v/>
      </c>
      <c r="I505">
        <f>IF(D505="","",D505&gt;=5)</f>
        <v/>
      </c>
      <c r="J505">
        <f>IF(F505="","",F505&gt;=5)</f>
        <v/>
      </c>
      <c r="K505">
        <f>IF(H505="","",H505&gt;=75)</f>
        <v/>
      </c>
      <c r="L505">
        <f>IF(OR(I505="",J505="",K505=""),FALSE,AND(I505,J505,K505))</f>
        <v/>
      </c>
    </row>
    <row r="506">
      <c r="A506">
        <f>Universe!A506</f>
        <v/>
      </c>
      <c r="B506" s="10" t="n"/>
      <c r="C506" s="11">
        <f>IF(B506="","",PERCENTRANK.INC($B$2:$B$2501,B506)*100)</f>
        <v/>
      </c>
      <c r="D506" s="10" t="n"/>
      <c r="E506" s="10">
        <f>IF(D506="","",MIN(D506,100))</f>
        <v/>
      </c>
      <c r="F506" s="10" t="n"/>
      <c r="G506" s="10">
        <f>IF(F506="","",MIN(F506,100))</f>
        <v/>
      </c>
      <c r="H506" s="11">
        <f>IF(A506="","",Universe!E506/BDP(A506&amp;" US Equity","HIGH_52WEEK")*100)</f>
        <v/>
      </c>
      <c r="I506">
        <f>IF(D506="","",D506&gt;=5)</f>
        <v/>
      </c>
      <c r="J506">
        <f>IF(F506="","",F506&gt;=5)</f>
        <v/>
      </c>
      <c r="K506">
        <f>IF(H506="","",H506&gt;=75)</f>
        <v/>
      </c>
      <c r="L506">
        <f>IF(OR(I506="",J506="",K506=""),FALSE,AND(I506,J506,K506))</f>
        <v/>
      </c>
    </row>
    <row r="507">
      <c r="A507">
        <f>Universe!A507</f>
        <v/>
      </c>
      <c r="B507" s="10" t="n"/>
      <c r="C507" s="11">
        <f>IF(B507="","",PERCENTRANK.INC($B$2:$B$2501,B507)*100)</f>
        <v/>
      </c>
      <c r="D507" s="10" t="n"/>
      <c r="E507" s="10">
        <f>IF(D507="","",MIN(D507,100))</f>
        <v/>
      </c>
      <c r="F507" s="10" t="n"/>
      <c r="G507" s="10">
        <f>IF(F507="","",MIN(F507,100))</f>
        <v/>
      </c>
      <c r="H507" s="11">
        <f>IF(A507="","",Universe!E507/BDP(A507&amp;" US Equity","HIGH_52WEEK")*100)</f>
        <v/>
      </c>
      <c r="I507">
        <f>IF(D507="","",D507&gt;=5)</f>
        <v/>
      </c>
      <c r="J507">
        <f>IF(F507="","",F507&gt;=5)</f>
        <v/>
      </c>
      <c r="K507">
        <f>IF(H507="","",H507&gt;=75)</f>
        <v/>
      </c>
      <c r="L507">
        <f>IF(OR(I507="",J507="",K507=""),FALSE,AND(I507,J507,K507))</f>
        <v/>
      </c>
    </row>
    <row r="508">
      <c r="A508">
        <f>Universe!A508</f>
        <v/>
      </c>
      <c r="B508" s="10" t="n"/>
      <c r="C508" s="11">
        <f>IF(B508="","",PERCENTRANK.INC($B$2:$B$2501,B508)*100)</f>
        <v/>
      </c>
      <c r="D508" s="10" t="n"/>
      <c r="E508" s="10">
        <f>IF(D508="","",MIN(D508,100))</f>
        <v/>
      </c>
      <c r="F508" s="10" t="n"/>
      <c r="G508" s="10">
        <f>IF(F508="","",MIN(F508,100))</f>
        <v/>
      </c>
      <c r="H508" s="11">
        <f>IF(A508="","",Universe!E508/BDP(A508&amp;" US Equity","HIGH_52WEEK")*100)</f>
        <v/>
      </c>
      <c r="I508">
        <f>IF(D508="","",D508&gt;=5)</f>
        <v/>
      </c>
      <c r="J508">
        <f>IF(F508="","",F508&gt;=5)</f>
        <v/>
      </c>
      <c r="K508">
        <f>IF(H508="","",H508&gt;=75)</f>
        <v/>
      </c>
      <c r="L508">
        <f>IF(OR(I508="",J508="",K508=""),FALSE,AND(I508,J508,K508))</f>
        <v/>
      </c>
    </row>
    <row r="509">
      <c r="A509">
        <f>Universe!A509</f>
        <v/>
      </c>
      <c r="B509" s="10" t="n"/>
      <c r="C509" s="11">
        <f>IF(B509="","",PERCENTRANK.INC($B$2:$B$2501,B509)*100)</f>
        <v/>
      </c>
      <c r="D509" s="10" t="n"/>
      <c r="E509" s="10">
        <f>IF(D509="","",MIN(D509,100))</f>
        <v/>
      </c>
      <c r="F509" s="10" t="n"/>
      <c r="G509" s="10">
        <f>IF(F509="","",MIN(F509,100))</f>
        <v/>
      </c>
      <c r="H509" s="11">
        <f>IF(A509="","",Universe!E509/BDP(A509&amp;" US Equity","HIGH_52WEEK")*100)</f>
        <v/>
      </c>
      <c r="I509">
        <f>IF(D509="","",D509&gt;=5)</f>
        <v/>
      </c>
      <c r="J509">
        <f>IF(F509="","",F509&gt;=5)</f>
        <v/>
      </c>
      <c r="K509">
        <f>IF(H509="","",H509&gt;=75)</f>
        <v/>
      </c>
      <c r="L509">
        <f>IF(OR(I509="",J509="",K509=""),FALSE,AND(I509,J509,K509))</f>
        <v/>
      </c>
    </row>
    <row r="510">
      <c r="A510">
        <f>Universe!A510</f>
        <v/>
      </c>
      <c r="B510" s="10" t="n"/>
      <c r="C510" s="11">
        <f>IF(B510="","",PERCENTRANK.INC($B$2:$B$2501,B510)*100)</f>
        <v/>
      </c>
      <c r="D510" s="10" t="n"/>
      <c r="E510" s="10">
        <f>IF(D510="","",MIN(D510,100))</f>
        <v/>
      </c>
      <c r="F510" s="10" t="n"/>
      <c r="G510" s="10">
        <f>IF(F510="","",MIN(F510,100))</f>
        <v/>
      </c>
      <c r="H510" s="11">
        <f>IF(A510="","",Universe!E510/BDP(A510&amp;" US Equity","HIGH_52WEEK")*100)</f>
        <v/>
      </c>
      <c r="I510">
        <f>IF(D510="","",D510&gt;=5)</f>
        <v/>
      </c>
      <c r="J510">
        <f>IF(F510="","",F510&gt;=5)</f>
        <v/>
      </c>
      <c r="K510">
        <f>IF(H510="","",H510&gt;=75)</f>
        <v/>
      </c>
      <c r="L510">
        <f>IF(OR(I510="",J510="",K510=""),FALSE,AND(I510,J510,K510))</f>
        <v/>
      </c>
    </row>
    <row r="511">
      <c r="A511">
        <f>Universe!A511</f>
        <v/>
      </c>
      <c r="B511" s="10" t="n"/>
      <c r="C511" s="11">
        <f>IF(B511="","",PERCENTRANK.INC($B$2:$B$2501,B511)*100)</f>
        <v/>
      </c>
      <c r="D511" s="10" t="n"/>
      <c r="E511" s="10">
        <f>IF(D511="","",MIN(D511,100))</f>
        <v/>
      </c>
      <c r="F511" s="10" t="n"/>
      <c r="G511" s="10">
        <f>IF(F511="","",MIN(F511,100))</f>
        <v/>
      </c>
      <c r="H511" s="11">
        <f>IF(A511="","",Universe!E511/BDP(A511&amp;" US Equity","HIGH_52WEEK")*100)</f>
        <v/>
      </c>
      <c r="I511">
        <f>IF(D511="","",D511&gt;=5)</f>
        <v/>
      </c>
      <c r="J511">
        <f>IF(F511="","",F511&gt;=5)</f>
        <v/>
      </c>
      <c r="K511">
        <f>IF(H511="","",H511&gt;=75)</f>
        <v/>
      </c>
      <c r="L511">
        <f>IF(OR(I511="",J511="",K511=""),FALSE,AND(I511,J511,K511))</f>
        <v/>
      </c>
    </row>
    <row r="512">
      <c r="A512">
        <f>Universe!A512</f>
        <v/>
      </c>
      <c r="B512" s="10" t="n"/>
      <c r="C512" s="11">
        <f>IF(B512="","",PERCENTRANK.INC($B$2:$B$2501,B512)*100)</f>
        <v/>
      </c>
      <c r="D512" s="10" t="n"/>
      <c r="E512" s="10">
        <f>IF(D512="","",MIN(D512,100))</f>
        <v/>
      </c>
      <c r="F512" s="10" t="n"/>
      <c r="G512" s="10">
        <f>IF(F512="","",MIN(F512,100))</f>
        <v/>
      </c>
      <c r="H512" s="11">
        <f>IF(A512="","",Universe!E512/BDP(A512&amp;" US Equity","HIGH_52WEEK")*100)</f>
        <v/>
      </c>
      <c r="I512">
        <f>IF(D512="","",D512&gt;=5)</f>
        <v/>
      </c>
      <c r="J512">
        <f>IF(F512="","",F512&gt;=5)</f>
        <v/>
      </c>
      <c r="K512">
        <f>IF(H512="","",H512&gt;=75)</f>
        <v/>
      </c>
      <c r="L512">
        <f>IF(OR(I512="",J512="",K512=""),FALSE,AND(I512,J512,K512))</f>
        <v/>
      </c>
    </row>
    <row r="513">
      <c r="A513">
        <f>Universe!A513</f>
        <v/>
      </c>
      <c r="B513" s="10" t="n"/>
      <c r="C513" s="11">
        <f>IF(B513="","",PERCENTRANK.INC($B$2:$B$2501,B513)*100)</f>
        <v/>
      </c>
      <c r="D513" s="10" t="n"/>
      <c r="E513" s="10">
        <f>IF(D513="","",MIN(D513,100))</f>
        <v/>
      </c>
      <c r="F513" s="10" t="n"/>
      <c r="G513" s="10">
        <f>IF(F513="","",MIN(F513,100))</f>
        <v/>
      </c>
      <c r="H513" s="11">
        <f>IF(A513="","",Universe!E513/BDP(A513&amp;" US Equity","HIGH_52WEEK")*100)</f>
        <v/>
      </c>
      <c r="I513">
        <f>IF(D513="","",D513&gt;=5)</f>
        <v/>
      </c>
      <c r="J513">
        <f>IF(F513="","",F513&gt;=5)</f>
        <v/>
      </c>
      <c r="K513">
        <f>IF(H513="","",H513&gt;=75)</f>
        <v/>
      </c>
      <c r="L513">
        <f>IF(OR(I513="",J513="",K513=""),FALSE,AND(I513,J513,K513))</f>
        <v/>
      </c>
    </row>
    <row r="514">
      <c r="A514">
        <f>Universe!A514</f>
        <v/>
      </c>
      <c r="B514" s="10" t="n"/>
      <c r="C514" s="11">
        <f>IF(B514="","",PERCENTRANK.INC($B$2:$B$2501,B514)*100)</f>
        <v/>
      </c>
      <c r="D514" s="10" t="n"/>
      <c r="E514" s="10">
        <f>IF(D514="","",MIN(D514,100))</f>
        <v/>
      </c>
      <c r="F514" s="10" t="n"/>
      <c r="G514" s="10">
        <f>IF(F514="","",MIN(F514,100))</f>
        <v/>
      </c>
      <c r="H514" s="11">
        <f>IF(A514="","",Universe!E514/BDP(A514&amp;" US Equity","HIGH_52WEEK")*100)</f>
        <v/>
      </c>
      <c r="I514">
        <f>IF(D514="","",D514&gt;=5)</f>
        <v/>
      </c>
      <c r="J514">
        <f>IF(F514="","",F514&gt;=5)</f>
        <v/>
      </c>
      <c r="K514">
        <f>IF(H514="","",H514&gt;=75)</f>
        <v/>
      </c>
      <c r="L514">
        <f>IF(OR(I514="",J514="",K514=""),FALSE,AND(I514,J514,K514))</f>
        <v/>
      </c>
    </row>
    <row r="515">
      <c r="A515">
        <f>Universe!A515</f>
        <v/>
      </c>
      <c r="B515" s="10" t="n"/>
      <c r="C515" s="11">
        <f>IF(B515="","",PERCENTRANK.INC($B$2:$B$2501,B515)*100)</f>
        <v/>
      </c>
      <c r="D515" s="10" t="n"/>
      <c r="E515" s="10">
        <f>IF(D515="","",MIN(D515,100))</f>
        <v/>
      </c>
      <c r="F515" s="10" t="n"/>
      <c r="G515" s="10">
        <f>IF(F515="","",MIN(F515,100))</f>
        <v/>
      </c>
      <c r="H515" s="11">
        <f>IF(A515="","",Universe!E515/BDP(A515&amp;" US Equity","HIGH_52WEEK")*100)</f>
        <v/>
      </c>
      <c r="I515">
        <f>IF(D515="","",D515&gt;=5)</f>
        <v/>
      </c>
      <c r="J515">
        <f>IF(F515="","",F515&gt;=5)</f>
        <v/>
      </c>
      <c r="K515">
        <f>IF(H515="","",H515&gt;=75)</f>
        <v/>
      </c>
      <c r="L515">
        <f>IF(OR(I515="",J515="",K515=""),FALSE,AND(I515,J515,K515))</f>
        <v/>
      </c>
    </row>
    <row r="516">
      <c r="A516">
        <f>Universe!A516</f>
        <v/>
      </c>
      <c r="B516" s="10" t="n"/>
      <c r="C516" s="11">
        <f>IF(B516="","",PERCENTRANK.INC($B$2:$B$2501,B516)*100)</f>
        <v/>
      </c>
      <c r="D516" s="10" t="n"/>
      <c r="E516" s="10">
        <f>IF(D516="","",MIN(D516,100))</f>
        <v/>
      </c>
      <c r="F516" s="10" t="n"/>
      <c r="G516" s="10">
        <f>IF(F516="","",MIN(F516,100))</f>
        <v/>
      </c>
      <c r="H516" s="11">
        <f>IF(A516="","",Universe!E516/BDP(A516&amp;" US Equity","HIGH_52WEEK")*100)</f>
        <v/>
      </c>
      <c r="I516">
        <f>IF(D516="","",D516&gt;=5)</f>
        <v/>
      </c>
      <c r="J516">
        <f>IF(F516="","",F516&gt;=5)</f>
        <v/>
      </c>
      <c r="K516">
        <f>IF(H516="","",H516&gt;=75)</f>
        <v/>
      </c>
      <c r="L516">
        <f>IF(OR(I516="",J516="",K516=""),FALSE,AND(I516,J516,K516))</f>
        <v/>
      </c>
    </row>
    <row r="517">
      <c r="A517">
        <f>Universe!A517</f>
        <v/>
      </c>
      <c r="B517" s="10" t="n"/>
      <c r="C517" s="11">
        <f>IF(B517="","",PERCENTRANK.INC($B$2:$B$2501,B517)*100)</f>
        <v/>
      </c>
      <c r="D517" s="10" t="n"/>
      <c r="E517" s="10">
        <f>IF(D517="","",MIN(D517,100))</f>
        <v/>
      </c>
      <c r="F517" s="10" t="n"/>
      <c r="G517" s="10">
        <f>IF(F517="","",MIN(F517,100))</f>
        <v/>
      </c>
      <c r="H517" s="11">
        <f>IF(A517="","",Universe!E517/BDP(A517&amp;" US Equity","HIGH_52WEEK")*100)</f>
        <v/>
      </c>
      <c r="I517">
        <f>IF(D517="","",D517&gt;=5)</f>
        <v/>
      </c>
      <c r="J517">
        <f>IF(F517="","",F517&gt;=5)</f>
        <v/>
      </c>
      <c r="K517">
        <f>IF(H517="","",H517&gt;=75)</f>
        <v/>
      </c>
      <c r="L517">
        <f>IF(OR(I517="",J517="",K517=""),FALSE,AND(I517,J517,K517))</f>
        <v/>
      </c>
    </row>
    <row r="518">
      <c r="A518">
        <f>Universe!A518</f>
        <v/>
      </c>
      <c r="B518" s="10" t="n"/>
      <c r="C518" s="11">
        <f>IF(B518="","",PERCENTRANK.INC($B$2:$B$2501,B518)*100)</f>
        <v/>
      </c>
      <c r="D518" s="10" t="n"/>
      <c r="E518" s="10">
        <f>IF(D518="","",MIN(D518,100))</f>
        <v/>
      </c>
      <c r="F518" s="10" t="n"/>
      <c r="G518" s="10">
        <f>IF(F518="","",MIN(F518,100))</f>
        <v/>
      </c>
      <c r="H518" s="11">
        <f>IF(A518="","",Universe!E518/BDP(A518&amp;" US Equity","HIGH_52WEEK")*100)</f>
        <v/>
      </c>
      <c r="I518">
        <f>IF(D518="","",D518&gt;=5)</f>
        <v/>
      </c>
      <c r="J518">
        <f>IF(F518="","",F518&gt;=5)</f>
        <v/>
      </c>
      <c r="K518">
        <f>IF(H518="","",H518&gt;=75)</f>
        <v/>
      </c>
      <c r="L518">
        <f>IF(OR(I518="",J518="",K518=""),FALSE,AND(I518,J518,K518))</f>
        <v/>
      </c>
    </row>
    <row r="519">
      <c r="A519">
        <f>Universe!A519</f>
        <v/>
      </c>
      <c r="B519" s="10" t="n"/>
      <c r="C519" s="11">
        <f>IF(B519="","",PERCENTRANK.INC($B$2:$B$2501,B519)*100)</f>
        <v/>
      </c>
      <c r="D519" s="10" t="n"/>
      <c r="E519" s="10">
        <f>IF(D519="","",MIN(D519,100))</f>
        <v/>
      </c>
      <c r="F519" s="10" t="n"/>
      <c r="G519" s="10">
        <f>IF(F519="","",MIN(F519,100))</f>
        <v/>
      </c>
      <c r="H519" s="11">
        <f>IF(A519="","",Universe!E519/BDP(A519&amp;" US Equity","HIGH_52WEEK")*100)</f>
        <v/>
      </c>
      <c r="I519">
        <f>IF(D519="","",D519&gt;=5)</f>
        <v/>
      </c>
      <c r="J519">
        <f>IF(F519="","",F519&gt;=5)</f>
        <v/>
      </c>
      <c r="K519">
        <f>IF(H519="","",H519&gt;=75)</f>
        <v/>
      </c>
      <c r="L519">
        <f>IF(OR(I519="",J519="",K519=""),FALSE,AND(I519,J519,K519))</f>
        <v/>
      </c>
    </row>
    <row r="520">
      <c r="A520">
        <f>Universe!A520</f>
        <v/>
      </c>
      <c r="B520" s="10" t="n"/>
      <c r="C520" s="11">
        <f>IF(B520="","",PERCENTRANK.INC($B$2:$B$2501,B520)*100)</f>
        <v/>
      </c>
      <c r="D520" s="10" t="n"/>
      <c r="E520" s="10">
        <f>IF(D520="","",MIN(D520,100))</f>
        <v/>
      </c>
      <c r="F520" s="10" t="n"/>
      <c r="G520" s="10">
        <f>IF(F520="","",MIN(F520,100))</f>
        <v/>
      </c>
      <c r="H520" s="11">
        <f>IF(A520="","",Universe!E520/BDP(A520&amp;" US Equity","HIGH_52WEEK")*100)</f>
        <v/>
      </c>
      <c r="I520">
        <f>IF(D520="","",D520&gt;=5)</f>
        <v/>
      </c>
      <c r="J520">
        <f>IF(F520="","",F520&gt;=5)</f>
        <v/>
      </c>
      <c r="K520">
        <f>IF(H520="","",H520&gt;=75)</f>
        <v/>
      </c>
      <c r="L520">
        <f>IF(OR(I520="",J520="",K520=""),FALSE,AND(I520,J520,K520))</f>
        <v/>
      </c>
    </row>
    <row r="521">
      <c r="A521">
        <f>Universe!A521</f>
        <v/>
      </c>
      <c r="B521" s="10" t="n"/>
      <c r="C521" s="11">
        <f>IF(B521="","",PERCENTRANK.INC($B$2:$B$2501,B521)*100)</f>
        <v/>
      </c>
      <c r="D521" s="10" t="n"/>
      <c r="E521" s="10">
        <f>IF(D521="","",MIN(D521,100))</f>
        <v/>
      </c>
      <c r="F521" s="10" t="n"/>
      <c r="G521" s="10">
        <f>IF(F521="","",MIN(F521,100))</f>
        <v/>
      </c>
      <c r="H521" s="11">
        <f>IF(A521="","",Universe!E521/BDP(A521&amp;" US Equity","HIGH_52WEEK")*100)</f>
        <v/>
      </c>
      <c r="I521">
        <f>IF(D521="","",D521&gt;=5)</f>
        <v/>
      </c>
      <c r="J521">
        <f>IF(F521="","",F521&gt;=5)</f>
        <v/>
      </c>
      <c r="K521">
        <f>IF(H521="","",H521&gt;=75)</f>
        <v/>
      </c>
      <c r="L521">
        <f>IF(OR(I521="",J521="",K521=""),FALSE,AND(I521,J521,K521))</f>
        <v/>
      </c>
    </row>
    <row r="522">
      <c r="A522">
        <f>Universe!A522</f>
        <v/>
      </c>
      <c r="B522" s="10" t="n"/>
      <c r="C522" s="11">
        <f>IF(B522="","",PERCENTRANK.INC($B$2:$B$2501,B522)*100)</f>
        <v/>
      </c>
      <c r="D522" s="10" t="n"/>
      <c r="E522" s="10">
        <f>IF(D522="","",MIN(D522,100))</f>
        <v/>
      </c>
      <c r="F522" s="10" t="n"/>
      <c r="G522" s="10">
        <f>IF(F522="","",MIN(F522,100))</f>
        <v/>
      </c>
      <c r="H522" s="11">
        <f>IF(A522="","",Universe!E522/BDP(A522&amp;" US Equity","HIGH_52WEEK")*100)</f>
        <v/>
      </c>
      <c r="I522">
        <f>IF(D522="","",D522&gt;=5)</f>
        <v/>
      </c>
      <c r="J522">
        <f>IF(F522="","",F522&gt;=5)</f>
        <v/>
      </c>
      <c r="K522">
        <f>IF(H522="","",H522&gt;=75)</f>
        <v/>
      </c>
      <c r="L522">
        <f>IF(OR(I522="",J522="",K522=""),FALSE,AND(I522,J522,K522))</f>
        <v/>
      </c>
    </row>
    <row r="523">
      <c r="A523">
        <f>Universe!A523</f>
        <v/>
      </c>
      <c r="B523" s="10" t="n"/>
      <c r="C523" s="11">
        <f>IF(B523="","",PERCENTRANK.INC($B$2:$B$2501,B523)*100)</f>
        <v/>
      </c>
      <c r="D523" s="10" t="n"/>
      <c r="E523" s="10">
        <f>IF(D523="","",MIN(D523,100))</f>
        <v/>
      </c>
      <c r="F523" s="10" t="n"/>
      <c r="G523" s="10">
        <f>IF(F523="","",MIN(F523,100))</f>
        <v/>
      </c>
      <c r="H523" s="11">
        <f>IF(A523="","",Universe!E523/BDP(A523&amp;" US Equity","HIGH_52WEEK")*100)</f>
        <v/>
      </c>
      <c r="I523">
        <f>IF(D523="","",D523&gt;=5)</f>
        <v/>
      </c>
      <c r="J523">
        <f>IF(F523="","",F523&gt;=5)</f>
        <v/>
      </c>
      <c r="K523">
        <f>IF(H523="","",H523&gt;=75)</f>
        <v/>
      </c>
      <c r="L523">
        <f>IF(OR(I523="",J523="",K523=""),FALSE,AND(I523,J523,K523))</f>
        <v/>
      </c>
    </row>
    <row r="524">
      <c r="A524">
        <f>Universe!A524</f>
        <v/>
      </c>
      <c r="B524" s="10" t="n"/>
      <c r="C524" s="11">
        <f>IF(B524="","",PERCENTRANK.INC($B$2:$B$2501,B524)*100)</f>
        <v/>
      </c>
      <c r="D524" s="10" t="n"/>
      <c r="E524" s="10">
        <f>IF(D524="","",MIN(D524,100))</f>
        <v/>
      </c>
      <c r="F524" s="10" t="n"/>
      <c r="G524" s="10">
        <f>IF(F524="","",MIN(F524,100))</f>
        <v/>
      </c>
      <c r="H524" s="11">
        <f>IF(A524="","",Universe!E524/BDP(A524&amp;" US Equity","HIGH_52WEEK")*100)</f>
        <v/>
      </c>
      <c r="I524">
        <f>IF(D524="","",D524&gt;=5)</f>
        <v/>
      </c>
      <c r="J524">
        <f>IF(F524="","",F524&gt;=5)</f>
        <v/>
      </c>
      <c r="K524">
        <f>IF(H524="","",H524&gt;=75)</f>
        <v/>
      </c>
      <c r="L524">
        <f>IF(OR(I524="",J524="",K524=""),FALSE,AND(I524,J524,K524))</f>
        <v/>
      </c>
    </row>
    <row r="525">
      <c r="A525">
        <f>Universe!A525</f>
        <v/>
      </c>
      <c r="B525" s="10" t="n"/>
      <c r="C525" s="11">
        <f>IF(B525="","",PERCENTRANK.INC($B$2:$B$2501,B525)*100)</f>
        <v/>
      </c>
      <c r="D525" s="10" t="n"/>
      <c r="E525" s="10">
        <f>IF(D525="","",MIN(D525,100))</f>
        <v/>
      </c>
      <c r="F525" s="10" t="n"/>
      <c r="G525" s="10">
        <f>IF(F525="","",MIN(F525,100))</f>
        <v/>
      </c>
      <c r="H525" s="11">
        <f>IF(A525="","",Universe!E525/BDP(A525&amp;" US Equity","HIGH_52WEEK")*100)</f>
        <v/>
      </c>
      <c r="I525">
        <f>IF(D525="","",D525&gt;=5)</f>
        <v/>
      </c>
      <c r="J525">
        <f>IF(F525="","",F525&gt;=5)</f>
        <v/>
      </c>
      <c r="K525">
        <f>IF(H525="","",H525&gt;=75)</f>
        <v/>
      </c>
      <c r="L525">
        <f>IF(OR(I525="",J525="",K525=""),FALSE,AND(I525,J525,K525))</f>
        <v/>
      </c>
    </row>
    <row r="526">
      <c r="A526">
        <f>Universe!A526</f>
        <v/>
      </c>
      <c r="B526" s="10" t="n"/>
      <c r="C526" s="11">
        <f>IF(B526="","",PERCENTRANK.INC($B$2:$B$2501,B526)*100)</f>
        <v/>
      </c>
      <c r="D526" s="10" t="n"/>
      <c r="E526" s="10">
        <f>IF(D526="","",MIN(D526,100))</f>
        <v/>
      </c>
      <c r="F526" s="10" t="n"/>
      <c r="G526" s="10">
        <f>IF(F526="","",MIN(F526,100))</f>
        <v/>
      </c>
      <c r="H526" s="11">
        <f>IF(A526="","",Universe!E526/BDP(A526&amp;" US Equity","HIGH_52WEEK")*100)</f>
        <v/>
      </c>
      <c r="I526">
        <f>IF(D526="","",D526&gt;=5)</f>
        <v/>
      </c>
      <c r="J526">
        <f>IF(F526="","",F526&gt;=5)</f>
        <v/>
      </c>
      <c r="K526">
        <f>IF(H526="","",H526&gt;=75)</f>
        <v/>
      </c>
      <c r="L526">
        <f>IF(OR(I526="",J526="",K526=""),FALSE,AND(I526,J526,K526))</f>
        <v/>
      </c>
    </row>
    <row r="527">
      <c r="A527">
        <f>Universe!A527</f>
        <v/>
      </c>
      <c r="B527" s="10" t="n"/>
      <c r="C527" s="11">
        <f>IF(B527="","",PERCENTRANK.INC($B$2:$B$2501,B527)*100)</f>
        <v/>
      </c>
      <c r="D527" s="10" t="n"/>
      <c r="E527" s="10">
        <f>IF(D527="","",MIN(D527,100))</f>
        <v/>
      </c>
      <c r="F527" s="10" t="n"/>
      <c r="G527" s="10">
        <f>IF(F527="","",MIN(F527,100))</f>
        <v/>
      </c>
      <c r="H527" s="11">
        <f>IF(A527="","",Universe!E527/BDP(A527&amp;" US Equity","HIGH_52WEEK")*100)</f>
        <v/>
      </c>
      <c r="I527">
        <f>IF(D527="","",D527&gt;=5)</f>
        <v/>
      </c>
      <c r="J527">
        <f>IF(F527="","",F527&gt;=5)</f>
        <v/>
      </c>
      <c r="K527">
        <f>IF(H527="","",H527&gt;=75)</f>
        <v/>
      </c>
      <c r="L527">
        <f>IF(OR(I527="",J527="",K527=""),FALSE,AND(I527,J527,K527))</f>
        <v/>
      </c>
    </row>
    <row r="528">
      <c r="A528">
        <f>Universe!A528</f>
        <v/>
      </c>
      <c r="B528" s="10" t="n"/>
      <c r="C528" s="11">
        <f>IF(B528="","",PERCENTRANK.INC($B$2:$B$2501,B528)*100)</f>
        <v/>
      </c>
      <c r="D528" s="10" t="n"/>
      <c r="E528" s="10">
        <f>IF(D528="","",MIN(D528,100))</f>
        <v/>
      </c>
      <c r="F528" s="10" t="n"/>
      <c r="G528" s="10">
        <f>IF(F528="","",MIN(F528,100))</f>
        <v/>
      </c>
      <c r="H528" s="11">
        <f>IF(A528="","",Universe!E528/BDP(A528&amp;" US Equity","HIGH_52WEEK")*100)</f>
        <v/>
      </c>
      <c r="I528">
        <f>IF(D528="","",D528&gt;=5)</f>
        <v/>
      </c>
      <c r="J528">
        <f>IF(F528="","",F528&gt;=5)</f>
        <v/>
      </c>
      <c r="K528">
        <f>IF(H528="","",H528&gt;=75)</f>
        <v/>
      </c>
      <c r="L528">
        <f>IF(OR(I528="",J528="",K528=""),FALSE,AND(I528,J528,K528))</f>
        <v/>
      </c>
    </row>
    <row r="529">
      <c r="A529">
        <f>Universe!A529</f>
        <v/>
      </c>
      <c r="B529" s="10" t="n"/>
      <c r="C529" s="11">
        <f>IF(B529="","",PERCENTRANK.INC($B$2:$B$2501,B529)*100)</f>
        <v/>
      </c>
      <c r="D529" s="10" t="n"/>
      <c r="E529" s="10">
        <f>IF(D529="","",MIN(D529,100))</f>
        <v/>
      </c>
      <c r="F529" s="10" t="n"/>
      <c r="G529" s="10">
        <f>IF(F529="","",MIN(F529,100))</f>
        <v/>
      </c>
      <c r="H529" s="11">
        <f>IF(A529="","",Universe!E529/BDP(A529&amp;" US Equity","HIGH_52WEEK")*100)</f>
        <v/>
      </c>
      <c r="I529">
        <f>IF(D529="","",D529&gt;=5)</f>
        <v/>
      </c>
      <c r="J529">
        <f>IF(F529="","",F529&gt;=5)</f>
        <v/>
      </c>
      <c r="K529">
        <f>IF(H529="","",H529&gt;=75)</f>
        <v/>
      </c>
      <c r="L529">
        <f>IF(OR(I529="",J529="",K529=""),FALSE,AND(I529,J529,K529))</f>
        <v/>
      </c>
    </row>
    <row r="530">
      <c r="A530">
        <f>Universe!A530</f>
        <v/>
      </c>
      <c r="B530" s="10" t="n"/>
      <c r="C530" s="11">
        <f>IF(B530="","",PERCENTRANK.INC($B$2:$B$2501,B530)*100)</f>
        <v/>
      </c>
      <c r="D530" s="10" t="n"/>
      <c r="E530" s="10">
        <f>IF(D530="","",MIN(D530,100))</f>
        <v/>
      </c>
      <c r="F530" s="10" t="n"/>
      <c r="G530" s="10">
        <f>IF(F530="","",MIN(F530,100))</f>
        <v/>
      </c>
      <c r="H530" s="11">
        <f>IF(A530="","",Universe!E530/BDP(A530&amp;" US Equity","HIGH_52WEEK")*100)</f>
        <v/>
      </c>
      <c r="I530">
        <f>IF(D530="","",D530&gt;=5)</f>
        <v/>
      </c>
      <c r="J530">
        <f>IF(F530="","",F530&gt;=5)</f>
        <v/>
      </c>
      <c r="K530">
        <f>IF(H530="","",H530&gt;=75)</f>
        <v/>
      </c>
      <c r="L530">
        <f>IF(OR(I530="",J530="",K530=""),FALSE,AND(I530,J530,K530))</f>
        <v/>
      </c>
    </row>
    <row r="531">
      <c r="A531">
        <f>Universe!A531</f>
        <v/>
      </c>
      <c r="B531" s="10" t="n"/>
      <c r="C531" s="11">
        <f>IF(B531="","",PERCENTRANK.INC($B$2:$B$2501,B531)*100)</f>
        <v/>
      </c>
      <c r="D531" s="10" t="n"/>
      <c r="E531" s="10">
        <f>IF(D531="","",MIN(D531,100))</f>
        <v/>
      </c>
      <c r="F531" s="10" t="n"/>
      <c r="G531" s="10">
        <f>IF(F531="","",MIN(F531,100))</f>
        <v/>
      </c>
      <c r="H531" s="11">
        <f>IF(A531="","",Universe!E531/BDP(A531&amp;" US Equity","HIGH_52WEEK")*100)</f>
        <v/>
      </c>
      <c r="I531">
        <f>IF(D531="","",D531&gt;=5)</f>
        <v/>
      </c>
      <c r="J531">
        <f>IF(F531="","",F531&gt;=5)</f>
        <v/>
      </c>
      <c r="K531">
        <f>IF(H531="","",H531&gt;=75)</f>
        <v/>
      </c>
      <c r="L531">
        <f>IF(OR(I531="",J531="",K531=""),FALSE,AND(I531,J531,K531))</f>
        <v/>
      </c>
    </row>
    <row r="532">
      <c r="A532">
        <f>Universe!A532</f>
        <v/>
      </c>
      <c r="B532" s="10" t="n"/>
      <c r="C532" s="11">
        <f>IF(B532="","",PERCENTRANK.INC($B$2:$B$2501,B532)*100)</f>
        <v/>
      </c>
      <c r="D532" s="10" t="n"/>
      <c r="E532" s="10">
        <f>IF(D532="","",MIN(D532,100))</f>
        <v/>
      </c>
      <c r="F532" s="10" t="n"/>
      <c r="G532" s="10">
        <f>IF(F532="","",MIN(F532,100))</f>
        <v/>
      </c>
      <c r="H532" s="11">
        <f>IF(A532="","",Universe!E532/BDP(A532&amp;" US Equity","HIGH_52WEEK")*100)</f>
        <v/>
      </c>
      <c r="I532">
        <f>IF(D532="","",D532&gt;=5)</f>
        <v/>
      </c>
      <c r="J532">
        <f>IF(F532="","",F532&gt;=5)</f>
        <v/>
      </c>
      <c r="K532">
        <f>IF(H532="","",H532&gt;=75)</f>
        <v/>
      </c>
      <c r="L532">
        <f>IF(OR(I532="",J532="",K532=""),FALSE,AND(I532,J532,K532))</f>
        <v/>
      </c>
    </row>
    <row r="533">
      <c r="A533">
        <f>Universe!A533</f>
        <v/>
      </c>
      <c r="B533" s="10" t="n"/>
      <c r="C533" s="11">
        <f>IF(B533="","",PERCENTRANK.INC($B$2:$B$2501,B533)*100)</f>
        <v/>
      </c>
      <c r="D533" s="10" t="n"/>
      <c r="E533" s="10">
        <f>IF(D533="","",MIN(D533,100))</f>
        <v/>
      </c>
      <c r="F533" s="10" t="n"/>
      <c r="G533" s="10">
        <f>IF(F533="","",MIN(F533,100))</f>
        <v/>
      </c>
      <c r="H533" s="11">
        <f>IF(A533="","",Universe!E533/BDP(A533&amp;" US Equity","HIGH_52WEEK")*100)</f>
        <v/>
      </c>
      <c r="I533">
        <f>IF(D533="","",D533&gt;=5)</f>
        <v/>
      </c>
      <c r="J533">
        <f>IF(F533="","",F533&gt;=5)</f>
        <v/>
      </c>
      <c r="K533">
        <f>IF(H533="","",H533&gt;=75)</f>
        <v/>
      </c>
      <c r="L533">
        <f>IF(OR(I533="",J533="",K533=""),FALSE,AND(I533,J533,K533))</f>
        <v/>
      </c>
    </row>
    <row r="534">
      <c r="A534">
        <f>Universe!A534</f>
        <v/>
      </c>
      <c r="B534" s="10" t="n"/>
      <c r="C534" s="11">
        <f>IF(B534="","",PERCENTRANK.INC($B$2:$B$2501,B534)*100)</f>
        <v/>
      </c>
      <c r="D534" s="10" t="n"/>
      <c r="E534" s="10">
        <f>IF(D534="","",MIN(D534,100))</f>
        <v/>
      </c>
      <c r="F534" s="10" t="n"/>
      <c r="G534" s="10">
        <f>IF(F534="","",MIN(F534,100))</f>
        <v/>
      </c>
      <c r="H534" s="11">
        <f>IF(A534="","",Universe!E534/BDP(A534&amp;" US Equity","HIGH_52WEEK")*100)</f>
        <v/>
      </c>
      <c r="I534">
        <f>IF(D534="","",D534&gt;=5)</f>
        <v/>
      </c>
      <c r="J534">
        <f>IF(F534="","",F534&gt;=5)</f>
        <v/>
      </c>
      <c r="K534">
        <f>IF(H534="","",H534&gt;=75)</f>
        <v/>
      </c>
      <c r="L534">
        <f>IF(OR(I534="",J534="",K534=""),FALSE,AND(I534,J534,K534))</f>
        <v/>
      </c>
    </row>
    <row r="535">
      <c r="A535">
        <f>Universe!A535</f>
        <v/>
      </c>
      <c r="B535" s="10" t="n"/>
      <c r="C535" s="11">
        <f>IF(B535="","",PERCENTRANK.INC($B$2:$B$2501,B535)*100)</f>
        <v/>
      </c>
      <c r="D535" s="10" t="n"/>
      <c r="E535" s="10">
        <f>IF(D535="","",MIN(D535,100))</f>
        <v/>
      </c>
      <c r="F535" s="10" t="n"/>
      <c r="G535" s="10">
        <f>IF(F535="","",MIN(F535,100))</f>
        <v/>
      </c>
      <c r="H535" s="11">
        <f>IF(A535="","",Universe!E535/BDP(A535&amp;" US Equity","HIGH_52WEEK")*100)</f>
        <v/>
      </c>
      <c r="I535">
        <f>IF(D535="","",D535&gt;=5)</f>
        <v/>
      </c>
      <c r="J535">
        <f>IF(F535="","",F535&gt;=5)</f>
        <v/>
      </c>
      <c r="K535">
        <f>IF(H535="","",H535&gt;=75)</f>
        <v/>
      </c>
      <c r="L535">
        <f>IF(OR(I535="",J535="",K535=""),FALSE,AND(I535,J535,K535))</f>
        <v/>
      </c>
    </row>
    <row r="536">
      <c r="A536">
        <f>Universe!A536</f>
        <v/>
      </c>
      <c r="B536" s="10" t="n"/>
      <c r="C536" s="11">
        <f>IF(B536="","",PERCENTRANK.INC($B$2:$B$2501,B536)*100)</f>
        <v/>
      </c>
      <c r="D536" s="10" t="n"/>
      <c r="E536" s="10">
        <f>IF(D536="","",MIN(D536,100))</f>
        <v/>
      </c>
      <c r="F536" s="10" t="n"/>
      <c r="G536" s="10">
        <f>IF(F536="","",MIN(F536,100))</f>
        <v/>
      </c>
      <c r="H536" s="11">
        <f>IF(A536="","",Universe!E536/BDP(A536&amp;" US Equity","HIGH_52WEEK")*100)</f>
        <v/>
      </c>
      <c r="I536">
        <f>IF(D536="","",D536&gt;=5)</f>
        <v/>
      </c>
      <c r="J536">
        <f>IF(F536="","",F536&gt;=5)</f>
        <v/>
      </c>
      <c r="K536">
        <f>IF(H536="","",H536&gt;=75)</f>
        <v/>
      </c>
      <c r="L536">
        <f>IF(OR(I536="",J536="",K536=""),FALSE,AND(I536,J536,K536))</f>
        <v/>
      </c>
    </row>
    <row r="537">
      <c r="A537">
        <f>Universe!A537</f>
        <v/>
      </c>
      <c r="B537" s="10" t="n"/>
      <c r="C537" s="11">
        <f>IF(B537="","",PERCENTRANK.INC($B$2:$B$2501,B537)*100)</f>
        <v/>
      </c>
      <c r="D537" s="10" t="n"/>
      <c r="E537" s="10">
        <f>IF(D537="","",MIN(D537,100))</f>
        <v/>
      </c>
      <c r="F537" s="10" t="n"/>
      <c r="G537" s="10">
        <f>IF(F537="","",MIN(F537,100))</f>
        <v/>
      </c>
      <c r="H537" s="11">
        <f>IF(A537="","",Universe!E537/BDP(A537&amp;" US Equity","HIGH_52WEEK")*100)</f>
        <v/>
      </c>
      <c r="I537">
        <f>IF(D537="","",D537&gt;=5)</f>
        <v/>
      </c>
      <c r="J537">
        <f>IF(F537="","",F537&gt;=5)</f>
        <v/>
      </c>
      <c r="K537">
        <f>IF(H537="","",H537&gt;=75)</f>
        <v/>
      </c>
      <c r="L537">
        <f>IF(OR(I537="",J537="",K537=""),FALSE,AND(I537,J537,K537))</f>
        <v/>
      </c>
    </row>
    <row r="538">
      <c r="A538">
        <f>Universe!A538</f>
        <v/>
      </c>
      <c r="B538" s="10" t="n"/>
      <c r="C538" s="11">
        <f>IF(B538="","",PERCENTRANK.INC($B$2:$B$2501,B538)*100)</f>
        <v/>
      </c>
      <c r="D538" s="10" t="n"/>
      <c r="E538" s="10">
        <f>IF(D538="","",MIN(D538,100))</f>
        <v/>
      </c>
      <c r="F538" s="10" t="n"/>
      <c r="G538" s="10">
        <f>IF(F538="","",MIN(F538,100))</f>
        <v/>
      </c>
      <c r="H538" s="11">
        <f>IF(A538="","",Universe!E538/BDP(A538&amp;" US Equity","HIGH_52WEEK")*100)</f>
        <v/>
      </c>
      <c r="I538">
        <f>IF(D538="","",D538&gt;=5)</f>
        <v/>
      </c>
      <c r="J538">
        <f>IF(F538="","",F538&gt;=5)</f>
        <v/>
      </c>
      <c r="K538">
        <f>IF(H538="","",H538&gt;=75)</f>
        <v/>
      </c>
      <c r="L538">
        <f>IF(OR(I538="",J538="",K538=""),FALSE,AND(I538,J538,K538))</f>
        <v/>
      </c>
    </row>
    <row r="539">
      <c r="A539">
        <f>Universe!A539</f>
        <v/>
      </c>
      <c r="B539" s="10" t="n"/>
      <c r="C539" s="11">
        <f>IF(B539="","",PERCENTRANK.INC($B$2:$B$2501,B539)*100)</f>
        <v/>
      </c>
      <c r="D539" s="10" t="n"/>
      <c r="E539" s="10">
        <f>IF(D539="","",MIN(D539,100))</f>
        <v/>
      </c>
      <c r="F539" s="10" t="n"/>
      <c r="G539" s="10">
        <f>IF(F539="","",MIN(F539,100))</f>
        <v/>
      </c>
      <c r="H539" s="11">
        <f>IF(A539="","",Universe!E539/BDP(A539&amp;" US Equity","HIGH_52WEEK")*100)</f>
        <v/>
      </c>
      <c r="I539">
        <f>IF(D539="","",D539&gt;=5)</f>
        <v/>
      </c>
      <c r="J539">
        <f>IF(F539="","",F539&gt;=5)</f>
        <v/>
      </c>
      <c r="K539">
        <f>IF(H539="","",H539&gt;=75)</f>
        <v/>
      </c>
      <c r="L539">
        <f>IF(OR(I539="",J539="",K539=""),FALSE,AND(I539,J539,K539))</f>
        <v/>
      </c>
    </row>
    <row r="540">
      <c r="A540">
        <f>Universe!A540</f>
        <v/>
      </c>
      <c r="B540" s="10" t="n"/>
      <c r="C540" s="11">
        <f>IF(B540="","",PERCENTRANK.INC($B$2:$B$2501,B540)*100)</f>
        <v/>
      </c>
      <c r="D540" s="10" t="n"/>
      <c r="E540" s="10">
        <f>IF(D540="","",MIN(D540,100))</f>
        <v/>
      </c>
      <c r="F540" s="10" t="n"/>
      <c r="G540" s="10">
        <f>IF(F540="","",MIN(F540,100))</f>
        <v/>
      </c>
      <c r="H540" s="11">
        <f>IF(A540="","",Universe!E540/BDP(A540&amp;" US Equity","HIGH_52WEEK")*100)</f>
        <v/>
      </c>
      <c r="I540">
        <f>IF(D540="","",D540&gt;=5)</f>
        <v/>
      </c>
      <c r="J540">
        <f>IF(F540="","",F540&gt;=5)</f>
        <v/>
      </c>
      <c r="K540">
        <f>IF(H540="","",H540&gt;=75)</f>
        <v/>
      </c>
      <c r="L540">
        <f>IF(OR(I540="",J540="",K540=""),FALSE,AND(I540,J540,K540))</f>
        <v/>
      </c>
    </row>
    <row r="541">
      <c r="A541">
        <f>Universe!A541</f>
        <v/>
      </c>
      <c r="B541" s="10" t="n"/>
      <c r="C541" s="11">
        <f>IF(B541="","",PERCENTRANK.INC($B$2:$B$2501,B541)*100)</f>
        <v/>
      </c>
      <c r="D541" s="10" t="n"/>
      <c r="E541" s="10">
        <f>IF(D541="","",MIN(D541,100))</f>
        <v/>
      </c>
      <c r="F541" s="10" t="n"/>
      <c r="G541" s="10">
        <f>IF(F541="","",MIN(F541,100))</f>
        <v/>
      </c>
      <c r="H541" s="11">
        <f>IF(A541="","",Universe!E541/BDP(A541&amp;" US Equity","HIGH_52WEEK")*100)</f>
        <v/>
      </c>
      <c r="I541">
        <f>IF(D541="","",D541&gt;=5)</f>
        <v/>
      </c>
      <c r="J541">
        <f>IF(F541="","",F541&gt;=5)</f>
        <v/>
      </c>
      <c r="K541">
        <f>IF(H541="","",H541&gt;=75)</f>
        <v/>
      </c>
      <c r="L541">
        <f>IF(OR(I541="",J541="",K541=""),FALSE,AND(I541,J541,K541))</f>
        <v/>
      </c>
    </row>
    <row r="542">
      <c r="A542">
        <f>Universe!A542</f>
        <v/>
      </c>
      <c r="B542" s="10" t="n"/>
      <c r="C542" s="11">
        <f>IF(B542="","",PERCENTRANK.INC($B$2:$B$2501,B542)*100)</f>
        <v/>
      </c>
      <c r="D542" s="10" t="n"/>
      <c r="E542" s="10">
        <f>IF(D542="","",MIN(D542,100))</f>
        <v/>
      </c>
      <c r="F542" s="10" t="n"/>
      <c r="G542" s="10">
        <f>IF(F542="","",MIN(F542,100))</f>
        <v/>
      </c>
      <c r="H542" s="11">
        <f>IF(A542="","",Universe!E542/BDP(A542&amp;" US Equity","HIGH_52WEEK")*100)</f>
        <v/>
      </c>
      <c r="I542">
        <f>IF(D542="","",D542&gt;=5)</f>
        <v/>
      </c>
      <c r="J542">
        <f>IF(F542="","",F542&gt;=5)</f>
        <v/>
      </c>
      <c r="K542">
        <f>IF(H542="","",H542&gt;=75)</f>
        <v/>
      </c>
      <c r="L542">
        <f>IF(OR(I542="",J542="",K542=""),FALSE,AND(I542,J542,K542))</f>
        <v/>
      </c>
    </row>
    <row r="543">
      <c r="A543">
        <f>Universe!A543</f>
        <v/>
      </c>
      <c r="B543" s="10" t="n"/>
      <c r="C543" s="11">
        <f>IF(B543="","",PERCENTRANK.INC($B$2:$B$2501,B543)*100)</f>
        <v/>
      </c>
      <c r="D543" s="10" t="n"/>
      <c r="E543" s="10">
        <f>IF(D543="","",MIN(D543,100))</f>
        <v/>
      </c>
      <c r="F543" s="10" t="n"/>
      <c r="G543" s="10">
        <f>IF(F543="","",MIN(F543,100))</f>
        <v/>
      </c>
      <c r="H543" s="11">
        <f>IF(A543="","",Universe!E543/BDP(A543&amp;" US Equity","HIGH_52WEEK")*100)</f>
        <v/>
      </c>
      <c r="I543">
        <f>IF(D543="","",D543&gt;=5)</f>
        <v/>
      </c>
      <c r="J543">
        <f>IF(F543="","",F543&gt;=5)</f>
        <v/>
      </c>
      <c r="K543">
        <f>IF(H543="","",H543&gt;=75)</f>
        <v/>
      </c>
      <c r="L543">
        <f>IF(OR(I543="",J543="",K543=""),FALSE,AND(I543,J543,K543))</f>
        <v/>
      </c>
    </row>
    <row r="544">
      <c r="A544">
        <f>Universe!A544</f>
        <v/>
      </c>
      <c r="B544" s="10" t="n"/>
      <c r="C544" s="11">
        <f>IF(B544="","",PERCENTRANK.INC($B$2:$B$2501,B544)*100)</f>
        <v/>
      </c>
      <c r="D544" s="10" t="n"/>
      <c r="E544" s="10">
        <f>IF(D544="","",MIN(D544,100))</f>
        <v/>
      </c>
      <c r="F544" s="10" t="n"/>
      <c r="G544" s="10">
        <f>IF(F544="","",MIN(F544,100))</f>
        <v/>
      </c>
      <c r="H544" s="11">
        <f>IF(A544="","",Universe!E544/BDP(A544&amp;" US Equity","HIGH_52WEEK")*100)</f>
        <v/>
      </c>
      <c r="I544">
        <f>IF(D544="","",D544&gt;=5)</f>
        <v/>
      </c>
      <c r="J544">
        <f>IF(F544="","",F544&gt;=5)</f>
        <v/>
      </c>
      <c r="K544">
        <f>IF(H544="","",H544&gt;=75)</f>
        <v/>
      </c>
      <c r="L544">
        <f>IF(OR(I544="",J544="",K544=""),FALSE,AND(I544,J544,K544))</f>
        <v/>
      </c>
    </row>
    <row r="545">
      <c r="A545">
        <f>Universe!A545</f>
        <v/>
      </c>
      <c r="B545" s="10" t="n"/>
      <c r="C545" s="11">
        <f>IF(B545="","",PERCENTRANK.INC($B$2:$B$2501,B545)*100)</f>
        <v/>
      </c>
      <c r="D545" s="10" t="n"/>
      <c r="E545" s="10">
        <f>IF(D545="","",MIN(D545,100))</f>
        <v/>
      </c>
      <c r="F545" s="10" t="n"/>
      <c r="G545" s="10">
        <f>IF(F545="","",MIN(F545,100))</f>
        <v/>
      </c>
      <c r="H545" s="11">
        <f>IF(A545="","",Universe!E545/BDP(A545&amp;" US Equity","HIGH_52WEEK")*100)</f>
        <v/>
      </c>
      <c r="I545">
        <f>IF(D545="","",D545&gt;=5)</f>
        <v/>
      </c>
      <c r="J545">
        <f>IF(F545="","",F545&gt;=5)</f>
        <v/>
      </c>
      <c r="K545">
        <f>IF(H545="","",H545&gt;=75)</f>
        <v/>
      </c>
      <c r="L545">
        <f>IF(OR(I545="",J545="",K545=""),FALSE,AND(I545,J545,K545))</f>
        <v/>
      </c>
    </row>
    <row r="546">
      <c r="A546">
        <f>Universe!A546</f>
        <v/>
      </c>
      <c r="B546" s="10" t="n"/>
      <c r="C546" s="11">
        <f>IF(B546="","",PERCENTRANK.INC($B$2:$B$2501,B546)*100)</f>
        <v/>
      </c>
      <c r="D546" s="10" t="n"/>
      <c r="E546" s="10">
        <f>IF(D546="","",MIN(D546,100))</f>
        <v/>
      </c>
      <c r="F546" s="10" t="n"/>
      <c r="G546" s="10">
        <f>IF(F546="","",MIN(F546,100))</f>
        <v/>
      </c>
      <c r="H546" s="11">
        <f>IF(A546="","",Universe!E546/BDP(A546&amp;" US Equity","HIGH_52WEEK")*100)</f>
        <v/>
      </c>
      <c r="I546">
        <f>IF(D546="","",D546&gt;=5)</f>
        <v/>
      </c>
      <c r="J546">
        <f>IF(F546="","",F546&gt;=5)</f>
        <v/>
      </c>
      <c r="K546">
        <f>IF(H546="","",H546&gt;=75)</f>
        <v/>
      </c>
      <c r="L546">
        <f>IF(OR(I546="",J546="",K546=""),FALSE,AND(I546,J546,K546))</f>
        <v/>
      </c>
    </row>
    <row r="547">
      <c r="A547">
        <f>Universe!A547</f>
        <v/>
      </c>
      <c r="B547" s="10" t="n"/>
      <c r="C547" s="11">
        <f>IF(B547="","",PERCENTRANK.INC($B$2:$B$2501,B547)*100)</f>
        <v/>
      </c>
      <c r="D547" s="10" t="n"/>
      <c r="E547" s="10">
        <f>IF(D547="","",MIN(D547,100))</f>
        <v/>
      </c>
      <c r="F547" s="10" t="n"/>
      <c r="G547" s="10">
        <f>IF(F547="","",MIN(F547,100))</f>
        <v/>
      </c>
      <c r="H547" s="11">
        <f>IF(A547="","",Universe!E547/BDP(A547&amp;" US Equity","HIGH_52WEEK")*100)</f>
        <v/>
      </c>
      <c r="I547">
        <f>IF(D547="","",D547&gt;=5)</f>
        <v/>
      </c>
      <c r="J547">
        <f>IF(F547="","",F547&gt;=5)</f>
        <v/>
      </c>
      <c r="K547">
        <f>IF(H547="","",H547&gt;=75)</f>
        <v/>
      </c>
      <c r="L547">
        <f>IF(OR(I547="",J547="",K547=""),FALSE,AND(I547,J547,K547))</f>
        <v/>
      </c>
    </row>
    <row r="548">
      <c r="A548">
        <f>Universe!A548</f>
        <v/>
      </c>
      <c r="B548" s="10" t="n"/>
      <c r="C548" s="11">
        <f>IF(B548="","",PERCENTRANK.INC($B$2:$B$2501,B548)*100)</f>
        <v/>
      </c>
      <c r="D548" s="10" t="n"/>
      <c r="E548" s="10">
        <f>IF(D548="","",MIN(D548,100))</f>
        <v/>
      </c>
      <c r="F548" s="10" t="n"/>
      <c r="G548" s="10">
        <f>IF(F548="","",MIN(F548,100))</f>
        <v/>
      </c>
      <c r="H548" s="11">
        <f>IF(A548="","",Universe!E548/BDP(A548&amp;" US Equity","HIGH_52WEEK")*100)</f>
        <v/>
      </c>
      <c r="I548">
        <f>IF(D548="","",D548&gt;=5)</f>
        <v/>
      </c>
      <c r="J548">
        <f>IF(F548="","",F548&gt;=5)</f>
        <v/>
      </c>
      <c r="K548">
        <f>IF(H548="","",H548&gt;=75)</f>
        <v/>
      </c>
      <c r="L548">
        <f>IF(OR(I548="",J548="",K548=""),FALSE,AND(I548,J548,K548))</f>
        <v/>
      </c>
    </row>
    <row r="549">
      <c r="A549">
        <f>Universe!A549</f>
        <v/>
      </c>
      <c r="B549" s="10" t="n"/>
      <c r="C549" s="11">
        <f>IF(B549="","",PERCENTRANK.INC($B$2:$B$2501,B549)*100)</f>
        <v/>
      </c>
      <c r="D549" s="10" t="n"/>
      <c r="E549" s="10">
        <f>IF(D549="","",MIN(D549,100))</f>
        <v/>
      </c>
      <c r="F549" s="10" t="n"/>
      <c r="G549" s="10">
        <f>IF(F549="","",MIN(F549,100))</f>
        <v/>
      </c>
      <c r="H549" s="11">
        <f>IF(A549="","",Universe!E549/BDP(A549&amp;" US Equity","HIGH_52WEEK")*100)</f>
        <v/>
      </c>
      <c r="I549">
        <f>IF(D549="","",D549&gt;=5)</f>
        <v/>
      </c>
      <c r="J549">
        <f>IF(F549="","",F549&gt;=5)</f>
        <v/>
      </c>
      <c r="K549">
        <f>IF(H549="","",H549&gt;=75)</f>
        <v/>
      </c>
      <c r="L549">
        <f>IF(OR(I549="",J549="",K549=""),FALSE,AND(I549,J549,K549))</f>
        <v/>
      </c>
    </row>
    <row r="550">
      <c r="A550">
        <f>Universe!A550</f>
        <v/>
      </c>
      <c r="B550" s="10" t="n"/>
      <c r="C550" s="11">
        <f>IF(B550="","",PERCENTRANK.INC($B$2:$B$2501,B550)*100)</f>
        <v/>
      </c>
      <c r="D550" s="10" t="n"/>
      <c r="E550" s="10">
        <f>IF(D550="","",MIN(D550,100))</f>
        <v/>
      </c>
      <c r="F550" s="10" t="n"/>
      <c r="G550" s="10">
        <f>IF(F550="","",MIN(F550,100))</f>
        <v/>
      </c>
      <c r="H550" s="11">
        <f>IF(A550="","",Universe!E550/BDP(A550&amp;" US Equity","HIGH_52WEEK")*100)</f>
        <v/>
      </c>
      <c r="I550">
        <f>IF(D550="","",D550&gt;=5)</f>
        <v/>
      </c>
      <c r="J550">
        <f>IF(F550="","",F550&gt;=5)</f>
        <v/>
      </c>
      <c r="K550">
        <f>IF(H550="","",H550&gt;=75)</f>
        <v/>
      </c>
      <c r="L550">
        <f>IF(OR(I550="",J550="",K550=""),FALSE,AND(I550,J550,K550))</f>
        <v/>
      </c>
    </row>
    <row r="551">
      <c r="A551">
        <f>Universe!A551</f>
        <v/>
      </c>
      <c r="B551" s="10" t="n"/>
      <c r="C551" s="11">
        <f>IF(B551="","",PERCENTRANK.INC($B$2:$B$2501,B551)*100)</f>
        <v/>
      </c>
      <c r="D551" s="10" t="n"/>
      <c r="E551" s="10">
        <f>IF(D551="","",MIN(D551,100))</f>
        <v/>
      </c>
      <c r="F551" s="10" t="n"/>
      <c r="G551" s="10">
        <f>IF(F551="","",MIN(F551,100))</f>
        <v/>
      </c>
      <c r="H551" s="11">
        <f>IF(A551="","",Universe!E551/BDP(A551&amp;" US Equity","HIGH_52WEEK")*100)</f>
        <v/>
      </c>
      <c r="I551">
        <f>IF(D551="","",D551&gt;=5)</f>
        <v/>
      </c>
      <c r="J551">
        <f>IF(F551="","",F551&gt;=5)</f>
        <v/>
      </c>
      <c r="K551">
        <f>IF(H551="","",H551&gt;=75)</f>
        <v/>
      </c>
      <c r="L551">
        <f>IF(OR(I551="",J551="",K551=""),FALSE,AND(I551,J551,K551))</f>
        <v/>
      </c>
    </row>
    <row r="552">
      <c r="A552">
        <f>Universe!A552</f>
        <v/>
      </c>
      <c r="B552" s="10" t="n"/>
      <c r="C552" s="11">
        <f>IF(B552="","",PERCENTRANK.INC($B$2:$B$2501,B552)*100)</f>
        <v/>
      </c>
      <c r="D552" s="10" t="n"/>
      <c r="E552" s="10">
        <f>IF(D552="","",MIN(D552,100))</f>
        <v/>
      </c>
      <c r="F552" s="10" t="n"/>
      <c r="G552" s="10">
        <f>IF(F552="","",MIN(F552,100))</f>
        <v/>
      </c>
      <c r="H552" s="11">
        <f>IF(A552="","",Universe!E552/BDP(A552&amp;" US Equity","HIGH_52WEEK")*100)</f>
        <v/>
      </c>
      <c r="I552">
        <f>IF(D552="","",D552&gt;=5)</f>
        <v/>
      </c>
      <c r="J552">
        <f>IF(F552="","",F552&gt;=5)</f>
        <v/>
      </c>
      <c r="K552">
        <f>IF(H552="","",H552&gt;=75)</f>
        <v/>
      </c>
      <c r="L552">
        <f>IF(OR(I552="",J552="",K552=""),FALSE,AND(I552,J552,K552))</f>
        <v/>
      </c>
    </row>
    <row r="553">
      <c r="A553">
        <f>Universe!A553</f>
        <v/>
      </c>
      <c r="B553" s="10" t="n"/>
      <c r="C553" s="11">
        <f>IF(B553="","",PERCENTRANK.INC($B$2:$B$2501,B553)*100)</f>
        <v/>
      </c>
      <c r="D553" s="10" t="n"/>
      <c r="E553" s="10">
        <f>IF(D553="","",MIN(D553,100))</f>
        <v/>
      </c>
      <c r="F553" s="10" t="n"/>
      <c r="G553" s="10">
        <f>IF(F553="","",MIN(F553,100))</f>
        <v/>
      </c>
      <c r="H553" s="11">
        <f>IF(A553="","",Universe!E553/BDP(A553&amp;" US Equity","HIGH_52WEEK")*100)</f>
        <v/>
      </c>
      <c r="I553">
        <f>IF(D553="","",D553&gt;=5)</f>
        <v/>
      </c>
      <c r="J553">
        <f>IF(F553="","",F553&gt;=5)</f>
        <v/>
      </c>
      <c r="K553">
        <f>IF(H553="","",H553&gt;=75)</f>
        <v/>
      </c>
      <c r="L553">
        <f>IF(OR(I553="",J553="",K553=""),FALSE,AND(I553,J553,K553))</f>
        <v/>
      </c>
    </row>
    <row r="554">
      <c r="A554">
        <f>Universe!A554</f>
        <v/>
      </c>
      <c r="B554" s="10" t="n"/>
      <c r="C554" s="11">
        <f>IF(B554="","",PERCENTRANK.INC($B$2:$B$2501,B554)*100)</f>
        <v/>
      </c>
      <c r="D554" s="10" t="n"/>
      <c r="E554" s="10">
        <f>IF(D554="","",MIN(D554,100))</f>
        <v/>
      </c>
      <c r="F554" s="10" t="n"/>
      <c r="G554" s="10">
        <f>IF(F554="","",MIN(F554,100))</f>
        <v/>
      </c>
      <c r="H554" s="11">
        <f>IF(A554="","",Universe!E554/BDP(A554&amp;" US Equity","HIGH_52WEEK")*100)</f>
        <v/>
      </c>
      <c r="I554">
        <f>IF(D554="","",D554&gt;=5)</f>
        <v/>
      </c>
      <c r="J554">
        <f>IF(F554="","",F554&gt;=5)</f>
        <v/>
      </c>
      <c r="K554">
        <f>IF(H554="","",H554&gt;=75)</f>
        <v/>
      </c>
      <c r="L554">
        <f>IF(OR(I554="",J554="",K554=""),FALSE,AND(I554,J554,K554))</f>
        <v/>
      </c>
    </row>
    <row r="555">
      <c r="A555">
        <f>Universe!A555</f>
        <v/>
      </c>
      <c r="B555" s="10" t="n"/>
      <c r="C555" s="11">
        <f>IF(B555="","",PERCENTRANK.INC($B$2:$B$2501,B555)*100)</f>
        <v/>
      </c>
      <c r="D555" s="10" t="n"/>
      <c r="E555" s="10">
        <f>IF(D555="","",MIN(D555,100))</f>
        <v/>
      </c>
      <c r="F555" s="10" t="n"/>
      <c r="G555" s="10">
        <f>IF(F555="","",MIN(F555,100))</f>
        <v/>
      </c>
      <c r="H555" s="11">
        <f>IF(A555="","",Universe!E555/BDP(A555&amp;" US Equity","HIGH_52WEEK")*100)</f>
        <v/>
      </c>
      <c r="I555">
        <f>IF(D555="","",D555&gt;=5)</f>
        <v/>
      </c>
      <c r="J555">
        <f>IF(F555="","",F555&gt;=5)</f>
        <v/>
      </c>
      <c r="K555">
        <f>IF(H555="","",H555&gt;=75)</f>
        <v/>
      </c>
      <c r="L555">
        <f>IF(OR(I555="",J555="",K555=""),FALSE,AND(I555,J555,K555))</f>
        <v/>
      </c>
    </row>
    <row r="556">
      <c r="A556">
        <f>Universe!A556</f>
        <v/>
      </c>
      <c r="B556" s="10" t="n"/>
      <c r="C556" s="11">
        <f>IF(B556="","",PERCENTRANK.INC($B$2:$B$2501,B556)*100)</f>
        <v/>
      </c>
      <c r="D556" s="10" t="n"/>
      <c r="E556" s="10">
        <f>IF(D556="","",MIN(D556,100))</f>
        <v/>
      </c>
      <c r="F556" s="10" t="n"/>
      <c r="G556" s="10">
        <f>IF(F556="","",MIN(F556,100))</f>
        <v/>
      </c>
      <c r="H556" s="11">
        <f>IF(A556="","",Universe!E556/BDP(A556&amp;" US Equity","HIGH_52WEEK")*100)</f>
        <v/>
      </c>
      <c r="I556">
        <f>IF(D556="","",D556&gt;=5)</f>
        <v/>
      </c>
      <c r="J556">
        <f>IF(F556="","",F556&gt;=5)</f>
        <v/>
      </c>
      <c r="K556">
        <f>IF(H556="","",H556&gt;=75)</f>
        <v/>
      </c>
      <c r="L556">
        <f>IF(OR(I556="",J556="",K556=""),FALSE,AND(I556,J556,K556))</f>
        <v/>
      </c>
    </row>
    <row r="557">
      <c r="A557">
        <f>Universe!A557</f>
        <v/>
      </c>
      <c r="B557" s="10" t="n"/>
      <c r="C557" s="11">
        <f>IF(B557="","",PERCENTRANK.INC($B$2:$B$2501,B557)*100)</f>
        <v/>
      </c>
      <c r="D557" s="10" t="n"/>
      <c r="E557" s="10">
        <f>IF(D557="","",MIN(D557,100))</f>
        <v/>
      </c>
      <c r="F557" s="10" t="n"/>
      <c r="G557" s="10">
        <f>IF(F557="","",MIN(F557,100))</f>
        <v/>
      </c>
      <c r="H557" s="11">
        <f>IF(A557="","",Universe!E557/BDP(A557&amp;" US Equity","HIGH_52WEEK")*100)</f>
        <v/>
      </c>
      <c r="I557">
        <f>IF(D557="","",D557&gt;=5)</f>
        <v/>
      </c>
      <c r="J557">
        <f>IF(F557="","",F557&gt;=5)</f>
        <v/>
      </c>
      <c r="K557">
        <f>IF(H557="","",H557&gt;=75)</f>
        <v/>
      </c>
      <c r="L557">
        <f>IF(OR(I557="",J557="",K557=""),FALSE,AND(I557,J557,K557))</f>
        <v/>
      </c>
    </row>
    <row r="558">
      <c r="A558">
        <f>Universe!A558</f>
        <v/>
      </c>
      <c r="B558" s="10" t="n"/>
      <c r="C558" s="11">
        <f>IF(B558="","",PERCENTRANK.INC($B$2:$B$2501,B558)*100)</f>
        <v/>
      </c>
      <c r="D558" s="10" t="n"/>
      <c r="E558" s="10">
        <f>IF(D558="","",MIN(D558,100))</f>
        <v/>
      </c>
      <c r="F558" s="10" t="n"/>
      <c r="G558" s="10">
        <f>IF(F558="","",MIN(F558,100))</f>
        <v/>
      </c>
      <c r="H558" s="11">
        <f>IF(A558="","",Universe!E558/BDP(A558&amp;" US Equity","HIGH_52WEEK")*100)</f>
        <v/>
      </c>
      <c r="I558">
        <f>IF(D558="","",D558&gt;=5)</f>
        <v/>
      </c>
      <c r="J558">
        <f>IF(F558="","",F558&gt;=5)</f>
        <v/>
      </c>
      <c r="K558">
        <f>IF(H558="","",H558&gt;=75)</f>
        <v/>
      </c>
      <c r="L558">
        <f>IF(OR(I558="",J558="",K558=""),FALSE,AND(I558,J558,K558))</f>
        <v/>
      </c>
    </row>
    <row r="559">
      <c r="A559">
        <f>Universe!A559</f>
        <v/>
      </c>
      <c r="B559" s="10" t="n"/>
      <c r="C559" s="11">
        <f>IF(B559="","",PERCENTRANK.INC($B$2:$B$2501,B559)*100)</f>
        <v/>
      </c>
      <c r="D559" s="10" t="n"/>
      <c r="E559" s="10">
        <f>IF(D559="","",MIN(D559,100))</f>
        <v/>
      </c>
      <c r="F559" s="10" t="n"/>
      <c r="G559" s="10">
        <f>IF(F559="","",MIN(F559,100))</f>
        <v/>
      </c>
      <c r="H559" s="11">
        <f>IF(A559="","",Universe!E559/BDP(A559&amp;" US Equity","HIGH_52WEEK")*100)</f>
        <v/>
      </c>
      <c r="I559">
        <f>IF(D559="","",D559&gt;=5)</f>
        <v/>
      </c>
      <c r="J559">
        <f>IF(F559="","",F559&gt;=5)</f>
        <v/>
      </c>
      <c r="K559">
        <f>IF(H559="","",H559&gt;=75)</f>
        <v/>
      </c>
      <c r="L559">
        <f>IF(OR(I559="",J559="",K559=""),FALSE,AND(I559,J559,K559))</f>
        <v/>
      </c>
    </row>
    <row r="560">
      <c r="A560">
        <f>Universe!A560</f>
        <v/>
      </c>
      <c r="B560" s="10" t="n"/>
      <c r="C560" s="11">
        <f>IF(B560="","",PERCENTRANK.INC($B$2:$B$2501,B560)*100)</f>
        <v/>
      </c>
      <c r="D560" s="10" t="n"/>
      <c r="E560" s="10">
        <f>IF(D560="","",MIN(D560,100))</f>
        <v/>
      </c>
      <c r="F560" s="10" t="n"/>
      <c r="G560" s="10">
        <f>IF(F560="","",MIN(F560,100))</f>
        <v/>
      </c>
      <c r="H560" s="11">
        <f>IF(A560="","",Universe!E560/BDP(A560&amp;" US Equity","HIGH_52WEEK")*100)</f>
        <v/>
      </c>
      <c r="I560">
        <f>IF(D560="","",D560&gt;=5)</f>
        <v/>
      </c>
      <c r="J560">
        <f>IF(F560="","",F560&gt;=5)</f>
        <v/>
      </c>
      <c r="K560">
        <f>IF(H560="","",H560&gt;=75)</f>
        <v/>
      </c>
      <c r="L560">
        <f>IF(OR(I560="",J560="",K560=""),FALSE,AND(I560,J560,K560))</f>
        <v/>
      </c>
    </row>
    <row r="561">
      <c r="A561">
        <f>Universe!A561</f>
        <v/>
      </c>
      <c r="B561" s="10" t="n"/>
      <c r="C561" s="11">
        <f>IF(B561="","",PERCENTRANK.INC($B$2:$B$2501,B561)*100)</f>
        <v/>
      </c>
      <c r="D561" s="10" t="n"/>
      <c r="E561" s="10">
        <f>IF(D561="","",MIN(D561,100))</f>
        <v/>
      </c>
      <c r="F561" s="10" t="n"/>
      <c r="G561" s="10">
        <f>IF(F561="","",MIN(F561,100))</f>
        <v/>
      </c>
      <c r="H561" s="11">
        <f>IF(A561="","",Universe!E561/BDP(A561&amp;" US Equity","HIGH_52WEEK")*100)</f>
        <v/>
      </c>
      <c r="I561">
        <f>IF(D561="","",D561&gt;=5)</f>
        <v/>
      </c>
      <c r="J561">
        <f>IF(F561="","",F561&gt;=5)</f>
        <v/>
      </c>
      <c r="K561">
        <f>IF(H561="","",H561&gt;=75)</f>
        <v/>
      </c>
      <c r="L561">
        <f>IF(OR(I561="",J561="",K561=""),FALSE,AND(I561,J561,K561))</f>
        <v/>
      </c>
    </row>
    <row r="562">
      <c r="A562">
        <f>Universe!A562</f>
        <v/>
      </c>
      <c r="B562" s="10" t="n"/>
      <c r="C562" s="11">
        <f>IF(B562="","",PERCENTRANK.INC($B$2:$B$2501,B562)*100)</f>
        <v/>
      </c>
      <c r="D562" s="10" t="n"/>
      <c r="E562" s="10">
        <f>IF(D562="","",MIN(D562,100))</f>
        <v/>
      </c>
      <c r="F562" s="10" t="n"/>
      <c r="G562" s="10">
        <f>IF(F562="","",MIN(F562,100))</f>
        <v/>
      </c>
      <c r="H562" s="11">
        <f>IF(A562="","",Universe!E562/BDP(A562&amp;" US Equity","HIGH_52WEEK")*100)</f>
        <v/>
      </c>
      <c r="I562">
        <f>IF(D562="","",D562&gt;=5)</f>
        <v/>
      </c>
      <c r="J562">
        <f>IF(F562="","",F562&gt;=5)</f>
        <v/>
      </c>
      <c r="K562">
        <f>IF(H562="","",H562&gt;=75)</f>
        <v/>
      </c>
      <c r="L562">
        <f>IF(OR(I562="",J562="",K562=""),FALSE,AND(I562,J562,K562))</f>
        <v/>
      </c>
    </row>
    <row r="563">
      <c r="A563">
        <f>Universe!A563</f>
        <v/>
      </c>
      <c r="B563" s="10" t="n"/>
      <c r="C563" s="11">
        <f>IF(B563="","",PERCENTRANK.INC($B$2:$B$2501,B563)*100)</f>
        <v/>
      </c>
      <c r="D563" s="10" t="n"/>
      <c r="E563" s="10">
        <f>IF(D563="","",MIN(D563,100))</f>
        <v/>
      </c>
      <c r="F563" s="10" t="n"/>
      <c r="G563" s="10">
        <f>IF(F563="","",MIN(F563,100))</f>
        <v/>
      </c>
      <c r="H563" s="11">
        <f>IF(A563="","",Universe!E563/BDP(A563&amp;" US Equity","HIGH_52WEEK")*100)</f>
        <v/>
      </c>
      <c r="I563">
        <f>IF(D563="","",D563&gt;=5)</f>
        <v/>
      </c>
      <c r="J563">
        <f>IF(F563="","",F563&gt;=5)</f>
        <v/>
      </c>
      <c r="K563">
        <f>IF(H563="","",H563&gt;=75)</f>
        <v/>
      </c>
      <c r="L563">
        <f>IF(OR(I563="",J563="",K563=""),FALSE,AND(I563,J563,K563))</f>
        <v/>
      </c>
    </row>
    <row r="564">
      <c r="A564">
        <f>Universe!A564</f>
        <v/>
      </c>
      <c r="B564" s="10" t="n"/>
      <c r="C564" s="11">
        <f>IF(B564="","",PERCENTRANK.INC($B$2:$B$2501,B564)*100)</f>
        <v/>
      </c>
      <c r="D564" s="10" t="n"/>
      <c r="E564" s="10">
        <f>IF(D564="","",MIN(D564,100))</f>
        <v/>
      </c>
      <c r="F564" s="10" t="n"/>
      <c r="G564" s="10">
        <f>IF(F564="","",MIN(F564,100))</f>
        <v/>
      </c>
      <c r="H564" s="11">
        <f>IF(A564="","",Universe!E564/BDP(A564&amp;" US Equity","HIGH_52WEEK")*100)</f>
        <v/>
      </c>
      <c r="I564">
        <f>IF(D564="","",D564&gt;=5)</f>
        <v/>
      </c>
      <c r="J564">
        <f>IF(F564="","",F564&gt;=5)</f>
        <v/>
      </c>
      <c r="K564">
        <f>IF(H564="","",H564&gt;=75)</f>
        <v/>
      </c>
      <c r="L564">
        <f>IF(OR(I564="",J564="",K564=""),FALSE,AND(I564,J564,K564))</f>
        <v/>
      </c>
    </row>
    <row r="565">
      <c r="A565">
        <f>Universe!A565</f>
        <v/>
      </c>
      <c r="B565" s="10" t="n"/>
      <c r="C565" s="11">
        <f>IF(B565="","",PERCENTRANK.INC($B$2:$B$2501,B565)*100)</f>
        <v/>
      </c>
      <c r="D565" s="10" t="n"/>
      <c r="E565" s="10">
        <f>IF(D565="","",MIN(D565,100))</f>
        <v/>
      </c>
      <c r="F565" s="10" t="n"/>
      <c r="G565" s="10">
        <f>IF(F565="","",MIN(F565,100))</f>
        <v/>
      </c>
      <c r="H565" s="11">
        <f>IF(A565="","",Universe!E565/BDP(A565&amp;" US Equity","HIGH_52WEEK")*100)</f>
        <v/>
      </c>
      <c r="I565">
        <f>IF(D565="","",D565&gt;=5)</f>
        <v/>
      </c>
      <c r="J565">
        <f>IF(F565="","",F565&gt;=5)</f>
        <v/>
      </c>
      <c r="K565">
        <f>IF(H565="","",H565&gt;=75)</f>
        <v/>
      </c>
      <c r="L565">
        <f>IF(OR(I565="",J565="",K565=""),FALSE,AND(I565,J565,K565))</f>
        <v/>
      </c>
    </row>
    <row r="566">
      <c r="A566">
        <f>Universe!A566</f>
        <v/>
      </c>
      <c r="B566" s="10" t="n"/>
      <c r="C566" s="11">
        <f>IF(B566="","",PERCENTRANK.INC($B$2:$B$2501,B566)*100)</f>
        <v/>
      </c>
      <c r="D566" s="10" t="n"/>
      <c r="E566" s="10">
        <f>IF(D566="","",MIN(D566,100))</f>
        <v/>
      </c>
      <c r="F566" s="10" t="n"/>
      <c r="G566" s="10">
        <f>IF(F566="","",MIN(F566,100))</f>
        <v/>
      </c>
      <c r="H566" s="11">
        <f>IF(A566="","",Universe!E566/BDP(A566&amp;" US Equity","HIGH_52WEEK")*100)</f>
        <v/>
      </c>
      <c r="I566">
        <f>IF(D566="","",D566&gt;=5)</f>
        <v/>
      </c>
      <c r="J566">
        <f>IF(F566="","",F566&gt;=5)</f>
        <v/>
      </c>
      <c r="K566">
        <f>IF(H566="","",H566&gt;=75)</f>
        <v/>
      </c>
      <c r="L566">
        <f>IF(OR(I566="",J566="",K566=""),FALSE,AND(I566,J566,K566))</f>
        <v/>
      </c>
    </row>
    <row r="567">
      <c r="A567">
        <f>Universe!A567</f>
        <v/>
      </c>
      <c r="B567" s="10" t="n"/>
      <c r="C567" s="11">
        <f>IF(B567="","",PERCENTRANK.INC($B$2:$B$2501,B567)*100)</f>
        <v/>
      </c>
      <c r="D567" s="10" t="n"/>
      <c r="E567" s="10">
        <f>IF(D567="","",MIN(D567,100))</f>
        <v/>
      </c>
      <c r="F567" s="10" t="n"/>
      <c r="G567" s="10">
        <f>IF(F567="","",MIN(F567,100))</f>
        <v/>
      </c>
      <c r="H567" s="11">
        <f>IF(A567="","",Universe!E567/BDP(A567&amp;" US Equity","HIGH_52WEEK")*100)</f>
        <v/>
      </c>
      <c r="I567">
        <f>IF(D567="","",D567&gt;=5)</f>
        <v/>
      </c>
      <c r="J567">
        <f>IF(F567="","",F567&gt;=5)</f>
        <v/>
      </c>
      <c r="K567">
        <f>IF(H567="","",H567&gt;=75)</f>
        <v/>
      </c>
      <c r="L567">
        <f>IF(OR(I567="",J567="",K567=""),FALSE,AND(I567,J567,K567))</f>
        <v/>
      </c>
    </row>
    <row r="568">
      <c r="A568">
        <f>Universe!A568</f>
        <v/>
      </c>
      <c r="B568" s="10" t="n"/>
      <c r="C568" s="11">
        <f>IF(B568="","",PERCENTRANK.INC($B$2:$B$2501,B568)*100)</f>
        <v/>
      </c>
      <c r="D568" s="10" t="n"/>
      <c r="E568" s="10">
        <f>IF(D568="","",MIN(D568,100))</f>
        <v/>
      </c>
      <c r="F568" s="10" t="n"/>
      <c r="G568" s="10">
        <f>IF(F568="","",MIN(F568,100))</f>
        <v/>
      </c>
      <c r="H568" s="11">
        <f>IF(A568="","",Universe!E568/BDP(A568&amp;" US Equity","HIGH_52WEEK")*100)</f>
        <v/>
      </c>
      <c r="I568">
        <f>IF(D568="","",D568&gt;=5)</f>
        <v/>
      </c>
      <c r="J568">
        <f>IF(F568="","",F568&gt;=5)</f>
        <v/>
      </c>
      <c r="K568">
        <f>IF(H568="","",H568&gt;=75)</f>
        <v/>
      </c>
      <c r="L568">
        <f>IF(OR(I568="",J568="",K568=""),FALSE,AND(I568,J568,K568))</f>
        <v/>
      </c>
    </row>
    <row r="569">
      <c r="A569">
        <f>Universe!A569</f>
        <v/>
      </c>
      <c r="B569" s="10" t="n"/>
      <c r="C569" s="11">
        <f>IF(B569="","",PERCENTRANK.INC($B$2:$B$2501,B569)*100)</f>
        <v/>
      </c>
      <c r="D569" s="10" t="n"/>
      <c r="E569" s="10">
        <f>IF(D569="","",MIN(D569,100))</f>
        <v/>
      </c>
      <c r="F569" s="10" t="n"/>
      <c r="G569" s="10">
        <f>IF(F569="","",MIN(F569,100))</f>
        <v/>
      </c>
      <c r="H569" s="11">
        <f>IF(A569="","",Universe!E569/BDP(A569&amp;" US Equity","HIGH_52WEEK")*100)</f>
        <v/>
      </c>
      <c r="I569">
        <f>IF(D569="","",D569&gt;=5)</f>
        <v/>
      </c>
      <c r="J569">
        <f>IF(F569="","",F569&gt;=5)</f>
        <v/>
      </c>
      <c r="K569">
        <f>IF(H569="","",H569&gt;=75)</f>
        <v/>
      </c>
      <c r="L569">
        <f>IF(OR(I569="",J569="",K569=""),FALSE,AND(I569,J569,K569))</f>
        <v/>
      </c>
    </row>
    <row r="570">
      <c r="A570">
        <f>Universe!A570</f>
        <v/>
      </c>
      <c r="B570" s="10" t="n"/>
      <c r="C570" s="11">
        <f>IF(B570="","",PERCENTRANK.INC($B$2:$B$2501,B570)*100)</f>
        <v/>
      </c>
      <c r="D570" s="10" t="n"/>
      <c r="E570" s="10">
        <f>IF(D570="","",MIN(D570,100))</f>
        <v/>
      </c>
      <c r="F570" s="10" t="n"/>
      <c r="G570" s="10">
        <f>IF(F570="","",MIN(F570,100))</f>
        <v/>
      </c>
      <c r="H570" s="11">
        <f>IF(A570="","",Universe!E570/BDP(A570&amp;" US Equity","HIGH_52WEEK")*100)</f>
        <v/>
      </c>
      <c r="I570">
        <f>IF(D570="","",D570&gt;=5)</f>
        <v/>
      </c>
      <c r="J570">
        <f>IF(F570="","",F570&gt;=5)</f>
        <v/>
      </c>
      <c r="K570">
        <f>IF(H570="","",H570&gt;=75)</f>
        <v/>
      </c>
      <c r="L570">
        <f>IF(OR(I570="",J570="",K570=""),FALSE,AND(I570,J570,K570))</f>
        <v/>
      </c>
    </row>
    <row r="571">
      <c r="A571">
        <f>Universe!A571</f>
        <v/>
      </c>
      <c r="B571" s="10" t="n"/>
      <c r="C571" s="11">
        <f>IF(B571="","",PERCENTRANK.INC($B$2:$B$2501,B571)*100)</f>
        <v/>
      </c>
      <c r="D571" s="10" t="n"/>
      <c r="E571" s="10">
        <f>IF(D571="","",MIN(D571,100))</f>
        <v/>
      </c>
      <c r="F571" s="10" t="n"/>
      <c r="G571" s="10">
        <f>IF(F571="","",MIN(F571,100))</f>
        <v/>
      </c>
      <c r="H571" s="11">
        <f>IF(A571="","",Universe!E571/BDP(A571&amp;" US Equity","HIGH_52WEEK")*100)</f>
        <v/>
      </c>
      <c r="I571">
        <f>IF(D571="","",D571&gt;=5)</f>
        <v/>
      </c>
      <c r="J571">
        <f>IF(F571="","",F571&gt;=5)</f>
        <v/>
      </c>
      <c r="K571">
        <f>IF(H571="","",H571&gt;=75)</f>
        <v/>
      </c>
      <c r="L571">
        <f>IF(OR(I571="",J571="",K571=""),FALSE,AND(I571,J571,K571))</f>
        <v/>
      </c>
    </row>
    <row r="572">
      <c r="A572">
        <f>Universe!A572</f>
        <v/>
      </c>
      <c r="B572" s="10" t="n"/>
      <c r="C572" s="11">
        <f>IF(B572="","",PERCENTRANK.INC($B$2:$B$2501,B572)*100)</f>
        <v/>
      </c>
      <c r="D572" s="10" t="n"/>
      <c r="E572" s="10">
        <f>IF(D572="","",MIN(D572,100))</f>
        <v/>
      </c>
      <c r="F572" s="10" t="n"/>
      <c r="G572" s="10">
        <f>IF(F572="","",MIN(F572,100))</f>
        <v/>
      </c>
      <c r="H572" s="11">
        <f>IF(A572="","",Universe!E572/BDP(A572&amp;" US Equity","HIGH_52WEEK")*100)</f>
        <v/>
      </c>
      <c r="I572">
        <f>IF(D572="","",D572&gt;=5)</f>
        <v/>
      </c>
      <c r="J572">
        <f>IF(F572="","",F572&gt;=5)</f>
        <v/>
      </c>
      <c r="K572">
        <f>IF(H572="","",H572&gt;=75)</f>
        <v/>
      </c>
      <c r="L572">
        <f>IF(OR(I572="",J572="",K572=""),FALSE,AND(I572,J572,K572))</f>
        <v/>
      </c>
    </row>
    <row r="573">
      <c r="A573">
        <f>Universe!A573</f>
        <v/>
      </c>
      <c r="B573" s="10" t="n"/>
      <c r="C573" s="11">
        <f>IF(B573="","",PERCENTRANK.INC($B$2:$B$2501,B573)*100)</f>
        <v/>
      </c>
      <c r="D573" s="10" t="n"/>
      <c r="E573" s="10">
        <f>IF(D573="","",MIN(D573,100))</f>
        <v/>
      </c>
      <c r="F573" s="10" t="n"/>
      <c r="G573" s="10">
        <f>IF(F573="","",MIN(F573,100))</f>
        <v/>
      </c>
      <c r="H573" s="11">
        <f>IF(A573="","",Universe!E573/BDP(A573&amp;" US Equity","HIGH_52WEEK")*100)</f>
        <v/>
      </c>
      <c r="I573">
        <f>IF(D573="","",D573&gt;=5)</f>
        <v/>
      </c>
      <c r="J573">
        <f>IF(F573="","",F573&gt;=5)</f>
        <v/>
      </c>
      <c r="K573">
        <f>IF(H573="","",H573&gt;=75)</f>
        <v/>
      </c>
      <c r="L573">
        <f>IF(OR(I573="",J573="",K573=""),FALSE,AND(I573,J573,K573))</f>
        <v/>
      </c>
    </row>
    <row r="574">
      <c r="A574">
        <f>Universe!A574</f>
        <v/>
      </c>
      <c r="B574" s="10" t="n"/>
      <c r="C574" s="11">
        <f>IF(B574="","",PERCENTRANK.INC($B$2:$B$2501,B574)*100)</f>
        <v/>
      </c>
      <c r="D574" s="10" t="n"/>
      <c r="E574" s="10">
        <f>IF(D574="","",MIN(D574,100))</f>
        <v/>
      </c>
      <c r="F574" s="10" t="n"/>
      <c r="G574" s="10">
        <f>IF(F574="","",MIN(F574,100))</f>
        <v/>
      </c>
      <c r="H574" s="11">
        <f>IF(A574="","",Universe!E574/BDP(A574&amp;" US Equity","HIGH_52WEEK")*100)</f>
        <v/>
      </c>
      <c r="I574">
        <f>IF(D574="","",D574&gt;=5)</f>
        <v/>
      </c>
      <c r="J574">
        <f>IF(F574="","",F574&gt;=5)</f>
        <v/>
      </c>
      <c r="K574">
        <f>IF(H574="","",H574&gt;=75)</f>
        <v/>
      </c>
      <c r="L574">
        <f>IF(OR(I574="",J574="",K574=""),FALSE,AND(I574,J574,K574))</f>
        <v/>
      </c>
    </row>
    <row r="575">
      <c r="A575">
        <f>Universe!A575</f>
        <v/>
      </c>
      <c r="B575" s="10" t="n"/>
      <c r="C575" s="11">
        <f>IF(B575="","",PERCENTRANK.INC($B$2:$B$2501,B575)*100)</f>
        <v/>
      </c>
      <c r="D575" s="10" t="n"/>
      <c r="E575" s="10">
        <f>IF(D575="","",MIN(D575,100))</f>
        <v/>
      </c>
      <c r="F575" s="10" t="n"/>
      <c r="G575" s="10">
        <f>IF(F575="","",MIN(F575,100))</f>
        <v/>
      </c>
      <c r="H575" s="11">
        <f>IF(A575="","",Universe!E575/BDP(A575&amp;" US Equity","HIGH_52WEEK")*100)</f>
        <v/>
      </c>
      <c r="I575">
        <f>IF(D575="","",D575&gt;=5)</f>
        <v/>
      </c>
      <c r="J575">
        <f>IF(F575="","",F575&gt;=5)</f>
        <v/>
      </c>
      <c r="K575">
        <f>IF(H575="","",H575&gt;=75)</f>
        <v/>
      </c>
      <c r="L575">
        <f>IF(OR(I575="",J575="",K575=""),FALSE,AND(I575,J575,K575))</f>
        <v/>
      </c>
    </row>
    <row r="576">
      <c r="A576">
        <f>Universe!A576</f>
        <v/>
      </c>
      <c r="B576" s="10" t="n"/>
      <c r="C576" s="11">
        <f>IF(B576="","",PERCENTRANK.INC($B$2:$B$2501,B576)*100)</f>
        <v/>
      </c>
      <c r="D576" s="10" t="n"/>
      <c r="E576" s="10">
        <f>IF(D576="","",MIN(D576,100))</f>
        <v/>
      </c>
      <c r="F576" s="10" t="n"/>
      <c r="G576" s="10">
        <f>IF(F576="","",MIN(F576,100))</f>
        <v/>
      </c>
      <c r="H576" s="11">
        <f>IF(A576="","",Universe!E576/BDP(A576&amp;" US Equity","HIGH_52WEEK")*100)</f>
        <v/>
      </c>
      <c r="I576">
        <f>IF(D576="","",D576&gt;=5)</f>
        <v/>
      </c>
      <c r="J576">
        <f>IF(F576="","",F576&gt;=5)</f>
        <v/>
      </c>
      <c r="K576">
        <f>IF(H576="","",H576&gt;=75)</f>
        <v/>
      </c>
      <c r="L576">
        <f>IF(OR(I576="",J576="",K576=""),FALSE,AND(I576,J576,K576))</f>
        <v/>
      </c>
    </row>
    <row r="577">
      <c r="A577">
        <f>Universe!A577</f>
        <v/>
      </c>
      <c r="B577" s="10" t="n"/>
      <c r="C577" s="11">
        <f>IF(B577="","",PERCENTRANK.INC($B$2:$B$2501,B577)*100)</f>
        <v/>
      </c>
      <c r="D577" s="10" t="n"/>
      <c r="E577" s="10">
        <f>IF(D577="","",MIN(D577,100))</f>
        <v/>
      </c>
      <c r="F577" s="10" t="n"/>
      <c r="G577" s="10">
        <f>IF(F577="","",MIN(F577,100))</f>
        <v/>
      </c>
      <c r="H577" s="11">
        <f>IF(A577="","",Universe!E577/BDP(A577&amp;" US Equity","HIGH_52WEEK")*100)</f>
        <v/>
      </c>
      <c r="I577">
        <f>IF(D577="","",D577&gt;=5)</f>
        <v/>
      </c>
      <c r="J577">
        <f>IF(F577="","",F577&gt;=5)</f>
        <v/>
      </c>
      <c r="K577">
        <f>IF(H577="","",H577&gt;=75)</f>
        <v/>
      </c>
      <c r="L577">
        <f>IF(OR(I577="",J577="",K577=""),FALSE,AND(I577,J577,K577))</f>
        <v/>
      </c>
    </row>
    <row r="578">
      <c r="A578">
        <f>Universe!A578</f>
        <v/>
      </c>
      <c r="B578" s="10" t="n"/>
      <c r="C578" s="11">
        <f>IF(B578="","",PERCENTRANK.INC($B$2:$B$2501,B578)*100)</f>
        <v/>
      </c>
      <c r="D578" s="10" t="n"/>
      <c r="E578" s="10">
        <f>IF(D578="","",MIN(D578,100))</f>
        <v/>
      </c>
      <c r="F578" s="10" t="n"/>
      <c r="G578" s="10">
        <f>IF(F578="","",MIN(F578,100))</f>
        <v/>
      </c>
      <c r="H578" s="11">
        <f>IF(A578="","",Universe!E578/BDP(A578&amp;" US Equity","HIGH_52WEEK")*100)</f>
        <v/>
      </c>
      <c r="I578">
        <f>IF(D578="","",D578&gt;=5)</f>
        <v/>
      </c>
      <c r="J578">
        <f>IF(F578="","",F578&gt;=5)</f>
        <v/>
      </c>
      <c r="K578">
        <f>IF(H578="","",H578&gt;=75)</f>
        <v/>
      </c>
      <c r="L578">
        <f>IF(OR(I578="",J578="",K578=""),FALSE,AND(I578,J578,K578))</f>
        <v/>
      </c>
    </row>
    <row r="579">
      <c r="A579">
        <f>Universe!A579</f>
        <v/>
      </c>
      <c r="B579" s="10" t="n"/>
      <c r="C579" s="11">
        <f>IF(B579="","",PERCENTRANK.INC($B$2:$B$2501,B579)*100)</f>
        <v/>
      </c>
      <c r="D579" s="10" t="n"/>
      <c r="E579" s="10">
        <f>IF(D579="","",MIN(D579,100))</f>
        <v/>
      </c>
      <c r="F579" s="10" t="n"/>
      <c r="G579" s="10">
        <f>IF(F579="","",MIN(F579,100))</f>
        <v/>
      </c>
      <c r="H579" s="11">
        <f>IF(A579="","",Universe!E579/BDP(A579&amp;" US Equity","HIGH_52WEEK")*100)</f>
        <v/>
      </c>
      <c r="I579">
        <f>IF(D579="","",D579&gt;=5)</f>
        <v/>
      </c>
      <c r="J579">
        <f>IF(F579="","",F579&gt;=5)</f>
        <v/>
      </c>
      <c r="K579">
        <f>IF(H579="","",H579&gt;=75)</f>
        <v/>
      </c>
      <c r="L579">
        <f>IF(OR(I579="",J579="",K579=""),FALSE,AND(I579,J579,K579))</f>
        <v/>
      </c>
    </row>
    <row r="580">
      <c r="A580">
        <f>Universe!A580</f>
        <v/>
      </c>
      <c r="B580" s="10" t="n"/>
      <c r="C580" s="11">
        <f>IF(B580="","",PERCENTRANK.INC($B$2:$B$2501,B580)*100)</f>
        <v/>
      </c>
      <c r="D580" s="10" t="n"/>
      <c r="E580" s="10">
        <f>IF(D580="","",MIN(D580,100))</f>
        <v/>
      </c>
      <c r="F580" s="10" t="n"/>
      <c r="G580" s="10">
        <f>IF(F580="","",MIN(F580,100))</f>
        <v/>
      </c>
      <c r="H580" s="11">
        <f>IF(A580="","",Universe!E580/BDP(A580&amp;" US Equity","HIGH_52WEEK")*100)</f>
        <v/>
      </c>
      <c r="I580">
        <f>IF(D580="","",D580&gt;=5)</f>
        <v/>
      </c>
      <c r="J580">
        <f>IF(F580="","",F580&gt;=5)</f>
        <v/>
      </c>
      <c r="K580">
        <f>IF(H580="","",H580&gt;=75)</f>
        <v/>
      </c>
      <c r="L580">
        <f>IF(OR(I580="",J580="",K580=""),FALSE,AND(I580,J580,K580))</f>
        <v/>
      </c>
    </row>
    <row r="581">
      <c r="A581">
        <f>Universe!A581</f>
        <v/>
      </c>
      <c r="B581" s="10" t="n"/>
      <c r="C581" s="11">
        <f>IF(B581="","",PERCENTRANK.INC($B$2:$B$2501,B581)*100)</f>
        <v/>
      </c>
      <c r="D581" s="10" t="n"/>
      <c r="E581" s="10">
        <f>IF(D581="","",MIN(D581,100))</f>
        <v/>
      </c>
      <c r="F581" s="10" t="n"/>
      <c r="G581" s="10">
        <f>IF(F581="","",MIN(F581,100))</f>
        <v/>
      </c>
      <c r="H581" s="11">
        <f>IF(A581="","",Universe!E581/BDP(A581&amp;" US Equity","HIGH_52WEEK")*100)</f>
        <v/>
      </c>
      <c r="I581">
        <f>IF(D581="","",D581&gt;=5)</f>
        <v/>
      </c>
      <c r="J581">
        <f>IF(F581="","",F581&gt;=5)</f>
        <v/>
      </c>
      <c r="K581">
        <f>IF(H581="","",H581&gt;=75)</f>
        <v/>
      </c>
      <c r="L581">
        <f>IF(OR(I581="",J581="",K581=""),FALSE,AND(I581,J581,K581))</f>
        <v/>
      </c>
    </row>
    <row r="582">
      <c r="A582">
        <f>Universe!A582</f>
        <v/>
      </c>
      <c r="B582" s="10" t="n"/>
      <c r="C582" s="11">
        <f>IF(B582="","",PERCENTRANK.INC($B$2:$B$2501,B582)*100)</f>
        <v/>
      </c>
      <c r="D582" s="10" t="n"/>
      <c r="E582" s="10">
        <f>IF(D582="","",MIN(D582,100))</f>
        <v/>
      </c>
      <c r="F582" s="10" t="n"/>
      <c r="G582" s="10">
        <f>IF(F582="","",MIN(F582,100))</f>
        <v/>
      </c>
      <c r="H582" s="11">
        <f>IF(A582="","",Universe!E582/BDP(A582&amp;" US Equity","HIGH_52WEEK")*100)</f>
        <v/>
      </c>
      <c r="I582">
        <f>IF(D582="","",D582&gt;=5)</f>
        <v/>
      </c>
      <c r="J582">
        <f>IF(F582="","",F582&gt;=5)</f>
        <v/>
      </c>
      <c r="K582">
        <f>IF(H582="","",H582&gt;=75)</f>
        <v/>
      </c>
      <c r="L582">
        <f>IF(OR(I582="",J582="",K582=""),FALSE,AND(I582,J582,K582))</f>
        <v/>
      </c>
    </row>
    <row r="583">
      <c r="A583">
        <f>Universe!A583</f>
        <v/>
      </c>
      <c r="B583" s="10" t="n"/>
      <c r="C583" s="11">
        <f>IF(B583="","",PERCENTRANK.INC($B$2:$B$2501,B583)*100)</f>
        <v/>
      </c>
      <c r="D583" s="10" t="n"/>
      <c r="E583" s="10">
        <f>IF(D583="","",MIN(D583,100))</f>
        <v/>
      </c>
      <c r="F583" s="10" t="n"/>
      <c r="G583" s="10">
        <f>IF(F583="","",MIN(F583,100))</f>
        <v/>
      </c>
      <c r="H583" s="11">
        <f>IF(A583="","",Universe!E583/BDP(A583&amp;" US Equity","HIGH_52WEEK")*100)</f>
        <v/>
      </c>
      <c r="I583">
        <f>IF(D583="","",D583&gt;=5)</f>
        <v/>
      </c>
      <c r="J583">
        <f>IF(F583="","",F583&gt;=5)</f>
        <v/>
      </c>
      <c r="K583">
        <f>IF(H583="","",H583&gt;=75)</f>
        <v/>
      </c>
      <c r="L583">
        <f>IF(OR(I583="",J583="",K583=""),FALSE,AND(I583,J583,K583))</f>
        <v/>
      </c>
    </row>
    <row r="584">
      <c r="A584">
        <f>Universe!A584</f>
        <v/>
      </c>
      <c r="B584" s="10" t="n"/>
      <c r="C584" s="11">
        <f>IF(B584="","",PERCENTRANK.INC($B$2:$B$2501,B584)*100)</f>
        <v/>
      </c>
      <c r="D584" s="10" t="n"/>
      <c r="E584" s="10">
        <f>IF(D584="","",MIN(D584,100))</f>
        <v/>
      </c>
      <c r="F584" s="10" t="n"/>
      <c r="G584" s="10">
        <f>IF(F584="","",MIN(F584,100))</f>
        <v/>
      </c>
      <c r="H584" s="11">
        <f>IF(A584="","",Universe!E584/BDP(A584&amp;" US Equity","HIGH_52WEEK")*100)</f>
        <v/>
      </c>
      <c r="I584">
        <f>IF(D584="","",D584&gt;=5)</f>
        <v/>
      </c>
      <c r="J584">
        <f>IF(F584="","",F584&gt;=5)</f>
        <v/>
      </c>
      <c r="K584">
        <f>IF(H584="","",H584&gt;=75)</f>
        <v/>
      </c>
      <c r="L584">
        <f>IF(OR(I584="",J584="",K584=""),FALSE,AND(I584,J584,K584))</f>
        <v/>
      </c>
    </row>
    <row r="585">
      <c r="A585">
        <f>Universe!A585</f>
        <v/>
      </c>
      <c r="B585" s="10" t="n"/>
      <c r="C585" s="11">
        <f>IF(B585="","",PERCENTRANK.INC($B$2:$B$2501,B585)*100)</f>
        <v/>
      </c>
      <c r="D585" s="10" t="n"/>
      <c r="E585" s="10">
        <f>IF(D585="","",MIN(D585,100))</f>
        <v/>
      </c>
      <c r="F585" s="10" t="n"/>
      <c r="G585" s="10">
        <f>IF(F585="","",MIN(F585,100))</f>
        <v/>
      </c>
      <c r="H585" s="11">
        <f>IF(A585="","",Universe!E585/BDP(A585&amp;" US Equity","HIGH_52WEEK")*100)</f>
        <v/>
      </c>
      <c r="I585">
        <f>IF(D585="","",D585&gt;=5)</f>
        <v/>
      </c>
      <c r="J585">
        <f>IF(F585="","",F585&gt;=5)</f>
        <v/>
      </c>
      <c r="K585">
        <f>IF(H585="","",H585&gt;=75)</f>
        <v/>
      </c>
      <c r="L585">
        <f>IF(OR(I585="",J585="",K585=""),FALSE,AND(I585,J585,K585))</f>
        <v/>
      </c>
    </row>
    <row r="586">
      <c r="A586">
        <f>Universe!A586</f>
        <v/>
      </c>
      <c r="B586" s="10" t="n"/>
      <c r="C586" s="11">
        <f>IF(B586="","",PERCENTRANK.INC($B$2:$B$2501,B586)*100)</f>
        <v/>
      </c>
      <c r="D586" s="10" t="n"/>
      <c r="E586" s="10">
        <f>IF(D586="","",MIN(D586,100))</f>
        <v/>
      </c>
      <c r="F586" s="10" t="n"/>
      <c r="G586" s="10">
        <f>IF(F586="","",MIN(F586,100))</f>
        <v/>
      </c>
      <c r="H586" s="11">
        <f>IF(A586="","",Universe!E586/BDP(A586&amp;" US Equity","HIGH_52WEEK")*100)</f>
        <v/>
      </c>
      <c r="I586">
        <f>IF(D586="","",D586&gt;=5)</f>
        <v/>
      </c>
      <c r="J586">
        <f>IF(F586="","",F586&gt;=5)</f>
        <v/>
      </c>
      <c r="K586">
        <f>IF(H586="","",H586&gt;=75)</f>
        <v/>
      </c>
      <c r="L586">
        <f>IF(OR(I586="",J586="",K586=""),FALSE,AND(I586,J586,K586))</f>
        <v/>
      </c>
    </row>
    <row r="587">
      <c r="A587">
        <f>Universe!A587</f>
        <v/>
      </c>
      <c r="B587" s="10" t="n"/>
      <c r="C587" s="11">
        <f>IF(B587="","",PERCENTRANK.INC($B$2:$B$2501,B587)*100)</f>
        <v/>
      </c>
      <c r="D587" s="10" t="n"/>
      <c r="E587" s="10">
        <f>IF(D587="","",MIN(D587,100))</f>
        <v/>
      </c>
      <c r="F587" s="10" t="n"/>
      <c r="G587" s="10">
        <f>IF(F587="","",MIN(F587,100))</f>
        <v/>
      </c>
      <c r="H587" s="11">
        <f>IF(A587="","",Universe!E587/BDP(A587&amp;" US Equity","HIGH_52WEEK")*100)</f>
        <v/>
      </c>
      <c r="I587">
        <f>IF(D587="","",D587&gt;=5)</f>
        <v/>
      </c>
      <c r="J587">
        <f>IF(F587="","",F587&gt;=5)</f>
        <v/>
      </c>
      <c r="K587">
        <f>IF(H587="","",H587&gt;=75)</f>
        <v/>
      </c>
      <c r="L587">
        <f>IF(OR(I587="",J587="",K587=""),FALSE,AND(I587,J587,K587))</f>
        <v/>
      </c>
    </row>
    <row r="588">
      <c r="A588">
        <f>Universe!A588</f>
        <v/>
      </c>
      <c r="B588" s="10" t="n"/>
      <c r="C588" s="11">
        <f>IF(B588="","",PERCENTRANK.INC($B$2:$B$2501,B588)*100)</f>
        <v/>
      </c>
      <c r="D588" s="10" t="n"/>
      <c r="E588" s="10">
        <f>IF(D588="","",MIN(D588,100))</f>
        <v/>
      </c>
      <c r="F588" s="10" t="n"/>
      <c r="G588" s="10">
        <f>IF(F588="","",MIN(F588,100))</f>
        <v/>
      </c>
      <c r="H588" s="11">
        <f>IF(A588="","",Universe!E588/BDP(A588&amp;" US Equity","HIGH_52WEEK")*100)</f>
        <v/>
      </c>
      <c r="I588">
        <f>IF(D588="","",D588&gt;=5)</f>
        <v/>
      </c>
      <c r="J588">
        <f>IF(F588="","",F588&gt;=5)</f>
        <v/>
      </c>
      <c r="K588">
        <f>IF(H588="","",H588&gt;=75)</f>
        <v/>
      </c>
      <c r="L588">
        <f>IF(OR(I588="",J588="",K588=""),FALSE,AND(I588,J588,K588))</f>
        <v/>
      </c>
    </row>
    <row r="589">
      <c r="A589">
        <f>Universe!A589</f>
        <v/>
      </c>
      <c r="B589" s="10" t="n"/>
      <c r="C589" s="11">
        <f>IF(B589="","",PERCENTRANK.INC($B$2:$B$2501,B589)*100)</f>
        <v/>
      </c>
      <c r="D589" s="10" t="n"/>
      <c r="E589" s="10">
        <f>IF(D589="","",MIN(D589,100))</f>
        <v/>
      </c>
      <c r="F589" s="10" t="n"/>
      <c r="G589" s="10">
        <f>IF(F589="","",MIN(F589,100))</f>
        <v/>
      </c>
      <c r="H589" s="11">
        <f>IF(A589="","",Universe!E589/BDP(A589&amp;" US Equity","HIGH_52WEEK")*100)</f>
        <v/>
      </c>
      <c r="I589">
        <f>IF(D589="","",D589&gt;=5)</f>
        <v/>
      </c>
      <c r="J589">
        <f>IF(F589="","",F589&gt;=5)</f>
        <v/>
      </c>
      <c r="K589">
        <f>IF(H589="","",H589&gt;=75)</f>
        <v/>
      </c>
      <c r="L589">
        <f>IF(OR(I589="",J589="",K589=""),FALSE,AND(I589,J589,K589))</f>
        <v/>
      </c>
    </row>
    <row r="590">
      <c r="A590">
        <f>Universe!A590</f>
        <v/>
      </c>
      <c r="B590" s="10" t="n"/>
      <c r="C590" s="11">
        <f>IF(B590="","",PERCENTRANK.INC($B$2:$B$2501,B590)*100)</f>
        <v/>
      </c>
      <c r="D590" s="10" t="n"/>
      <c r="E590" s="10">
        <f>IF(D590="","",MIN(D590,100))</f>
        <v/>
      </c>
      <c r="F590" s="10" t="n"/>
      <c r="G590" s="10">
        <f>IF(F590="","",MIN(F590,100))</f>
        <v/>
      </c>
      <c r="H590" s="11">
        <f>IF(A590="","",Universe!E590/BDP(A590&amp;" US Equity","HIGH_52WEEK")*100)</f>
        <v/>
      </c>
      <c r="I590">
        <f>IF(D590="","",D590&gt;=5)</f>
        <v/>
      </c>
      <c r="J590">
        <f>IF(F590="","",F590&gt;=5)</f>
        <v/>
      </c>
      <c r="K590">
        <f>IF(H590="","",H590&gt;=75)</f>
        <v/>
      </c>
      <c r="L590">
        <f>IF(OR(I590="",J590="",K590=""),FALSE,AND(I590,J590,K590))</f>
        <v/>
      </c>
    </row>
    <row r="591">
      <c r="A591">
        <f>Universe!A591</f>
        <v/>
      </c>
      <c r="B591" s="10" t="n"/>
      <c r="C591" s="11">
        <f>IF(B591="","",PERCENTRANK.INC($B$2:$B$2501,B591)*100)</f>
        <v/>
      </c>
      <c r="D591" s="10" t="n"/>
      <c r="E591" s="10">
        <f>IF(D591="","",MIN(D591,100))</f>
        <v/>
      </c>
      <c r="F591" s="10" t="n"/>
      <c r="G591" s="10">
        <f>IF(F591="","",MIN(F591,100))</f>
        <v/>
      </c>
      <c r="H591" s="11">
        <f>IF(A591="","",Universe!E591/BDP(A591&amp;" US Equity","HIGH_52WEEK")*100)</f>
        <v/>
      </c>
      <c r="I591">
        <f>IF(D591="","",D591&gt;=5)</f>
        <v/>
      </c>
      <c r="J591">
        <f>IF(F591="","",F591&gt;=5)</f>
        <v/>
      </c>
      <c r="K591">
        <f>IF(H591="","",H591&gt;=75)</f>
        <v/>
      </c>
      <c r="L591">
        <f>IF(OR(I591="",J591="",K591=""),FALSE,AND(I591,J591,K591))</f>
        <v/>
      </c>
    </row>
    <row r="592">
      <c r="A592">
        <f>Universe!A592</f>
        <v/>
      </c>
      <c r="B592" s="10" t="n"/>
      <c r="C592" s="11">
        <f>IF(B592="","",PERCENTRANK.INC($B$2:$B$2501,B592)*100)</f>
        <v/>
      </c>
      <c r="D592" s="10" t="n"/>
      <c r="E592" s="10">
        <f>IF(D592="","",MIN(D592,100))</f>
        <v/>
      </c>
      <c r="F592" s="10" t="n"/>
      <c r="G592" s="10">
        <f>IF(F592="","",MIN(F592,100))</f>
        <v/>
      </c>
      <c r="H592" s="11">
        <f>IF(A592="","",Universe!E592/BDP(A592&amp;" US Equity","HIGH_52WEEK")*100)</f>
        <v/>
      </c>
      <c r="I592">
        <f>IF(D592="","",D592&gt;=5)</f>
        <v/>
      </c>
      <c r="J592">
        <f>IF(F592="","",F592&gt;=5)</f>
        <v/>
      </c>
      <c r="K592">
        <f>IF(H592="","",H592&gt;=75)</f>
        <v/>
      </c>
      <c r="L592">
        <f>IF(OR(I592="",J592="",K592=""),FALSE,AND(I592,J592,K592))</f>
        <v/>
      </c>
    </row>
    <row r="593">
      <c r="A593">
        <f>Universe!A593</f>
        <v/>
      </c>
      <c r="B593" s="10" t="n"/>
      <c r="C593" s="11">
        <f>IF(B593="","",PERCENTRANK.INC($B$2:$B$2501,B593)*100)</f>
        <v/>
      </c>
      <c r="D593" s="10" t="n"/>
      <c r="E593" s="10">
        <f>IF(D593="","",MIN(D593,100))</f>
        <v/>
      </c>
      <c r="F593" s="10" t="n"/>
      <c r="G593" s="10">
        <f>IF(F593="","",MIN(F593,100))</f>
        <v/>
      </c>
      <c r="H593" s="11">
        <f>IF(A593="","",Universe!E593/BDP(A593&amp;" US Equity","HIGH_52WEEK")*100)</f>
        <v/>
      </c>
      <c r="I593">
        <f>IF(D593="","",D593&gt;=5)</f>
        <v/>
      </c>
      <c r="J593">
        <f>IF(F593="","",F593&gt;=5)</f>
        <v/>
      </c>
      <c r="K593">
        <f>IF(H593="","",H593&gt;=75)</f>
        <v/>
      </c>
      <c r="L593">
        <f>IF(OR(I593="",J593="",K593=""),FALSE,AND(I593,J593,K593))</f>
        <v/>
      </c>
    </row>
    <row r="594">
      <c r="A594">
        <f>Universe!A594</f>
        <v/>
      </c>
      <c r="B594" s="10" t="n"/>
      <c r="C594" s="11">
        <f>IF(B594="","",PERCENTRANK.INC($B$2:$B$2501,B594)*100)</f>
        <v/>
      </c>
      <c r="D594" s="10" t="n"/>
      <c r="E594" s="10">
        <f>IF(D594="","",MIN(D594,100))</f>
        <v/>
      </c>
      <c r="F594" s="10" t="n"/>
      <c r="G594" s="10">
        <f>IF(F594="","",MIN(F594,100))</f>
        <v/>
      </c>
      <c r="H594" s="11">
        <f>IF(A594="","",Universe!E594/BDP(A594&amp;" US Equity","HIGH_52WEEK")*100)</f>
        <v/>
      </c>
      <c r="I594">
        <f>IF(D594="","",D594&gt;=5)</f>
        <v/>
      </c>
      <c r="J594">
        <f>IF(F594="","",F594&gt;=5)</f>
        <v/>
      </c>
      <c r="K594">
        <f>IF(H594="","",H594&gt;=75)</f>
        <v/>
      </c>
      <c r="L594">
        <f>IF(OR(I594="",J594="",K594=""),FALSE,AND(I594,J594,K594))</f>
        <v/>
      </c>
    </row>
    <row r="595">
      <c r="A595">
        <f>Universe!A595</f>
        <v/>
      </c>
      <c r="B595" s="10" t="n"/>
      <c r="C595" s="11">
        <f>IF(B595="","",PERCENTRANK.INC($B$2:$B$2501,B595)*100)</f>
        <v/>
      </c>
      <c r="D595" s="10" t="n"/>
      <c r="E595" s="10">
        <f>IF(D595="","",MIN(D595,100))</f>
        <v/>
      </c>
      <c r="F595" s="10" t="n"/>
      <c r="G595" s="10">
        <f>IF(F595="","",MIN(F595,100))</f>
        <v/>
      </c>
      <c r="H595" s="11">
        <f>IF(A595="","",Universe!E595/BDP(A595&amp;" US Equity","HIGH_52WEEK")*100)</f>
        <v/>
      </c>
      <c r="I595">
        <f>IF(D595="","",D595&gt;=5)</f>
        <v/>
      </c>
      <c r="J595">
        <f>IF(F595="","",F595&gt;=5)</f>
        <v/>
      </c>
      <c r="K595">
        <f>IF(H595="","",H595&gt;=75)</f>
        <v/>
      </c>
      <c r="L595">
        <f>IF(OR(I595="",J595="",K595=""),FALSE,AND(I595,J595,K595))</f>
        <v/>
      </c>
    </row>
    <row r="596">
      <c r="A596">
        <f>Universe!A596</f>
        <v/>
      </c>
      <c r="B596" s="10" t="n"/>
      <c r="C596" s="11">
        <f>IF(B596="","",PERCENTRANK.INC($B$2:$B$2501,B596)*100)</f>
        <v/>
      </c>
      <c r="D596" s="10" t="n"/>
      <c r="E596" s="10">
        <f>IF(D596="","",MIN(D596,100))</f>
        <v/>
      </c>
      <c r="F596" s="10" t="n"/>
      <c r="G596" s="10">
        <f>IF(F596="","",MIN(F596,100))</f>
        <v/>
      </c>
      <c r="H596" s="11">
        <f>IF(A596="","",Universe!E596/BDP(A596&amp;" US Equity","HIGH_52WEEK")*100)</f>
        <v/>
      </c>
      <c r="I596">
        <f>IF(D596="","",D596&gt;=5)</f>
        <v/>
      </c>
      <c r="J596">
        <f>IF(F596="","",F596&gt;=5)</f>
        <v/>
      </c>
      <c r="K596">
        <f>IF(H596="","",H596&gt;=75)</f>
        <v/>
      </c>
      <c r="L596">
        <f>IF(OR(I596="",J596="",K596=""),FALSE,AND(I596,J596,K596))</f>
        <v/>
      </c>
    </row>
    <row r="597">
      <c r="A597">
        <f>Universe!A597</f>
        <v/>
      </c>
      <c r="B597" s="10" t="n"/>
      <c r="C597" s="11">
        <f>IF(B597="","",PERCENTRANK.INC($B$2:$B$2501,B597)*100)</f>
        <v/>
      </c>
      <c r="D597" s="10" t="n"/>
      <c r="E597" s="10">
        <f>IF(D597="","",MIN(D597,100))</f>
        <v/>
      </c>
      <c r="F597" s="10" t="n"/>
      <c r="G597" s="10">
        <f>IF(F597="","",MIN(F597,100))</f>
        <v/>
      </c>
      <c r="H597" s="11">
        <f>IF(A597="","",Universe!E597/BDP(A597&amp;" US Equity","HIGH_52WEEK")*100)</f>
        <v/>
      </c>
      <c r="I597">
        <f>IF(D597="","",D597&gt;=5)</f>
        <v/>
      </c>
      <c r="J597">
        <f>IF(F597="","",F597&gt;=5)</f>
        <v/>
      </c>
      <c r="K597">
        <f>IF(H597="","",H597&gt;=75)</f>
        <v/>
      </c>
      <c r="L597">
        <f>IF(OR(I597="",J597="",K597=""),FALSE,AND(I597,J597,K597))</f>
        <v/>
      </c>
    </row>
    <row r="598">
      <c r="A598">
        <f>Universe!A598</f>
        <v/>
      </c>
      <c r="B598" s="10" t="n"/>
      <c r="C598" s="11">
        <f>IF(B598="","",PERCENTRANK.INC($B$2:$B$2501,B598)*100)</f>
        <v/>
      </c>
      <c r="D598" s="10" t="n"/>
      <c r="E598" s="10">
        <f>IF(D598="","",MIN(D598,100))</f>
        <v/>
      </c>
      <c r="F598" s="10" t="n"/>
      <c r="G598" s="10">
        <f>IF(F598="","",MIN(F598,100))</f>
        <v/>
      </c>
      <c r="H598" s="11">
        <f>IF(A598="","",Universe!E598/BDP(A598&amp;" US Equity","HIGH_52WEEK")*100)</f>
        <v/>
      </c>
      <c r="I598">
        <f>IF(D598="","",D598&gt;=5)</f>
        <v/>
      </c>
      <c r="J598">
        <f>IF(F598="","",F598&gt;=5)</f>
        <v/>
      </c>
      <c r="K598">
        <f>IF(H598="","",H598&gt;=75)</f>
        <v/>
      </c>
      <c r="L598">
        <f>IF(OR(I598="",J598="",K598=""),FALSE,AND(I598,J598,K598))</f>
        <v/>
      </c>
    </row>
    <row r="599">
      <c r="A599">
        <f>Universe!A599</f>
        <v/>
      </c>
      <c r="B599" s="10" t="n"/>
      <c r="C599" s="11">
        <f>IF(B599="","",PERCENTRANK.INC($B$2:$B$2501,B599)*100)</f>
        <v/>
      </c>
      <c r="D599" s="10" t="n"/>
      <c r="E599" s="10">
        <f>IF(D599="","",MIN(D599,100))</f>
        <v/>
      </c>
      <c r="F599" s="10" t="n"/>
      <c r="G599" s="10">
        <f>IF(F599="","",MIN(F599,100))</f>
        <v/>
      </c>
      <c r="H599" s="11">
        <f>IF(A599="","",Universe!E599/BDP(A599&amp;" US Equity","HIGH_52WEEK")*100)</f>
        <v/>
      </c>
      <c r="I599">
        <f>IF(D599="","",D599&gt;=5)</f>
        <v/>
      </c>
      <c r="J599">
        <f>IF(F599="","",F599&gt;=5)</f>
        <v/>
      </c>
      <c r="K599">
        <f>IF(H599="","",H599&gt;=75)</f>
        <v/>
      </c>
      <c r="L599">
        <f>IF(OR(I599="",J599="",K599=""),FALSE,AND(I599,J599,K599))</f>
        <v/>
      </c>
    </row>
    <row r="600">
      <c r="A600">
        <f>Universe!A600</f>
        <v/>
      </c>
      <c r="B600" s="10" t="n"/>
      <c r="C600" s="11">
        <f>IF(B600="","",PERCENTRANK.INC($B$2:$B$2501,B600)*100)</f>
        <v/>
      </c>
      <c r="D600" s="10" t="n"/>
      <c r="E600" s="10">
        <f>IF(D600="","",MIN(D600,100))</f>
        <v/>
      </c>
      <c r="F600" s="10" t="n"/>
      <c r="G600" s="10">
        <f>IF(F600="","",MIN(F600,100))</f>
        <v/>
      </c>
      <c r="H600" s="11">
        <f>IF(A600="","",Universe!E600/BDP(A600&amp;" US Equity","HIGH_52WEEK")*100)</f>
        <v/>
      </c>
      <c r="I600">
        <f>IF(D600="","",D600&gt;=5)</f>
        <v/>
      </c>
      <c r="J600">
        <f>IF(F600="","",F600&gt;=5)</f>
        <v/>
      </c>
      <c r="K600">
        <f>IF(H600="","",H600&gt;=75)</f>
        <v/>
      </c>
      <c r="L600">
        <f>IF(OR(I600="",J600="",K600=""),FALSE,AND(I600,J600,K600))</f>
        <v/>
      </c>
    </row>
    <row r="601">
      <c r="A601">
        <f>Universe!A601</f>
        <v/>
      </c>
      <c r="B601" s="10" t="n"/>
      <c r="C601" s="11">
        <f>IF(B601="","",PERCENTRANK.INC($B$2:$B$2501,B601)*100)</f>
        <v/>
      </c>
      <c r="D601" s="10" t="n"/>
      <c r="E601" s="10">
        <f>IF(D601="","",MIN(D601,100))</f>
        <v/>
      </c>
      <c r="F601" s="10" t="n"/>
      <c r="G601" s="10">
        <f>IF(F601="","",MIN(F601,100))</f>
        <v/>
      </c>
      <c r="H601" s="11">
        <f>IF(A601="","",Universe!E601/BDP(A601&amp;" US Equity","HIGH_52WEEK")*100)</f>
        <v/>
      </c>
      <c r="I601">
        <f>IF(D601="","",D601&gt;=5)</f>
        <v/>
      </c>
      <c r="J601">
        <f>IF(F601="","",F601&gt;=5)</f>
        <v/>
      </c>
      <c r="K601">
        <f>IF(H601="","",H601&gt;=75)</f>
        <v/>
      </c>
      <c r="L601">
        <f>IF(OR(I601="",J601="",K601=""),FALSE,AND(I601,J601,K601))</f>
        <v/>
      </c>
    </row>
    <row r="602">
      <c r="A602">
        <f>Universe!A602</f>
        <v/>
      </c>
      <c r="B602" s="10" t="n"/>
      <c r="C602" s="11">
        <f>IF(B602="","",PERCENTRANK.INC($B$2:$B$2501,B602)*100)</f>
        <v/>
      </c>
      <c r="D602" s="10" t="n"/>
      <c r="E602" s="10">
        <f>IF(D602="","",MIN(D602,100))</f>
        <v/>
      </c>
      <c r="F602" s="10" t="n"/>
      <c r="G602" s="10">
        <f>IF(F602="","",MIN(F602,100))</f>
        <v/>
      </c>
      <c r="H602" s="11">
        <f>IF(A602="","",Universe!E602/BDP(A602&amp;" US Equity","HIGH_52WEEK")*100)</f>
        <v/>
      </c>
      <c r="I602">
        <f>IF(D602="","",D602&gt;=5)</f>
        <v/>
      </c>
      <c r="J602">
        <f>IF(F602="","",F602&gt;=5)</f>
        <v/>
      </c>
      <c r="K602">
        <f>IF(H602="","",H602&gt;=75)</f>
        <v/>
      </c>
      <c r="L602">
        <f>IF(OR(I602="",J602="",K602=""),FALSE,AND(I602,J602,K602))</f>
        <v/>
      </c>
    </row>
    <row r="603">
      <c r="A603">
        <f>Universe!A603</f>
        <v/>
      </c>
      <c r="B603" s="10" t="n"/>
      <c r="C603" s="11">
        <f>IF(B603="","",PERCENTRANK.INC($B$2:$B$2501,B603)*100)</f>
        <v/>
      </c>
      <c r="D603" s="10" t="n"/>
      <c r="E603" s="10">
        <f>IF(D603="","",MIN(D603,100))</f>
        <v/>
      </c>
      <c r="F603" s="10" t="n"/>
      <c r="G603" s="10">
        <f>IF(F603="","",MIN(F603,100))</f>
        <v/>
      </c>
      <c r="H603" s="11">
        <f>IF(A603="","",Universe!E603/BDP(A603&amp;" US Equity","HIGH_52WEEK")*100)</f>
        <v/>
      </c>
      <c r="I603">
        <f>IF(D603="","",D603&gt;=5)</f>
        <v/>
      </c>
      <c r="J603">
        <f>IF(F603="","",F603&gt;=5)</f>
        <v/>
      </c>
      <c r="K603">
        <f>IF(H603="","",H603&gt;=75)</f>
        <v/>
      </c>
      <c r="L603">
        <f>IF(OR(I603="",J603="",K603=""),FALSE,AND(I603,J603,K603))</f>
        <v/>
      </c>
    </row>
    <row r="604">
      <c r="A604">
        <f>Universe!A604</f>
        <v/>
      </c>
      <c r="B604" s="10" t="n"/>
      <c r="C604" s="11">
        <f>IF(B604="","",PERCENTRANK.INC($B$2:$B$2501,B604)*100)</f>
        <v/>
      </c>
      <c r="D604" s="10" t="n"/>
      <c r="E604" s="10">
        <f>IF(D604="","",MIN(D604,100))</f>
        <v/>
      </c>
      <c r="F604" s="10" t="n"/>
      <c r="G604" s="10">
        <f>IF(F604="","",MIN(F604,100))</f>
        <v/>
      </c>
      <c r="H604" s="11">
        <f>IF(A604="","",Universe!E604/BDP(A604&amp;" US Equity","HIGH_52WEEK")*100)</f>
        <v/>
      </c>
      <c r="I604">
        <f>IF(D604="","",D604&gt;=5)</f>
        <v/>
      </c>
      <c r="J604">
        <f>IF(F604="","",F604&gt;=5)</f>
        <v/>
      </c>
      <c r="K604">
        <f>IF(H604="","",H604&gt;=75)</f>
        <v/>
      </c>
      <c r="L604">
        <f>IF(OR(I604="",J604="",K604=""),FALSE,AND(I604,J604,K604))</f>
        <v/>
      </c>
    </row>
    <row r="605">
      <c r="A605">
        <f>Universe!A605</f>
        <v/>
      </c>
      <c r="B605" s="10" t="n"/>
      <c r="C605" s="11">
        <f>IF(B605="","",PERCENTRANK.INC($B$2:$B$2501,B605)*100)</f>
        <v/>
      </c>
      <c r="D605" s="10" t="n"/>
      <c r="E605" s="10">
        <f>IF(D605="","",MIN(D605,100))</f>
        <v/>
      </c>
      <c r="F605" s="10" t="n"/>
      <c r="G605" s="10">
        <f>IF(F605="","",MIN(F605,100))</f>
        <v/>
      </c>
      <c r="H605" s="11">
        <f>IF(A605="","",Universe!E605/BDP(A605&amp;" US Equity","HIGH_52WEEK")*100)</f>
        <v/>
      </c>
      <c r="I605">
        <f>IF(D605="","",D605&gt;=5)</f>
        <v/>
      </c>
      <c r="J605">
        <f>IF(F605="","",F605&gt;=5)</f>
        <v/>
      </c>
      <c r="K605">
        <f>IF(H605="","",H605&gt;=75)</f>
        <v/>
      </c>
      <c r="L605">
        <f>IF(OR(I605="",J605="",K605=""),FALSE,AND(I605,J605,K605))</f>
        <v/>
      </c>
    </row>
    <row r="606">
      <c r="A606">
        <f>Universe!A606</f>
        <v/>
      </c>
      <c r="B606" s="10" t="n"/>
      <c r="C606" s="11">
        <f>IF(B606="","",PERCENTRANK.INC($B$2:$B$2501,B606)*100)</f>
        <v/>
      </c>
      <c r="D606" s="10" t="n"/>
      <c r="E606" s="10">
        <f>IF(D606="","",MIN(D606,100))</f>
        <v/>
      </c>
      <c r="F606" s="10" t="n"/>
      <c r="G606" s="10">
        <f>IF(F606="","",MIN(F606,100))</f>
        <v/>
      </c>
      <c r="H606" s="11">
        <f>IF(A606="","",Universe!E606/BDP(A606&amp;" US Equity","HIGH_52WEEK")*100)</f>
        <v/>
      </c>
      <c r="I606">
        <f>IF(D606="","",D606&gt;=5)</f>
        <v/>
      </c>
      <c r="J606">
        <f>IF(F606="","",F606&gt;=5)</f>
        <v/>
      </c>
      <c r="K606">
        <f>IF(H606="","",H606&gt;=75)</f>
        <v/>
      </c>
      <c r="L606">
        <f>IF(OR(I606="",J606="",K606=""),FALSE,AND(I606,J606,K606))</f>
        <v/>
      </c>
    </row>
    <row r="607">
      <c r="A607">
        <f>Universe!A607</f>
        <v/>
      </c>
      <c r="B607" s="10" t="n"/>
      <c r="C607" s="11">
        <f>IF(B607="","",PERCENTRANK.INC($B$2:$B$2501,B607)*100)</f>
        <v/>
      </c>
      <c r="D607" s="10" t="n"/>
      <c r="E607" s="10">
        <f>IF(D607="","",MIN(D607,100))</f>
        <v/>
      </c>
      <c r="F607" s="10" t="n"/>
      <c r="G607" s="10">
        <f>IF(F607="","",MIN(F607,100))</f>
        <v/>
      </c>
      <c r="H607" s="11">
        <f>IF(A607="","",Universe!E607/BDP(A607&amp;" US Equity","HIGH_52WEEK")*100)</f>
        <v/>
      </c>
      <c r="I607">
        <f>IF(D607="","",D607&gt;=5)</f>
        <v/>
      </c>
      <c r="J607">
        <f>IF(F607="","",F607&gt;=5)</f>
        <v/>
      </c>
      <c r="K607">
        <f>IF(H607="","",H607&gt;=75)</f>
        <v/>
      </c>
      <c r="L607">
        <f>IF(OR(I607="",J607="",K607=""),FALSE,AND(I607,J607,K607))</f>
        <v/>
      </c>
    </row>
    <row r="608">
      <c r="A608">
        <f>Universe!A608</f>
        <v/>
      </c>
      <c r="B608" s="10" t="n"/>
      <c r="C608" s="11">
        <f>IF(B608="","",PERCENTRANK.INC($B$2:$B$2501,B608)*100)</f>
        <v/>
      </c>
      <c r="D608" s="10" t="n"/>
      <c r="E608" s="10">
        <f>IF(D608="","",MIN(D608,100))</f>
        <v/>
      </c>
      <c r="F608" s="10" t="n"/>
      <c r="G608" s="10">
        <f>IF(F608="","",MIN(F608,100))</f>
        <v/>
      </c>
      <c r="H608" s="11">
        <f>IF(A608="","",Universe!E608/BDP(A608&amp;" US Equity","HIGH_52WEEK")*100)</f>
        <v/>
      </c>
      <c r="I608">
        <f>IF(D608="","",D608&gt;=5)</f>
        <v/>
      </c>
      <c r="J608">
        <f>IF(F608="","",F608&gt;=5)</f>
        <v/>
      </c>
      <c r="K608">
        <f>IF(H608="","",H608&gt;=75)</f>
        <v/>
      </c>
      <c r="L608">
        <f>IF(OR(I608="",J608="",K608=""),FALSE,AND(I608,J608,K608))</f>
        <v/>
      </c>
    </row>
    <row r="609">
      <c r="A609">
        <f>Universe!A609</f>
        <v/>
      </c>
      <c r="B609" s="10" t="n"/>
      <c r="C609" s="11">
        <f>IF(B609="","",PERCENTRANK.INC($B$2:$B$2501,B609)*100)</f>
        <v/>
      </c>
      <c r="D609" s="10" t="n"/>
      <c r="E609" s="10">
        <f>IF(D609="","",MIN(D609,100))</f>
        <v/>
      </c>
      <c r="F609" s="10" t="n"/>
      <c r="G609" s="10">
        <f>IF(F609="","",MIN(F609,100))</f>
        <v/>
      </c>
      <c r="H609" s="11">
        <f>IF(A609="","",Universe!E609/BDP(A609&amp;" US Equity","HIGH_52WEEK")*100)</f>
        <v/>
      </c>
      <c r="I609">
        <f>IF(D609="","",D609&gt;=5)</f>
        <v/>
      </c>
      <c r="J609">
        <f>IF(F609="","",F609&gt;=5)</f>
        <v/>
      </c>
      <c r="K609">
        <f>IF(H609="","",H609&gt;=75)</f>
        <v/>
      </c>
      <c r="L609">
        <f>IF(OR(I609="",J609="",K609=""),FALSE,AND(I609,J609,K609))</f>
        <v/>
      </c>
    </row>
    <row r="610">
      <c r="A610">
        <f>Universe!A610</f>
        <v/>
      </c>
      <c r="B610" s="10" t="n"/>
      <c r="C610" s="11">
        <f>IF(B610="","",PERCENTRANK.INC($B$2:$B$2501,B610)*100)</f>
        <v/>
      </c>
      <c r="D610" s="10" t="n"/>
      <c r="E610" s="10">
        <f>IF(D610="","",MIN(D610,100))</f>
        <v/>
      </c>
      <c r="F610" s="10" t="n"/>
      <c r="G610" s="10">
        <f>IF(F610="","",MIN(F610,100))</f>
        <v/>
      </c>
      <c r="H610" s="11">
        <f>IF(A610="","",Universe!E610/BDP(A610&amp;" US Equity","HIGH_52WEEK")*100)</f>
        <v/>
      </c>
      <c r="I610">
        <f>IF(D610="","",D610&gt;=5)</f>
        <v/>
      </c>
      <c r="J610">
        <f>IF(F610="","",F610&gt;=5)</f>
        <v/>
      </c>
      <c r="K610">
        <f>IF(H610="","",H610&gt;=75)</f>
        <v/>
      </c>
      <c r="L610">
        <f>IF(OR(I610="",J610="",K610=""),FALSE,AND(I610,J610,K610))</f>
        <v/>
      </c>
    </row>
    <row r="611">
      <c r="A611">
        <f>Universe!A611</f>
        <v/>
      </c>
      <c r="B611" s="10" t="n"/>
      <c r="C611" s="11">
        <f>IF(B611="","",PERCENTRANK.INC($B$2:$B$2501,B611)*100)</f>
        <v/>
      </c>
      <c r="D611" s="10" t="n"/>
      <c r="E611" s="10">
        <f>IF(D611="","",MIN(D611,100))</f>
        <v/>
      </c>
      <c r="F611" s="10" t="n"/>
      <c r="G611" s="10">
        <f>IF(F611="","",MIN(F611,100))</f>
        <v/>
      </c>
      <c r="H611" s="11">
        <f>IF(A611="","",Universe!E611/BDP(A611&amp;" US Equity","HIGH_52WEEK")*100)</f>
        <v/>
      </c>
      <c r="I611">
        <f>IF(D611="","",D611&gt;=5)</f>
        <v/>
      </c>
      <c r="J611">
        <f>IF(F611="","",F611&gt;=5)</f>
        <v/>
      </c>
      <c r="K611">
        <f>IF(H611="","",H611&gt;=75)</f>
        <v/>
      </c>
      <c r="L611">
        <f>IF(OR(I611="",J611="",K611=""),FALSE,AND(I611,J611,K611))</f>
        <v/>
      </c>
    </row>
    <row r="612">
      <c r="A612">
        <f>Universe!A612</f>
        <v/>
      </c>
      <c r="B612" s="10" t="n"/>
      <c r="C612" s="11">
        <f>IF(B612="","",PERCENTRANK.INC($B$2:$B$2501,B612)*100)</f>
        <v/>
      </c>
      <c r="D612" s="10" t="n"/>
      <c r="E612" s="10">
        <f>IF(D612="","",MIN(D612,100))</f>
        <v/>
      </c>
      <c r="F612" s="10" t="n"/>
      <c r="G612" s="10">
        <f>IF(F612="","",MIN(F612,100))</f>
        <v/>
      </c>
      <c r="H612" s="11">
        <f>IF(A612="","",Universe!E612/BDP(A612&amp;" US Equity","HIGH_52WEEK")*100)</f>
        <v/>
      </c>
      <c r="I612">
        <f>IF(D612="","",D612&gt;=5)</f>
        <v/>
      </c>
      <c r="J612">
        <f>IF(F612="","",F612&gt;=5)</f>
        <v/>
      </c>
      <c r="K612">
        <f>IF(H612="","",H612&gt;=75)</f>
        <v/>
      </c>
      <c r="L612">
        <f>IF(OR(I612="",J612="",K612=""),FALSE,AND(I612,J612,K612))</f>
        <v/>
      </c>
    </row>
    <row r="613">
      <c r="A613">
        <f>Universe!A613</f>
        <v/>
      </c>
      <c r="B613" s="10" t="n"/>
      <c r="C613" s="11">
        <f>IF(B613="","",PERCENTRANK.INC($B$2:$B$2501,B613)*100)</f>
        <v/>
      </c>
      <c r="D613" s="10" t="n"/>
      <c r="E613" s="10">
        <f>IF(D613="","",MIN(D613,100))</f>
        <v/>
      </c>
      <c r="F613" s="10" t="n"/>
      <c r="G613" s="10">
        <f>IF(F613="","",MIN(F613,100))</f>
        <v/>
      </c>
      <c r="H613" s="11">
        <f>IF(A613="","",Universe!E613/BDP(A613&amp;" US Equity","HIGH_52WEEK")*100)</f>
        <v/>
      </c>
      <c r="I613">
        <f>IF(D613="","",D613&gt;=5)</f>
        <v/>
      </c>
      <c r="J613">
        <f>IF(F613="","",F613&gt;=5)</f>
        <v/>
      </c>
      <c r="K613">
        <f>IF(H613="","",H613&gt;=75)</f>
        <v/>
      </c>
      <c r="L613">
        <f>IF(OR(I613="",J613="",K613=""),FALSE,AND(I613,J613,K613))</f>
        <v/>
      </c>
    </row>
    <row r="614">
      <c r="A614">
        <f>Universe!A614</f>
        <v/>
      </c>
      <c r="B614" s="10" t="n"/>
      <c r="C614" s="11">
        <f>IF(B614="","",PERCENTRANK.INC($B$2:$B$2501,B614)*100)</f>
        <v/>
      </c>
      <c r="D614" s="10" t="n"/>
      <c r="E614" s="10">
        <f>IF(D614="","",MIN(D614,100))</f>
        <v/>
      </c>
      <c r="F614" s="10" t="n"/>
      <c r="G614" s="10">
        <f>IF(F614="","",MIN(F614,100))</f>
        <v/>
      </c>
      <c r="H614" s="11">
        <f>IF(A614="","",Universe!E614/BDP(A614&amp;" US Equity","HIGH_52WEEK")*100)</f>
        <v/>
      </c>
      <c r="I614">
        <f>IF(D614="","",D614&gt;=5)</f>
        <v/>
      </c>
      <c r="J614">
        <f>IF(F614="","",F614&gt;=5)</f>
        <v/>
      </c>
      <c r="K614">
        <f>IF(H614="","",H614&gt;=75)</f>
        <v/>
      </c>
      <c r="L614">
        <f>IF(OR(I614="",J614="",K614=""),FALSE,AND(I614,J614,K614))</f>
        <v/>
      </c>
    </row>
    <row r="615">
      <c r="A615">
        <f>Universe!A615</f>
        <v/>
      </c>
      <c r="B615" s="10" t="n"/>
      <c r="C615" s="11">
        <f>IF(B615="","",PERCENTRANK.INC($B$2:$B$2501,B615)*100)</f>
        <v/>
      </c>
      <c r="D615" s="10" t="n"/>
      <c r="E615" s="10">
        <f>IF(D615="","",MIN(D615,100))</f>
        <v/>
      </c>
      <c r="F615" s="10" t="n"/>
      <c r="G615" s="10">
        <f>IF(F615="","",MIN(F615,100))</f>
        <v/>
      </c>
      <c r="H615" s="11">
        <f>IF(A615="","",Universe!E615/BDP(A615&amp;" US Equity","HIGH_52WEEK")*100)</f>
        <v/>
      </c>
      <c r="I615">
        <f>IF(D615="","",D615&gt;=5)</f>
        <v/>
      </c>
      <c r="J615">
        <f>IF(F615="","",F615&gt;=5)</f>
        <v/>
      </c>
      <c r="K615">
        <f>IF(H615="","",H615&gt;=75)</f>
        <v/>
      </c>
      <c r="L615">
        <f>IF(OR(I615="",J615="",K615=""),FALSE,AND(I615,J615,K615))</f>
        <v/>
      </c>
    </row>
    <row r="616">
      <c r="A616">
        <f>Universe!A616</f>
        <v/>
      </c>
      <c r="B616" s="10" t="n"/>
      <c r="C616" s="11">
        <f>IF(B616="","",PERCENTRANK.INC($B$2:$B$2501,B616)*100)</f>
        <v/>
      </c>
      <c r="D616" s="10" t="n"/>
      <c r="E616" s="10">
        <f>IF(D616="","",MIN(D616,100))</f>
        <v/>
      </c>
      <c r="F616" s="10" t="n"/>
      <c r="G616" s="10">
        <f>IF(F616="","",MIN(F616,100))</f>
        <v/>
      </c>
      <c r="H616" s="11">
        <f>IF(A616="","",Universe!E616/BDP(A616&amp;" US Equity","HIGH_52WEEK")*100)</f>
        <v/>
      </c>
      <c r="I616">
        <f>IF(D616="","",D616&gt;=5)</f>
        <v/>
      </c>
      <c r="J616">
        <f>IF(F616="","",F616&gt;=5)</f>
        <v/>
      </c>
      <c r="K616">
        <f>IF(H616="","",H616&gt;=75)</f>
        <v/>
      </c>
      <c r="L616">
        <f>IF(OR(I616="",J616="",K616=""),FALSE,AND(I616,J616,K616))</f>
        <v/>
      </c>
    </row>
    <row r="617">
      <c r="A617">
        <f>Universe!A617</f>
        <v/>
      </c>
      <c r="B617" s="10" t="n"/>
      <c r="C617" s="11">
        <f>IF(B617="","",PERCENTRANK.INC($B$2:$B$2501,B617)*100)</f>
        <v/>
      </c>
      <c r="D617" s="10" t="n"/>
      <c r="E617" s="10">
        <f>IF(D617="","",MIN(D617,100))</f>
        <v/>
      </c>
      <c r="F617" s="10" t="n"/>
      <c r="G617" s="10">
        <f>IF(F617="","",MIN(F617,100))</f>
        <v/>
      </c>
      <c r="H617" s="11">
        <f>IF(A617="","",Universe!E617/BDP(A617&amp;" US Equity","HIGH_52WEEK")*100)</f>
        <v/>
      </c>
      <c r="I617">
        <f>IF(D617="","",D617&gt;=5)</f>
        <v/>
      </c>
      <c r="J617">
        <f>IF(F617="","",F617&gt;=5)</f>
        <v/>
      </c>
      <c r="K617">
        <f>IF(H617="","",H617&gt;=75)</f>
        <v/>
      </c>
      <c r="L617">
        <f>IF(OR(I617="",J617="",K617=""),FALSE,AND(I617,J617,K617))</f>
        <v/>
      </c>
    </row>
    <row r="618">
      <c r="A618">
        <f>Universe!A618</f>
        <v/>
      </c>
      <c r="B618" s="10" t="n"/>
      <c r="C618" s="11">
        <f>IF(B618="","",PERCENTRANK.INC($B$2:$B$2501,B618)*100)</f>
        <v/>
      </c>
      <c r="D618" s="10" t="n"/>
      <c r="E618" s="10">
        <f>IF(D618="","",MIN(D618,100))</f>
        <v/>
      </c>
      <c r="F618" s="10" t="n"/>
      <c r="G618" s="10">
        <f>IF(F618="","",MIN(F618,100))</f>
        <v/>
      </c>
      <c r="H618" s="11">
        <f>IF(A618="","",Universe!E618/BDP(A618&amp;" US Equity","HIGH_52WEEK")*100)</f>
        <v/>
      </c>
      <c r="I618">
        <f>IF(D618="","",D618&gt;=5)</f>
        <v/>
      </c>
      <c r="J618">
        <f>IF(F618="","",F618&gt;=5)</f>
        <v/>
      </c>
      <c r="K618">
        <f>IF(H618="","",H618&gt;=75)</f>
        <v/>
      </c>
      <c r="L618">
        <f>IF(OR(I618="",J618="",K618=""),FALSE,AND(I618,J618,K618))</f>
        <v/>
      </c>
    </row>
    <row r="619">
      <c r="A619">
        <f>Universe!A619</f>
        <v/>
      </c>
      <c r="B619" s="10" t="n"/>
      <c r="C619" s="11">
        <f>IF(B619="","",PERCENTRANK.INC($B$2:$B$2501,B619)*100)</f>
        <v/>
      </c>
      <c r="D619" s="10" t="n"/>
      <c r="E619" s="10">
        <f>IF(D619="","",MIN(D619,100))</f>
        <v/>
      </c>
      <c r="F619" s="10" t="n"/>
      <c r="G619" s="10">
        <f>IF(F619="","",MIN(F619,100))</f>
        <v/>
      </c>
      <c r="H619" s="11">
        <f>IF(A619="","",Universe!E619/BDP(A619&amp;" US Equity","HIGH_52WEEK")*100)</f>
        <v/>
      </c>
      <c r="I619">
        <f>IF(D619="","",D619&gt;=5)</f>
        <v/>
      </c>
      <c r="J619">
        <f>IF(F619="","",F619&gt;=5)</f>
        <v/>
      </c>
      <c r="K619">
        <f>IF(H619="","",H619&gt;=75)</f>
        <v/>
      </c>
      <c r="L619">
        <f>IF(OR(I619="",J619="",K619=""),FALSE,AND(I619,J619,K619))</f>
        <v/>
      </c>
    </row>
    <row r="620">
      <c r="A620">
        <f>Universe!A620</f>
        <v/>
      </c>
      <c r="B620" s="10" t="n"/>
      <c r="C620" s="11">
        <f>IF(B620="","",PERCENTRANK.INC($B$2:$B$2501,B620)*100)</f>
        <v/>
      </c>
      <c r="D620" s="10" t="n"/>
      <c r="E620" s="10">
        <f>IF(D620="","",MIN(D620,100))</f>
        <v/>
      </c>
      <c r="F620" s="10" t="n"/>
      <c r="G620" s="10">
        <f>IF(F620="","",MIN(F620,100))</f>
        <v/>
      </c>
      <c r="H620" s="11">
        <f>IF(A620="","",Universe!E620/BDP(A620&amp;" US Equity","HIGH_52WEEK")*100)</f>
        <v/>
      </c>
      <c r="I620">
        <f>IF(D620="","",D620&gt;=5)</f>
        <v/>
      </c>
      <c r="J620">
        <f>IF(F620="","",F620&gt;=5)</f>
        <v/>
      </c>
      <c r="K620">
        <f>IF(H620="","",H620&gt;=75)</f>
        <v/>
      </c>
      <c r="L620">
        <f>IF(OR(I620="",J620="",K620=""),FALSE,AND(I620,J620,K620))</f>
        <v/>
      </c>
    </row>
    <row r="621">
      <c r="A621">
        <f>Universe!A621</f>
        <v/>
      </c>
      <c r="B621" s="10" t="n"/>
      <c r="C621" s="11">
        <f>IF(B621="","",PERCENTRANK.INC($B$2:$B$2501,B621)*100)</f>
        <v/>
      </c>
      <c r="D621" s="10" t="n"/>
      <c r="E621" s="10">
        <f>IF(D621="","",MIN(D621,100))</f>
        <v/>
      </c>
      <c r="F621" s="10" t="n"/>
      <c r="G621" s="10">
        <f>IF(F621="","",MIN(F621,100))</f>
        <v/>
      </c>
      <c r="H621" s="11">
        <f>IF(A621="","",Universe!E621/BDP(A621&amp;" US Equity","HIGH_52WEEK")*100)</f>
        <v/>
      </c>
      <c r="I621">
        <f>IF(D621="","",D621&gt;=5)</f>
        <v/>
      </c>
      <c r="J621">
        <f>IF(F621="","",F621&gt;=5)</f>
        <v/>
      </c>
      <c r="K621">
        <f>IF(H621="","",H621&gt;=75)</f>
        <v/>
      </c>
      <c r="L621">
        <f>IF(OR(I621="",J621="",K621=""),FALSE,AND(I621,J621,K621))</f>
        <v/>
      </c>
    </row>
    <row r="622">
      <c r="A622">
        <f>Universe!A622</f>
        <v/>
      </c>
      <c r="B622" s="10" t="n"/>
      <c r="C622" s="11">
        <f>IF(B622="","",PERCENTRANK.INC($B$2:$B$2501,B622)*100)</f>
        <v/>
      </c>
      <c r="D622" s="10" t="n"/>
      <c r="E622" s="10">
        <f>IF(D622="","",MIN(D622,100))</f>
        <v/>
      </c>
      <c r="F622" s="10" t="n"/>
      <c r="G622" s="10">
        <f>IF(F622="","",MIN(F622,100))</f>
        <v/>
      </c>
      <c r="H622" s="11">
        <f>IF(A622="","",Universe!E622/BDP(A622&amp;" US Equity","HIGH_52WEEK")*100)</f>
        <v/>
      </c>
      <c r="I622">
        <f>IF(D622="","",D622&gt;=5)</f>
        <v/>
      </c>
      <c r="J622">
        <f>IF(F622="","",F622&gt;=5)</f>
        <v/>
      </c>
      <c r="K622">
        <f>IF(H622="","",H622&gt;=75)</f>
        <v/>
      </c>
      <c r="L622">
        <f>IF(OR(I622="",J622="",K622=""),FALSE,AND(I622,J622,K622))</f>
        <v/>
      </c>
    </row>
    <row r="623">
      <c r="A623">
        <f>Universe!A623</f>
        <v/>
      </c>
      <c r="B623" s="10" t="n"/>
      <c r="C623" s="11">
        <f>IF(B623="","",PERCENTRANK.INC($B$2:$B$2501,B623)*100)</f>
        <v/>
      </c>
      <c r="D623" s="10" t="n"/>
      <c r="E623" s="10">
        <f>IF(D623="","",MIN(D623,100))</f>
        <v/>
      </c>
      <c r="F623" s="10" t="n"/>
      <c r="G623" s="10">
        <f>IF(F623="","",MIN(F623,100))</f>
        <v/>
      </c>
      <c r="H623" s="11">
        <f>IF(A623="","",Universe!E623/BDP(A623&amp;" US Equity","HIGH_52WEEK")*100)</f>
        <v/>
      </c>
      <c r="I623">
        <f>IF(D623="","",D623&gt;=5)</f>
        <v/>
      </c>
      <c r="J623">
        <f>IF(F623="","",F623&gt;=5)</f>
        <v/>
      </c>
      <c r="K623">
        <f>IF(H623="","",H623&gt;=75)</f>
        <v/>
      </c>
      <c r="L623">
        <f>IF(OR(I623="",J623="",K623=""),FALSE,AND(I623,J623,K623))</f>
        <v/>
      </c>
    </row>
    <row r="624">
      <c r="A624">
        <f>Universe!A624</f>
        <v/>
      </c>
      <c r="B624" s="10" t="n"/>
      <c r="C624" s="11">
        <f>IF(B624="","",PERCENTRANK.INC($B$2:$B$2501,B624)*100)</f>
        <v/>
      </c>
      <c r="D624" s="10" t="n"/>
      <c r="E624" s="10">
        <f>IF(D624="","",MIN(D624,100))</f>
        <v/>
      </c>
      <c r="F624" s="10" t="n"/>
      <c r="G624" s="10">
        <f>IF(F624="","",MIN(F624,100))</f>
        <v/>
      </c>
      <c r="H624" s="11">
        <f>IF(A624="","",Universe!E624/BDP(A624&amp;" US Equity","HIGH_52WEEK")*100)</f>
        <v/>
      </c>
      <c r="I624">
        <f>IF(D624="","",D624&gt;=5)</f>
        <v/>
      </c>
      <c r="J624">
        <f>IF(F624="","",F624&gt;=5)</f>
        <v/>
      </c>
      <c r="K624">
        <f>IF(H624="","",H624&gt;=75)</f>
        <v/>
      </c>
      <c r="L624">
        <f>IF(OR(I624="",J624="",K624=""),FALSE,AND(I624,J624,K624))</f>
        <v/>
      </c>
    </row>
    <row r="625">
      <c r="A625">
        <f>Universe!A625</f>
        <v/>
      </c>
      <c r="B625" s="10" t="n"/>
      <c r="C625" s="11">
        <f>IF(B625="","",PERCENTRANK.INC($B$2:$B$2501,B625)*100)</f>
        <v/>
      </c>
      <c r="D625" s="10" t="n"/>
      <c r="E625" s="10">
        <f>IF(D625="","",MIN(D625,100))</f>
        <v/>
      </c>
      <c r="F625" s="10" t="n"/>
      <c r="G625" s="10">
        <f>IF(F625="","",MIN(F625,100))</f>
        <v/>
      </c>
      <c r="H625" s="11">
        <f>IF(A625="","",Universe!E625/BDP(A625&amp;" US Equity","HIGH_52WEEK")*100)</f>
        <v/>
      </c>
      <c r="I625">
        <f>IF(D625="","",D625&gt;=5)</f>
        <v/>
      </c>
      <c r="J625">
        <f>IF(F625="","",F625&gt;=5)</f>
        <v/>
      </c>
      <c r="K625">
        <f>IF(H625="","",H625&gt;=75)</f>
        <v/>
      </c>
      <c r="L625">
        <f>IF(OR(I625="",J625="",K625=""),FALSE,AND(I625,J625,K625))</f>
        <v/>
      </c>
    </row>
    <row r="626">
      <c r="A626">
        <f>Universe!A626</f>
        <v/>
      </c>
      <c r="B626" s="10" t="n"/>
      <c r="C626" s="11">
        <f>IF(B626="","",PERCENTRANK.INC($B$2:$B$2501,B626)*100)</f>
        <v/>
      </c>
      <c r="D626" s="10" t="n"/>
      <c r="E626" s="10">
        <f>IF(D626="","",MIN(D626,100))</f>
        <v/>
      </c>
      <c r="F626" s="10" t="n"/>
      <c r="G626" s="10">
        <f>IF(F626="","",MIN(F626,100))</f>
        <v/>
      </c>
      <c r="H626" s="11">
        <f>IF(A626="","",Universe!E626/BDP(A626&amp;" US Equity","HIGH_52WEEK")*100)</f>
        <v/>
      </c>
      <c r="I626">
        <f>IF(D626="","",D626&gt;=5)</f>
        <v/>
      </c>
      <c r="J626">
        <f>IF(F626="","",F626&gt;=5)</f>
        <v/>
      </c>
      <c r="K626">
        <f>IF(H626="","",H626&gt;=75)</f>
        <v/>
      </c>
      <c r="L626">
        <f>IF(OR(I626="",J626="",K626=""),FALSE,AND(I626,J626,K626))</f>
        <v/>
      </c>
    </row>
    <row r="627">
      <c r="A627">
        <f>Universe!A627</f>
        <v/>
      </c>
      <c r="B627" s="10" t="n"/>
      <c r="C627" s="11">
        <f>IF(B627="","",PERCENTRANK.INC($B$2:$B$2501,B627)*100)</f>
        <v/>
      </c>
      <c r="D627" s="10" t="n"/>
      <c r="E627" s="10">
        <f>IF(D627="","",MIN(D627,100))</f>
        <v/>
      </c>
      <c r="F627" s="10" t="n"/>
      <c r="G627" s="10">
        <f>IF(F627="","",MIN(F627,100))</f>
        <v/>
      </c>
      <c r="H627" s="11">
        <f>IF(A627="","",Universe!E627/BDP(A627&amp;" US Equity","HIGH_52WEEK")*100)</f>
        <v/>
      </c>
      <c r="I627">
        <f>IF(D627="","",D627&gt;=5)</f>
        <v/>
      </c>
      <c r="J627">
        <f>IF(F627="","",F627&gt;=5)</f>
        <v/>
      </c>
      <c r="K627">
        <f>IF(H627="","",H627&gt;=75)</f>
        <v/>
      </c>
      <c r="L627">
        <f>IF(OR(I627="",J627="",K627=""),FALSE,AND(I627,J627,K627))</f>
        <v/>
      </c>
    </row>
    <row r="628">
      <c r="A628">
        <f>Universe!A628</f>
        <v/>
      </c>
      <c r="B628" s="10" t="n"/>
      <c r="C628" s="11">
        <f>IF(B628="","",PERCENTRANK.INC($B$2:$B$2501,B628)*100)</f>
        <v/>
      </c>
      <c r="D628" s="10" t="n"/>
      <c r="E628" s="10">
        <f>IF(D628="","",MIN(D628,100))</f>
        <v/>
      </c>
      <c r="F628" s="10" t="n"/>
      <c r="G628" s="10">
        <f>IF(F628="","",MIN(F628,100))</f>
        <v/>
      </c>
      <c r="H628" s="11">
        <f>IF(A628="","",Universe!E628/BDP(A628&amp;" US Equity","HIGH_52WEEK")*100)</f>
        <v/>
      </c>
      <c r="I628">
        <f>IF(D628="","",D628&gt;=5)</f>
        <v/>
      </c>
      <c r="J628">
        <f>IF(F628="","",F628&gt;=5)</f>
        <v/>
      </c>
      <c r="K628">
        <f>IF(H628="","",H628&gt;=75)</f>
        <v/>
      </c>
      <c r="L628">
        <f>IF(OR(I628="",J628="",K628=""),FALSE,AND(I628,J628,K628))</f>
        <v/>
      </c>
    </row>
    <row r="629">
      <c r="A629">
        <f>Universe!A629</f>
        <v/>
      </c>
      <c r="B629" s="10" t="n"/>
      <c r="C629" s="11">
        <f>IF(B629="","",PERCENTRANK.INC($B$2:$B$2501,B629)*100)</f>
        <v/>
      </c>
      <c r="D629" s="10" t="n"/>
      <c r="E629" s="10">
        <f>IF(D629="","",MIN(D629,100))</f>
        <v/>
      </c>
      <c r="F629" s="10" t="n"/>
      <c r="G629" s="10">
        <f>IF(F629="","",MIN(F629,100))</f>
        <v/>
      </c>
      <c r="H629" s="11">
        <f>IF(A629="","",Universe!E629/BDP(A629&amp;" US Equity","HIGH_52WEEK")*100)</f>
        <v/>
      </c>
      <c r="I629">
        <f>IF(D629="","",D629&gt;=5)</f>
        <v/>
      </c>
      <c r="J629">
        <f>IF(F629="","",F629&gt;=5)</f>
        <v/>
      </c>
      <c r="K629">
        <f>IF(H629="","",H629&gt;=75)</f>
        <v/>
      </c>
      <c r="L629">
        <f>IF(OR(I629="",J629="",K629=""),FALSE,AND(I629,J629,K629))</f>
        <v/>
      </c>
    </row>
    <row r="630">
      <c r="A630">
        <f>Universe!A630</f>
        <v/>
      </c>
      <c r="B630" s="10" t="n"/>
      <c r="C630" s="11">
        <f>IF(B630="","",PERCENTRANK.INC($B$2:$B$2501,B630)*100)</f>
        <v/>
      </c>
      <c r="D630" s="10" t="n"/>
      <c r="E630" s="10">
        <f>IF(D630="","",MIN(D630,100))</f>
        <v/>
      </c>
      <c r="F630" s="10" t="n"/>
      <c r="G630" s="10">
        <f>IF(F630="","",MIN(F630,100))</f>
        <v/>
      </c>
      <c r="H630" s="11">
        <f>IF(A630="","",Universe!E630/BDP(A630&amp;" US Equity","HIGH_52WEEK")*100)</f>
        <v/>
      </c>
      <c r="I630">
        <f>IF(D630="","",D630&gt;=5)</f>
        <v/>
      </c>
      <c r="J630">
        <f>IF(F630="","",F630&gt;=5)</f>
        <v/>
      </c>
      <c r="K630">
        <f>IF(H630="","",H630&gt;=75)</f>
        <v/>
      </c>
      <c r="L630">
        <f>IF(OR(I630="",J630="",K630=""),FALSE,AND(I630,J630,K630))</f>
        <v/>
      </c>
    </row>
    <row r="631">
      <c r="A631">
        <f>Universe!A631</f>
        <v/>
      </c>
      <c r="B631" s="10" t="n"/>
      <c r="C631" s="11">
        <f>IF(B631="","",PERCENTRANK.INC($B$2:$B$2501,B631)*100)</f>
        <v/>
      </c>
      <c r="D631" s="10" t="n"/>
      <c r="E631" s="10">
        <f>IF(D631="","",MIN(D631,100))</f>
        <v/>
      </c>
      <c r="F631" s="10" t="n"/>
      <c r="G631" s="10">
        <f>IF(F631="","",MIN(F631,100))</f>
        <v/>
      </c>
      <c r="H631" s="11">
        <f>IF(A631="","",Universe!E631/BDP(A631&amp;" US Equity","HIGH_52WEEK")*100)</f>
        <v/>
      </c>
      <c r="I631">
        <f>IF(D631="","",D631&gt;=5)</f>
        <v/>
      </c>
      <c r="J631">
        <f>IF(F631="","",F631&gt;=5)</f>
        <v/>
      </c>
      <c r="K631">
        <f>IF(H631="","",H631&gt;=75)</f>
        <v/>
      </c>
      <c r="L631">
        <f>IF(OR(I631="",J631="",K631=""),FALSE,AND(I631,J631,K631))</f>
        <v/>
      </c>
    </row>
    <row r="632">
      <c r="A632">
        <f>Universe!A632</f>
        <v/>
      </c>
      <c r="B632" s="10" t="n"/>
      <c r="C632" s="11">
        <f>IF(B632="","",PERCENTRANK.INC($B$2:$B$2501,B632)*100)</f>
        <v/>
      </c>
      <c r="D632" s="10" t="n"/>
      <c r="E632" s="10">
        <f>IF(D632="","",MIN(D632,100))</f>
        <v/>
      </c>
      <c r="F632" s="10" t="n"/>
      <c r="G632" s="10">
        <f>IF(F632="","",MIN(F632,100))</f>
        <v/>
      </c>
      <c r="H632" s="11">
        <f>IF(A632="","",Universe!E632/BDP(A632&amp;" US Equity","HIGH_52WEEK")*100)</f>
        <v/>
      </c>
      <c r="I632">
        <f>IF(D632="","",D632&gt;=5)</f>
        <v/>
      </c>
      <c r="J632">
        <f>IF(F632="","",F632&gt;=5)</f>
        <v/>
      </c>
      <c r="K632">
        <f>IF(H632="","",H632&gt;=75)</f>
        <v/>
      </c>
      <c r="L632">
        <f>IF(OR(I632="",J632="",K632=""),FALSE,AND(I632,J632,K632))</f>
        <v/>
      </c>
    </row>
    <row r="633">
      <c r="A633">
        <f>Universe!A633</f>
        <v/>
      </c>
      <c r="B633" s="10" t="n"/>
      <c r="C633" s="11">
        <f>IF(B633="","",PERCENTRANK.INC($B$2:$B$2501,B633)*100)</f>
        <v/>
      </c>
      <c r="D633" s="10" t="n"/>
      <c r="E633" s="10">
        <f>IF(D633="","",MIN(D633,100))</f>
        <v/>
      </c>
      <c r="F633" s="10" t="n"/>
      <c r="G633" s="10">
        <f>IF(F633="","",MIN(F633,100))</f>
        <v/>
      </c>
      <c r="H633" s="11">
        <f>IF(A633="","",Universe!E633/BDP(A633&amp;" US Equity","HIGH_52WEEK")*100)</f>
        <v/>
      </c>
      <c r="I633">
        <f>IF(D633="","",D633&gt;=5)</f>
        <v/>
      </c>
      <c r="J633">
        <f>IF(F633="","",F633&gt;=5)</f>
        <v/>
      </c>
      <c r="K633">
        <f>IF(H633="","",H633&gt;=75)</f>
        <v/>
      </c>
      <c r="L633">
        <f>IF(OR(I633="",J633="",K633=""),FALSE,AND(I633,J633,K633))</f>
        <v/>
      </c>
    </row>
    <row r="634">
      <c r="A634">
        <f>Universe!A634</f>
        <v/>
      </c>
      <c r="B634" s="10" t="n"/>
      <c r="C634" s="11">
        <f>IF(B634="","",PERCENTRANK.INC($B$2:$B$2501,B634)*100)</f>
        <v/>
      </c>
      <c r="D634" s="10" t="n"/>
      <c r="E634" s="10">
        <f>IF(D634="","",MIN(D634,100))</f>
        <v/>
      </c>
      <c r="F634" s="10" t="n"/>
      <c r="G634" s="10">
        <f>IF(F634="","",MIN(F634,100))</f>
        <v/>
      </c>
      <c r="H634" s="11">
        <f>IF(A634="","",Universe!E634/BDP(A634&amp;" US Equity","HIGH_52WEEK")*100)</f>
        <v/>
      </c>
      <c r="I634">
        <f>IF(D634="","",D634&gt;=5)</f>
        <v/>
      </c>
      <c r="J634">
        <f>IF(F634="","",F634&gt;=5)</f>
        <v/>
      </c>
      <c r="K634">
        <f>IF(H634="","",H634&gt;=75)</f>
        <v/>
      </c>
      <c r="L634">
        <f>IF(OR(I634="",J634="",K634=""),FALSE,AND(I634,J634,K634))</f>
        <v/>
      </c>
    </row>
    <row r="635">
      <c r="A635">
        <f>Universe!A635</f>
        <v/>
      </c>
      <c r="B635" s="10" t="n"/>
      <c r="C635" s="11">
        <f>IF(B635="","",PERCENTRANK.INC($B$2:$B$2501,B635)*100)</f>
        <v/>
      </c>
      <c r="D635" s="10" t="n"/>
      <c r="E635" s="10">
        <f>IF(D635="","",MIN(D635,100))</f>
        <v/>
      </c>
      <c r="F635" s="10" t="n"/>
      <c r="G635" s="10">
        <f>IF(F635="","",MIN(F635,100))</f>
        <v/>
      </c>
      <c r="H635" s="11">
        <f>IF(A635="","",Universe!E635/BDP(A635&amp;" US Equity","HIGH_52WEEK")*100)</f>
        <v/>
      </c>
      <c r="I635">
        <f>IF(D635="","",D635&gt;=5)</f>
        <v/>
      </c>
      <c r="J635">
        <f>IF(F635="","",F635&gt;=5)</f>
        <v/>
      </c>
      <c r="K635">
        <f>IF(H635="","",H635&gt;=75)</f>
        <v/>
      </c>
      <c r="L635">
        <f>IF(OR(I635="",J635="",K635=""),FALSE,AND(I635,J635,K635))</f>
        <v/>
      </c>
    </row>
    <row r="636">
      <c r="A636">
        <f>Universe!A636</f>
        <v/>
      </c>
      <c r="B636" s="10" t="n"/>
      <c r="C636" s="11">
        <f>IF(B636="","",PERCENTRANK.INC($B$2:$B$2501,B636)*100)</f>
        <v/>
      </c>
      <c r="D636" s="10" t="n"/>
      <c r="E636" s="10">
        <f>IF(D636="","",MIN(D636,100))</f>
        <v/>
      </c>
      <c r="F636" s="10" t="n"/>
      <c r="G636" s="10">
        <f>IF(F636="","",MIN(F636,100))</f>
        <v/>
      </c>
      <c r="H636" s="11">
        <f>IF(A636="","",Universe!E636/BDP(A636&amp;" US Equity","HIGH_52WEEK")*100)</f>
        <v/>
      </c>
      <c r="I636">
        <f>IF(D636="","",D636&gt;=5)</f>
        <v/>
      </c>
      <c r="J636">
        <f>IF(F636="","",F636&gt;=5)</f>
        <v/>
      </c>
      <c r="K636">
        <f>IF(H636="","",H636&gt;=75)</f>
        <v/>
      </c>
      <c r="L636">
        <f>IF(OR(I636="",J636="",K636=""),FALSE,AND(I636,J636,K636))</f>
        <v/>
      </c>
    </row>
    <row r="637">
      <c r="A637">
        <f>Universe!A637</f>
        <v/>
      </c>
      <c r="B637" s="10" t="n"/>
      <c r="C637" s="11">
        <f>IF(B637="","",PERCENTRANK.INC($B$2:$B$2501,B637)*100)</f>
        <v/>
      </c>
      <c r="D637" s="10" t="n"/>
      <c r="E637" s="10">
        <f>IF(D637="","",MIN(D637,100))</f>
        <v/>
      </c>
      <c r="F637" s="10" t="n"/>
      <c r="G637" s="10">
        <f>IF(F637="","",MIN(F637,100))</f>
        <v/>
      </c>
      <c r="H637" s="11">
        <f>IF(A637="","",Universe!E637/BDP(A637&amp;" US Equity","HIGH_52WEEK")*100)</f>
        <v/>
      </c>
      <c r="I637">
        <f>IF(D637="","",D637&gt;=5)</f>
        <v/>
      </c>
      <c r="J637">
        <f>IF(F637="","",F637&gt;=5)</f>
        <v/>
      </c>
      <c r="K637">
        <f>IF(H637="","",H637&gt;=75)</f>
        <v/>
      </c>
      <c r="L637">
        <f>IF(OR(I637="",J637="",K637=""),FALSE,AND(I637,J637,K637))</f>
        <v/>
      </c>
    </row>
    <row r="638">
      <c r="A638">
        <f>Universe!A638</f>
        <v/>
      </c>
      <c r="B638" s="10" t="n"/>
      <c r="C638" s="11">
        <f>IF(B638="","",PERCENTRANK.INC($B$2:$B$2501,B638)*100)</f>
        <v/>
      </c>
      <c r="D638" s="10" t="n"/>
      <c r="E638" s="10">
        <f>IF(D638="","",MIN(D638,100))</f>
        <v/>
      </c>
      <c r="F638" s="10" t="n"/>
      <c r="G638" s="10">
        <f>IF(F638="","",MIN(F638,100))</f>
        <v/>
      </c>
      <c r="H638" s="11">
        <f>IF(A638="","",Universe!E638/BDP(A638&amp;" US Equity","HIGH_52WEEK")*100)</f>
        <v/>
      </c>
      <c r="I638">
        <f>IF(D638="","",D638&gt;=5)</f>
        <v/>
      </c>
      <c r="J638">
        <f>IF(F638="","",F638&gt;=5)</f>
        <v/>
      </c>
      <c r="K638">
        <f>IF(H638="","",H638&gt;=75)</f>
        <v/>
      </c>
      <c r="L638">
        <f>IF(OR(I638="",J638="",K638=""),FALSE,AND(I638,J638,K638))</f>
        <v/>
      </c>
    </row>
    <row r="639">
      <c r="A639">
        <f>Universe!A639</f>
        <v/>
      </c>
      <c r="B639" s="10" t="n"/>
      <c r="C639" s="11">
        <f>IF(B639="","",PERCENTRANK.INC($B$2:$B$2501,B639)*100)</f>
        <v/>
      </c>
      <c r="D639" s="10" t="n"/>
      <c r="E639" s="10">
        <f>IF(D639="","",MIN(D639,100))</f>
        <v/>
      </c>
      <c r="F639" s="10" t="n"/>
      <c r="G639" s="10">
        <f>IF(F639="","",MIN(F639,100))</f>
        <v/>
      </c>
      <c r="H639" s="11">
        <f>IF(A639="","",Universe!E639/BDP(A639&amp;" US Equity","HIGH_52WEEK")*100)</f>
        <v/>
      </c>
      <c r="I639">
        <f>IF(D639="","",D639&gt;=5)</f>
        <v/>
      </c>
      <c r="J639">
        <f>IF(F639="","",F639&gt;=5)</f>
        <v/>
      </c>
      <c r="K639">
        <f>IF(H639="","",H639&gt;=75)</f>
        <v/>
      </c>
      <c r="L639">
        <f>IF(OR(I639="",J639="",K639=""),FALSE,AND(I639,J639,K639))</f>
        <v/>
      </c>
    </row>
    <row r="640">
      <c r="A640">
        <f>Universe!A640</f>
        <v/>
      </c>
      <c r="B640" s="10" t="n"/>
      <c r="C640" s="11">
        <f>IF(B640="","",PERCENTRANK.INC($B$2:$B$2501,B640)*100)</f>
        <v/>
      </c>
      <c r="D640" s="10" t="n"/>
      <c r="E640" s="10">
        <f>IF(D640="","",MIN(D640,100))</f>
        <v/>
      </c>
      <c r="F640" s="10" t="n"/>
      <c r="G640" s="10">
        <f>IF(F640="","",MIN(F640,100))</f>
        <v/>
      </c>
      <c r="H640" s="11">
        <f>IF(A640="","",Universe!E640/BDP(A640&amp;" US Equity","HIGH_52WEEK")*100)</f>
        <v/>
      </c>
      <c r="I640">
        <f>IF(D640="","",D640&gt;=5)</f>
        <v/>
      </c>
      <c r="J640">
        <f>IF(F640="","",F640&gt;=5)</f>
        <v/>
      </c>
      <c r="K640">
        <f>IF(H640="","",H640&gt;=75)</f>
        <v/>
      </c>
      <c r="L640">
        <f>IF(OR(I640="",J640="",K640=""),FALSE,AND(I640,J640,K640))</f>
        <v/>
      </c>
    </row>
    <row r="641">
      <c r="A641">
        <f>Universe!A641</f>
        <v/>
      </c>
      <c r="B641" s="10" t="n"/>
      <c r="C641" s="11">
        <f>IF(B641="","",PERCENTRANK.INC($B$2:$B$2501,B641)*100)</f>
        <v/>
      </c>
      <c r="D641" s="10" t="n"/>
      <c r="E641" s="10">
        <f>IF(D641="","",MIN(D641,100))</f>
        <v/>
      </c>
      <c r="F641" s="10" t="n"/>
      <c r="G641" s="10">
        <f>IF(F641="","",MIN(F641,100))</f>
        <v/>
      </c>
      <c r="H641" s="11">
        <f>IF(A641="","",Universe!E641/BDP(A641&amp;" US Equity","HIGH_52WEEK")*100)</f>
        <v/>
      </c>
      <c r="I641">
        <f>IF(D641="","",D641&gt;=5)</f>
        <v/>
      </c>
      <c r="J641">
        <f>IF(F641="","",F641&gt;=5)</f>
        <v/>
      </c>
      <c r="K641">
        <f>IF(H641="","",H641&gt;=75)</f>
        <v/>
      </c>
      <c r="L641">
        <f>IF(OR(I641="",J641="",K641=""),FALSE,AND(I641,J641,K641))</f>
        <v/>
      </c>
    </row>
    <row r="642">
      <c r="A642">
        <f>Universe!A642</f>
        <v/>
      </c>
      <c r="B642" s="10" t="n"/>
      <c r="C642" s="11">
        <f>IF(B642="","",PERCENTRANK.INC($B$2:$B$2501,B642)*100)</f>
        <v/>
      </c>
      <c r="D642" s="10" t="n"/>
      <c r="E642" s="10">
        <f>IF(D642="","",MIN(D642,100))</f>
        <v/>
      </c>
      <c r="F642" s="10" t="n"/>
      <c r="G642" s="10">
        <f>IF(F642="","",MIN(F642,100))</f>
        <v/>
      </c>
      <c r="H642" s="11">
        <f>IF(A642="","",Universe!E642/BDP(A642&amp;" US Equity","HIGH_52WEEK")*100)</f>
        <v/>
      </c>
      <c r="I642">
        <f>IF(D642="","",D642&gt;=5)</f>
        <v/>
      </c>
      <c r="J642">
        <f>IF(F642="","",F642&gt;=5)</f>
        <v/>
      </c>
      <c r="K642">
        <f>IF(H642="","",H642&gt;=75)</f>
        <v/>
      </c>
      <c r="L642">
        <f>IF(OR(I642="",J642="",K642=""),FALSE,AND(I642,J642,K642))</f>
        <v/>
      </c>
    </row>
    <row r="643">
      <c r="A643">
        <f>Universe!A643</f>
        <v/>
      </c>
      <c r="B643" s="10" t="n"/>
      <c r="C643" s="11">
        <f>IF(B643="","",PERCENTRANK.INC($B$2:$B$2501,B643)*100)</f>
        <v/>
      </c>
      <c r="D643" s="10" t="n"/>
      <c r="E643" s="10">
        <f>IF(D643="","",MIN(D643,100))</f>
        <v/>
      </c>
      <c r="F643" s="10" t="n"/>
      <c r="G643" s="10">
        <f>IF(F643="","",MIN(F643,100))</f>
        <v/>
      </c>
      <c r="H643" s="11">
        <f>IF(A643="","",Universe!E643/BDP(A643&amp;" US Equity","HIGH_52WEEK")*100)</f>
        <v/>
      </c>
      <c r="I643">
        <f>IF(D643="","",D643&gt;=5)</f>
        <v/>
      </c>
      <c r="J643">
        <f>IF(F643="","",F643&gt;=5)</f>
        <v/>
      </c>
      <c r="K643">
        <f>IF(H643="","",H643&gt;=75)</f>
        <v/>
      </c>
      <c r="L643">
        <f>IF(OR(I643="",J643="",K643=""),FALSE,AND(I643,J643,K643))</f>
        <v/>
      </c>
    </row>
    <row r="644">
      <c r="A644">
        <f>Universe!A644</f>
        <v/>
      </c>
      <c r="B644" s="10" t="n"/>
      <c r="C644" s="11">
        <f>IF(B644="","",PERCENTRANK.INC($B$2:$B$2501,B644)*100)</f>
        <v/>
      </c>
      <c r="D644" s="10" t="n"/>
      <c r="E644" s="10">
        <f>IF(D644="","",MIN(D644,100))</f>
        <v/>
      </c>
      <c r="F644" s="10" t="n"/>
      <c r="G644" s="10">
        <f>IF(F644="","",MIN(F644,100))</f>
        <v/>
      </c>
      <c r="H644" s="11">
        <f>IF(A644="","",Universe!E644/BDP(A644&amp;" US Equity","HIGH_52WEEK")*100)</f>
        <v/>
      </c>
      <c r="I644">
        <f>IF(D644="","",D644&gt;=5)</f>
        <v/>
      </c>
      <c r="J644">
        <f>IF(F644="","",F644&gt;=5)</f>
        <v/>
      </c>
      <c r="K644">
        <f>IF(H644="","",H644&gt;=75)</f>
        <v/>
      </c>
      <c r="L644">
        <f>IF(OR(I644="",J644="",K644=""),FALSE,AND(I644,J644,K644))</f>
        <v/>
      </c>
    </row>
    <row r="645">
      <c r="A645">
        <f>Universe!A645</f>
        <v/>
      </c>
      <c r="B645" s="10" t="n"/>
      <c r="C645" s="11">
        <f>IF(B645="","",PERCENTRANK.INC($B$2:$B$2501,B645)*100)</f>
        <v/>
      </c>
      <c r="D645" s="10" t="n"/>
      <c r="E645" s="10">
        <f>IF(D645="","",MIN(D645,100))</f>
        <v/>
      </c>
      <c r="F645" s="10" t="n"/>
      <c r="G645" s="10">
        <f>IF(F645="","",MIN(F645,100))</f>
        <v/>
      </c>
      <c r="H645" s="11">
        <f>IF(A645="","",Universe!E645/BDP(A645&amp;" US Equity","HIGH_52WEEK")*100)</f>
        <v/>
      </c>
      <c r="I645">
        <f>IF(D645="","",D645&gt;=5)</f>
        <v/>
      </c>
      <c r="J645">
        <f>IF(F645="","",F645&gt;=5)</f>
        <v/>
      </c>
      <c r="K645">
        <f>IF(H645="","",H645&gt;=75)</f>
        <v/>
      </c>
      <c r="L645">
        <f>IF(OR(I645="",J645="",K645=""),FALSE,AND(I645,J645,K645))</f>
        <v/>
      </c>
    </row>
    <row r="646">
      <c r="A646">
        <f>Universe!A646</f>
        <v/>
      </c>
      <c r="B646" s="10" t="n"/>
      <c r="C646" s="11">
        <f>IF(B646="","",PERCENTRANK.INC($B$2:$B$2501,B646)*100)</f>
        <v/>
      </c>
      <c r="D646" s="10" t="n"/>
      <c r="E646" s="10">
        <f>IF(D646="","",MIN(D646,100))</f>
        <v/>
      </c>
      <c r="F646" s="10" t="n"/>
      <c r="G646" s="10">
        <f>IF(F646="","",MIN(F646,100))</f>
        <v/>
      </c>
      <c r="H646" s="11">
        <f>IF(A646="","",Universe!E646/BDP(A646&amp;" US Equity","HIGH_52WEEK")*100)</f>
        <v/>
      </c>
      <c r="I646">
        <f>IF(D646="","",D646&gt;=5)</f>
        <v/>
      </c>
      <c r="J646">
        <f>IF(F646="","",F646&gt;=5)</f>
        <v/>
      </c>
      <c r="K646">
        <f>IF(H646="","",H646&gt;=75)</f>
        <v/>
      </c>
      <c r="L646">
        <f>IF(OR(I646="",J646="",K646=""),FALSE,AND(I646,J646,K646))</f>
        <v/>
      </c>
    </row>
    <row r="647">
      <c r="A647">
        <f>Universe!A647</f>
        <v/>
      </c>
      <c r="B647" s="10" t="n"/>
      <c r="C647" s="11">
        <f>IF(B647="","",PERCENTRANK.INC($B$2:$B$2501,B647)*100)</f>
        <v/>
      </c>
      <c r="D647" s="10" t="n"/>
      <c r="E647" s="10">
        <f>IF(D647="","",MIN(D647,100))</f>
        <v/>
      </c>
      <c r="F647" s="10" t="n"/>
      <c r="G647" s="10">
        <f>IF(F647="","",MIN(F647,100))</f>
        <v/>
      </c>
      <c r="H647" s="11">
        <f>IF(A647="","",Universe!E647/BDP(A647&amp;" US Equity","HIGH_52WEEK")*100)</f>
        <v/>
      </c>
      <c r="I647">
        <f>IF(D647="","",D647&gt;=5)</f>
        <v/>
      </c>
      <c r="J647">
        <f>IF(F647="","",F647&gt;=5)</f>
        <v/>
      </c>
      <c r="K647">
        <f>IF(H647="","",H647&gt;=75)</f>
        <v/>
      </c>
      <c r="L647">
        <f>IF(OR(I647="",J647="",K647=""),FALSE,AND(I647,J647,K647))</f>
        <v/>
      </c>
    </row>
    <row r="648">
      <c r="A648">
        <f>Universe!A648</f>
        <v/>
      </c>
      <c r="B648" s="10" t="n"/>
      <c r="C648" s="11">
        <f>IF(B648="","",PERCENTRANK.INC($B$2:$B$2501,B648)*100)</f>
        <v/>
      </c>
      <c r="D648" s="10" t="n"/>
      <c r="E648" s="10">
        <f>IF(D648="","",MIN(D648,100))</f>
        <v/>
      </c>
      <c r="F648" s="10" t="n"/>
      <c r="G648" s="10">
        <f>IF(F648="","",MIN(F648,100))</f>
        <v/>
      </c>
      <c r="H648" s="11">
        <f>IF(A648="","",Universe!E648/BDP(A648&amp;" US Equity","HIGH_52WEEK")*100)</f>
        <v/>
      </c>
      <c r="I648">
        <f>IF(D648="","",D648&gt;=5)</f>
        <v/>
      </c>
      <c r="J648">
        <f>IF(F648="","",F648&gt;=5)</f>
        <v/>
      </c>
      <c r="K648">
        <f>IF(H648="","",H648&gt;=75)</f>
        <v/>
      </c>
      <c r="L648">
        <f>IF(OR(I648="",J648="",K648=""),FALSE,AND(I648,J648,K648))</f>
        <v/>
      </c>
    </row>
    <row r="649">
      <c r="A649">
        <f>Universe!A649</f>
        <v/>
      </c>
      <c r="B649" s="10" t="n"/>
      <c r="C649" s="11">
        <f>IF(B649="","",PERCENTRANK.INC($B$2:$B$2501,B649)*100)</f>
        <v/>
      </c>
      <c r="D649" s="10" t="n"/>
      <c r="E649" s="10">
        <f>IF(D649="","",MIN(D649,100))</f>
        <v/>
      </c>
      <c r="F649" s="10" t="n"/>
      <c r="G649" s="10">
        <f>IF(F649="","",MIN(F649,100))</f>
        <v/>
      </c>
      <c r="H649" s="11">
        <f>IF(A649="","",Universe!E649/BDP(A649&amp;" US Equity","HIGH_52WEEK")*100)</f>
        <v/>
      </c>
      <c r="I649">
        <f>IF(D649="","",D649&gt;=5)</f>
        <v/>
      </c>
      <c r="J649">
        <f>IF(F649="","",F649&gt;=5)</f>
        <v/>
      </c>
      <c r="K649">
        <f>IF(H649="","",H649&gt;=75)</f>
        <v/>
      </c>
      <c r="L649">
        <f>IF(OR(I649="",J649="",K649=""),FALSE,AND(I649,J649,K649))</f>
        <v/>
      </c>
    </row>
    <row r="650">
      <c r="A650">
        <f>Universe!A650</f>
        <v/>
      </c>
      <c r="B650" s="10" t="n"/>
      <c r="C650" s="11">
        <f>IF(B650="","",PERCENTRANK.INC($B$2:$B$2501,B650)*100)</f>
        <v/>
      </c>
      <c r="D650" s="10" t="n"/>
      <c r="E650" s="10">
        <f>IF(D650="","",MIN(D650,100))</f>
        <v/>
      </c>
      <c r="F650" s="10" t="n"/>
      <c r="G650" s="10">
        <f>IF(F650="","",MIN(F650,100))</f>
        <v/>
      </c>
      <c r="H650" s="11">
        <f>IF(A650="","",Universe!E650/BDP(A650&amp;" US Equity","HIGH_52WEEK")*100)</f>
        <v/>
      </c>
      <c r="I650">
        <f>IF(D650="","",D650&gt;=5)</f>
        <v/>
      </c>
      <c r="J650">
        <f>IF(F650="","",F650&gt;=5)</f>
        <v/>
      </c>
      <c r="K650">
        <f>IF(H650="","",H650&gt;=75)</f>
        <v/>
      </c>
      <c r="L650">
        <f>IF(OR(I650="",J650="",K650=""),FALSE,AND(I650,J650,K650))</f>
        <v/>
      </c>
    </row>
    <row r="651">
      <c r="A651">
        <f>Universe!A651</f>
        <v/>
      </c>
      <c r="B651" s="10" t="n"/>
      <c r="C651" s="11">
        <f>IF(B651="","",PERCENTRANK.INC($B$2:$B$2501,B651)*100)</f>
        <v/>
      </c>
      <c r="D651" s="10" t="n"/>
      <c r="E651" s="10">
        <f>IF(D651="","",MIN(D651,100))</f>
        <v/>
      </c>
      <c r="F651" s="10" t="n"/>
      <c r="G651" s="10">
        <f>IF(F651="","",MIN(F651,100))</f>
        <v/>
      </c>
      <c r="H651" s="11">
        <f>IF(A651="","",Universe!E651/BDP(A651&amp;" US Equity","HIGH_52WEEK")*100)</f>
        <v/>
      </c>
      <c r="I651">
        <f>IF(D651="","",D651&gt;=5)</f>
        <v/>
      </c>
      <c r="J651">
        <f>IF(F651="","",F651&gt;=5)</f>
        <v/>
      </c>
      <c r="K651">
        <f>IF(H651="","",H651&gt;=75)</f>
        <v/>
      </c>
      <c r="L651">
        <f>IF(OR(I651="",J651="",K651=""),FALSE,AND(I651,J651,K651))</f>
        <v/>
      </c>
    </row>
    <row r="652">
      <c r="A652">
        <f>Universe!A652</f>
        <v/>
      </c>
      <c r="B652" s="10" t="n"/>
      <c r="C652" s="11">
        <f>IF(B652="","",PERCENTRANK.INC($B$2:$B$2501,B652)*100)</f>
        <v/>
      </c>
      <c r="D652" s="10" t="n"/>
      <c r="E652" s="10">
        <f>IF(D652="","",MIN(D652,100))</f>
        <v/>
      </c>
      <c r="F652" s="10" t="n"/>
      <c r="G652" s="10">
        <f>IF(F652="","",MIN(F652,100))</f>
        <v/>
      </c>
      <c r="H652" s="11">
        <f>IF(A652="","",Universe!E652/BDP(A652&amp;" US Equity","HIGH_52WEEK")*100)</f>
        <v/>
      </c>
      <c r="I652">
        <f>IF(D652="","",D652&gt;=5)</f>
        <v/>
      </c>
      <c r="J652">
        <f>IF(F652="","",F652&gt;=5)</f>
        <v/>
      </c>
      <c r="K652">
        <f>IF(H652="","",H652&gt;=75)</f>
        <v/>
      </c>
      <c r="L652">
        <f>IF(OR(I652="",J652="",K652=""),FALSE,AND(I652,J652,K652))</f>
        <v/>
      </c>
    </row>
    <row r="653">
      <c r="A653">
        <f>Universe!A653</f>
        <v/>
      </c>
      <c r="B653" s="10" t="n"/>
      <c r="C653" s="11">
        <f>IF(B653="","",PERCENTRANK.INC($B$2:$B$2501,B653)*100)</f>
        <v/>
      </c>
      <c r="D653" s="10" t="n"/>
      <c r="E653" s="10">
        <f>IF(D653="","",MIN(D653,100))</f>
        <v/>
      </c>
      <c r="F653" s="10" t="n"/>
      <c r="G653" s="10">
        <f>IF(F653="","",MIN(F653,100))</f>
        <v/>
      </c>
      <c r="H653" s="11">
        <f>IF(A653="","",Universe!E653/BDP(A653&amp;" US Equity","HIGH_52WEEK")*100)</f>
        <v/>
      </c>
      <c r="I653">
        <f>IF(D653="","",D653&gt;=5)</f>
        <v/>
      </c>
      <c r="J653">
        <f>IF(F653="","",F653&gt;=5)</f>
        <v/>
      </c>
      <c r="K653">
        <f>IF(H653="","",H653&gt;=75)</f>
        <v/>
      </c>
      <c r="L653">
        <f>IF(OR(I653="",J653="",K653=""),FALSE,AND(I653,J653,K653))</f>
        <v/>
      </c>
    </row>
    <row r="654">
      <c r="A654">
        <f>Universe!A654</f>
        <v/>
      </c>
      <c r="B654" s="10" t="n"/>
      <c r="C654" s="11">
        <f>IF(B654="","",PERCENTRANK.INC($B$2:$B$2501,B654)*100)</f>
        <v/>
      </c>
      <c r="D654" s="10" t="n"/>
      <c r="E654" s="10">
        <f>IF(D654="","",MIN(D654,100))</f>
        <v/>
      </c>
      <c r="F654" s="10" t="n"/>
      <c r="G654" s="10">
        <f>IF(F654="","",MIN(F654,100))</f>
        <v/>
      </c>
      <c r="H654" s="11">
        <f>IF(A654="","",Universe!E654/BDP(A654&amp;" US Equity","HIGH_52WEEK")*100)</f>
        <v/>
      </c>
      <c r="I654">
        <f>IF(D654="","",D654&gt;=5)</f>
        <v/>
      </c>
      <c r="J654">
        <f>IF(F654="","",F654&gt;=5)</f>
        <v/>
      </c>
      <c r="K654">
        <f>IF(H654="","",H654&gt;=75)</f>
        <v/>
      </c>
      <c r="L654">
        <f>IF(OR(I654="",J654="",K654=""),FALSE,AND(I654,J654,K654))</f>
        <v/>
      </c>
    </row>
    <row r="655">
      <c r="A655">
        <f>Universe!A655</f>
        <v/>
      </c>
      <c r="B655" s="10" t="n"/>
      <c r="C655" s="11">
        <f>IF(B655="","",PERCENTRANK.INC($B$2:$B$2501,B655)*100)</f>
        <v/>
      </c>
      <c r="D655" s="10" t="n"/>
      <c r="E655" s="10">
        <f>IF(D655="","",MIN(D655,100))</f>
        <v/>
      </c>
      <c r="F655" s="10" t="n"/>
      <c r="G655" s="10">
        <f>IF(F655="","",MIN(F655,100))</f>
        <v/>
      </c>
      <c r="H655" s="11">
        <f>IF(A655="","",Universe!E655/BDP(A655&amp;" US Equity","HIGH_52WEEK")*100)</f>
        <v/>
      </c>
      <c r="I655">
        <f>IF(D655="","",D655&gt;=5)</f>
        <v/>
      </c>
      <c r="J655">
        <f>IF(F655="","",F655&gt;=5)</f>
        <v/>
      </c>
      <c r="K655">
        <f>IF(H655="","",H655&gt;=75)</f>
        <v/>
      </c>
      <c r="L655">
        <f>IF(OR(I655="",J655="",K655=""),FALSE,AND(I655,J655,K655))</f>
        <v/>
      </c>
    </row>
    <row r="656">
      <c r="A656">
        <f>Universe!A656</f>
        <v/>
      </c>
      <c r="B656" s="10" t="n"/>
      <c r="C656" s="11">
        <f>IF(B656="","",PERCENTRANK.INC($B$2:$B$2501,B656)*100)</f>
        <v/>
      </c>
      <c r="D656" s="10" t="n"/>
      <c r="E656" s="10">
        <f>IF(D656="","",MIN(D656,100))</f>
        <v/>
      </c>
      <c r="F656" s="10" t="n"/>
      <c r="G656" s="10">
        <f>IF(F656="","",MIN(F656,100))</f>
        <v/>
      </c>
      <c r="H656" s="11">
        <f>IF(A656="","",Universe!E656/BDP(A656&amp;" US Equity","HIGH_52WEEK")*100)</f>
        <v/>
      </c>
      <c r="I656">
        <f>IF(D656="","",D656&gt;=5)</f>
        <v/>
      </c>
      <c r="J656">
        <f>IF(F656="","",F656&gt;=5)</f>
        <v/>
      </c>
      <c r="K656">
        <f>IF(H656="","",H656&gt;=75)</f>
        <v/>
      </c>
      <c r="L656">
        <f>IF(OR(I656="",J656="",K656=""),FALSE,AND(I656,J656,K656))</f>
        <v/>
      </c>
    </row>
    <row r="657">
      <c r="A657">
        <f>Universe!A657</f>
        <v/>
      </c>
      <c r="B657" s="10" t="n"/>
      <c r="C657" s="11">
        <f>IF(B657="","",PERCENTRANK.INC($B$2:$B$2501,B657)*100)</f>
        <v/>
      </c>
      <c r="D657" s="10" t="n"/>
      <c r="E657" s="10">
        <f>IF(D657="","",MIN(D657,100))</f>
        <v/>
      </c>
      <c r="F657" s="10" t="n"/>
      <c r="G657" s="10">
        <f>IF(F657="","",MIN(F657,100))</f>
        <v/>
      </c>
      <c r="H657" s="11">
        <f>IF(A657="","",Universe!E657/BDP(A657&amp;" US Equity","HIGH_52WEEK")*100)</f>
        <v/>
      </c>
      <c r="I657">
        <f>IF(D657="","",D657&gt;=5)</f>
        <v/>
      </c>
      <c r="J657">
        <f>IF(F657="","",F657&gt;=5)</f>
        <v/>
      </c>
      <c r="K657">
        <f>IF(H657="","",H657&gt;=75)</f>
        <v/>
      </c>
      <c r="L657">
        <f>IF(OR(I657="",J657="",K657=""),FALSE,AND(I657,J657,K657))</f>
        <v/>
      </c>
    </row>
    <row r="658">
      <c r="A658">
        <f>Universe!A658</f>
        <v/>
      </c>
      <c r="B658" s="10" t="n"/>
      <c r="C658" s="11">
        <f>IF(B658="","",PERCENTRANK.INC($B$2:$B$2501,B658)*100)</f>
        <v/>
      </c>
      <c r="D658" s="10" t="n"/>
      <c r="E658" s="10">
        <f>IF(D658="","",MIN(D658,100))</f>
        <v/>
      </c>
      <c r="F658" s="10" t="n"/>
      <c r="G658" s="10">
        <f>IF(F658="","",MIN(F658,100))</f>
        <v/>
      </c>
      <c r="H658" s="11">
        <f>IF(A658="","",Universe!E658/BDP(A658&amp;" US Equity","HIGH_52WEEK")*100)</f>
        <v/>
      </c>
      <c r="I658">
        <f>IF(D658="","",D658&gt;=5)</f>
        <v/>
      </c>
      <c r="J658">
        <f>IF(F658="","",F658&gt;=5)</f>
        <v/>
      </c>
      <c r="K658">
        <f>IF(H658="","",H658&gt;=75)</f>
        <v/>
      </c>
      <c r="L658">
        <f>IF(OR(I658="",J658="",K658=""),FALSE,AND(I658,J658,K658))</f>
        <v/>
      </c>
    </row>
    <row r="659">
      <c r="A659">
        <f>Universe!A659</f>
        <v/>
      </c>
      <c r="B659" s="10" t="n"/>
      <c r="C659" s="11">
        <f>IF(B659="","",PERCENTRANK.INC($B$2:$B$2501,B659)*100)</f>
        <v/>
      </c>
      <c r="D659" s="10" t="n"/>
      <c r="E659" s="10">
        <f>IF(D659="","",MIN(D659,100))</f>
        <v/>
      </c>
      <c r="F659" s="10" t="n"/>
      <c r="G659" s="10">
        <f>IF(F659="","",MIN(F659,100))</f>
        <v/>
      </c>
      <c r="H659" s="11">
        <f>IF(A659="","",Universe!E659/BDP(A659&amp;" US Equity","HIGH_52WEEK")*100)</f>
        <v/>
      </c>
      <c r="I659">
        <f>IF(D659="","",D659&gt;=5)</f>
        <v/>
      </c>
      <c r="J659">
        <f>IF(F659="","",F659&gt;=5)</f>
        <v/>
      </c>
      <c r="K659">
        <f>IF(H659="","",H659&gt;=75)</f>
        <v/>
      </c>
      <c r="L659">
        <f>IF(OR(I659="",J659="",K659=""),FALSE,AND(I659,J659,K659))</f>
        <v/>
      </c>
    </row>
    <row r="660">
      <c r="A660">
        <f>Universe!A660</f>
        <v/>
      </c>
      <c r="B660" s="10" t="n"/>
      <c r="C660" s="11">
        <f>IF(B660="","",PERCENTRANK.INC($B$2:$B$2501,B660)*100)</f>
        <v/>
      </c>
      <c r="D660" s="10" t="n"/>
      <c r="E660" s="10">
        <f>IF(D660="","",MIN(D660,100))</f>
        <v/>
      </c>
      <c r="F660" s="10" t="n"/>
      <c r="G660" s="10">
        <f>IF(F660="","",MIN(F660,100))</f>
        <v/>
      </c>
      <c r="H660" s="11">
        <f>IF(A660="","",Universe!E660/BDP(A660&amp;" US Equity","HIGH_52WEEK")*100)</f>
        <v/>
      </c>
      <c r="I660">
        <f>IF(D660="","",D660&gt;=5)</f>
        <v/>
      </c>
      <c r="J660">
        <f>IF(F660="","",F660&gt;=5)</f>
        <v/>
      </c>
      <c r="K660">
        <f>IF(H660="","",H660&gt;=75)</f>
        <v/>
      </c>
      <c r="L660">
        <f>IF(OR(I660="",J660="",K660=""),FALSE,AND(I660,J660,K660))</f>
        <v/>
      </c>
    </row>
    <row r="661">
      <c r="A661">
        <f>Universe!A661</f>
        <v/>
      </c>
      <c r="B661" s="10" t="n"/>
      <c r="C661" s="11">
        <f>IF(B661="","",PERCENTRANK.INC($B$2:$B$2501,B661)*100)</f>
        <v/>
      </c>
      <c r="D661" s="10" t="n"/>
      <c r="E661" s="10">
        <f>IF(D661="","",MIN(D661,100))</f>
        <v/>
      </c>
      <c r="F661" s="10" t="n"/>
      <c r="G661" s="10">
        <f>IF(F661="","",MIN(F661,100))</f>
        <v/>
      </c>
      <c r="H661" s="11">
        <f>IF(A661="","",Universe!E661/BDP(A661&amp;" US Equity","HIGH_52WEEK")*100)</f>
        <v/>
      </c>
      <c r="I661">
        <f>IF(D661="","",D661&gt;=5)</f>
        <v/>
      </c>
      <c r="J661">
        <f>IF(F661="","",F661&gt;=5)</f>
        <v/>
      </c>
      <c r="K661">
        <f>IF(H661="","",H661&gt;=75)</f>
        <v/>
      </c>
      <c r="L661">
        <f>IF(OR(I661="",J661="",K661=""),FALSE,AND(I661,J661,K661))</f>
        <v/>
      </c>
    </row>
    <row r="662">
      <c r="A662">
        <f>Universe!A662</f>
        <v/>
      </c>
      <c r="B662" s="10" t="n"/>
      <c r="C662" s="11">
        <f>IF(B662="","",PERCENTRANK.INC($B$2:$B$2501,B662)*100)</f>
        <v/>
      </c>
      <c r="D662" s="10" t="n"/>
      <c r="E662" s="10">
        <f>IF(D662="","",MIN(D662,100))</f>
        <v/>
      </c>
      <c r="F662" s="10" t="n"/>
      <c r="G662" s="10">
        <f>IF(F662="","",MIN(F662,100))</f>
        <v/>
      </c>
      <c r="H662" s="11">
        <f>IF(A662="","",Universe!E662/BDP(A662&amp;" US Equity","HIGH_52WEEK")*100)</f>
        <v/>
      </c>
      <c r="I662">
        <f>IF(D662="","",D662&gt;=5)</f>
        <v/>
      </c>
      <c r="J662">
        <f>IF(F662="","",F662&gt;=5)</f>
        <v/>
      </c>
      <c r="K662">
        <f>IF(H662="","",H662&gt;=75)</f>
        <v/>
      </c>
      <c r="L662">
        <f>IF(OR(I662="",J662="",K662=""),FALSE,AND(I662,J662,K662))</f>
        <v/>
      </c>
    </row>
    <row r="663">
      <c r="A663">
        <f>Universe!A663</f>
        <v/>
      </c>
      <c r="B663" s="10" t="n"/>
      <c r="C663" s="11">
        <f>IF(B663="","",PERCENTRANK.INC($B$2:$B$2501,B663)*100)</f>
        <v/>
      </c>
      <c r="D663" s="10" t="n"/>
      <c r="E663" s="10">
        <f>IF(D663="","",MIN(D663,100))</f>
        <v/>
      </c>
      <c r="F663" s="10" t="n"/>
      <c r="G663" s="10">
        <f>IF(F663="","",MIN(F663,100))</f>
        <v/>
      </c>
      <c r="H663" s="11">
        <f>IF(A663="","",Universe!E663/BDP(A663&amp;" US Equity","HIGH_52WEEK")*100)</f>
        <v/>
      </c>
      <c r="I663">
        <f>IF(D663="","",D663&gt;=5)</f>
        <v/>
      </c>
      <c r="J663">
        <f>IF(F663="","",F663&gt;=5)</f>
        <v/>
      </c>
      <c r="K663">
        <f>IF(H663="","",H663&gt;=75)</f>
        <v/>
      </c>
      <c r="L663">
        <f>IF(OR(I663="",J663="",K663=""),FALSE,AND(I663,J663,K663))</f>
        <v/>
      </c>
    </row>
    <row r="664">
      <c r="A664">
        <f>Universe!A664</f>
        <v/>
      </c>
      <c r="B664" s="10" t="n"/>
      <c r="C664" s="11">
        <f>IF(B664="","",PERCENTRANK.INC($B$2:$B$2501,B664)*100)</f>
        <v/>
      </c>
      <c r="D664" s="10" t="n"/>
      <c r="E664" s="10">
        <f>IF(D664="","",MIN(D664,100))</f>
        <v/>
      </c>
      <c r="F664" s="10" t="n"/>
      <c r="G664" s="10">
        <f>IF(F664="","",MIN(F664,100))</f>
        <v/>
      </c>
      <c r="H664" s="11">
        <f>IF(A664="","",Universe!E664/BDP(A664&amp;" US Equity","HIGH_52WEEK")*100)</f>
        <v/>
      </c>
      <c r="I664">
        <f>IF(D664="","",D664&gt;=5)</f>
        <v/>
      </c>
      <c r="J664">
        <f>IF(F664="","",F664&gt;=5)</f>
        <v/>
      </c>
      <c r="K664">
        <f>IF(H664="","",H664&gt;=75)</f>
        <v/>
      </c>
      <c r="L664">
        <f>IF(OR(I664="",J664="",K664=""),FALSE,AND(I664,J664,K664))</f>
        <v/>
      </c>
    </row>
    <row r="665">
      <c r="A665">
        <f>Universe!A665</f>
        <v/>
      </c>
      <c r="B665" s="10" t="n"/>
      <c r="C665" s="11">
        <f>IF(B665="","",PERCENTRANK.INC($B$2:$B$2501,B665)*100)</f>
        <v/>
      </c>
      <c r="D665" s="10" t="n"/>
      <c r="E665" s="10">
        <f>IF(D665="","",MIN(D665,100))</f>
        <v/>
      </c>
      <c r="F665" s="10" t="n"/>
      <c r="G665" s="10">
        <f>IF(F665="","",MIN(F665,100))</f>
        <v/>
      </c>
      <c r="H665" s="11">
        <f>IF(A665="","",Universe!E665/BDP(A665&amp;" US Equity","HIGH_52WEEK")*100)</f>
        <v/>
      </c>
      <c r="I665">
        <f>IF(D665="","",D665&gt;=5)</f>
        <v/>
      </c>
      <c r="J665">
        <f>IF(F665="","",F665&gt;=5)</f>
        <v/>
      </c>
      <c r="K665">
        <f>IF(H665="","",H665&gt;=75)</f>
        <v/>
      </c>
      <c r="L665">
        <f>IF(OR(I665="",J665="",K665=""),FALSE,AND(I665,J665,K665))</f>
        <v/>
      </c>
    </row>
    <row r="666">
      <c r="A666">
        <f>Universe!A666</f>
        <v/>
      </c>
      <c r="B666" s="10" t="n"/>
      <c r="C666" s="11">
        <f>IF(B666="","",PERCENTRANK.INC($B$2:$B$2501,B666)*100)</f>
        <v/>
      </c>
      <c r="D666" s="10" t="n"/>
      <c r="E666" s="10">
        <f>IF(D666="","",MIN(D666,100))</f>
        <v/>
      </c>
      <c r="F666" s="10" t="n"/>
      <c r="G666" s="10">
        <f>IF(F666="","",MIN(F666,100))</f>
        <v/>
      </c>
      <c r="H666" s="11">
        <f>IF(A666="","",Universe!E666/BDP(A666&amp;" US Equity","HIGH_52WEEK")*100)</f>
        <v/>
      </c>
      <c r="I666">
        <f>IF(D666="","",D666&gt;=5)</f>
        <v/>
      </c>
      <c r="J666">
        <f>IF(F666="","",F666&gt;=5)</f>
        <v/>
      </c>
      <c r="K666">
        <f>IF(H666="","",H666&gt;=75)</f>
        <v/>
      </c>
      <c r="L666">
        <f>IF(OR(I666="",J666="",K666=""),FALSE,AND(I666,J666,K666))</f>
        <v/>
      </c>
    </row>
    <row r="667">
      <c r="A667">
        <f>Universe!A667</f>
        <v/>
      </c>
      <c r="B667" s="10" t="n"/>
      <c r="C667" s="11">
        <f>IF(B667="","",PERCENTRANK.INC($B$2:$B$2501,B667)*100)</f>
        <v/>
      </c>
      <c r="D667" s="10" t="n"/>
      <c r="E667" s="10">
        <f>IF(D667="","",MIN(D667,100))</f>
        <v/>
      </c>
      <c r="F667" s="10" t="n"/>
      <c r="G667" s="10">
        <f>IF(F667="","",MIN(F667,100))</f>
        <v/>
      </c>
      <c r="H667" s="11">
        <f>IF(A667="","",Universe!E667/BDP(A667&amp;" US Equity","HIGH_52WEEK")*100)</f>
        <v/>
      </c>
      <c r="I667">
        <f>IF(D667="","",D667&gt;=5)</f>
        <v/>
      </c>
      <c r="J667">
        <f>IF(F667="","",F667&gt;=5)</f>
        <v/>
      </c>
      <c r="K667">
        <f>IF(H667="","",H667&gt;=75)</f>
        <v/>
      </c>
      <c r="L667">
        <f>IF(OR(I667="",J667="",K667=""),FALSE,AND(I667,J667,K667))</f>
        <v/>
      </c>
    </row>
    <row r="668">
      <c r="A668">
        <f>Universe!A668</f>
        <v/>
      </c>
      <c r="B668" s="10" t="n"/>
      <c r="C668" s="11">
        <f>IF(B668="","",PERCENTRANK.INC($B$2:$B$2501,B668)*100)</f>
        <v/>
      </c>
      <c r="D668" s="10" t="n"/>
      <c r="E668" s="10">
        <f>IF(D668="","",MIN(D668,100))</f>
        <v/>
      </c>
      <c r="F668" s="10" t="n"/>
      <c r="G668" s="10">
        <f>IF(F668="","",MIN(F668,100))</f>
        <v/>
      </c>
      <c r="H668" s="11">
        <f>IF(A668="","",Universe!E668/BDP(A668&amp;" US Equity","HIGH_52WEEK")*100)</f>
        <v/>
      </c>
      <c r="I668">
        <f>IF(D668="","",D668&gt;=5)</f>
        <v/>
      </c>
      <c r="J668">
        <f>IF(F668="","",F668&gt;=5)</f>
        <v/>
      </c>
      <c r="K668">
        <f>IF(H668="","",H668&gt;=75)</f>
        <v/>
      </c>
      <c r="L668">
        <f>IF(OR(I668="",J668="",K668=""),FALSE,AND(I668,J668,K668))</f>
        <v/>
      </c>
    </row>
    <row r="669">
      <c r="A669">
        <f>Universe!A669</f>
        <v/>
      </c>
      <c r="B669" s="10" t="n"/>
      <c r="C669" s="11">
        <f>IF(B669="","",PERCENTRANK.INC($B$2:$B$2501,B669)*100)</f>
        <v/>
      </c>
      <c r="D669" s="10" t="n"/>
      <c r="E669" s="10">
        <f>IF(D669="","",MIN(D669,100))</f>
        <v/>
      </c>
      <c r="F669" s="10" t="n"/>
      <c r="G669" s="10">
        <f>IF(F669="","",MIN(F669,100))</f>
        <v/>
      </c>
      <c r="H669" s="11">
        <f>IF(A669="","",Universe!E669/BDP(A669&amp;" US Equity","HIGH_52WEEK")*100)</f>
        <v/>
      </c>
      <c r="I669">
        <f>IF(D669="","",D669&gt;=5)</f>
        <v/>
      </c>
      <c r="J669">
        <f>IF(F669="","",F669&gt;=5)</f>
        <v/>
      </c>
      <c r="K669">
        <f>IF(H669="","",H669&gt;=75)</f>
        <v/>
      </c>
      <c r="L669">
        <f>IF(OR(I669="",J669="",K669=""),FALSE,AND(I669,J669,K669))</f>
        <v/>
      </c>
    </row>
    <row r="670">
      <c r="A670">
        <f>Universe!A670</f>
        <v/>
      </c>
      <c r="B670" s="10" t="n"/>
      <c r="C670" s="11">
        <f>IF(B670="","",PERCENTRANK.INC($B$2:$B$2501,B670)*100)</f>
        <v/>
      </c>
      <c r="D670" s="10" t="n"/>
      <c r="E670" s="10">
        <f>IF(D670="","",MIN(D670,100))</f>
        <v/>
      </c>
      <c r="F670" s="10" t="n"/>
      <c r="G670" s="10">
        <f>IF(F670="","",MIN(F670,100))</f>
        <v/>
      </c>
      <c r="H670" s="11">
        <f>IF(A670="","",Universe!E670/BDP(A670&amp;" US Equity","HIGH_52WEEK")*100)</f>
        <v/>
      </c>
      <c r="I670">
        <f>IF(D670="","",D670&gt;=5)</f>
        <v/>
      </c>
      <c r="J670">
        <f>IF(F670="","",F670&gt;=5)</f>
        <v/>
      </c>
      <c r="K670">
        <f>IF(H670="","",H670&gt;=75)</f>
        <v/>
      </c>
      <c r="L670">
        <f>IF(OR(I670="",J670="",K670=""),FALSE,AND(I670,J670,K670))</f>
        <v/>
      </c>
    </row>
    <row r="671">
      <c r="A671">
        <f>Universe!A671</f>
        <v/>
      </c>
      <c r="B671" s="10" t="n"/>
      <c r="C671" s="11">
        <f>IF(B671="","",PERCENTRANK.INC($B$2:$B$2501,B671)*100)</f>
        <v/>
      </c>
      <c r="D671" s="10" t="n"/>
      <c r="E671" s="10">
        <f>IF(D671="","",MIN(D671,100))</f>
        <v/>
      </c>
      <c r="F671" s="10" t="n"/>
      <c r="G671" s="10">
        <f>IF(F671="","",MIN(F671,100))</f>
        <v/>
      </c>
      <c r="H671" s="11">
        <f>IF(A671="","",Universe!E671/BDP(A671&amp;" US Equity","HIGH_52WEEK")*100)</f>
        <v/>
      </c>
      <c r="I671">
        <f>IF(D671="","",D671&gt;=5)</f>
        <v/>
      </c>
      <c r="J671">
        <f>IF(F671="","",F671&gt;=5)</f>
        <v/>
      </c>
      <c r="K671">
        <f>IF(H671="","",H671&gt;=75)</f>
        <v/>
      </c>
      <c r="L671">
        <f>IF(OR(I671="",J671="",K671=""),FALSE,AND(I671,J671,K671))</f>
        <v/>
      </c>
    </row>
    <row r="672">
      <c r="A672">
        <f>Universe!A672</f>
        <v/>
      </c>
      <c r="B672" s="10" t="n"/>
      <c r="C672" s="11">
        <f>IF(B672="","",PERCENTRANK.INC($B$2:$B$2501,B672)*100)</f>
        <v/>
      </c>
      <c r="D672" s="10" t="n"/>
      <c r="E672" s="10">
        <f>IF(D672="","",MIN(D672,100))</f>
        <v/>
      </c>
      <c r="F672" s="10" t="n"/>
      <c r="G672" s="10">
        <f>IF(F672="","",MIN(F672,100))</f>
        <v/>
      </c>
      <c r="H672" s="11">
        <f>IF(A672="","",Universe!E672/BDP(A672&amp;" US Equity","HIGH_52WEEK")*100)</f>
        <v/>
      </c>
      <c r="I672">
        <f>IF(D672="","",D672&gt;=5)</f>
        <v/>
      </c>
      <c r="J672">
        <f>IF(F672="","",F672&gt;=5)</f>
        <v/>
      </c>
      <c r="K672">
        <f>IF(H672="","",H672&gt;=75)</f>
        <v/>
      </c>
      <c r="L672">
        <f>IF(OR(I672="",J672="",K672=""),FALSE,AND(I672,J672,K672))</f>
        <v/>
      </c>
    </row>
    <row r="673">
      <c r="A673">
        <f>Universe!A673</f>
        <v/>
      </c>
      <c r="B673" s="10" t="n"/>
      <c r="C673" s="11">
        <f>IF(B673="","",PERCENTRANK.INC($B$2:$B$2501,B673)*100)</f>
        <v/>
      </c>
      <c r="D673" s="10" t="n"/>
      <c r="E673" s="10">
        <f>IF(D673="","",MIN(D673,100))</f>
        <v/>
      </c>
      <c r="F673" s="10" t="n"/>
      <c r="G673" s="10">
        <f>IF(F673="","",MIN(F673,100))</f>
        <v/>
      </c>
      <c r="H673" s="11">
        <f>IF(A673="","",Universe!E673/BDP(A673&amp;" US Equity","HIGH_52WEEK")*100)</f>
        <v/>
      </c>
      <c r="I673">
        <f>IF(D673="","",D673&gt;=5)</f>
        <v/>
      </c>
      <c r="J673">
        <f>IF(F673="","",F673&gt;=5)</f>
        <v/>
      </c>
      <c r="K673">
        <f>IF(H673="","",H673&gt;=75)</f>
        <v/>
      </c>
      <c r="L673">
        <f>IF(OR(I673="",J673="",K673=""),FALSE,AND(I673,J673,K673))</f>
        <v/>
      </c>
    </row>
    <row r="674">
      <c r="A674">
        <f>Universe!A674</f>
        <v/>
      </c>
      <c r="B674" s="10" t="n"/>
      <c r="C674" s="11">
        <f>IF(B674="","",PERCENTRANK.INC($B$2:$B$2501,B674)*100)</f>
        <v/>
      </c>
      <c r="D674" s="10" t="n"/>
      <c r="E674" s="10">
        <f>IF(D674="","",MIN(D674,100))</f>
        <v/>
      </c>
      <c r="F674" s="10" t="n"/>
      <c r="G674" s="10">
        <f>IF(F674="","",MIN(F674,100))</f>
        <v/>
      </c>
      <c r="H674" s="11">
        <f>IF(A674="","",Universe!E674/BDP(A674&amp;" US Equity","HIGH_52WEEK")*100)</f>
        <v/>
      </c>
      <c r="I674">
        <f>IF(D674="","",D674&gt;=5)</f>
        <v/>
      </c>
      <c r="J674">
        <f>IF(F674="","",F674&gt;=5)</f>
        <v/>
      </c>
      <c r="K674">
        <f>IF(H674="","",H674&gt;=75)</f>
        <v/>
      </c>
      <c r="L674">
        <f>IF(OR(I674="",J674="",K674=""),FALSE,AND(I674,J674,K674))</f>
        <v/>
      </c>
    </row>
    <row r="675">
      <c r="A675">
        <f>Universe!A675</f>
        <v/>
      </c>
      <c r="B675" s="10" t="n"/>
      <c r="C675" s="11">
        <f>IF(B675="","",PERCENTRANK.INC($B$2:$B$2501,B675)*100)</f>
        <v/>
      </c>
      <c r="D675" s="10" t="n"/>
      <c r="E675" s="10">
        <f>IF(D675="","",MIN(D675,100))</f>
        <v/>
      </c>
      <c r="F675" s="10" t="n"/>
      <c r="G675" s="10">
        <f>IF(F675="","",MIN(F675,100))</f>
        <v/>
      </c>
      <c r="H675" s="11">
        <f>IF(A675="","",Universe!E675/BDP(A675&amp;" US Equity","HIGH_52WEEK")*100)</f>
        <v/>
      </c>
      <c r="I675">
        <f>IF(D675="","",D675&gt;=5)</f>
        <v/>
      </c>
      <c r="J675">
        <f>IF(F675="","",F675&gt;=5)</f>
        <v/>
      </c>
      <c r="K675">
        <f>IF(H675="","",H675&gt;=75)</f>
        <v/>
      </c>
      <c r="L675">
        <f>IF(OR(I675="",J675="",K675=""),FALSE,AND(I675,J675,K675))</f>
        <v/>
      </c>
    </row>
    <row r="676">
      <c r="A676">
        <f>Universe!A676</f>
        <v/>
      </c>
      <c r="B676" s="10" t="n"/>
      <c r="C676" s="11">
        <f>IF(B676="","",PERCENTRANK.INC($B$2:$B$2501,B676)*100)</f>
        <v/>
      </c>
      <c r="D676" s="10" t="n"/>
      <c r="E676" s="10">
        <f>IF(D676="","",MIN(D676,100))</f>
        <v/>
      </c>
      <c r="F676" s="10" t="n"/>
      <c r="G676" s="10">
        <f>IF(F676="","",MIN(F676,100))</f>
        <v/>
      </c>
      <c r="H676" s="11">
        <f>IF(A676="","",Universe!E676/BDP(A676&amp;" US Equity","HIGH_52WEEK")*100)</f>
        <v/>
      </c>
      <c r="I676">
        <f>IF(D676="","",D676&gt;=5)</f>
        <v/>
      </c>
      <c r="J676">
        <f>IF(F676="","",F676&gt;=5)</f>
        <v/>
      </c>
      <c r="K676">
        <f>IF(H676="","",H676&gt;=75)</f>
        <v/>
      </c>
      <c r="L676">
        <f>IF(OR(I676="",J676="",K676=""),FALSE,AND(I676,J676,K676))</f>
        <v/>
      </c>
    </row>
    <row r="677">
      <c r="A677">
        <f>Universe!A677</f>
        <v/>
      </c>
      <c r="B677" s="10" t="n"/>
      <c r="C677" s="11">
        <f>IF(B677="","",PERCENTRANK.INC($B$2:$B$2501,B677)*100)</f>
        <v/>
      </c>
      <c r="D677" s="10" t="n"/>
      <c r="E677" s="10">
        <f>IF(D677="","",MIN(D677,100))</f>
        <v/>
      </c>
      <c r="F677" s="10" t="n"/>
      <c r="G677" s="10">
        <f>IF(F677="","",MIN(F677,100))</f>
        <v/>
      </c>
      <c r="H677" s="11">
        <f>IF(A677="","",Universe!E677/BDP(A677&amp;" US Equity","HIGH_52WEEK")*100)</f>
        <v/>
      </c>
      <c r="I677">
        <f>IF(D677="","",D677&gt;=5)</f>
        <v/>
      </c>
      <c r="J677">
        <f>IF(F677="","",F677&gt;=5)</f>
        <v/>
      </c>
      <c r="K677">
        <f>IF(H677="","",H677&gt;=75)</f>
        <v/>
      </c>
      <c r="L677">
        <f>IF(OR(I677="",J677="",K677=""),FALSE,AND(I677,J677,K677))</f>
        <v/>
      </c>
    </row>
    <row r="678">
      <c r="A678">
        <f>Universe!A678</f>
        <v/>
      </c>
      <c r="B678" s="10" t="n"/>
      <c r="C678" s="11">
        <f>IF(B678="","",PERCENTRANK.INC($B$2:$B$2501,B678)*100)</f>
        <v/>
      </c>
      <c r="D678" s="10" t="n"/>
      <c r="E678" s="10">
        <f>IF(D678="","",MIN(D678,100))</f>
        <v/>
      </c>
      <c r="F678" s="10" t="n"/>
      <c r="G678" s="10">
        <f>IF(F678="","",MIN(F678,100))</f>
        <v/>
      </c>
      <c r="H678" s="11">
        <f>IF(A678="","",Universe!E678/BDP(A678&amp;" US Equity","HIGH_52WEEK")*100)</f>
        <v/>
      </c>
      <c r="I678">
        <f>IF(D678="","",D678&gt;=5)</f>
        <v/>
      </c>
      <c r="J678">
        <f>IF(F678="","",F678&gt;=5)</f>
        <v/>
      </c>
      <c r="K678">
        <f>IF(H678="","",H678&gt;=75)</f>
        <v/>
      </c>
      <c r="L678">
        <f>IF(OR(I678="",J678="",K678=""),FALSE,AND(I678,J678,K678))</f>
        <v/>
      </c>
    </row>
    <row r="679">
      <c r="A679">
        <f>Universe!A679</f>
        <v/>
      </c>
      <c r="B679" s="10" t="n"/>
      <c r="C679" s="11">
        <f>IF(B679="","",PERCENTRANK.INC($B$2:$B$2501,B679)*100)</f>
        <v/>
      </c>
      <c r="D679" s="10" t="n"/>
      <c r="E679" s="10">
        <f>IF(D679="","",MIN(D679,100))</f>
        <v/>
      </c>
      <c r="F679" s="10" t="n"/>
      <c r="G679" s="10">
        <f>IF(F679="","",MIN(F679,100))</f>
        <v/>
      </c>
      <c r="H679" s="11">
        <f>IF(A679="","",Universe!E679/BDP(A679&amp;" US Equity","HIGH_52WEEK")*100)</f>
        <v/>
      </c>
      <c r="I679">
        <f>IF(D679="","",D679&gt;=5)</f>
        <v/>
      </c>
      <c r="J679">
        <f>IF(F679="","",F679&gt;=5)</f>
        <v/>
      </c>
      <c r="K679">
        <f>IF(H679="","",H679&gt;=75)</f>
        <v/>
      </c>
      <c r="L679">
        <f>IF(OR(I679="",J679="",K679=""),FALSE,AND(I679,J679,K679))</f>
        <v/>
      </c>
    </row>
    <row r="680">
      <c r="A680">
        <f>Universe!A680</f>
        <v/>
      </c>
      <c r="B680" s="10" t="n"/>
      <c r="C680" s="11">
        <f>IF(B680="","",PERCENTRANK.INC($B$2:$B$2501,B680)*100)</f>
        <v/>
      </c>
      <c r="D680" s="10" t="n"/>
      <c r="E680" s="10">
        <f>IF(D680="","",MIN(D680,100))</f>
        <v/>
      </c>
      <c r="F680" s="10" t="n"/>
      <c r="G680" s="10">
        <f>IF(F680="","",MIN(F680,100))</f>
        <v/>
      </c>
      <c r="H680" s="11">
        <f>IF(A680="","",Universe!E680/BDP(A680&amp;" US Equity","HIGH_52WEEK")*100)</f>
        <v/>
      </c>
      <c r="I680">
        <f>IF(D680="","",D680&gt;=5)</f>
        <v/>
      </c>
      <c r="J680">
        <f>IF(F680="","",F680&gt;=5)</f>
        <v/>
      </c>
      <c r="K680">
        <f>IF(H680="","",H680&gt;=75)</f>
        <v/>
      </c>
      <c r="L680">
        <f>IF(OR(I680="",J680="",K680=""),FALSE,AND(I680,J680,K680))</f>
        <v/>
      </c>
    </row>
    <row r="681">
      <c r="A681">
        <f>Universe!A681</f>
        <v/>
      </c>
      <c r="B681" s="10" t="n"/>
      <c r="C681" s="11">
        <f>IF(B681="","",PERCENTRANK.INC($B$2:$B$2501,B681)*100)</f>
        <v/>
      </c>
      <c r="D681" s="10" t="n"/>
      <c r="E681" s="10">
        <f>IF(D681="","",MIN(D681,100))</f>
        <v/>
      </c>
      <c r="F681" s="10" t="n"/>
      <c r="G681" s="10">
        <f>IF(F681="","",MIN(F681,100))</f>
        <v/>
      </c>
      <c r="H681" s="11">
        <f>IF(A681="","",Universe!E681/BDP(A681&amp;" US Equity","HIGH_52WEEK")*100)</f>
        <v/>
      </c>
      <c r="I681">
        <f>IF(D681="","",D681&gt;=5)</f>
        <v/>
      </c>
      <c r="J681">
        <f>IF(F681="","",F681&gt;=5)</f>
        <v/>
      </c>
      <c r="K681">
        <f>IF(H681="","",H681&gt;=75)</f>
        <v/>
      </c>
      <c r="L681">
        <f>IF(OR(I681="",J681="",K681=""),FALSE,AND(I681,J681,K681))</f>
        <v/>
      </c>
    </row>
    <row r="682">
      <c r="A682">
        <f>Universe!A682</f>
        <v/>
      </c>
      <c r="B682" s="10" t="n"/>
      <c r="C682" s="11">
        <f>IF(B682="","",PERCENTRANK.INC($B$2:$B$2501,B682)*100)</f>
        <v/>
      </c>
      <c r="D682" s="10" t="n"/>
      <c r="E682" s="10">
        <f>IF(D682="","",MIN(D682,100))</f>
        <v/>
      </c>
      <c r="F682" s="10" t="n"/>
      <c r="G682" s="10">
        <f>IF(F682="","",MIN(F682,100))</f>
        <v/>
      </c>
      <c r="H682" s="11">
        <f>IF(A682="","",Universe!E682/BDP(A682&amp;" US Equity","HIGH_52WEEK")*100)</f>
        <v/>
      </c>
      <c r="I682">
        <f>IF(D682="","",D682&gt;=5)</f>
        <v/>
      </c>
      <c r="J682">
        <f>IF(F682="","",F682&gt;=5)</f>
        <v/>
      </c>
      <c r="K682">
        <f>IF(H682="","",H682&gt;=75)</f>
        <v/>
      </c>
      <c r="L682">
        <f>IF(OR(I682="",J682="",K682=""),FALSE,AND(I682,J682,K682))</f>
        <v/>
      </c>
    </row>
    <row r="683">
      <c r="A683">
        <f>Universe!A683</f>
        <v/>
      </c>
      <c r="B683" s="10" t="n"/>
      <c r="C683" s="11">
        <f>IF(B683="","",PERCENTRANK.INC($B$2:$B$2501,B683)*100)</f>
        <v/>
      </c>
      <c r="D683" s="10" t="n"/>
      <c r="E683" s="10">
        <f>IF(D683="","",MIN(D683,100))</f>
        <v/>
      </c>
      <c r="F683" s="10" t="n"/>
      <c r="G683" s="10">
        <f>IF(F683="","",MIN(F683,100))</f>
        <v/>
      </c>
      <c r="H683" s="11">
        <f>IF(A683="","",Universe!E683/BDP(A683&amp;" US Equity","HIGH_52WEEK")*100)</f>
        <v/>
      </c>
      <c r="I683">
        <f>IF(D683="","",D683&gt;=5)</f>
        <v/>
      </c>
      <c r="J683">
        <f>IF(F683="","",F683&gt;=5)</f>
        <v/>
      </c>
      <c r="K683">
        <f>IF(H683="","",H683&gt;=75)</f>
        <v/>
      </c>
      <c r="L683">
        <f>IF(OR(I683="",J683="",K683=""),FALSE,AND(I683,J683,K683))</f>
        <v/>
      </c>
    </row>
    <row r="684">
      <c r="A684">
        <f>Universe!A684</f>
        <v/>
      </c>
      <c r="B684" s="10" t="n"/>
      <c r="C684" s="11">
        <f>IF(B684="","",PERCENTRANK.INC($B$2:$B$2501,B684)*100)</f>
        <v/>
      </c>
      <c r="D684" s="10" t="n"/>
      <c r="E684" s="10">
        <f>IF(D684="","",MIN(D684,100))</f>
        <v/>
      </c>
      <c r="F684" s="10" t="n"/>
      <c r="G684" s="10">
        <f>IF(F684="","",MIN(F684,100))</f>
        <v/>
      </c>
      <c r="H684" s="11">
        <f>IF(A684="","",Universe!E684/BDP(A684&amp;" US Equity","HIGH_52WEEK")*100)</f>
        <v/>
      </c>
      <c r="I684">
        <f>IF(D684="","",D684&gt;=5)</f>
        <v/>
      </c>
      <c r="J684">
        <f>IF(F684="","",F684&gt;=5)</f>
        <v/>
      </c>
      <c r="K684">
        <f>IF(H684="","",H684&gt;=75)</f>
        <v/>
      </c>
      <c r="L684">
        <f>IF(OR(I684="",J684="",K684=""),FALSE,AND(I684,J684,K684))</f>
        <v/>
      </c>
    </row>
    <row r="685">
      <c r="A685">
        <f>Universe!A685</f>
        <v/>
      </c>
      <c r="B685" s="10" t="n"/>
      <c r="C685" s="11">
        <f>IF(B685="","",PERCENTRANK.INC($B$2:$B$2501,B685)*100)</f>
        <v/>
      </c>
      <c r="D685" s="10" t="n"/>
      <c r="E685" s="10">
        <f>IF(D685="","",MIN(D685,100))</f>
        <v/>
      </c>
      <c r="F685" s="10" t="n"/>
      <c r="G685" s="10">
        <f>IF(F685="","",MIN(F685,100))</f>
        <v/>
      </c>
      <c r="H685" s="11">
        <f>IF(A685="","",Universe!E685/BDP(A685&amp;" US Equity","HIGH_52WEEK")*100)</f>
        <v/>
      </c>
      <c r="I685">
        <f>IF(D685="","",D685&gt;=5)</f>
        <v/>
      </c>
      <c r="J685">
        <f>IF(F685="","",F685&gt;=5)</f>
        <v/>
      </c>
      <c r="K685">
        <f>IF(H685="","",H685&gt;=75)</f>
        <v/>
      </c>
      <c r="L685">
        <f>IF(OR(I685="",J685="",K685=""),FALSE,AND(I685,J685,K685))</f>
        <v/>
      </c>
    </row>
    <row r="686">
      <c r="A686">
        <f>Universe!A686</f>
        <v/>
      </c>
      <c r="B686" s="10" t="n"/>
      <c r="C686" s="11">
        <f>IF(B686="","",PERCENTRANK.INC($B$2:$B$2501,B686)*100)</f>
        <v/>
      </c>
      <c r="D686" s="10" t="n"/>
      <c r="E686" s="10">
        <f>IF(D686="","",MIN(D686,100))</f>
        <v/>
      </c>
      <c r="F686" s="10" t="n"/>
      <c r="G686" s="10">
        <f>IF(F686="","",MIN(F686,100))</f>
        <v/>
      </c>
      <c r="H686" s="11">
        <f>IF(A686="","",Universe!E686/BDP(A686&amp;" US Equity","HIGH_52WEEK")*100)</f>
        <v/>
      </c>
      <c r="I686">
        <f>IF(D686="","",D686&gt;=5)</f>
        <v/>
      </c>
      <c r="J686">
        <f>IF(F686="","",F686&gt;=5)</f>
        <v/>
      </c>
      <c r="K686">
        <f>IF(H686="","",H686&gt;=75)</f>
        <v/>
      </c>
      <c r="L686">
        <f>IF(OR(I686="",J686="",K686=""),FALSE,AND(I686,J686,K686))</f>
        <v/>
      </c>
    </row>
    <row r="687">
      <c r="A687">
        <f>Universe!A687</f>
        <v/>
      </c>
      <c r="B687" s="10" t="n"/>
      <c r="C687" s="11">
        <f>IF(B687="","",PERCENTRANK.INC($B$2:$B$2501,B687)*100)</f>
        <v/>
      </c>
      <c r="D687" s="10" t="n"/>
      <c r="E687" s="10">
        <f>IF(D687="","",MIN(D687,100))</f>
        <v/>
      </c>
      <c r="F687" s="10" t="n"/>
      <c r="G687" s="10">
        <f>IF(F687="","",MIN(F687,100))</f>
        <v/>
      </c>
      <c r="H687" s="11">
        <f>IF(A687="","",Universe!E687/BDP(A687&amp;" US Equity","HIGH_52WEEK")*100)</f>
        <v/>
      </c>
      <c r="I687">
        <f>IF(D687="","",D687&gt;=5)</f>
        <v/>
      </c>
      <c r="J687">
        <f>IF(F687="","",F687&gt;=5)</f>
        <v/>
      </c>
      <c r="K687">
        <f>IF(H687="","",H687&gt;=75)</f>
        <v/>
      </c>
      <c r="L687">
        <f>IF(OR(I687="",J687="",K687=""),FALSE,AND(I687,J687,K687))</f>
        <v/>
      </c>
    </row>
    <row r="688">
      <c r="A688">
        <f>Universe!A688</f>
        <v/>
      </c>
      <c r="B688" s="10" t="n"/>
      <c r="C688" s="11">
        <f>IF(B688="","",PERCENTRANK.INC($B$2:$B$2501,B688)*100)</f>
        <v/>
      </c>
      <c r="D688" s="10" t="n"/>
      <c r="E688" s="10">
        <f>IF(D688="","",MIN(D688,100))</f>
        <v/>
      </c>
      <c r="F688" s="10" t="n"/>
      <c r="G688" s="10">
        <f>IF(F688="","",MIN(F688,100))</f>
        <v/>
      </c>
      <c r="H688" s="11">
        <f>IF(A688="","",Universe!E688/BDP(A688&amp;" US Equity","HIGH_52WEEK")*100)</f>
        <v/>
      </c>
      <c r="I688">
        <f>IF(D688="","",D688&gt;=5)</f>
        <v/>
      </c>
      <c r="J688">
        <f>IF(F688="","",F688&gt;=5)</f>
        <v/>
      </c>
      <c r="K688">
        <f>IF(H688="","",H688&gt;=75)</f>
        <v/>
      </c>
      <c r="L688">
        <f>IF(OR(I688="",J688="",K688=""),FALSE,AND(I688,J688,K688))</f>
        <v/>
      </c>
    </row>
    <row r="689">
      <c r="A689">
        <f>Universe!A689</f>
        <v/>
      </c>
      <c r="B689" s="10" t="n"/>
      <c r="C689" s="11">
        <f>IF(B689="","",PERCENTRANK.INC($B$2:$B$2501,B689)*100)</f>
        <v/>
      </c>
      <c r="D689" s="10" t="n"/>
      <c r="E689" s="10">
        <f>IF(D689="","",MIN(D689,100))</f>
        <v/>
      </c>
      <c r="F689" s="10" t="n"/>
      <c r="G689" s="10">
        <f>IF(F689="","",MIN(F689,100))</f>
        <v/>
      </c>
      <c r="H689" s="11">
        <f>IF(A689="","",Universe!E689/BDP(A689&amp;" US Equity","HIGH_52WEEK")*100)</f>
        <v/>
      </c>
      <c r="I689">
        <f>IF(D689="","",D689&gt;=5)</f>
        <v/>
      </c>
      <c r="J689">
        <f>IF(F689="","",F689&gt;=5)</f>
        <v/>
      </c>
      <c r="K689">
        <f>IF(H689="","",H689&gt;=75)</f>
        <v/>
      </c>
      <c r="L689">
        <f>IF(OR(I689="",J689="",K689=""),FALSE,AND(I689,J689,K689))</f>
        <v/>
      </c>
    </row>
    <row r="690">
      <c r="A690">
        <f>Universe!A690</f>
        <v/>
      </c>
      <c r="B690" s="10" t="n"/>
      <c r="C690" s="11">
        <f>IF(B690="","",PERCENTRANK.INC($B$2:$B$2501,B690)*100)</f>
        <v/>
      </c>
      <c r="D690" s="10" t="n"/>
      <c r="E690" s="10">
        <f>IF(D690="","",MIN(D690,100))</f>
        <v/>
      </c>
      <c r="F690" s="10" t="n"/>
      <c r="G690" s="10">
        <f>IF(F690="","",MIN(F690,100))</f>
        <v/>
      </c>
      <c r="H690" s="11">
        <f>IF(A690="","",Universe!E690/BDP(A690&amp;" US Equity","HIGH_52WEEK")*100)</f>
        <v/>
      </c>
      <c r="I690">
        <f>IF(D690="","",D690&gt;=5)</f>
        <v/>
      </c>
      <c r="J690">
        <f>IF(F690="","",F690&gt;=5)</f>
        <v/>
      </c>
      <c r="K690">
        <f>IF(H690="","",H690&gt;=75)</f>
        <v/>
      </c>
      <c r="L690">
        <f>IF(OR(I690="",J690="",K690=""),FALSE,AND(I690,J690,K690))</f>
        <v/>
      </c>
    </row>
    <row r="691">
      <c r="A691">
        <f>Universe!A691</f>
        <v/>
      </c>
      <c r="B691" s="10" t="n"/>
      <c r="C691" s="11">
        <f>IF(B691="","",PERCENTRANK.INC($B$2:$B$2501,B691)*100)</f>
        <v/>
      </c>
      <c r="D691" s="10" t="n"/>
      <c r="E691" s="10">
        <f>IF(D691="","",MIN(D691,100))</f>
        <v/>
      </c>
      <c r="F691" s="10" t="n"/>
      <c r="G691" s="10">
        <f>IF(F691="","",MIN(F691,100))</f>
        <v/>
      </c>
      <c r="H691" s="11">
        <f>IF(A691="","",Universe!E691/BDP(A691&amp;" US Equity","HIGH_52WEEK")*100)</f>
        <v/>
      </c>
      <c r="I691">
        <f>IF(D691="","",D691&gt;=5)</f>
        <v/>
      </c>
      <c r="J691">
        <f>IF(F691="","",F691&gt;=5)</f>
        <v/>
      </c>
      <c r="K691">
        <f>IF(H691="","",H691&gt;=75)</f>
        <v/>
      </c>
      <c r="L691">
        <f>IF(OR(I691="",J691="",K691=""),FALSE,AND(I691,J691,K691))</f>
        <v/>
      </c>
    </row>
    <row r="692">
      <c r="A692">
        <f>Universe!A692</f>
        <v/>
      </c>
      <c r="B692" s="10" t="n"/>
      <c r="C692" s="11">
        <f>IF(B692="","",PERCENTRANK.INC($B$2:$B$2501,B692)*100)</f>
        <v/>
      </c>
      <c r="D692" s="10" t="n"/>
      <c r="E692" s="10">
        <f>IF(D692="","",MIN(D692,100))</f>
        <v/>
      </c>
      <c r="F692" s="10" t="n"/>
      <c r="G692" s="10">
        <f>IF(F692="","",MIN(F692,100))</f>
        <v/>
      </c>
      <c r="H692" s="11">
        <f>IF(A692="","",Universe!E692/BDP(A692&amp;" US Equity","HIGH_52WEEK")*100)</f>
        <v/>
      </c>
      <c r="I692">
        <f>IF(D692="","",D692&gt;=5)</f>
        <v/>
      </c>
      <c r="J692">
        <f>IF(F692="","",F692&gt;=5)</f>
        <v/>
      </c>
      <c r="K692">
        <f>IF(H692="","",H692&gt;=75)</f>
        <v/>
      </c>
      <c r="L692">
        <f>IF(OR(I692="",J692="",K692=""),FALSE,AND(I692,J692,K692))</f>
        <v/>
      </c>
    </row>
    <row r="693">
      <c r="A693">
        <f>Universe!A693</f>
        <v/>
      </c>
      <c r="B693" s="10" t="n"/>
      <c r="C693" s="11">
        <f>IF(B693="","",PERCENTRANK.INC($B$2:$B$2501,B693)*100)</f>
        <v/>
      </c>
      <c r="D693" s="10" t="n"/>
      <c r="E693" s="10">
        <f>IF(D693="","",MIN(D693,100))</f>
        <v/>
      </c>
      <c r="F693" s="10" t="n"/>
      <c r="G693" s="10">
        <f>IF(F693="","",MIN(F693,100))</f>
        <v/>
      </c>
      <c r="H693" s="11">
        <f>IF(A693="","",Universe!E693/BDP(A693&amp;" US Equity","HIGH_52WEEK")*100)</f>
        <v/>
      </c>
      <c r="I693">
        <f>IF(D693="","",D693&gt;=5)</f>
        <v/>
      </c>
      <c r="J693">
        <f>IF(F693="","",F693&gt;=5)</f>
        <v/>
      </c>
      <c r="K693">
        <f>IF(H693="","",H693&gt;=75)</f>
        <v/>
      </c>
      <c r="L693">
        <f>IF(OR(I693="",J693="",K693=""),FALSE,AND(I693,J693,K693))</f>
        <v/>
      </c>
    </row>
    <row r="694">
      <c r="A694">
        <f>Universe!A694</f>
        <v/>
      </c>
      <c r="B694" s="10" t="n"/>
      <c r="C694" s="11">
        <f>IF(B694="","",PERCENTRANK.INC($B$2:$B$2501,B694)*100)</f>
        <v/>
      </c>
      <c r="D694" s="10" t="n"/>
      <c r="E694" s="10">
        <f>IF(D694="","",MIN(D694,100))</f>
        <v/>
      </c>
      <c r="F694" s="10" t="n"/>
      <c r="G694" s="10">
        <f>IF(F694="","",MIN(F694,100))</f>
        <v/>
      </c>
      <c r="H694" s="11">
        <f>IF(A694="","",Universe!E694/BDP(A694&amp;" US Equity","HIGH_52WEEK")*100)</f>
        <v/>
      </c>
      <c r="I694">
        <f>IF(D694="","",D694&gt;=5)</f>
        <v/>
      </c>
      <c r="J694">
        <f>IF(F694="","",F694&gt;=5)</f>
        <v/>
      </c>
      <c r="K694">
        <f>IF(H694="","",H694&gt;=75)</f>
        <v/>
      </c>
      <c r="L694">
        <f>IF(OR(I694="",J694="",K694=""),FALSE,AND(I694,J694,K694))</f>
        <v/>
      </c>
    </row>
    <row r="695">
      <c r="A695">
        <f>Universe!A695</f>
        <v/>
      </c>
      <c r="B695" s="10" t="n"/>
      <c r="C695" s="11">
        <f>IF(B695="","",PERCENTRANK.INC($B$2:$B$2501,B695)*100)</f>
        <v/>
      </c>
      <c r="D695" s="10" t="n"/>
      <c r="E695" s="10">
        <f>IF(D695="","",MIN(D695,100))</f>
        <v/>
      </c>
      <c r="F695" s="10" t="n"/>
      <c r="G695" s="10">
        <f>IF(F695="","",MIN(F695,100))</f>
        <v/>
      </c>
      <c r="H695" s="11">
        <f>IF(A695="","",Universe!E695/BDP(A695&amp;" US Equity","HIGH_52WEEK")*100)</f>
        <v/>
      </c>
      <c r="I695">
        <f>IF(D695="","",D695&gt;=5)</f>
        <v/>
      </c>
      <c r="J695">
        <f>IF(F695="","",F695&gt;=5)</f>
        <v/>
      </c>
      <c r="K695">
        <f>IF(H695="","",H695&gt;=75)</f>
        <v/>
      </c>
      <c r="L695">
        <f>IF(OR(I695="",J695="",K695=""),FALSE,AND(I695,J695,K695))</f>
        <v/>
      </c>
    </row>
    <row r="696">
      <c r="A696">
        <f>Universe!A696</f>
        <v/>
      </c>
      <c r="B696" s="10" t="n"/>
      <c r="C696" s="11">
        <f>IF(B696="","",PERCENTRANK.INC($B$2:$B$2501,B696)*100)</f>
        <v/>
      </c>
      <c r="D696" s="10" t="n"/>
      <c r="E696" s="10">
        <f>IF(D696="","",MIN(D696,100))</f>
        <v/>
      </c>
      <c r="F696" s="10" t="n"/>
      <c r="G696" s="10">
        <f>IF(F696="","",MIN(F696,100))</f>
        <v/>
      </c>
      <c r="H696" s="11">
        <f>IF(A696="","",Universe!E696/BDP(A696&amp;" US Equity","HIGH_52WEEK")*100)</f>
        <v/>
      </c>
      <c r="I696">
        <f>IF(D696="","",D696&gt;=5)</f>
        <v/>
      </c>
      <c r="J696">
        <f>IF(F696="","",F696&gt;=5)</f>
        <v/>
      </c>
      <c r="K696">
        <f>IF(H696="","",H696&gt;=75)</f>
        <v/>
      </c>
      <c r="L696">
        <f>IF(OR(I696="",J696="",K696=""),FALSE,AND(I696,J696,K696))</f>
        <v/>
      </c>
    </row>
    <row r="697">
      <c r="A697">
        <f>Universe!A697</f>
        <v/>
      </c>
      <c r="B697" s="10" t="n"/>
      <c r="C697" s="11">
        <f>IF(B697="","",PERCENTRANK.INC($B$2:$B$2501,B697)*100)</f>
        <v/>
      </c>
      <c r="D697" s="10" t="n"/>
      <c r="E697" s="10">
        <f>IF(D697="","",MIN(D697,100))</f>
        <v/>
      </c>
      <c r="F697" s="10" t="n"/>
      <c r="G697" s="10">
        <f>IF(F697="","",MIN(F697,100))</f>
        <v/>
      </c>
      <c r="H697" s="11">
        <f>IF(A697="","",Universe!E697/BDP(A697&amp;" US Equity","HIGH_52WEEK")*100)</f>
        <v/>
      </c>
      <c r="I697">
        <f>IF(D697="","",D697&gt;=5)</f>
        <v/>
      </c>
      <c r="J697">
        <f>IF(F697="","",F697&gt;=5)</f>
        <v/>
      </c>
      <c r="K697">
        <f>IF(H697="","",H697&gt;=75)</f>
        <v/>
      </c>
      <c r="L697">
        <f>IF(OR(I697="",J697="",K697=""),FALSE,AND(I697,J697,K697))</f>
        <v/>
      </c>
    </row>
    <row r="698">
      <c r="A698">
        <f>Universe!A698</f>
        <v/>
      </c>
      <c r="B698" s="10" t="n"/>
      <c r="C698" s="11">
        <f>IF(B698="","",PERCENTRANK.INC($B$2:$B$2501,B698)*100)</f>
        <v/>
      </c>
      <c r="D698" s="10" t="n"/>
      <c r="E698" s="10">
        <f>IF(D698="","",MIN(D698,100))</f>
        <v/>
      </c>
      <c r="F698" s="10" t="n"/>
      <c r="G698" s="10">
        <f>IF(F698="","",MIN(F698,100))</f>
        <v/>
      </c>
      <c r="H698" s="11">
        <f>IF(A698="","",Universe!E698/BDP(A698&amp;" US Equity","HIGH_52WEEK")*100)</f>
        <v/>
      </c>
      <c r="I698">
        <f>IF(D698="","",D698&gt;=5)</f>
        <v/>
      </c>
      <c r="J698">
        <f>IF(F698="","",F698&gt;=5)</f>
        <v/>
      </c>
      <c r="K698">
        <f>IF(H698="","",H698&gt;=75)</f>
        <v/>
      </c>
      <c r="L698">
        <f>IF(OR(I698="",J698="",K698=""),FALSE,AND(I698,J698,K698))</f>
        <v/>
      </c>
    </row>
    <row r="699">
      <c r="A699">
        <f>Universe!A699</f>
        <v/>
      </c>
      <c r="B699" s="10" t="n"/>
      <c r="C699" s="11">
        <f>IF(B699="","",PERCENTRANK.INC($B$2:$B$2501,B699)*100)</f>
        <v/>
      </c>
      <c r="D699" s="10" t="n"/>
      <c r="E699" s="10">
        <f>IF(D699="","",MIN(D699,100))</f>
        <v/>
      </c>
      <c r="F699" s="10" t="n"/>
      <c r="G699" s="10">
        <f>IF(F699="","",MIN(F699,100))</f>
        <v/>
      </c>
      <c r="H699" s="11">
        <f>IF(A699="","",Universe!E699/BDP(A699&amp;" US Equity","HIGH_52WEEK")*100)</f>
        <v/>
      </c>
      <c r="I699">
        <f>IF(D699="","",D699&gt;=5)</f>
        <v/>
      </c>
      <c r="J699">
        <f>IF(F699="","",F699&gt;=5)</f>
        <v/>
      </c>
      <c r="K699">
        <f>IF(H699="","",H699&gt;=75)</f>
        <v/>
      </c>
      <c r="L699">
        <f>IF(OR(I699="",J699="",K699=""),FALSE,AND(I699,J699,K699))</f>
        <v/>
      </c>
    </row>
    <row r="700">
      <c r="A700">
        <f>Universe!A700</f>
        <v/>
      </c>
      <c r="B700" s="10" t="n"/>
      <c r="C700" s="11">
        <f>IF(B700="","",PERCENTRANK.INC($B$2:$B$2501,B700)*100)</f>
        <v/>
      </c>
      <c r="D700" s="10" t="n"/>
      <c r="E700" s="10">
        <f>IF(D700="","",MIN(D700,100))</f>
        <v/>
      </c>
      <c r="F700" s="10" t="n"/>
      <c r="G700" s="10">
        <f>IF(F700="","",MIN(F700,100))</f>
        <v/>
      </c>
      <c r="H700" s="11">
        <f>IF(A700="","",Universe!E700/BDP(A700&amp;" US Equity","HIGH_52WEEK")*100)</f>
        <v/>
      </c>
      <c r="I700">
        <f>IF(D700="","",D700&gt;=5)</f>
        <v/>
      </c>
      <c r="J700">
        <f>IF(F700="","",F700&gt;=5)</f>
        <v/>
      </c>
      <c r="K700">
        <f>IF(H700="","",H700&gt;=75)</f>
        <v/>
      </c>
      <c r="L700">
        <f>IF(OR(I700="",J700="",K700=""),FALSE,AND(I700,J700,K700))</f>
        <v/>
      </c>
    </row>
    <row r="701">
      <c r="A701">
        <f>Universe!A701</f>
        <v/>
      </c>
      <c r="B701" s="10" t="n"/>
      <c r="C701" s="11">
        <f>IF(B701="","",PERCENTRANK.INC($B$2:$B$2501,B701)*100)</f>
        <v/>
      </c>
      <c r="D701" s="10" t="n"/>
      <c r="E701" s="10">
        <f>IF(D701="","",MIN(D701,100))</f>
        <v/>
      </c>
      <c r="F701" s="10" t="n"/>
      <c r="G701" s="10">
        <f>IF(F701="","",MIN(F701,100))</f>
        <v/>
      </c>
      <c r="H701" s="11">
        <f>IF(A701="","",Universe!E701/BDP(A701&amp;" US Equity","HIGH_52WEEK")*100)</f>
        <v/>
      </c>
      <c r="I701">
        <f>IF(D701="","",D701&gt;=5)</f>
        <v/>
      </c>
      <c r="J701">
        <f>IF(F701="","",F701&gt;=5)</f>
        <v/>
      </c>
      <c r="K701">
        <f>IF(H701="","",H701&gt;=75)</f>
        <v/>
      </c>
      <c r="L701">
        <f>IF(OR(I701="",J701="",K701=""),FALSE,AND(I701,J701,K701))</f>
        <v/>
      </c>
    </row>
    <row r="702">
      <c r="A702">
        <f>Universe!A702</f>
        <v/>
      </c>
      <c r="B702" s="10" t="n"/>
      <c r="C702" s="11">
        <f>IF(B702="","",PERCENTRANK.INC($B$2:$B$2501,B702)*100)</f>
        <v/>
      </c>
      <c r="D702" s="10" t="n"/>
      <c r="E702" s="10">
        <f>IF(D702="","",MIN(D702,100))</f>
        <v/>
      </c>
      <c r="F702" s="10" t="n"/>
      <c r="G702" s="10">
        <f>IF(F702="","",MIN(F702,100))</f>
        <v/>
      </c>
      <c r="H702" s="11">
        <f>IF(A702="","",Universe!E702/BDP(A702&amp;" US Equity","HIGH_52WEEK")*100)</f>
        <v/>
      </c>
      <c r="I702">
        <f>IF(D702="","",D702&gt;=5)</f>
        <v/>
      </c>
      <c r="J702">
        <f>IF(F702="","",F702&gt;=5)</f>
        <v/>
      </c>
      <c r="K702">
        <f>IF(H702="","",H702&gt;=75)</f>
        <v/>
      </c>
      <c r="L702">
        <f>IF(OR(I702="",J702="",K702=""),FALSE,AND(I702,J702,K702))</f>
        <v/>
      </c>
    </row>
    <row r="703">
      <c r="A703">
        <f>Universe!A703</f>
        <v/>
      </c>
      <c r="B703" s="10" t="n"/>
      <c r="C703" s="11">
        <f>IF(B703="","",PERCENTRANK.INC($B$2:$B$2501,B703)*100)</f>
        <v/>
      </c>
      <c r="D703" s="10" t="n"/>
      <c r="E703" s="10">
        <f>IF(D703="","",MIN(D703,100))</f>
        <v/>
      </c>
      <c r="F703" s="10" t="n"/>
      <c r="G703" s="10">
        <f>IF(F703="","",MIN(F703,100))</f>
        <v/>
      </c>
      <c r="H703" s="11">
        <f>IF(A703="","",Universe!E703/BDP(A703&amp;" US Equity","HIGH_52WEEK")*100)</f>
        <v/>
      </c>
      <c r="I703">
        <f>IF(D703="","",D703&gt;=5)</f>
        <v/>
      </c>
      <c r="J703">
        <f>IF(F703="","",F703&gt;=5)</f>
        <v/>
      </c>
      <c r="K703">
        <f>IF(H703="","",H703&gt;=75)</f>
        <v/>
      </c>
      <c r="L703">
        <f>IF(OR(I703="",J703="",K703=""),FALSE,AND(I703,J703,K703))</f>
        <v/>
      </c>
    </row>
    <row r="704">
      <c r="A704">
        <f>Universe!A704</f>
        <v/>
      </c>
      <c r="B704" s="10" t="n"/>
      <c r="C704" s="11">
        <f>IF(B704="","",PERCENTRANK.INC($B$2:$B$2501,B704)*100)</f>
        <v/>
      </c>
      <c r="D704" s="10" t="n"/>
      <c r="E704" s="10">
        <f>IF(D704="","",MIN(D704,100))</f>
        <v/>
      </c>
      <c r="F704" s="10" t="n"/>
      <c r="G704" s="10">
        <f>IF(F704="","",MIN(F704,100))</f>
        <v/>
      </c>
      <c r="H704" s="11">
        <f>IF(A704="","",Universe!E704/BDP(A704&amp;" US Equity","HIGH_52WEEK")*100)</f>
        <v/>
      </c>
      <c r="I704">
        <f>IF(D704="","",D704&gt;=5)</f>
        <v/>
      </c>
      <c r="J704">
        <f>IF(F704="","",F704&gt;=5)</f>
        <v/>
      </c>
      <c r="K704">
        <f>IF(H704="","",H704&gt;=75)</f>
        <v/>
      </c>
      <c r="L704">
        <f>IF(OR(I704="",J704="",K704=""),FALSE,AND(I704,J704,K704))</f>
        <v/>
      </c>
    </row>
    <row r="705">
      <c r="A705">
        <f>Universe!A705</f>
        <v/>
      </c>
      <c r="B705" s="10" t="n"/>
      <c r="C705" s="11">
        <f>IF(B705="","",PERCENTRANK.INC($B$2:$B$2501,B705)*100)</f>
        <v/>
      </c>
      <c r="D705" s="10" t="n"/>
      <c r="E705" s="10">
        <f>IF(D705="","",MIN(D705,100))</f>
        <v/>
      </c>
      <c r="F705" s="10" t="n"/>
      <c r="G705" s="10">
        <f>IF(F705="","",MIN(F705,100))</f>
        <v/>
      </c>
      <c r="H705" s="11">
        <f>IF(A705="","",Universe!E705/BDP(A705&amp;" US Equity","HIGH_52WEEK")*100)</f>
        <v/>
      </c>
      <c r="I705">
        <f>IF(D705="","",D705&gt;=5)</f>
        <v/>
      </c>
      <c r="J705">
        <f>IF(F705="","",F705&gt;=5)</f>
        <v/>
      </c>
      <c r="K705">
        <f>IF(H705="","",H705&gt;=75)</f>
        <v/>
      </c>
      <c r="L705">
        <f>IF(OR(I705="",J705="",K705=""),FALSE,AND(I705,J705,K705))</f>
        <v/>
      </c>
    </row>
    <row r="706">
      <c r="A706">
        <f>Universe!A706</f>
        <v/>
      </c>
      <c r="B706" s="10" t="n"/>
      <c r="C706" s="11">
        <f>IF(B706="","",PERCENTRANK.INC($B$2:$B$2501,B706)*100)</f>
        <v/>
      </c>
      <c r="D706" s="10" t="n"/>
      <c r="E706" s="10">
        <f>IF(D706="","",MIN(D706,100))</f>
        <v/>
      </c>
      <c r="F706" s="10" t="n"/>
      <c r="G706" s="10">
        <f>IF(F706="","",MIN(F706,100))</f>
        <v/>
      </c>
      <c r="H706" s="11">
        <f>IF(A706="","",Universe!E706/BDP(A706&amp;" US Equity","HIGH_52WEEK")*100)</f>
        <v/>
      </c>
      <c r="I706">
        <f>IF(D706="","",D706&gt;=5)</f>
        <v/>
      </c>
      <c r="J706">
        <f>IF(F706="","",F706&gt;=5)</f>
        <v/>
      </c>
      <c r="K706">
        <f>IF(H706="","",H706&gt;=75)</f>
        <v/>
      </c>
      <c r="L706">
        <f>IF(OR(I706="",J706="",K706=""),FALSE,AND(I706,J706,K706))</f>
        <v/>
      </c>
    </row>
    <row r="707">
      <c r="A707">
        <f>Universe!A707</f>
        <v/>
      </c>
      <c r="B707" s="10" t="n"/>
      <c r="C707" s="11">
        <f>IF(B707="","",PERCENTRANK.INC($B$2:$B$2501,B707)*100)</f>
        <v/>
      </c>
      <c r="D707" s="10" t="n"/>
      <c r="E707" s="10">
        <f>IF(D707="","",MIN(D707,100))</f>
        <v/>
      </c>
      <c r="F707" s="10" t="n"/>
      <c r="G707" s="10">
        <f>IF(F707="","",MIN(F707,100))</f>
        <v/>
      </c>
      <c r="H707" s="11">
        <f>IF(A707="","",Universe!E707/BDP(A707&amp;" US Equity","HIGH_52WEEK")*100)</f>
        <v/>
      </c>
      <c r="I707">
        <f>IF(D707="","",D707&gt;=5)</f>
        <v/>
      </c>
      <c r="J707">
        <f>IF(F707="","",F707&gt;=5)</f>
        <v/>
      </c>
      <c r="K707">
        <f>IF(H707="","",H707&gt;=75)</f>
        <v/>
      </c>
      <c r="L707">
        <f>IF(OR(I707="",J707="",K707=""),FALSE,AND(I707,J707,K707))</f>
        <v/>
      </c>
    </row>
    <row r="708">
      <c r="A708">
        <f>Universe!A708</f>
        <v/>
      </c>
      <c r="B708" s="10" t="n"/>
      <c r="C708" s="11">
        <f>IF(B708="","",PERCENTRANK.INC($B$2:$B$2501,B708)*100)</f>
        <v/>
      </c>
      <c r="D708" s="10" t="n"/>
      <c r="E708" s="10">
        <f>IF(D708="","",MIN(D708,100))</f>
        <v/>
      </c>
      <c r="F708" s="10" t="n"/>
      <c r="G708" s="10">
        <f>IF(F708="","",MIN(F708,100))</f>
        <v/>
      </c>
      <c r="H708" s="11">
        <f>IF(A708="","",Universe!E708/BDP(A708&amp;" US Equity","HIGH_52WEEK")*100)</f>
        <v/>
      </c>
      <c r="I708">
        <f>IF(D708="","",D708&gt;=5)</f>
        <v/>
      </c>
      <c r="J708">
        <f>IF(F708="","",F708&gt;=5)</f>
        <v/>
      </c>
      <c r="K708">
        <f>IF(H708="","",H708&gt;=75)</f>
        <v/>
      </c>
      <c r="L708">
        <f>IF(OR(I708="",J708="",K708=""),FALSE,AND(I708,J708,K708))</f>
        <v/>
      </c>
    </row>
    <row r="709">
      <c r="A709">
        <f>Universe!A709</f>
        <v/>
      </c>
      <c r="B709" s="10" t="n"/>
      <c r="C709" s="11">
        <f>IF(B709="","",PERCENTRANK.INC($B$2:$B$2501,B709)*100)</f>
        <v/>
      </c>
      <c r="D709" s="10" t="n"/>
      <c r="E709" s="10">
        <f>IF(D709="","",MIN(D709,100))</f>
        <v/>
      </c>
      <c r="F709" s="10" t="n"/>
      <c r="G709" s="10">
        <f>IF(F709="","",MIN(F709,100))</f>
        <v/>
      </c>
      <c r="H709" s="11">
        <f>IF(A709="","",Universe!E709/BDP(A709&amp;" US Equity","HIGH_52WEEK")*100)</f>
        <v/>
      </c>
      <c r="I709">
        <f>IF(D709="","",D709&gt;=5)</f>
        <v/>
      </c>
      <c r="J709">
        <f>IF(F709="","",F709&gt;=5)</f>
        <v/>
      </c>
      <c r="K709">
        <f>IF(H709="","",H709&gt;=75)</f>
        <v/>
      </c>
      <c r="L709">
        <f>IF(OR(I709="",J709="",K709=""),FALSE,AND(I709,J709,K709))</f>
        <v/>
      </c>
    </row>
    <row r="710">
      <c r="A710">
        <f>Universe!A710</f>
        <v/>
      </c>
      <c r="B710" s="10" t="n"/>
      <c r="C710" s="11">
        <f>IF(B710="","",PERCENTRANK.INC($B$2:$B$2501,B710)*100)</f>
        <v/>
      </c>
      <c r="D710" s="10" t="n"/>
      <c r="E710" s="10">
        <f>IF(D710="","",MIN(D710,100))</f>
        <v/>
      </c>
      <c r="F710" s="10" t="n"/>
      <c r="G710" s="10">
        <f>IF(F710="","",MIN(F710,100))</f>
        <v/>
      </c>
      <c r="H710" s="11">
        <f>IF(A710="","",Universe!E710/BDP(A710&amp;" US Equity","HIGH_52WEEK")*100)</f>
        <v/>
      </c>
      <c r="I710">
        <f>IF(D710="","",D710&gt;=5)</f>
        <v/>
      </c>
      <c r="J710">
        <f>IF(F710="","",F710&gt;=5)</f>
        <v/>
      </c>
      <c r="K710">
        <f>IF(H710="","",H710&gt;=75)</f>
        <v/>
      </c>
      <c r="L710">
        <f>IF(OR(I710="",J710="",K710=""),FALSE,AND(I710,J710,K710))</f>
        <v/>
      </c>
    </row>
    <row r="711">
      <c r="A711">
        <f>Universe!A711</f>
        <v/>
      </c>
      <c r="B711" s="10" t="n"/>
      <c r="C711" s="11">
        <f>IF(B711="","",PERCENTRANK.INC($B$2:$B$2501,B711)*100)</f>
        <v/>
      </c>
      <c r="D711" s="10" t="n"/>
      <c r="E711" s="10">
        <f>IF(D711="","",MIN(D711,100))</f>
        <v/>
      </c>
      <c r="F711" s="10" t="n"/>
      <c r="G711" s="10">
        <f>IF(F711="","",MIN(F711,100))</f>
        <v/>
      </c>
      <c r="H711" s="11">
        <f>IF(A711="","",Universe!E711/BDP(A711&amp;" US Equity","HIGH_52WEEK")*100)</f>
        <v/>
      </c>
      <c r="I711">
        <f>IF(D711="","",D711&gt;=5)</f>
        <v/>
      </c>
      <c r="J711">
        <f>IF(F711="","",F711&gt;=5)</f>
        <v/>
      </c>
      <c r="K711">
        <f>IF(H711="","",H711&gt;=75)</f>
        <v/>
      </c>
      <c r="L711">
        <f>IF(OR(I711="",J711="",K711=""),FALSE,AND(I711,J711,K711))</f>
        <v/>
      </c>
    </row>
    <row r="712">
      <c r="A712">
        <f>Universe!A712</f>
        <v/>
      </c>
      <c r="B712" s="10" t="n"/>
      <c r="C712" s="11">
        <f>IF(B712="","",PERCENTRANK.INC($B$2:$B$2501,B712)*100)</f>
        <v/>
      </c>
      <c r="D712" s="10" t="n"/>
      <c r="E712" s="10">
        <f>IF(D712="","",MIN(D712,100))</f>
        <v/>
      </c>
      <c r="F712" s="10" t="n"/>
      <c r="G712" s="10">
        <f>IF(F712="","",MIN(F712,100))</f>
        <v/>
      </c>
      <c r="H712" s="11">
        <f>IF(A712="","",Universe!E712/BDP(A712&amp;" US Equity","HIGH_52WEEK")*100)</f>
        <v/>
      </c>
      <c r="I712">
        <f>IF(D712="","",D712&gt;=5)</f>
        <v/>
      </c>
      <c r="J712">
        <f>IF(F712="","",F712&gt;=5)</f>
        <v/>
      </c>
      <c r="K712">
        <f>IF(H712="","",H712&gt;=75)</f>
        <v/>
      </c>
      <c r="L712">
        <f>IF(OR(I712="",J712="",K712=""),FALSE,AND(I712,J712,K712))</f>
        <v/>
      </c>
    </row>
    <row r="713">
      <c r="A713">
        <f>Universe!A713</f>
        <v/>
      </c>
      <c r="B713" s="10" t="n"/>
      <c r="C713" s="11">
        <f>IF(B713="","",PERCENTRANK.INC($B$2:$B$2501,B713)*100)</f>
        <v/>
      </c>
      <c r="D713" s="10" t="n"/>
      <c r="E713" s="10">
        <f>IF(D713="","",MIN(D713,100))</f>
        <v/>
      </c>
      <c r="F713" s="10" t="n"/>
      <c r="G713" s="10">
        <f>IF(F713="","",MIN(F713,100))</f>
        <v/>
      </c>
      <c r="H713" s="11">
        <f>IF(A713="","",Universe!E713/BDP(A713&amp;" US Equity","HIGH_52WEEK")*100)</f>
        <v/>
      </c>
      <c r="I713">
        <f>IF(D713="","",D713&gt;=5)</f>
        <v/>
      </c>
      <c r="J713">
        <f>IF(F713="","",F713&gt;=5)</f>
        <v/>
      </c>
      <c r="K713">
        <f>IF(H713="","",H713&gt;=75)</f>
        <v/>
      </c>
      <c r="L713">
        <f>IF(OR(I713="",J713="",K713=""),FALSE,AND(I713,J713,K713))</f>
        <v/>
      </c>
    </row>
    <row r="714">
      <c r="A714">
        <f>Universe!A714</f>
        <v/>
      </c>
      <c r="B714" s="10" t="n"/>
      <c r="C714" s="11">
        <f>IF(B714="","",PERCENTRANK.INC($B$2:$B$2501,B714)*100)</f>
        <v/>
      </c>
      <c r="D714" s="10" t="n"/>
      <c r="E714" s="10">
        <f>IF(D714="","",MIN(D714,100))</f>
        <v/>
      </c>
      <c r="F714" s="10" t="n"/>
      <c r="G714" s="10">
        <f>IF(F714="","",MIN(F714,100))</f>
        <v/>
      </c>
      <c r="H714" s="11">
        <f>IF(A714="","",Universe!E714/BDP(A714&amp;" US Equity","HIGH_52WEEK")*100)</f>
        <v/>
      </c>
      <c r="I714">
        <f>IF(D714="","",D714&gt;=5)</f>
        <v/>
      </c>
      <c r="J714">
        <f>IF(F714="","",F714&gt;=5)</f>
        <v/>
      </c>
      <c r="K714">
        <f>IF(H714="","",H714&gt;=75)</f>
        <v/>
      </c>
      <c r="L714">
        <f>IF(OR(I714="",J714="",K714=""),FALSE,AND(I714,J714,K714))</f>
        <v/>
      </c>
    </row>
    <row r="715">
      <c r="A715">
        <f>Universe!A715</f>
        <v/>
      </c>
      <c r="B715" s="10" t="n"/>
      <c r="C715" s="11">
        <f>IF(B715="","",PERCENTRANK.INC($B$2:$B$2501,B715)*100)</f>
        <v/>
      </c>
      <c r="D715" s="10" t="n"/>
      <c r="E715" s="10">
        <f>IF(D715="","",MIN(D715,100))</f>
        <v/>
      </c>
      <c r="F715" s="10" t="n"/>
      <c r="G715" s="10">
        <f>IF(F715="","",MIN(F715,100))</f>
        <v/>
      </c>
      <c r="H715" s="11">
        <f>IF(A715="","",Universe!E715/BDP(A715&amp;" US Equity","HIGH_52WEEK")*100)</f>
        <v/>
      </c>
      <c r="I715">
        <f>IF(D715="","",D715&gt;=5)</f>
        <v/>
      </c>
      <c r="J715">
        <f>IF(F715="","",F715&gt;=5)</f>
        <v/>
      </c>
      <c r="K715">
        <f>IF(H715="","",H715&gt;=75)</f>
        <v/>
      </c>
      <c r="L715">
        <f>IF(OR(I715="",J715="",K715=""),FALSE,AND(I715,J715,K715))</f>
        <v/>
      </c>
    </row>
    <row r="716">
      <c r="A716">
        <f>Universe!A716</f>
        <v/>
      </c>
      <c r="B716" s="10" t="n"/>
      <c r="C716" s="11">
        <f>IF(B716="","",PERCENTRANK.INC($B$2:$B$2501,B716)*100)</f>
        <v/>
      </c>
      <c r="D716" s="10" t="n"/>
      <c r="E716" s="10">
        <f>IF(D716="","",MIN(D716,100))</f>
        <v/>
      </c>
      <c r="F716" s="10" t="n"/>
      <c r="G716" s="10">
        <f>IF(F716="","",MIN(F716,100))</f>
        <v/>
      </c>
      <c r="H716" s="11">
        <f>IF(A716="","",Universe!E716/BDP(A716&amp;" US Equity","HIGH_52WEEK")*100)</f>
        <v/>
      </c>
      <c r="I716">
        <f>IF(D716="","",D716&gt;=5)</f>
        <v/>
      </c>
      <c r="J716">
        <f>IF(F716="","",F716&gt;=5)</f>
        <v/>
      </c>
      <c r="K716">
        <f>IF(H716="","",H716&gt;=75)</f>
        <v/>
      </c>
      <c r="L716">
        <f>IF(OR(I716="",J716="",K716=""),FALSE,AND(I716,J716,K716))</f>
        <v/>
      </c>
    </row>
    <row r="717">
      <c r="A717">
        <f>Universe!A717</f>
        <v/>
      </c>
      <c r="B717" s="10" t="n"/>
      <c r="C717" s="11">
        <f>IF(B717="","",PERCENTRANK.INC($B$2:$B$2501,B717)*100)</f>
        <v/>
      </c>
      <c r="D717" s="10" t="n"/>
      <c r="E717" s="10">
        <f>IF(D717="","",MIN(D717,100))</f>
        <v/>
      </c>
      <c r="F717" s="10" t="n"/>
      <c r="G717" s="10">
        <f>IF(F717="","",MIN(F717,100))</f>
        <v/>
      </c>
      <c r="H717" s="11">
        <f>IF(A717="","",Universe!E717/BDP(A717&amp;" US Equity","HIGH_52WEEK")*100)</f>
        <v/>
      </c>
      <c r="I717">
        <f>IF(D717="","",D717&gt;=5)</f>
        <v/>
      </c>
      <c r="J717">
        <f>IF(F717="","",F717&gt;=5)</f>
        <v/>
      </c>
      <c r="K717">
        <f>IF(H717="","",H717&gt;=75)</f>
        <v/>
      </c>
      <c r="L717">
        <f>IF(OR(I717="",J717="",K717=""),FALSE,AND(I717,J717,K717))</f>
        <v/>
      </c>
    </row>
    <row r="718">
      <c r="A718">
        <f>Universe!A718</f>
        <v/>
      </c>
      <c r="B718" s="10" t="n"/>
      <c r="C718" s="11">
        <f>IF(B718="","",PERCENTRANK.INC($B$2:$B$2501,B718)*100)</f>
        <v/>
      </c>
      <c r="D718" s="10" t="n"/>
      <c r="E718" s="10">
        <f>IF(D718="","",MIN(D718,100))</f>
        <v/>
      </c>
      <c r="F718" s="10" t="n"/>
      <c r="G718" s="10">
        <f>IF(F718="","",MIN(F718,100))</f>
        <v/>
      </c>
      <c r="H718" s="11">
        <f>IF(A718="","",Universe!E718/BDP(A718&amp;" US Equity","HIGH_52WEEK")*100)</f>
        <v/>
      </c>
      <c r="I718">
        <f>IF(D718="","",D718&gt;=5)</f>
        <v/>
      </c>
      <c r="J718">
        <f>IF(F718="","",F718&gt;=5)</f>
        <v/>
      </c>
      <c r="K718">
        <f>IF(H718="","",H718&gt;=75)</f>
        <v/>
      </c>
      <c r="L718">
        <f>IF(OR(I718="",J718="",K718=""),FALSE,AND(I718,J718,K718))</f>
        <v/>
      </c>
    </row>
    <row r="719">
      <c r="A719">
        <f>Universe!A719</f>
        <v/>
      </c>
      <c r="B719" s="10" t="n"/>
      <c r="C719" s="11">
        <f>IF(B719="","",PERCENTRANK.INC($B$2:$B$2501,B719)*100)</f>
        <v/>
      </c>
      <c r="D719" s="10" t="n"/>
      <c r="E719" s="10">
        <f>IF(D719="","",MIN(D719,100))</f>
        <v/>
      </c>
      <c r="F719" s="10" t="n"/>
      <c r="G719" s="10">
        <f>IF(F719="","",MIN(F719,100))</f>
        <v/>
      </c>
      <c r="H719" s="11">
        <f>IF(A719="","",Universe!E719/BDP(A719&amp;" US Equity","HIGH_52WEEK")*100)</f>
        <v/>
      </c>
      <c r="I719">
        <f>IF(D719="","",D719&gt;=5)</f>
        <v/>
      </c>
      <c r="J719">
        <f>IF(F719="","",F719&gt;=5)</f>
        <v/>
      </c>
      <c r="K719">
        <f>IF(H719="","",H719&gt;=75)</f>
        <v/>
      </c>
      <c r="L719">
        <f>IF(OR(I719="",J719="",K719=""),FALSE,AND(I719,J719,K719))</f>
        <v/>
      </c>
    </row>
    <row r="720">
      <c r="A720">
        <f>Universe!A720</f>
        <v/>
      </c>
      <c r="B720" s="10" t="n"/>
      <c r="C720" s="11">
        <f>IF(B720="","",PERCENTRANK.INC($B$2:$B$2501,B720)*100)</f>
        <v/>
      </c>
      <c r="D720" s="10" t="n"/>
      <c r="E720" s="10">
        <f>IF(D720="","",MIN(D720,100))</f>
        <v/>
      </c>
      <c r="F720" s="10" t="n"/>
      <c r="G720" s="10">
        <f>IF(F720="","",MIN(F720,100))</f>
        <v/>
      </c>
      <c r="H720" s="11">
        <f>IF(A720="","",Universe!E720/BDP(A720&amp;" US Equity","HIGH_52WEEK")*100)</f>
        <v/>
      </c>
      <c r="I720">
        <f>IF(D720="","",D720&gt;=5)</f>
        <v/>
      </c>
      <c r="J720">
        <f>IF(F720="","",F720&gt;=5)</f>
        <v/>
      </c>
      <c r="K720">
        <f>IF(H720="","",H720&gt;=75)</f>
        <v/>
      </c>
      <c r="L720">
        <f>IF(OR(I720="",J720="",K720=""),FALSE,AND(I720,J720,K720))</f>
        <v/>
      </c>
    </row>
    <row r="721">
      <c r="A721">
        <f>Universe!A721</f>
        <v/>
      </c>
      <c r="B721" s="10" t="n"/>
      <c r="C721" s="11">
        <f>IF(B721="","",PERCENTRANK.INC($B$2:$B$2501,B721)*100)</f>
        <v/>
      </c>
      <c r="D721" s="10" t="n"/>
      <c r="E721" s="10">
        <f>IF(D721="","",MIN(D721,100))</f>
        <v/>
      </c>
      <c r="F721" s="10" t="n"/>
      <c r="G721" s="10">
        <f>IF(F721="","",MIN(F721,100))</f>
        <v/>
      </c>
      <c r="H721" s="11">
        <f>IF(A721="","",Universe!E721/BDP(A721&amp;" US Equity","HIGH_52WEEK")*100)</f>
        <v/>
      </c>
      <c r="I721">
        <f>IF(D721="","",D721&gt;=5)</f>
        <v/>
      </c>
      <c r="J721">
        <f>IF(F721="","",F721&gt;=5)</f>
        <v/>
      </c>
      <c r="K721">
        <f>IF(H721="","",H721&gt;=75)</f>
        <v/>
      </c>
      <c r="L721">
        <f>IF(OR(I721="",J721="",K721=""),FALSE,AND(I721,J721,K721))</f>
        <v/>
      </c>
    </row>
    <row r="722">
      <c r="A722">
        <f>Universe!A722</f>
        <v/>
      </c>
      <c r="B722" s="10" t="n"/>
      <c r="C722" s="11">
        <f>IF(B722="","",PERCENTRANK.INC($B$2:$B$2501,B722)*100)</f>
        <v/>
      </c>
      <c r="D722" s="10" t="n"/>
      <c r="E722" s="10">
        <f>IF(D722="","",MIN(D722,100))</f>
        <v/>
      </c>
      <c r="F722" s="10" t="n"/>
      <c r="G722" s="10">
        <f>IF(F722="","",MIN(F722,100))</f>
        <v/>
      </c>
      <c r="H722" s="11">
        <f>IF(A722="","",Universe!E722/BDP(A722&amp;" US Equity","HIGH_52WEEK")*100)</f>
        <v/>
      </c>
      <c r="I722">
        <f>IF(D722="","",D722&gt;=5)</f>
        <v/>
      </c>
      <c r="J722">
        <f>IF(F722="","",F722&gt;=5)</f>
        <v/>
      </c>
      <c r="K722">
        <f>IF(H722="","",H722&gt;=75)</f>
        <v/>
      </c>
      <c r="L722">
        <f>IF(OR(I722="",J722="",K722=""),FALSE,AND(I722,J722,K722))</f>
        <v/>
      </c>
    </row>
    <row r="723">
      <c r="A723">
        <f>Universe!A723</f>
        <v/>
      </c>
      <c r="B723" s="10" t="n"/>
      <c r="C723" s="11">
        <f>IF(B723="","",PERCENTRANK.INC($B$2:$B$2501,B723)*100)</f>
        <v/>
      </c>
      <c r="D723" s="10" t="n"/>
      <c r="E723" s="10">
        <f>IF(D723="","",MIN(D723,100))</f>
        <v/>
      </c>
      <c r="F723" s="10" t="n"/>
      <c r="G723" s="10">
        <f>IF(F723="","",MIN(F723,100))</f>
        <v/>
      </c>
      <c r="H723" s="11">
        <f>IF(A723="","",Universe!E723/BDP(A723&amp;" US Equity","HIGH_52WEEK")*100)</f>
        <v/>
      </c>
      <c r="I723">
        <f>IF(D723="","",D723&gt;=5)</f>
        <v/>
      </c>
      <c r="J723">
        <f>IF(F723="","",F723&gt;=5)</f>
        <v/>
      </c>
      <c r="K723">
        <f>IF(H723="","",H723&gt;=75)</f>
        <v/>
      </c>
      <c r="L723">
        <f>IF(OR(I723="",J723="",K723=""),FALSE,AND(I723,J723,K723))</f>
        <v/>
      </c>
    </row>
    <row r="724">
      <c r="A724">
        <f>Universe!A724</f>
        <v/>
      </c>
      <c r="B724" s="10" t="n"/>
      <c r="C724" s="11">
        <f>IF(B724="","",PERCENTRANK.INC($B$2:$B$2501,B724)*100)</f>
        <v/>
      </c>
      <c r="D724" s="10" t="n"/>
      <c r="E724" s="10">
        <f>IF(D724="","",MIN(D724,100))</f>
        <v/>
      </c>
      <c r="F724" s="10" t="n"/>
      <c r="G724" s="10">
        <f>IF(F724="","",MIN(F724,100))</f>
        <v/>
      </c>
      <c r="H724" s="11">
        <f>IF(A724="","",Universe!E724/BDP(A724&amp;" US Equity","HIGH_52WEEK")*100)</f>
        <v/>
      </c>
      <c r="I724">
        <f>IF(D724="","",D724&gt;=5)</f>
        <v/>
      </c>
      <c r="J724">
        <f>IF(F724="","",F724&gt;=5)</f>
        <v/>
      </c>
      <c r="K724">
        <f>IF(H724="","",H724&gt;=75)</f>
        <v/>
      </c>
      <c r="L724">
        <f>IF(OR(I724="",J724="",K724=""),FALSE,AND(I724,J724,K724))</f>
        <v/>
      </c>
    </row>
    <row r="725">
      <c r="A725">
        <f>Universe!A725</f>
        <v/>
      </c>
      <c r="B725" s="10" t="n"/>
      <c r="C725" s="11">
        <f>IF(B725="","",PERCENTRANK.INC($B$2:$B$2501,B725)*100)</f>
        <v/>
      </c>
      <c r="D725" s="10" t="n"/>
      <c r="E725" s="10">
        <f>IF(D725="","",MIN(D725,100))</f>
        <v/>
      </c>
      <c r="F725" s="10" t="n"/>
      <c r="G725" s="10">
        <f>IF(F725="","",MIN(F725,100))</f>
        <v/>
      </c>
      <c r="H725" s="11">
        <f>IF(A725="","",Universe!E725/BDP(A725&amp;" US Equity","HIGH_52WEEK")*100)</f>
        <v/>
      </c>
      <c r="I725">
        <f>IF(D725="","",D725&gt;=5)</f>
        <v/>
      </c>
      <c r="J725">
        <f>IF(F725="","",F725&gt;=5)</f>
        <v/>
      </c>
      <c r="K725">
        <f>IF(H725="","",H725&gt;=75)</f>
        <v/>
      </c>
      <c r="L725">
        <f>IF(OR(I725="",J725="",K725=""),FALSE,AND(I725,J725,K725))</f>
        <v/>
      </c>
    </row>
    <row r="726">
      <c r="A726">
        <f>Universe!A726</f>
        <v/>
      </c>
      <c r="B726" s="10" t="n"/>
      <c r="C726" s="11">
        <f>IF(B726="","",PERCENTRANK.INC($B$2:$B$2501,B726)*100)</f>
        <v/>
      </c>
      <c r="D726" s="10" t="n"/>
      <c r="E726" s="10">
        <f>IF(D726="","",MIN(D726,100))</f>
        <v/>
      </c>
      <c r="F726" s="10" t="n"/>
      <c r="G726" s="10">
        <f>IF(F726="","",MIN(F726,100))</f>
        <v/>
      </c>
      <c r="H726" s="11">
        <f>IF(A726="","",Universe!E726/BDP(A726&amp;" US Equity","HIGH_52WEEK")*100)</f>
        <v/>
      </c>
      <c r="I726">
        <f>IF(D726="","",D726&gt;=5)</f>
        <v/>
      </c>
      <c r="J726">
        <f>IF(F726="","",F726&gt;=5)</f>
        <v/>
      </c>
      <c r="K726">
        <f>IF(H726="","",H726&gt;=75)</f>
        <v/>
      </c>
      <c r="L726">
        <f>IF(OR(I726="",J726="",K726=""),FALSE,AND(I726,J726,K726))</f>
        <v/>
      </c>
    </row>
    <row r="727">
      <c r="A727">
        <f>Universe!A727</f>
        <v/>
      </c>
      <c r="B727" s="10" t="n"/>
      <c r="C727" s="11">
        <f>IF(B727="","",PERCENTRANK.INC($B$2:$B$2501,B727)*100)</f>
        <v/>
      </c>
      <c r="D727" s="10" t="n"/>
      <c r="E727" s="10">
        <f>IF(D727="","",MIN(D727,100))</f>
        <v/>
      </c>
      <c r="F727" s="10" t="n"/>
      <c r="G727" s="10">
        <f>IF(F727="","",MIN(F727,100))</f>
        <v/>
      </c>
      <c r="H727" s="11">
        <f>IF(A727="","",Universe!E727/BDP(A727&amp;" US Equity","HIGH_52WEEK")*100)</f>
        <v/>
      </c>
      <c r="I727">
        <f>IF(D727="","",D727&gt;=5)</f>
        <v/>
      </c>
      <c r="J727">
        <f>IF(F727="","",F727&gt;=5)</f>
        <v/>
      </c>
      <c r="K727">
        <f>IF(H727="","",H727&gt;=75)</f>
        <v/>
      </c>
      <c r="L727">
        <f>IF(OR(I727="",J727="",K727=""),FALSE,AND(I727,J727,K727))</f>
        <v/>
      </c>
    </row>
    <row r="728">
      <c r="A728">
        <f>Universe!A728</f>
        <v/>
      </c>
      <c r="B728" s="10" t="n"/>
      <c r="C728" s="11">
        <f>IF(B728="","",PERCENTRANK.INC($B$2:$B$2501,B728)*100)</f>
        <v/>
      </c>
      <c r="D728" s="10" t="n"/>
      <c r="E728" s="10">
        <f>IF(D728="","",MIN(D728,100))</f>
        <v/>
      </c>
      <c r="F728" s="10" t="n"/>
      <c r="G728" s="10">
        <f>IF(F728="","",MIN(F728,100))</f>
        <v/>
      </c>
      <c r="H728" s="11">
        <f>IF(A728="","",Universe!E728/BDP(A728&amp;" US Equity","HIGH_52WEEK")*100)</f>
        <v/>
      </c>
      <c r="I728">
        <f>IF(D728="","",D728&gt;=5)</f>
        <v/>
      </c>
      <c r="J728">
        <f>IF(F728="","",F728&gt;=5)</f>
        <v/>
      </c>
      <c r="K728">
        <f>IF(H728="","",H728&gt;=75)</f>
        <v/>
      </c>
      <c r="L728">
        <f>IF(OR(I728="",J728="",K728=""),FALSE,AND(I728,J728,K728))</f>
        <v/>
      </c>
    </row>
    <row r="729">
      <c r="A729">
        <f>Universe!A729</f>
        <v/>
      </c>
      <c r="B729" s="10" t="n"/>
      <c r="C729" s="11">
        <f>IF(B729="","",PERCENTRANK.INC($B$2:$B$2501,B729)*100)</f>
        <v/>
      </c>
      <c r="D729" s="10" t="n"/>
      <c r="E729" s="10">
        <f>IF(D729="","",MIN(D729,100))</f>
        <v/>
      </c>
      <c r="F729" s="10" t="n"/>
      <c r="G729" s="10">
        <f>IF(F729="","",MIN(F729,100))</f>
        <v/>
      </c>
      <c r="H729" s="11">
        <f>IF(A729="","",Universe!E729/BDP(A729&amp;" US Equity","HIGH_52WEEK")*100)</f>
        <v/>
      </c>
      <c r="I729">
        <f>IF(D729="","",D729&gt;=5)</f>
        <v/>
      </c>
      <c r="J729">
        <f>IF(F729="","",F729&gt;=5)</f>
        <v/>
      </c>
      <c r="K729">
        <f>IF(H729="","",H729&gt;=75)</f>
        <v/>
      </c>
      <c r="L729">
        <f>IF(OR(I729="",J729="",K729=""),FALSE,AND(I729,J729,K729))</f>
        <v/>
      </c>
    </row>
    <row r="730">
      <c r="A730">
        <f>Universe!A730</f>
        <v/>
      </c>
      <c r="B730" s="10" t="n"/>
      <c r="C730" s="11">
        <f>IF(B730="","",PERCENTRANK.INC($B$2:$B$2501,B730)*100)</f>
        <v/>
      </c>
      <c r="D730" s="10" t="n"/>
      <c r="E730" s="10">
        <f>IF(D730="","",MIN(D730,100))</f>
        <v/>
      </c>
      <c r="F730" s="10" t="n"/>
      <c r="G730" s="10">
        <f>IF(F730="","",MIN(F730,100))</f>
        <v/>
      </c>
      <c r="H730" s="11">
        <f>IF(A730="","",Universe!E730/BDP(A730&amp;" US Equity","HIGH_52WEEK")*100)</f>
        <v/>
      </c>
      <c r="I730">
        <f>IF(D730="","",D730&gt;=5)</f>
        <v/>
      </c>
      <c r="J730">
        <f>IF(F730="","",F730&gt;=5)</f>
        <v/>
      </c>
      <c r="K730">
        <f>IF(H730="","",H730&gt;=75)</f>
        <v/>
      </c>
      <c r="L730">
        <f>IF(OR(I730="",J730="",K730=""),FALSE,AND(I730,J730,K730))</f>
        <v/>
      </c>
    </row>
    <row r="731">
      <c r="A731">
        <f>Universe!A731</f>
        <v/>
      </c>
      <c r="B731" s="10" t="n"/>
      <c r="C731" s="11">
        <f>IF(B731="","",PERCENTRANK.INC($B$2:$B$2501,B731)*100)</f>
        <v/>
      </c>
      <c r="D731" s="10" t="n"/>
      <c r="E731" s="10">
        <f>IF(D731="","",MIN(D731,100))</f>
        <v/>
      </c>
      <c r="F731" s="10" t="n"/>
      <c r="G731" s="10">
        <f>IF(F731="","",MIN(F731,100))</f>
        <v/>
      </c>
      <c r="H731" s="11">
        <f>IF(A731="","",Universe!E731/BDP(A731&amp;" US Equity","HIGH_52WEEK")*100)</f>
        <v/>
      </c>
      <c r="I731">
        <f>IF(D731="","",D731&gt;=5)</f>
        <v/>
      </c>
      <c r="J731">
        <f>IF(F731="","",F731&gt;=5)</f>
        <v/>
      </c>
      <c r="K731">
        <f>IF(H731="","",H731&gt;=75)</f>
        <v/>
      </c>
      <c r="L731">
        <f>IF(OR(I731="",J731="",K731=""),FALSE,AND(I731,J731,K731))</f>
        <v/>
      </c>
    </row>
    <row r="732">
      <c r="A732">
        <f>Universe!A732</f>
        <v/>
      </c>
      <c r="B732" s="10" t="n"/>
      <c r="C732" s="11">
        <f>IF(B732="","",PERCENTRANK.INC($B$2:$B$2501,B732)*100)</f>
        <v/>
      </c>
      <c r="D732" s="10" t="n"/>
      <c r="E732" s="10">
        <f>IF(D732="","",MIN(D732,100))</f>
        <v/>
      </c>
      <c r="F732" s="10" t="n"/>
      <c r="G732" s="10">
        <f>IF(F732="","",MIN(F732,100))</f>
        <v/>
      </c>
      <c r="H732" s="11">
        <f>IF(A732="","",Universe!E732/BDP(A732&amp;" US Equity","HIGH_52WEEK")*100)</f>
        <v/>
      </c>
      <c r="I732">
        <f>IF(D732="","",D732&gt;=5)</f>
        <v/>
      </c>
      <c r="J732">
        <f>IF(F732="","",F732&gt;=5)</f>
        <v/>
      </c>
      <c r="K732">
        <f>IF(H732="","",H732&gt;=75)</f>
        <v/>
      </c>
      <c r="L732">
        <f>IF(OR(I732="",J732="",K732=""),FALSE,AND(I732,J732,K732))</f>
        <v/>
      </c>
    </row>
    <row r="733">
      <c r="A733">
        <f>Universe!A733</f>
        <v/>
      </c>
      <c r="B733" s="10" t="n"/>
      <c r="C733" s="11">
        <f>IF(B733="","",PERCENTRANK.INC($B$2:$B$2501,B733)*100)</f>
        <v/>
      </c>
      <c r="D733" s="10" t="n"/>
      <c r="E733" s="10">
        <f>IF(D733="","",MIN(D733,100))</f>
        <v/>
      </c>
      <c r="F733" s="10" t="n"/>
      <c r="G733" s="10">
        <f>IF(F733="","",MIN(F733,100))</f>
        <v/>
      </c>
      <c r="H733" s="11">
        <f>IF(A733="","",Universe!E733/BDP(A733&amp;" US Equity","HIGH_52WEEK")*100)</f>
        <v/>
      </c>
      <c r="I733">
        <f>IF(D733="","",D733&gt;=5)</f>
        <v/>
      </c>
      <c r="J733">
        <f>IF(F733="","",F733&gt;=5)</f>
        <v/>
      </c>
      <c r="K733">
        <f>IF(H733="","",H733&gt;=75)</f>
        <v/>
      </c>
      <c r="L733">
        <f>IF(OR(I733="",J733="",K733=""),FALSE,AND(I733,J733,K733))</f>
        <v/>
      </c>
    </row>
    <row r="734">
      <c r="A734">
        <f>Universe!A734</f>
        <v/>
      </c>
      <c r="B734" s="10" t="n"/>
      <c r="C734" s="11">
        <f>IF(B734="","",PERCENTRANK.INC($B$2:$B$2501,B734)*100)</f>
        <v/>
      </c>
      <c r="D734" s="10" t="n"/>
      <c r="E734" s="10">
        <f>IF(D734="","",MIN(D734,100))</f>
        <v/>
      </c>
      <c r="F734" s="10" t="n"/>
      <c r="G734" s="10">
        <f>IF(F734="","",MIN(F734,100))</f>
        <v/>
      </c>
      <c r="H734" s="11">
        <f>IF(A734="","",Universe!E734/BDP(A734&amp;" US Equity","HIGH_52WEEK")*100)</f>
        <v/>
      </c>
      <c r="I734">
        <f>IF(D734="","",D734&gt;=5)</f>
        <v/>
      </c>
      <c r="J734">
        <f>IF(F734="","",F734&gt;=5)</f>
        <v/>
      </c>
      <c r="K734">
        <f>IF(H734="","",H734&gt;=75)</f>
        <v/>
      </c>
      <c r="L734">
        <f>IF(OR(I734="",J734="",K734=""),FALSE,AND(I734,J734,K734))</f>
        <v/>
      </c>
    </row>
    <row r="735">
      <c r="A735">
        <f>Universe!A735</f>
        <v/>
      </c>
      <c r="B735" s="10" t="n"/>
      <c r="C735" s="11">
        <f>IF(B735="","",PERCENTRANK.INC($B$2:$B$2501,B735)*100)</f>
        <v/>
      </c>
      <c r="D735" s="10" t="n"/>
      <c r="E735" s="10">
        <f>IF(D735="","",MIN(D735,100))</f>
        <v/>
      </c>
      <c r="F735" s="10" t="n"/>
      <c r="G735" s="10">
        <f>IF(F735="","",MIN(F735,100))</f>
        <v/>
      </c>
      <c r="H735" s="11">
        <f>IF(A735="","",Universe!E735/BDP(A735&amp;" US Equity","HIGH_52WEEK")*100)</f>
        <v/>
      </c>
      <c r="I735">
        <f>IF(D735="","",D735&gt;=5)</f>
        <v/>
      </c>
      <c r="J735">
        <f>IF(F735="","",F735&gt;=5)</f>
        <v/>
      </c>
      <c r="K735">
        <f>IF(H735="","",H735&gt;=75)</f>
        <v/>
      </c>
      <c r="L735">
        <f>IF(OR(I735="",J735="",K735=""),FALSE,AND(I735,J735,K735))</f>
        <v/>
      </c>
    </row>
    <row r="736">
      <c r="A736">
        <f>Universe!A736</f>
        <v/>
      </c>
      <c r="B736" s="10" t="n"/>
      <c r="C736" s="11">
        <f>IF(B736="","",PERCENTRANK.INC($B$2:$B$2501,B736)*100)</f>
        <v/>
      </c>
      <c r="D736" s="10" t="n"/>
      <c r="E736" s="10">
        <f>IF(D736="","",MIN(D736,100))</f>
        <v/>
      </c>
      <c r="F736" s="10" t="n"/>
      <c r="G736" s="10">
        <f>IF(F736="","",MIN(F736,100))</f>
        <v/>
      </c>
      <c r="H736" s="11">
        <f>IF(A736="","",Universe!E736/BDP(A736&amp;" US Equity","HIGH_52WEEK")*100)</f>
        <v/>
      </c>
      <c r="I736">
        <f>IF(D736="","",D736&gt;=5)</f>
        <v/>
      </c>
      <c r="J736">
        <f>IF(F736="","",F736&gt;=5)</f>
        <v/>
      </c>
      <c r="K736">
        <f>IF(H736="","",H736&gt;=75)</f>
        <v/>
      </c>
      <c r="L736">
        <f>IF(OR(I736="",J736="",K736=""),FALSE,AND(I736,J736,K736))</f>
        <v/>
      </c>
    </row>
    <row r="737">
      <c r="A737">
        <f>Universe!A737</f>
        <v/>
      </c>
      <c r="B737" s="10" t="n"/>
      <c r="C737" s="11">
        <f>IF(B737="","",PERCENTRANK.INC($B$2:$B$2501,B737)*100)</f>
        <v/>
      </c>
      <c r="D737" s="10" t="n"/>
      <c r="E737" s="10">
        <f>IF(D737="","",MIN(D737,100))</f>
        <v/>
      </c>
      <c r="F737" s="10" t="n"/>
      <c r="G737" s="10">
        <f>IF(F737="","",MIN(F737,100))</f>
        <v/>
      </c>
      <c r="H737" s="11">
        <f>IF(A737="","",Universe!E737/BDP(A737&amp;" US Equity","HIGH_52WEEK")*100)</f>
        <v/>
      </c>
      <c r="I737">
        <f>IF(D737="","",D737&gt;=5)</f>
        <v/>
      </c>
      <c r="J737">
        <f>IF(F737="","",F737&gt;=5)</f>
        <v/>
      </c>
      <c r="K737">
        <f>IF(H737="","",H737&gt;=75)</f>
        <v/>
      </c>
      <c r="L737">
        <f>IF(OR(I737="",J737="",K737=""),FALSE,AND(I737,J737,K737))</f>
        <v/>
      </c>
    </row>
    <row r="738">
      <c r="A738">
        <f>Universe!A738</f>
        <v/>
      </c>
      <c r="B738" s="10" t="n"/>
      <c r="C738" s="11">
        <f>IF(B738="","",PERCENTRANK.INC($B$2:$B$2501,B738)*100)</f>
        <v/>
      </c>
      <c r="D738" s="10" t="n"/>
      <c r="E738" s="10">
        <f>IF(D738="","",MIN(D738,100))</f>
        <v/>
      </c>
      <c r="F738" s="10" t="n"/>
      <c r="G738" s="10">
        <f>IF(F738="","",MIN(F738,100))</f>
        <v/>
      </c>
      <c r="H738" s="11">
        <f>IF(A738="","",Universe!E738/BDP(A738&amp;" US Equity","HIGH_52WEEK")*100)</f>
        <v/>
      </c>
      <c r="I738">
        <f>IF(D738="","",D738&gt;=5)</f>
        <v/>
      </c>
      <c r="J738">
        <f>IF(F738="","",F738&gt;=5)</f>
        <v/>
      </c>
      <c r="K738">
        <f>IF(H738="","",H738&gt;=75)</f>
        <v/>
      </c>
      <c r="L738">
        <f>IF(OR(I738="",J738="",K738=""),FALSE,AND(I738,J738,K738))</f>
        <v/>
      </c>
    </row>
    <row r="739">
      <c r="A739">
        <f>Universe!A739</f>
        <v/>
      </c>
      <c r="B739" s="10" t="n"/>
      <c r="C739" s="11">
        <f>IF(B739="","",PERCENTRANK.INC($B$2:$B$2501,B739)*100)</f>
        <v/>
      </c>
      <c r="D739" s="10" t="n"/>
      <c r="E739" s="10">
        <f>IF(D739="","",MIN(D739,100))</f>
        <v/>
      </c>
      <c r="F739" s="10" t="n"/>
      <c r="G739" s="10">
        <f>IF(F739="","",MIN(F739,100))</f>
        <v/>
      </c>
      <c r="H739" s="11">
        <f>IF(A739="","",Universe!E739/BDP(A739&amp;" US Equity","HIGH_52WEEK")*100)</f>
        <v/>
      </c>
      <c r="I739">
        <f>IF(D739="","",D739&gt;=5)</f>
        <v/>
      </c>
      <c r="J739">
        <f>IF(F739="","",F739&gt;=5)</f>
        <v/>
      </c>
      <c r="K739">
        <f>IF(H739="","",H739&gt;=75)</f>
        <v/>
      </c>
      <c r="L739">
        <f>IF(OR(I739="",J739="",K739=""),FALSE,AND(I739,J739,K739))</f>
        <v/>
      </c>
    </row>
    <row r="740">
      <c r="A740">
        <f>Universe!A740</f>
        <v/>
      </c>
      <c r="B740" s="10" t="n"/>
      <c r="C740" s="11">
        <f>IF(B740="","",PERCENTRANK.INC($B$2:$B$2501,B740)*100)</f>
        <v/>
      </c>
      <c r="D740" s="10" t="n"/>
      <c r="E740" s="10">
        <f>IF(D740="","",MIN(D740,100))</f>
        <v/>
      </c>
      <c r="F740" s="10" t="n"/>
      <c r="G740" s="10">
        <f>IF(F740="","",MIN(F740,100))</f>
        <v/>
      </c>
      <c r="H740" s="11">
        <f>IF(A740="","",Universe!E740/BDP(A740&amp;" US Equity","HIGH_52WEEK")*100)</f>
        <v/>
      </c>
      <c r="I740">
        <f>IF(D740="","",D740&gt;=5)</f>
        <v/>
      </c>
      <c r="J740">
        <f>IF(F740="","",F740&gt;=5)</f>
        <v/>
      </c>
      <c r="K740">
        <f>IF(H740="","",H740&gt;=75)</f>
        <v/>
      </c>
      <c r="L740">
        <f>IF(OR(I740="",J740="",K740=""),FALSE,AND(I740,J740,K740))</f>
        <v/>
      </c>
    </row>
    <row r="741">
      <c r="A741">
        <f>Universe!A741</f>
        <v/>
      </c>
      <c r="B741" s="10" t="n"/>
      <c r="C741" s="11">
        <f>IF(B741="","",PERCENTRANK.INC($B$2:$B$2501,B741)*100)</f>
        <v/>
      </c>
      <c r="D741" s="10" t="n"/>
      <c r="E741" s="10">
        <f>IF(D741="","",MIN(D741,100))</f>
        <v/>
      </c>
      <c r="F741" s="10" t="n"/>
      <c r="G741" s="10">
        <f>IF(F741="","",MIN(F741,100))</f>
        <v/>
      </c>
      <c r="H741" s="11">
        <f>IF(A741="","",Universe!E741/BDP(A741&amp;" US Equity","HIGH_52WEEK")*100)</f>
        <v/>
      </c>
      <c r="I741">
        <f>IF(D741="","",D741&gt;=5)</f>
        <v/>
      </c>
      <c r="J741">
        <f>IF(F741="","",F741&gt;=5)</f>
        <v/>
      </c>
      <c r="K741">
        <f>IF(H741="","",H741&gt;=75)</f>
        <v/>
      </c>
      <c r="L741">
        <f>IF(OR(I741="",J741="",K741=""),FALSE,AND(I741,J741,K741))</f>
        <v/>
      </c>
    </row>
    <row r="742">
      <c r="A742">
        <f>Universe!A742</f>
        <v/>
      </c>
      <c r="B742" s="10" t="n"/>
      <c r="C742" s="11">
        <f>IF(B742="","",PERCENTRANK.INC($B$2:$B$2501,B742)*100)</f>
        <v/>
      </c>
      <c r="D742" s="10" t="n"/>
      <c r="E742" s="10">
        <f>IF(D742="","",MIN(D742,100))</f>
        <v/>
      </c>
      <c r="F742" s="10" t="n"/>
      <c r="G742" s="10">
        <f>IF(F742="","",MIN(F742,100))</f>
        <v/>
      </c>
      <c r="H742" s="11">
        <f>IF(A742="","",Universe!E742/BDP(A742&amp;" US Equity","HIGH_52WEEK")*100)</f>
        <v/>
      </c>
      <c r="I742">
        <f>IF(D742="","",D742&gt;=5)</f>
        <v/>
      </c>
      <c r="J742">
        <f>IF(F742="","",F742&gt;=5)</f>
        <v/>
      </c>
      <c r="K742">
        <f>IF(H742="","",H742&gt;=75)</f>
        <v/>
      </c>
      <c r="L742">
        <f>IF(OR(I742="",J742="",K742=""),FALSE,AND(I742,J742,K742))</f>
        <v/>
      </c>
    </row>
    <row r="743">
      <c r="A743">
        <f>Universe!A743</f>
        <v/>
      </c>
      <c r="B743" s="10" t="n"/>
      <c r="C743" s="11">
        <f>IF(B743="","",PERCENTRANK.INC($B$2:$B$2501,B743)*100)</f>
        <v/>
      </c>
      <c r="D743" s="10" t="n"/>
      <c r="E743" s="10">
        <f>IF(D743="","",MIN(D743,100))</f>
        <v/>
      </c>
      <c r="F743" s="10" t="n"/>
      <c r="G743" s="10">
        <f>IF(F743="","",MIN(F743,100))</f>
        <v/>
      </c>
      <c r="H743" s="11">
        <f>IF(A743="","",Universe!E743/BDP(A743&amp;" US Equity","HIGH_52WEEK")*100)</f>
        <v/>
      </c>
      <c r="I743">
        <f>IF(D743="","",D743&gt;=5)</f>
        <v/>
      </c>
      <c r="J743">
        <f>IF(F743="","",F743&gt;=5)</f>
        <v/>
      </c>
      <c r="K743">
        <f>IF(H743="","",H743&gt;=75)</f>
        <v/>
      </c>
      <c r="L743">
        <f>IF(OR(I743="",J743="",K743=""),FALSE,AND(I743,J743,K743))</f>
        <v/>
      </c>
    </row>
    <row r="744">
      <c r="A744">
        <f>Universe!A744</f>
        <v/>
      </c>
      <c r="B744" s="10" t="n"/>
      <c r="C744" s="11">
        <f>IF(B744="","",PERCENTRANK.INC($B$2:$B$2501,B744)*100)</f>
        <v/>
      </c>
      <c r="D744" s="10" t="n"/>
      <c r="E744" s="10">
        <f>IF(D744="","",MIN(D744,100))</f>
        <v/>
      </c>
      <c r="F744" s="10" t="n"/>
      <c r="G744" s="10">
        <f>IF(F744="","",MIN(F744,100))</f>
        <v/>
      </c>
      <c r="H744" s="11">
        <f>IF(A744="","",Universe!E744/BDP(A744&amp;" US Equity","HIGH_52WEEK")*100)</f>
        <v/>
      </c>
      <c r="I744">
        <f>IF(D744="","",D744&gt;=5)</f>
        <v/>
      </c>
      <c r="J744">
        <f>IF(F744="","",F744&gt;=5)</f>
        <v/>
      </c>
      <c r="K744">
        <f>IF(H744="","",H744&gt;=75)</f>
        <v/>
      </c>
      <c r="L744">
        <f>IF(OR(I744="",J744="",K744=""),FALSE,AND(I744,J744,K744))</f>
        <v/>
      </c>
    </row>
    <row r="745">
      <c r="A745">
        <f>Universe!A745</f>
        <v/>
      </c>
      <c r="B745" s="10" t="n"/>
      <c r="C745" s="11">
        <f>IF(B745="","",PERCENTRANK.INC($B$2:$B$2501,B745)*100)</f>
        <v/>
      </c>
      <c r="D745" s="10" t="n"/>
      <c r="E745" s="10">
        <f>IF(D745="","",MIN(D745,100))</f>
        <v/>
      </c>
      <c r="F745" s="10" t="n"/>
      <c r="G745" s="10">
        <f>IF(F745="","",MIN(F745,100))</f>
        <v/>
      </c>
      <c r="H745" s="11">
        <f>IF(A745="","",Universe!E745/BDP(A745&amp;" US Equity","HIGH_52WEEK")*100)</f>
        <v/>
      </c>
      <c r="I745">
        <f>IF(D745="","",D745&gt;=5)</f>
        <v/>
      </c>
      <c r="J745">
        <f>IF(F745="","",F745&gt;=5)</f>
        <v/>
      </c>
      <c r="K745">
        <f>IF(H745="","",H745&gt;=75)</f>
        <v/>
      </c>
      <c r="L745">
        <f>IF(OR(I745="",J745="",K745=""),FALSE,AND(I745,J745,K745))</f>
        <v/>
      </c>
    </row>
    <row r="746">
      <c r="A746">
        <f>Universe!A746</f>
        <v/>
      </c>
      <c r="B746" s="10" t="n"/>
      <c r="C746" s="11">
        <f>IF(B746="","",PERCENTRANK.INC($B$2:$B$2501,B746)*100)</f>
        <v/>
      </c>
      <c r="D746" s="10" t="n"/>
      <c r="E746" s="10">
        <f>IF(D746="","",MIN(D746,100))</f>
        <v/>
      </c>
      <c r="F746" s="10" t="n"/>
      <c r="G746" s="10">
        <f>IF(F746="","",MIN(F746,100))</f>
        <v/>
      </c>
      <c r="H746" s="11">
        <f>IF(A746="","",Universe!E746/BDP(A746&amp;" US Equity","HIGH_52WEEK")*100)</f>
        <v/>
      </c>
      <c r="I746">
        <f>IF(D746="","",D746&gt;=5)</f>
        <v/>
      </c>
      <c r="J746">
        <f>IF(F746="","",F746&gt;=5)</f>
        <v/>
      </c>
      <c r="K746">
        <f>IF(H746="","",H746&gt;=75)</f>
        <v/>
      </c>
      <c r="L746">
        <f>IF(OR(I746="",J746="",K746=""),FALSE,AND(I746,J746,K746))</f>
        <v/>
      </c>
    </row>
    <row r="747">
      <c r="A747">
        <f>Universe!A747</f>
        <v/>
      </c>
      <c r="B747" s="10" t="n"/>
      <c r="C747" s="11">
        <f>IF(B747="","",PERCENTRANK.INC($B$2:$B$2501,B747)*100)</f>
        <v/>
      </c>
      <c r="D747" s="10" t="n"/>
      <c r="E747" s="10">
        <f>IF(D747="","",MIN(D747,100))</f>
        <v/>
      </c>
      <c r="F747" s="10" t="n"/>
      <c r="G747" s="10">
        <f>IF(F747="","",MIN(F747,100))</f>
        <v/>
      </c>
      <c r="H747" s="11">
        <f>IF(A747="","",Universe!E747/BDP(A747&amp;" US Equity","HIGH_52WEEK")*100)</f>
        <v/>
      </c>
      <c r="I747">
        <f>IF(D747="","",D747&gt;=5)</f>
        <v/>
      </c>
      <c r="J747">
        <f>IF(F747="","",F747&gt;=5)</f>
        <v/>
      </c>
      <c r="K747">
        <f>IF(H747="","",H747&gt;=75)</f>
        <v/>
      </c>
      <c r="L747">
        <f>IF(OR(I747="",J747="",K747=""),FALSE,AND(I747,J747,K747))</f>
        <v/>
      </c>
    </row>
    <row r="748">
      <c r="A748">
        <f>Universe!A748</f>
        <v/>
      </c>
      <c r="B748" s="10" t="n"/>
      <c r="C748" s="11">
        <f>IF(B748="","",PERCENTRANK.INC($B$2:$B$2501,B748)*100)</f>
        <v/>
      </c>
      <c r="D748" s="10" t="n"/>
      <c r="E748" s="10">
        <f>IF(D748="","",MIN(D748,100))</f>
        <v/>
      </c>
      <c r="F748" s="10" t="n"/>
      <c r="G748" s="10">
        <f>IF(F748="","",MIN(F748,100))</f>
        <v/>
      </c>
      <c r="H748" s="11">
        <f>IF(A748="","",Universe!E748/BDP(A748&amp;" US Equity","HIGH_52WEEK")*100)</f>
        <v/>
      </c>
      <c r="I748">
        <f>IF(D748="","",D748&gt;=5)</f>
        <v/>
      </c>
      <c r="J748">
        <f>IF(F748="","",F748&gt;=5)</f>
        <v/>
      </c>
      <c r="K748">
        <f>IF(H748="","",H748&gt;=75)</f>
        <v/>
      </c>
      <c r="L748">
        <f>IF(OR(I748="",J748="",K748=""),FALSE,AND(I748,J748,K748))</f>
        <v/>
      </c>
    </row>
    <row r="749">
      <c r="A749">
        <f>Universe!A749</f>
        <v/>
      </c>
      <c r="B749" s="10" t="n"/>
      <c r="C749" s="11">
        <f>IF(B749="","",PERCENTRANK.INC($B$2:$B$2501,B749)*100)</f>
        <v/>
      </c>
      <c r="D749" s="10" t="n"/>
      <c r="E749" s="10">
        <f>IF(D749="","",MIN(D749,100))</f>
        <v/>
      </c>
      <c r="F749" s="10" t="n"/>
      <c r="G749" s="10">
        <f>IF(F749="","",MIN(F749,100))</f>
        <v/>
      </c>
      <c r="H749" s="11">
        <f>IF(A749="","",Universe!E749/BDP(A749&amp;" US Equity","HIGH_52WEEK")*100)</f>
        <v/>
      </c>
      <c r="I749">
        <f>IF(D749="","",D749&gt;=5)</f>
        <v/>
      </c>
      <c r="J749">
        <f>IF(F749="","",F749&gt;=5)</f>
        <v/>
      </c>
      <c r="K749">
        <f>IF(H749="","",H749&gt;=75)</f>
        <v/>
      </c>
      <c r="L749">
        <f>IF(OR(I749="",J749="",K749=""),FALSE,AND(I749,J749,K749))</f>
        <v/>
      </c>
    </row>
    <row r="750">
      <c r="A750">
        <f>Universe!A750</f>
        <v/>
      </c>
      <c r="B750" s="10" t="n"/>
      <c r="C750" s="11">
        <f>IF(B750="","",PERCENTRANK.INC($B$2:$B$2501,B750)*100)</f>
        <v/>
      </c>
      <c r="D750" s="10" t="n"/>
      <c r="E750" s="10">
        <f>IF(D750="","",MIN(D750,100))</f>
        <v/>
      </c>
      <c r="F750" s="10" t="n"/>
      <c r="G750" s="10">
        <f>IF(F750="","",MIN(F750,100))</f>
        <v/>
      </c>
      <c r="H750" s="11">
        <f>IF(A750="","",Universe!E750/BDP(A750&amp;" US Equity","HIGH_52WEEK")*100)</f>
        <v/>
      </c>
      <c r="I750">
        <f>IF(D750="","",D750&gt;=5)</f>
        <v/>
      </c>
      <c r="J750">
        <f>IF(F750="","",F750&gt;=5)</f>
        <v/>
      </c>
      <c r="K750">
        <f>IF(H750="","",H750&gt;=75)</f>
        <v/>
      </c>
      <c r="L750">
        <f>IF(OR(I750="",J750="",K750=""),FALSE,AND(I750,J750,K750))</f>
        <v/>
      </c>
    </row>
    <row r="751">
      <c r="A751">
        <f>Universe!A751</f>
        <v/>
      </c>
      <c r="B751" s="10" t="n"/>
      <c r="C751" s="11">
        <f>IF(B751="","",PERCENTRANK.INC($B$2:$B$2501,B751)*100)</f>
        <v/>
      </c>
      <c r="D751" s="10" t="n"/>
      <c r="E751" s="10">
        <f>IF(D751="","",MIN(D751,100))</f>
        <v/>
      </c>
      <c r="F751" s="10" t="n"/>
      <c r="G751" s="10">
        <f>IF(F751="","",MIN(F751,100))</f>
        <v/>
      </c>
      <c r="H751" s="11">
        <f>IF(A751="","",Universe!E751/BDP(A751&amp;" US Equity","HIGH_52WEEK")*100)</f>
        <v/>
      </c>
      <c r="I751">
        <f>IF(D751="","",D751&gt;=5)</f>
        <v/>
      </c>
      <c r="J751">
        <f>IF(F751="","",F751&gt;=5)</f>
        <v/>
      </c>
      <c r="K751">
        <f>IF(H751="","",H751&gt;=75)</f>
        <v/>
      </c>
      <c r="L751">
        <f>IF(OR(I751="",J751="",K751=""),FALSE,AND(I751,J751,K751))</f>
        <v/>
      </c>
    </row>
    <row r="752">
      <c r="A752">
        <f>Universe!A752</f>
        <v/>
      </c>
      <c r="B752" s="10" t="n"/>
      <c r="C752" s="11">
        <f>IF(B752="","",PERCENTRANK.INC($B$2:$B$2501,B752)*100)</f>
        <v/>
      </c>
      <c r="D752" s="10" t="n"/>
      <c r="E752" s="10">
        <f>IF(D752="","",MIN(D752,100))</f>
        <v/>
      </c>
      <c r="F752" s="10" t="n"/>
      <c r="G752" s="10">
        <f>IF(F752="","",MIN(F752,100))</f>
        <v/>
      </c>
      <c r="H752" s="11">
        <f>IF(A752="","",Universe!E752/BDP(A752&amp;" US Equity","HIGH_52WEEK")*100)</f>
        <v/>
      </c>
      <c r="I752">
        <f>IF(D752="","",D752&gt;=5)</f>
        <v/>
      </c>
      <c r="J752">
        <f>IF(F752="","",F752&gt;=5)</f>
        <v/>
      </c>
      <c r="K752">
        <f>IF(H752="","",H752&gt;=75)</f>
        <v/>
      </c>
      <c r="L752">
        <f>IF(OR(I752="",J752="",K752=""),FALSE,AND(I752,J752,K752))</f>
        <v/>
      </c>
    </row>
    <row r="753">
      <c r="A753">
        <f>Universe!A753</f>
        <v/>
      </c>
      <c r="B753" s="10" t="n"/>
      <c r="C753" s="11">
        <f>IF(B753="","",PERCENTRANK.INC($B$2:$B$2501,B753)*100)</f>
        <v/>
      </c>
      <c r="D753" s="10" t="n"/>
      <c r="E753" s="10">
        <f>IF(D753="","",MIN(D753,100))</f>
        <v/>
      </c>
      <c r="F753" s="10" t="n"/>
      <c r="G753" s="10">
        <f>IF(F753="","",MIN(F753,100))</f>
        <v/>
      </c>
      <c r="H753" s="11">
        <f>IF(A753="","",Universe!E753/BDP(A753&amp;" US Equity","HIGH_52WEEK")*100)</f>
        <v/>
      </c>
      <c r="I753">
        <f>IF(D753="","",D753&gt;=5)</f>
        <v/>
      </c>
      <c r="J753">
        <f>IF(F753="","",F753&gt;=5)</f>
        <v/>
      </c>
      <c r="K753">
        <f>IF(H753="","",H753&gt;=75)</f>
        <v/>
      </c>
      <c r="L753">
        <f>IF(OR(I753="",J753="",K753=""),FALSE,AND(I753,J753,K753))</f>
        <v/>
      </c>
    </row>
    <row r="754">
      <c r="A754">
        <f>Universe!A754</f>
        <v/>
      </c>
      <c r="B754" s="10" t="n"/>
      <c r="C754" s="11">
        <f>IF(B754="","",PERCENTRANK.INC($B$2:$B$2501,B754)*100)</f>
        <v/>
      </c>
      <c r="D754" s="10" t="n"/>
      <c r="E754" s="10">
        <f>IF(D754="","",MIN(D754,100))</f>
        <v/>
      </c>
      <c r="F754" s="10" t="n"/>
      <c r="G754" s="10">
        <f>IF(F754="","",MIN(F754,100))</f>
        <v/>
      </c>
      <c r="H754" s="11">
        <f>IF(A754="","",Universe!E754/BDP(A754&amp;" US Equity","HIGH_52WEEK")*100)</f>
        <v/>
      </c>
      <c r="I754">
        <f>IF(D754="","",D754&gt;=5)</f>
        <v/>
      </c>
      <c r="J754">
        <f>IF(F754="","",F754&gt;=5)</f>
        <v/>
      </c>
      <c r="K754">
        <f>IF(H754="","",H754&gt;=75)</f>
        <v/>
      </c>
      <c r="L754">
        <f>IF(OR(I754="",J754="",K754=""),FALSE,AND(I754,J754,K754))</f>
        <v/>
      </c>
    </row>
    <row r="755">
      <c r="A755">
        <f>Universe!A755</f>
        <v/>
      </c>
      <c r="B755" s="10" t="n"/>
      <c r="C755" s="11">
        <f>IF(B755="","",PERCENTRANK.INC($B$2:$B$2501,B755)*100)</f>
        <v/>
      </c>
      <c r="D755" s="10" t="n"/>
      <c r="E755" s="10">
        <f>IF(D755="","",MIN(D755,100))</f>
        <v/>
      </c>
      <c r="F755" s="10" t="n"/>
      <c r="G755" s="10">
        <f>IF(F755="","",MIN(F755,100))</f>
        <v/>
      </c>
      <c r="H755" s="11">
        <f>IF(A755="","",Universe!E755/BDP(A755&amp;" US Equity","HIGH_52WEEK")*100)</f>
        <v/>
      </c>
      <c r="I755">
        <f>IF(D755="","",D755&gt;=5)</f>
        <v/>
      </c>
      <c r="J755">
        <f>IF(F755="","",F755&gt;=5)</f>
        <v/>
      </c>
      <c r="K755">
        <f>IF(H755="","",H755&gt;=75)</f>
        <v/>
      </c>
      <c r="L755">
        <f>IF(OR(I755="",J755="",K755=""),FALSE,AND(I755,J755,K755))</f>
        <v/>
      </c>
    </row>
    <row r="756">
      <c r="A756">
        <f>Universe!A756</f>
        <v/>
      </c>
      <c r="B756" s="10" t="n"/>
      <c r="C756" s="11">
        <f>IF(B756="","",PERCENTRANK.INC($B$2:$B$2501,B756)*100)</f>
        <v/>
      </c>
      <c r="D756" s="10" t="n"/>
      <c r="E756" s="10">
        <f>IF(D756="","",MIN(D756,100))</f>
        <v/>
      </c>
      <c r="F756" s="10" t="n"/>
      <c r="G756" s="10">
        <f>IF(F756="","",MIN(F756,100))</f>
        <v/>
      </c>
      <c r="H756" s="11">
        <f>IF(A756="","",Universe!E756/BDP(A756&amp;" US Equity","HIGH_52WEEK")*100)</f>
        <v/>
      </c>
      <c r="I756">
        <f>IF(D756="","",D756&gt;=5)</f>
        <v/>
      </c>
      <c r="J756">
        <f>IF(F756="","",F756&gt;=5)</f>
        <v/>
      </c>
      <c r="K756">
        <f>IF(H756="","",H756&gt;=75)</f>
        <v/>
      </c>
      <c r="L756">
        <f>IF(OR(I756="",J756="",K756=""),FALSE,AND(I756,J756,K756))</f>
        <v/>
      </c>
    </row>
    <row r="757">
      <c r="A757">
        <f>Universe!A757</f>
        <v/>
      </c>
      <c r="B757" s="10" t="n"/>
      <c r="C757" s="11">
        <f>IF(B757="","",PERCENTRANK.INC($B$2:$B$2501,B757)*100)</f>
        <v/>
      </c>
      <c r="D757" s="10" t="n"/>
      <c r="E757" s="10">
        <f>IF(D757="","",MIN(D757,100))</f>
        <v/>
      </c>
      <c r="F757" s="10" t="n"/>
      <c r="G757" s="10">
        <f>IF(F757="","",MIN(F757,100))</f>
        <v/>
      </c>
      <c r="H757" s="11">
        <f>IF(A757="","",Universe!E757/BDP(A757&amp;" US Equity","HIGH_52WEEK")*100)</f>
        <v/>
      </c>
      <c r="I757">
        <f>IF(D757="","",D757&gt;=5)</f>
        <v/>
      </c>
      <c r="J757">
        <f>IF(F757="","",F757&gt;=5)</f>
        <v/>
      </c>
      <c r="K757">
        <f>IF(H757="","",H757&gt;=75)</f>
        <v/>
      </c>
      <c r="L757">
        <f>IF(OR(I757="",J757="",K757=""),FALSE,AND(I757,J757,K757))</f>
        <v/>
      </c>
    </row>
    <row r="758">
      <c r="A758">
        <f>Universe!A758</f>
        <v/>
      </c>
      <c r="B758" s="10" t="n"/>
      <c r="C758" s="11">
        <f>IF(B758="","",PERCENTRANK.INC($B$2:$B$2501,B758)*100)</f>
        <v/>
      </c>
      <c r="D758" s="10" t="n"/>
      <c r="E758" s="10">
        <f>IF(D758="","",MIN(D758,100))</f>
        <v/>
      </c>
      <c r="F758" s="10" t="n"/>
      <c r="G758" s="10">
        <f>IF(F758="","",MIN(F758,100))</f>
        <v/>
      </c>
      <c r="H758" s="11">
        <f>IF(A758="","",Universe!E758/BDP(A758&amp;" US Equity","HIGH_52WEEK")*100)</f>
        <v/>
      </c>
      <c r="I758">
        <f>IF(D758="","",D758&gt;=5)</f>
        <v/>
      </c>
      <c r="J758">
        <f>IF(F758="","",F758&gt;=5)</f>
        <v/>
      </c>
      <c r="K758">
        <f>IF(H758="","",H758&gt;=75)</f>
        <v/>
      </c>
      <c r="L758">
        <f>IF(OR(I758="",J758="",K758=""),FALSE,AND(I758,J758,K758))</f>
        <v/>
      </c>
    </row>
    <row r="759">
      <c r="A759">
        <f>Universe!A759</f>
        <v/>
      </c>
      <c r="B759" s="10" t="n"/>
      <c r="C759" s="11">
        <f>IF(B759="","",PERCENTRANK.INC($B$2:$B$2501,B759)*100)</f>
        <v/>
      </c>
      <c r="D759" s="10" t="n"/>
      <c r="E759" s="10">
        <f>IF(D759="","",MIN(D759,100))</f>
        <v/>
      </c>
      <c r="F759" s="10" t="n"/>
      <c r="G759" s="10">
        <f>IF(F759="","",MIN(F759,100))</f>
        <v/>
      </c>
      <c r="H759" s="11">
        <f>IF(A759="","",Universe!E759/BDP(A759&amp;" US Equity","HIGH_52WEEK")*100)</f>
        <v/>
      </c>
      <c r="I759">
        <f>IF(D759="","",D759&gt;=5)</f>
        <v/>
      </c>
      <c r="J759">
        <f>IF(F759="","",F759&gt;=5)</f>
        <v/>
      </c>
      <c r="K759">
        <f>IF(H759="","",H759&gt;=75)</f>
        <v/>
      </c>
      <c r="L759">
        <f>IF(OR(I759="",J759="",K759=""),FALSE,AND(I759,J759,K759))</f>
        <v/>
      </c>
    </row>
    <row r="760">
      <c r="A760">
        <f>Universe!A760</f>
        <v/>
      </c>
      <c r="B760" s="10" t="n"/>
      <c r="C760" s="11">
        <f>IF(B760="","",PERCENTRANK.INC($B$2:$B$2501,B760)*100)</f>
        <v/>
      </c>
      <c r="D760" s="10" t="n"/>
      <c r="E760" s="10">
        <f>IF(D760="","",MIN(D760,100))</f>
        <v/>
      </c>
      <c r="F760" s="10" t="n"/>
      <c r="G760" s="10">
        <f>IF(F760="","",MIN(F760,100))</f>
        <v/>
      </c>
      <c r="H760" s="11">
        <f>IF(A760="","",Universe!E760/BDP(A760&amp;" US Equity","HIGH_52WEEK")*100)</f>
        <v/>
      </c>
      <c r="I760">
        <f>IF(D760="","",D760&gt;=5)</f>
        <v/>
      </c>
      <c r="J760">
        <f>IF(F760="","",F760&gt;=5)</f>
        <v/>
      </c>
      <c r="K760">
        <f>IF(H760="","",H760&gt;=75)</f>
        <v/>
      </c>
      <c r="L760">
        <f>IF(OR(I760="",J760="",K760=""),FALSE,AND(I760,J760,K760))</f>
        <v/>
      </c>
    </row>
    <row r="761">
      <c r="A761">
        <f>Universe!A761</f>
        <v/>
      </c>
      <c r="B761" s="10" t="n"/>
      <c r="C761" s="11">
        <f>IF(B761="","",PERCENTRANK.INC($B$2:$B$2501,B761)*100)</f>
        <v/>
      </c>
      <c r="D761" s="10" t="n"/>
      <c r="E761" s="10">
        <f>IF(D761="","",MIN(D761,100))</f>
        <v/>
      </c>
      <c r="F761" s="10" t="n"/>
      <c r="G761" s="10">
        <f>IF(F761="","",MIN(F761,100))</f>
        <v/>
      </c>
      <c r="H761" s="11">
        <f>IF(A761="","",Universe!E761/BDP(A761&amp;" US Equity","HIGH_52WEEK")*100)</f>
        <v/>
      </c>
      <c r="I761">
        <f>IF(D761="","",D761&gt;=5)</f>
        <v/>
      </c>
      <c r="J761">
        <f>IF(F761="","",F761&gt;=5)</f>
        <v/>
      </c>
      <c r="K761">
        <f>IF(H761="","",H761&gt;=75)</f>
        <v/>
      </c>
      <c r="L761">
        <f>IF(OR(I761="",J761="",K761=""),FALSE,AND(I761,J761,K761))</f>
        <v/>
      </c>
    </row>
    <row r="762">
      <c r="A762">
        <f>Universe!A762</f>
        <v/>
      </c>
      <c r="B762" s="10" t="n"/>
      <c r="C762" s="11">
        <f>IF(B762="","",PERCENTRANK.INC($B$2:$B$2501,B762)*100)</f>
        <v/>
      </c>
      <c r="D762" s="10" t="n"/>
      <c r="E762" s="10">
        <f>IF(D762="","",MIN(D762,100))</f>
        <v/>
      </c>
      <c r="F762" s="10" t="n"/>
      <c r="G762" s="10">
        <f>IF(F762="","",MIN(F762,100))</f>
        <v/>
      </c>
      <c r="H762" s="11">
        <f>IF(A762="","",Universe!E762/BDP(A762&amp;" US Equity","HIGH_52WEEK")*100)</f>
        <v/>
      </c>
      <c r="I762">
        <f>IF(D762="","",D762&gt;=5)</f>
        <v/>
      </c>
      <c r="J762">
        <f>IF(F762="","",F762&gt;=5)</f>
        <v/>
      </c>
      <c r="K762">
        <f>IF(H762="","",H762&gt;=75)</f>
        <v/>
      </c>
      <c r="L762">
        <f>IF(OR(I762="",J762="",K762=""),FALSE,AND(I762,J762,K762))</f>
        <v/>
      </c>
    </row>
    <row r="763">
      <c r="A763">
        <f>Universe!A763</f>
        <v/>
      </c>
      <c r="B763" s="10" t="n"/>
      <c r="C763" s="11">
        <f>IF(B763="","",PERCENTRANK.INC($B$2:$B$2501,B763)*100)</f>
        <v/>
      </c>
      <c r="D763" s="10" t="n"/>
      <c r="E763" s="10">
        <f>IF(D763="","",MIN(D763,100))</f>
        <v/>
      </c>
      <c r="F763" s="10" t="n"/>
      <c r="G763" s="10">
        <f>IF(F763="","",MIN(F763,100))</f>
        <v/>
      </c>
      <c r="H763" s="11">
        <f>IF(A763="","",Universe!E763/BDP(A763&amp;" US Equity","HIGH_52WEEK")*100)</f>
        <v/>
      </c>
      <c r="I763">
        <f>IF(D763="","",D763&gt;=5)</f>
        <v/>
      </c>
      <c r="J763">
        <f>IF(F763="","",F763&gt;=5)</f>
        <v/>
      </c>
      <c r="K763">
        <f>IF(H763="","",H763&gt;=75)</f>
        <v/>
      </c>
      <c r="L763">
        <f>IF(OR(I763="",J763="",K763=""),FALSE,AND(I763,J763,K763))</f>
        <v/>
      </c>
    </row>
    <row r="764">
      <c r="A764">
        <f>Universe!A764</f>
        <v/>
      </c>
      <c r="B764" s="10" t="n"/>
      <c r="C764" s="11">
        <f>IF(B764="","",PERCENTRANK.INC($B$2:$B$2501,B764)*100)</f>
        <v/>
      </c>
      <c r="D764" s="10" t="n"/>
      <c r="E764" s="10">
        <f>IF(D764="","",MIN(D764,100))</f>
        <v/>
      </c>
      <c r="F764" s="10" t="n"/>
      <c r="G764" s="10">
        <f>IF(F764="","",MIN(F764,100))</f>
        <v/>
      </c>
      <c r="H764" s="11">
        <f>IF(A764="","",Universe!E764/BDP(A764&amp;" US Equity","HIGH_52WEEK")*100)</f>
        <v/>
      </c>
      <c r="I764">
        <f>IF(D764="","",D764&gt;=5)</f>
        <v/>
      </c>
      <c r="J764">
        <f>IF(F764="","",F764&gt;=5)</f>
        <v/>
      </c>
      <c r="K764">
        <f>IF(H764="","",H764&gt;=75)</f>
        <v/>
      </c>
      <c r="L764">
        <f>IF(OR(I764="",J764="",K764=""),FALSE,AND(I764,J764,K764))</f>
        <v/>
      </c>
    </row>
    <row r="765">
      <c r="A765">
        <f>Universe!A765</f>
        <v/>
      </c>
      <c r="B765" s="10" t="n"/>
      <c r="C765" s="11">
        <f>IF(B765="","",PERCENTRANK.INC($B$2:$B$2501,B765)*100)</f>
        <v/>
      </c>
      <c r="D765" s="10" t="n"/>
      <c r="E765" s="10">
        <f>IF(D765="","",MIN(D765,100))</f>
        <v/>
      </c>
      <c r="F765" s="10" t="n"/>
      <c r="G765" s="10">
        <f>IF(F765="","",MIN(F765,100))</f>
        <v/>
      </c>
      <c r="H765" s="11">
        <f>IF(A765="","",Universe!E765/BDP(A765&amp;" US Equity","HIGH_52WEEK")*100)</f>
        <v/>
      </c>
      <c r="I765">
        <f>IF(D765="","",D765&gt;=5)</f>
        <v/>
      </c>
      <c r="J765">
        <f>IF(F765="","",F765&gt;=5)</f>
        <v/>
      </c>
      <c r="K765">
        <f>IF(H765="","",H765&gt;=75)</f>
        <v/>
      </c>
      <c r="L765">
        <f>IF(OR(I765="",J765="",K765=""),FALSE,AND(I765,J765,K765))</f>
        <v/>
      </c>
    </row>
    <row r="766">
      <c r="A766">
        <f>Universe!A766</f>
        <v/>
      </c>
      <c r="B766" s="10" t="n"/>
      <c r="C766" s="11">
        <f>IF(B766="","",PERCENTRANK.INC($B$2:$B$2501,B766)*100)</f>
        <v/>
      </c>
      <c r="D766" s="10" t="n"/>
      <c r="E766" s="10">
        <f>IF(D766="","",MIN(D766,100))</f>
        <v/>
      </c>
      <c r="F766" s="10" t="n"/>
      <c r="G766" s="10">
        <f>IF(F766="","",MIN(F766,100))</f>
        <v/>
      </c>
      <c r="H766" s="11">
        <f>IF(A766="","",Universe!E766/BDP(A766&amp;" US Equity","HIGH_52WEEK")*100)</f>
        <v/>
      </c>
      <c r="I766">
        <f>IF(D766="","",D766&gt;=5)</f>
        <v/>
      </c>
      <c r="J766">
        <f>IF(F766="","",F766&gt;=5)</f>
        <v/>
      </c>
      <c r="K766">
        <f>IF(H766="","",H766&gt;=75)</f>
        <v/>
      </c>
      <c r="L766">
        <f>IF(OR(I766="",J766="",K766=""),FALSE,AND(I766,J766,K766))</f>
        <v/>
      </c>
    </row>
    <row r="767">
      <c r="A767">
        <f>Universe!A767</f>
        <v/>
      </c>
      <c r="B767" s="10" t="n"/>
      <c r="C767" s="11">
        <f>IF(B767="","",PERCENTRANK.INC($B$2:$B$2501,B767)*100)</f>
        <v/>
      </c>
      <c r="D767" s="10" t="n"/>
      <c r="E767" s="10">
        <f>IF(D767="","",MIN(D767,100))</f>
        <v/>
      </c>
      <c r="F767" s="10" t="n"/>
      <c r="G767" s="10">
        <f>IF(F767="","",MIN(F767,100))</f>
        <v/>
      </c>
      <c r="H767" s="11">
        <f>IF(A767="","",Universe!E767/BDP(A767&amp;" US Equity","HIGH_52WEEK")*100)</f>
        <v/>
      </c>
      <c r="I767">
        <f>IF(D767="","",D767&gt;=5)</f>
        <v/>
      </c>
      <c r="J767">
        <f>IF(F767="","",F767&gt;=5)</f>
        <v/>
      </c>
      <c r="K767">
        <f>IF(H767="","",H767&gt;=75)</f>
        <v/>
      </c>
      <c r="L767">
        <f>IF(OR(I767="",J767="",K767=""),FALSE,AND(I767,J767,K767))</f>
        <v/>
      </c>
    </row>
    <row r="768">
      <c r="A768">
        <f>Universe!A768</f>
        <v/>
      </c>
      <c r="B768" s="10" t="n"/>
      <c r="C768" s="11">
        <f>IF(B768="","",PERCENTRANK.INC($B$2:$B$2501,B768)*100)</f>
        <v/>
      </c>
      <c r="D768" s="10" t="n"/>
      <c r="E768" s="10">
        <f>IF(D768="","",MIN(D768,100))</f>
        <v/>
      </c>
      <c r="F768" s="10" t="n"/>
      <c r="G768" s="10">
        <f>IF(F768="","",MIN(F768,100))</f>
        <v/>
      </c>
      <c r="H768" s="11">
        <f>IF(A768="","",Universe!E768/BDP(A768&amp;" US Equity","HIGH_52WEEK")*100)</f>
        <v/>
      </c>
      <c r="I768">
        <f>IF(D768="","",D768&gt;=5)</f>
        <v/>
      </c>
      <c r="J768">
        <f>IF(F768="","",F768&gt;=5)</f>
        <v/>
      </c>
      <c r="K768">
        <f>IF(H768="","",H768&gt;=75)</f>
        <v/>
      </c>
      <c r="L768">
        <f>IF(OR(I768="",J768="",K768=""),FALSE,AND(I768,J768,K768))</f>
        <v/>
      </c>
    </row>
    <row r="769">
      <c r="A769">
        <f>Universe!A769</f>
        <v/>
      </c>
      <c r="B769" s="10" t="n"/>
      <c r="C769" s="11">
        <f>IF(B769="","",PERCENTRANK.INC($B$2:$B$2501,B769)*100)</f>
        <v/>
      </c>
      <c r="D769" s="10" t="n"/>
      <c r="E769" s="10">
        <f>IF(D769="","",MIN(D769,100))</f>
        <v/>
      </c>
      <c r="F769" s="10" t="n"/>
      <c r="G769" s="10">
        <f>IF(F769="","",MIN(F769,100))</f>
        <v/>
      </c>
      <c r="H769" s="11">
        <f>IF(A769="","",Universe!E769/BDP(A769&amp;" US Equity","HIGH_52WEEK")*100)</f>
        <v/>
      </c>
      <c r="I769">
        <f>IF(D769="","",D769&gt;=5)</f>
        <v/>
      </c>
      <c r="J769">
        <f>IF(F769="","",F769&gt;=5)</f>
        <v/>
      </c>
      <c r="K769">
        <f>IF(H769="","",H769&gt;=75)</f>
        <v/>
      </c>
      <c r="L769">
        <f>IF(OR(I769="",J769="",K769=""),FALSE,AND(I769,J769,K769))</f>
        <v/>
      </c>
    </row>
    <row r="770">
      <c r="A770">
        <f>Universe!A770</f>
        <v/>
      </c>
      <c r="B770" s="10" t="n"/>
      <c r="C770" s="11">
        <f>IF(B770="","",PERCENTRANK.INC($B$2:$B$2501,B770)*100)</f>
        <v/>
      </c>
      <c r="D770" s="10" t="n"/>
      <c r="E770" s="10">
        <f>IF(D770="","",MIN(D770,100))</f>
        <v/>
      </c>
      <c r="F770" s="10" t="n"/>
      <c r="G770" s="10">
        <f>IF(F770="","",MIN(F770,100))</f>
        <v/>
      </c>
      <c r="H770" s="11">
        <f>IF(A770="","",Universe!E770/BDP(A770&amp;" US Equity","HIGH_52WEEK")*100)</f>
        <v/>
      </c>
      <c r="I770">
        <f>IF(D770="","",D770&gt;=5)</f>
        <v/>
      </c>
      <c r="J770">
        <f>IF(F770="","",F770&gt;=5)</f>
        <v/>
      </c>
      <c r="K770">
        <f>IF(H770="","",H770&gt;=75)</f>
        <v/>
      </c>
      <c r="L770">
        <f>IF(OR(I770="",J770="",K770=""),FALSE,AND(I770,J770,K770))</f>
        <v/>
      </c>
    </row>
    <row r="771">
      <c r="A771">
        <f>Universe!A771</f>
        <v/>
      </c>
      <c r="B771" s="10" t="n"/>
      <c r="C771" s="11">
        <f>IF(B771="","",PERCENTRANK.INC($B$2:$B$2501,B771)*100)</f>
        <v/>
      </c>
      <c r="D771" s="10" t="n"/>
      <c r="E771" s="10">
        <f>IF(D771="","",MIN(D771,100))</f>
        <v/>
      </c>
      <c r="F771" s="10" t="n"/>
      <c r="G771" s="10">
        <f>IF(F771="","",MIN(F771,100))</f>
        <v/>
      </c>
      <c r="H771" s="11">
        <f>IF(A771="","",Universe!E771/BDP(A771&amp;" US Equity","HIGH_52WEEK")*100)</f>
        <v/>
      </c>
      <c r="I771">
        <f>IF(D771="","",D771&gt;=5)</f>
        <v/>
      </c>
      <c r="J771">
        <f>IF(F771="","",F771&gt;=5)</f>
        <v/>
      </c>
      <c r="K771">
        <f>IF(H771="","",H771&gt;=75)</f>
        <v/>
      </c>
      <c r="L771">
        <f>IF(OR(I771="",J771="",K771=""),FALSE,AND(I771,J771,K771))</f>
        <v/>
      </c>
    </row>
    <row r="772">
      <c r="A772">
        <f>Universe!A772</f>
        <v/>
      </c>
      <c r="B772" s="10" t="n"/>
      <c r="C772" s="11">
        <f>IF(B772="","",PERCENTRANK.INC($B$2:$B$2501,B772)*100)</f>
        <v/>
      </c>
      <c r="D772" s="10" t="n"/>
      <c r="E772" s="10">
        <f>IF(D772="","",MIN(D772,100))</f>
        <v/>
      </c>
      <c r="F772" s="10" t="n"/>
      <c r="G772" s="10">
        <f>IF(F772="","",MIN(F772,100))</f>
        <v/>
      </c>
      <c r="H772" s="11">
        <f>IF(A772="","",Universe!E772/BDP(A772&amp;" US Equity","HIGH_52WEEK")*100)</f>
        <v/>
      </c>
      <c r="I772">
        <f>IF(D772="","",D772&gt;=5)</f>
        <v/>
      </c>
      <c r="J772">
        <f>IF(F772="","",F772&gt;=5)</f>
        <v/>
      </c>
      <c r="K772">
        <f>IF(H772="","",H772&gt;=75)</f>
        <v/>
      </c>
      <c r="L772">
        <f>IF(OR(I772="",J772="",K772=""),FALSE,AND(I772,J772,K772))</f>
        <v/>
      </c>
    </row>
    <row r="773">
      <c r="A773">
        <f>Universe!A773</f>
        <v/>
      </c>
      <c r="B773" s="10" t="n"/>
      <c r="C773" s="11">
        <f>IF(B773="","",PERCENTRANK.INC($B$2:$B$2501,B773)*100)</f>
        <v/>
      </c>
      <c r="D773" s="10" t="n"/>
      <c r="E773" s="10">
        <f>IF(D773="","",MIN(D773,100))</f>
        <v/>
      </c>
      <c r="F773" s="10" t="n"/>
      <c r="G773" s="10">
        <f>IF(F773="","",MIN(F773,100))</f>
        <v/>
      </c>
      <c r="H773" s="11">
        <f>IF(A773="","",Universe!E773/BDP(A773&amp;" US Equity","HIGH_52WEEK")*100)</f>
        <v/>
      </c>
      <c r="I773">
        <f>IF(D773="","",D773&gt;=5)</f>
        <v/>
      </c>
      <c r="J773">
        <f>IF(F773="","",F773&gt;=5)</f>
        <v/>
      </c>
      <c r="K773">
        <f>IF(H773="","",H773&gt;=75)</f>
        <v/>
      </c>
      <c r="L773">
        <f>IF(OR(I773="",J773="",K773=""),FALSE,AND(I773,J773,K773))</f>
        <v/>
      </c>
    </row>
    <row r="774">
      <c r="A774">
        <f>Universe!A774</f>
        <v/>
      </c>
      <c r="B774" s="10" t="n"/>
      <c r="C774" s="11">
        <f>IF(B774="","",PERCENTRANK.INC($B$2:$B$2501,B774)*100)</f>
        <v/>
      </c>
      <c r="D774" s="10" t="n"/>
      <c r="E774" s="10">
        <f>IF(D774="","",MIN(D774,100))</f>
        <v/>
      </c>
      <c r="F774" s="10" t="n"/>
      <c r="G774" s="10">
        <f>IF(F774="","",MIN(F774,100))</f>
        <v/>
      </c>
      <c r="H774" s="11">
        <f>IF(A774="","",Universe!E774/BDP(A774&amp;" US Equity","HIGH_52WEEK")*100)</f>
        <v/>
      </c>
      <c r="I774">
        <f>IF(D774="","",D774&gt;=5)</f>
        <v/>
      </c>
      <c r="J774">
        <f>IF(F774="","",F774&gt;=5)</f>
        <v/>
      </c>
      <c r="K774">
        <f>IF(H774="","",H774&gt;=75)</f>
        <v/>
      </c>
      <c r="L774">
        <f>IF(OR(I774="",J774="",K774=""),FALSE,AND(I774,J774,K774))</f>
        <v/>
      </c>
    </row>
    <row r="775">
      <c r="A775">
        <f>Universe!A775</f>
        <v/>
      </c>
      <c r="B775" s="10" t="n"/>
      <c r="C775" s="11">
        <f>IF(B775="","",PERCENTRANK.INC($B$2:$B$2501,B775)*100)</f>
        <v/>
      </c>
      <c r="D775" s="10" t="n"/>
      <c r="E775" s="10">
        <f>IF(D775="","",MIN(D775,100))</f>
        <v/>
      </c>
      <c r="F775" s="10" t="n"/>
      <c r="G775" s="10">
        <f>IF(F775="","",MIN(F775,100))</f>
        <v/>
      </c>
      <c r="H775" s="11">
        <f>IF(A775="","",Universe!E775/BDP(A775&amp;" US Equity","HIGH_52WEEK")*100)</f>
        <v/>
      </c>
      <c r="I775">
        <f>IF(D775="","",D775&gt;=5)</f>
        <v/>
      </c>
      <c r="J775">
        <f>IF(F775="","",F775&gt;=5)</f>
        <v/>
      </c>
      <c r="K775">
        <f>IF(H775="","",H775&gt;=75)</f>
        <v/>
      </c>
      <c r="L775">
        <f>IF(OR(I775="",J775="",K775=""),FALSE,AND(I775,J775,K775))</f>
        <v/>
      </c>
    </row>
    <row r="776">
      <c r="A776">
        <f>Universe!A776</f>
        <v/>
      </c>
      <c r="B776" s="10" t="n"/>
      <c r="C776" s="11">
        <f>IF(B776="","",PERCENTRANK.INC($B$2:$B$2501,B776)*100)</f>
        <v/>
      </c>
      <c r="D776" s="10" t="n"/>
      <c r="E776" s="10">
        <f>IF(D776="","",MIN(D776,100))</f>
        <v/>
      </c>
      <c r="F776" s="10" t="n"/>
      <c r="G776" s="10">
        <f>IF(F776="","",MIN(F776,100))</f>
        <v/>
      </c>
      <c r="H776" s="11">
        <f>IF(A776="","",Universe!E776/BDP(A776&amp;" US Equity","HIGH_52WEEK")*100)</f>
        <v/>
      </c>
      <c r="I776">
        <f>IF(D776="","",D776&gt;=5)</f>
        <v/>
      </c>
      <c r="J776">
        <f>IF(F776="","",F776&gt;=5)</f>
        <v/>
      </c>
      <c r="K776">
        <f>IF(H776="","",H776&gt;=75)</f>
        <v/>
      </c>
      <c r="L776">
        <f>IF(OR(I776="",J776="",K776=""),FALSE,AND(I776,J776,K776))</f>
        <v/>
      </c>
    </row>
    <row r="777">
      <c r="A777">
        <f>Universe!A777</f>
        <v/>
      </c>
      <c r="B777" s="10" t="n"/>
      <c r="C777" s="11">
        <f>IF(B777="","",PERCENTRANK.INC($B$2:$B$2501,B777)*100)</f>
        <v/>
      </c>
      <c r="D777" s="10" t="n"/>
      <c r="E777" s="10">
        <f>IF(D777="","",MIN(D777,100))</f>
        <v/>
      </c>
      <c r="F777" s="10" t="n"/>
      <c r="G777" s="10">
        <f>IF(F777="","",MIN(F777,100))</f>
        <v/>
      </c>
      <c r="H777" s="11">
        <f>IF(A777="","",Universe!E777/BDP(A777&amp;" US Equity","HIGH_52WEEK")*100)</f>
        <v/>
      </c>
      <c r="I777">
        <f>IF(D777="","",D777&gt;=5)</f>
        <v/>
      </c>
      <c r="J777">
        <f>IF(F777="","",F777&gt;=5)</f>
        <v/>
      </c>
      <c r="K777">
        <f>IF(H777="","",H777&gt;=75)</f>
        <v/>
      </c>
      <c r="L777">
        <f>IF(OR(I777="",J777="",K777=""),FALSE,AND(I777,J777,K777))</f>
        <v/>
      </c>
    </row>
    <row r="778">
      <c r="A778">
        <f>Universe!A778</f>
        <v/>
      </c>
      <c r="B778" s="10" t="n"/>
      <c r="C778" s="11">
        <f>IF(B778="","",PERCENTRANK.INC($B$2:$B$2501,B778)*100)</f>
        <v/>
      </c>
      <c r="D778" s="10" t="n"/>
      <c r="E778" s="10">
        <f>IF(D778="","",MIN(D778,100))</f>
        <v/>
      </c>
      <c r="F778" s="10" t="n"/>
      <c r="G778" s="10">
        <f>IF(F778="","",MIN(F778,100))</f>
        <v/>
      </c>
      <c r="H778" s="11">
        <f>IF(A778="","",Universe!E778/BDP(A778&amp;" US Equity","HIGH_52WEEK")*100)</f>
        <v/>
      </c>
      <c r="I778">
        <f>IF(D778="","",D778&gt;=5)</f>
        <v/>
      </c>
      <c r="J778">
        <f>IF(F778="","",F778&gt;=5)</f>
        <v/>
      </c>
      <c r="K778">
        <f>IF(H778="","",H778&gt;=75)</f>
        <v/>
      </c>
      <c r="L778">
        <f>IF(OR(I778="",J778="",K778=""),FALSE,AND(I778,J778,K778))</f>
        <v/>
      </c>
    </row>
    <row r="779">
      <c r="A779">
        <f>Universe!A779</f>
        <v/>
      </c>
      <c r="B779" s="10" t="n"/>
      <c r="C779" s="11">
        <f>IF(B779="","",PERCENTRANK.INC($B$2:$B$2501,B779)*100)</f>
        <v/>
      </c>
      <c r="D779" s="10" t="n"/>
      <c r="E779" s="10">
        <f>IF(D779="","",MIN(D779,100))</f>
        <v/>
      </c>
      <c r="F779" s="10" t="n"/>
      <c r="G779" s="10">
        <f>IF(F779="","",MIN(F779,100))</f>
        <v/>
      </c>
      <c r="H779" s="11">
        <f>IF(A779="","",Universe!E779/BDP(A779&amp;" US Equity","HIGH_52WEEK")*100)</f>
        <v/>
      </c>
      <c r="I779">
        <f>IF(D779="","",D779&gt;=5)</f>
        <v/>
      </c>
      <c r="J779">
        <f>IF(F779="","",F779&gt;=5)</f>
        <v/>
      </c>
      <c r="K779">
        <f>IF(H779="","",H779&gt;=75)</f>
        <v/>
      </c>
      <c r="L779">
        <f>IF(OR(I779="",J779="",K779=""),FALSE,AND(I779,J779,K779))</f>
        <v/>
      </c>
    </row>
    <row r="780">
      <c r="A780">
        <f>Universe!A780</f>
        <v/>
      </c>
      <c r="B780" s="10" t="n"/>
      <c r="C780" s="11">
        <f>IF(B780="","",PERCENTRANK.INC($B$2:$B$2501,B780)*100)</f>
        <v/>
      </c>
      <c r="D780" s="10" t="n"/>
      <c r="E780" s="10">
        <f>IF(D780="","",MIN(D780,100))</f>
        <v/>
      </c>
      <c r="F780" s="10" t="n"/>
      <c r="G780" s="10">
        <f>IF(F780="","",MIN(F780,100))</f>
        <v/>
      </c>
      <c r="H780" s="11">
        <f>IF(A780="","",Universe!E780/BDP(A780&amp;" US Equity","HIGH_52WEEK")*100)</f>
        <v/>
      </c>
      <c r="I780">
        <f>IF(D780="","",D780&gt;=5)</f>
        <v/>
      </c>
      <c r="J780">
        <f>IF(F780="","",F780&gt;=5)</f>
        <v/>
      </c>
      <c r="K780">
        <f>IF(H780="","",H780&gt;=75)</f>
        <v/>
      </c>
      <c r="L780">
        <f>IF(OR(I780="",J780="",K780=""),FALSE,AND(I780,J780,K780))</f>
        <v/>
      </c>
    </row>
    <row r="781">
      <c r="A781">
        <f>Universe!A781</f>
        <v/>
      </c>
      <c r="B781" s="10" t="n"/>
      <c r="C781" s="11">
        <f>IF(B781="","",PERCENTRANK.INC($B$2:$B$2501,B781)*100)</f>
        <v/>
      </c>
      <c r="D781" s="10" t="n"/>
      <c r="E781" s="10">
        <f>IF(D781="","",MIN(D781,100))</f>
        <v/>
      </c>
      <c r="F781" s="10" t="n"/>
      <c r="G781" s="10">
        <f>IF(F781="","",MIN(F781,100))</f>
        <v/>
      </c>
      <c r="H781" s="11">
        <f>IF(A781="","",Universe!E781/BDP(A781&amp;" US Equity","HIGH_52WEEK")*100)</f>
        <v/>
      </c>
      <c r="I781">
        <f>IF(D781="","",D781&gt;=5)</f>
        <v/>
      </c>
      <c r="J781">
        <f>IF(F781="","",F781&gt;=5)</f>
        <v/>
      </c>
      <c r="K781">
        <f>IF(H781="","",H781&gt;=75)</f>
        <v/>
      </c>
      <c r="L781">
        <f>IF(OR(I781="",J781="",K781=""),FALSE,AND(I781,J781,K781))</f>
        <v/>
      </c>
    </row>
    <row r="782">
      <c r="A782">
        <f>Universe!A782</f>
        <v/>
      </c>
      <c r="B782" s="10" t="n"/>
      <c r="C782" s="11">
        <f>IF(B782="","",PERCENTRANK.INC($B$2:$B$2501,B782)*100)</f>
        <v/>
      </c>
      <c r="D782" s="10" t="n"/>
      <c r="E782" s="10">
        <f>IF(D782="","",MIN(D782,100))</f>
        <v/>
      </c>
      <c r="F782" s="10" t="n"/>
      <c r="G782" s="10">
        <f>IF(F782="","",MIN(F782,100))</f>
        <v/>
      </c>
      <c r="H782" s="11">
        <f>IF(A782="","",Universe!E782/BDP(A782&amp;" US Equity","HIGH_52WEEK")*100)</f>
        <v/>
      </c>
      <c r="I782">
        <f>IF(D782="","",D782&gt;=5)</f>
        <v/>
      </c>
      <c r="J782">
        <f>IF(F782="","",F782&gt;=5)</f>
        <v/>
      </c>
      <c r="K782">
        <f>IF(H782="","",H782&gt;=75)</f>
        <v/>
      </c>
      <c r="L782">
        <f>IF(OR(I782="",J782="",K782=""),FALSE,AND(I782,J782,K782))</f>
        <v/>
      </c>
    </row>
    <row r="783">
      <c r="A783">
        <f>Universe!A783</f>
        <v/>
      </c>
      <c r="B783" s="10" t="n"/>
      <c r="C783" s="11">
        <f>IF(B783="","",PERCENTRANK.INC($B$2:$B$2501,B783)*100)</f>
        <v/>
      </c>
      <c r="D783" s="10" t="n"/>
      <c r="E783" s="10">
        <f>IF(D783="","",MIN(D783,100))</f>
        <v/>
      </c>
      <c r="F783" s="10" t="n"/>
      <c r="G783" s="10">
        <f>IF(F783="","",MIN(F783,100))</f>
        <v/>
      </c>
      <c r="H783" s="11">
        <f>IF(A783="","",Universe!E783/BDP(A783&amp;" US Equity","HIGH_52WEEK")*100)</f>
        <v/>
      </c>
      <c r="I783">
        <f>IF(D783="","",D783&gt;=5)</f>
        <v/>
      </c>
      <c r="J783">
        <f>IF(F783="","",F783&gt;=5)</f>
        <v/>
      </c>
      <c r="K783">
        <f>IF(H783="","",H783&gt;=75)</f>
        <v/>
      </c>
      <c r="L783">
        <f>IF(OR(I783="",J783="",K783=""),FALSE,AND(I783,J783,K783))</f>
        <v/>
      </c>
    </row>
    <row r="784">
      <c r="A784">
        <f>Universe!A784</f>
        <v/>
      </c>
      <c r="B784" s="10" t="n"/>
      <c r="C784" s="11">
        <f>IF(B784="","",PERCENTRANK.INC($B$2:$B$2501,B784)*100)</f>
        <v/>
      </c>
      <c r="D784" s="10" t="n"/>
      <c r="E784" s="10">
        <f>IF(D784="","",MIN(D784,100))</f>
        <v/>
      </c>
      <c r="F784" s="10" t="n"/>
      <c r="G784" s="10">
        <f>IF(F784="","",MIN(F784,100))</f>
        <v/>
      </c>
      <c r="H784" s="11">
        <f>IF(A784="","",Universe!E784/BDP(A784&amp;" US Equity","HIGH_52WEEK")*100)</f>
        <v/>
      </c>
      <c r="I784">
        <f>IF(D784="","",D784&gt;=5)</f>
        <v/>
      </c>
      <c r="J784">
        <f>IF(F784="","",F784&gt;=5)</f>
        <v/>
      </c>
      <c r="K784">
        <f>IF(H784="","",H784&gt;=75)</f>
        <v/>
      </c>
      <c r="L784">
        <f>IF(OR(I784="",J784="",K784=""),FALSE,AND(I784,J784,K784))</f>
        <v/>
      </c>
    </row>
    <row r="785">
      <c r="A785">
        <f>Universe!A785</f>
        <v/>
      </c>
      <c r="B785" s="10" t="n"/>
      <c r="C785" s="11">
        <f>IF(B785="","",PERCENTRANK.INC($B$2:$B$2501,B785)*100)</f>
        <v/>
      </c>
      <c r="D785" s="10" t="n"/>
      <c r="E785" s="10">
        <f>IF(D785="","",MIN(D785,100))</f>
        <v/>
      </c>
      <c r="F785" s="10" t="n"/>
      <c r="G785" s="10">
        <f>IF(F785="","",MIN(F785,100))</f>
        <v/>
      </c>
      <c r="H785" s="11">
        <f>IF(A785="","",Universe!E785/BDP(A785&amp;" US Equity","HIGH_52WEEK")*100)</f>
        <v/>
      </c>
      <c r="I785">
        <f>IF(D785="","",D785&gt;=5)</f>
        <v/>
      </c>
      <c r="J785">
        <f>IF(F785="","",F785&gt;=5)</f>
        <v/>
      </c>
      <c r="K785">
        <f>IF(H785="","",H785&gt;=75)</f>
        <v/>
      </c>
      <c r="L785">
        <f>IF(OR(I785="",J785="",K785=""),FALSE,AND(I785,J785,K785))</f>
        <v/>
      </c>
    </row>
    <row r="786">
      <c r="A786">
        <f>Universe!A786</f>
        <v/>
      </c>
      <c r="B786" s="10" t="n"/>
      <c r="C786" s="11">
        <f>IF(B786="","",PERCENTRANK.INC($B$2:$B$2501,B786)*100)</f>
        <v/>
      </c>
      <c r="D786" s="10" t="n"/>
      <c r="E786" s="10">
        <f>IF(D786="","",MIN(D786,100))</f>
        <v/>
      </c>
      <c r="F786" s="10" t="n"/>
      <c r="G786" s="10">
        <f>IF(F786="","",MIN(F786,100))</f>
        <v/>
      </c>
      <c r="H786" s="11">
        <f>IF(A786="","",Universe!E786/BDP(A786&amp;" US Equity","HIGH_52WEEK")*100)</f>
        <v/>
      </c>
      <c r="I786">
        <f>IF(D786="","",D786&gt;=5)</f>
        <v/>
      </c>
      <c r="J786">
        <f>IF(F786="","",F786&gt;=5)</f>
        <v/>
      </c>
      <c r="K786">
        <f>IF(H786="","",H786&gt;=75)</f>
        <v/>
      </c>
      <c r="L786">
        <f>IF(OR(I786="",J786="",K786=""),FALSE,AND(I786,J786,K786))</f>
        <v/>
      </c>
    </row>
    <row r="787">
      <c r="A787">
        <f>Universe!A787</f>
        <v/>
      </c>
      <c r="B787" s="10" t="n"/>
      <c r="C787" s="11">
        <f>IF(B787="","",PERCENTRANK.INC($B$2:$B$2501,B787)*100)</f>
        <v/>
      </c>
      <c r="D787" s="10" t="n"/>
      <c r="E787" s="10">
        <f>IF(D787="","",MIN(D787,100))</f>
        <v/>
      </c>
      <c r="F787" s="10" t="n"/>
      <c r="G787" s="10">
        <f>IF(F787="","",MIN(F787,100))</f>
        <v/>
      </c>
      <c r="H787" s="11">
        <f>IF(A787="","",Universe!E787/BDP(A787&amp;" US Equity","HIGH_52WEEK")*100)</f>
        <v/>
      </c>
      <c r="I787">
        <f>IF(D787="","",D787&gt;=5)</f>
        <v/>
      </c>
      <c r="J787">
        <f>IF(F787="","",F787&gt;=5)</f>
        <v/>
      </c>
      <c r="K787">
        <f>IF(H787="","",H787&gt;=75)</f>
        <v/>
      </c>
      <c r="L787">
        <f>IF(OR(I787="",J787="",K787=""),FALSE,AND(I787,J787,K787))</f>
        <v/>
      </c>
    </row>
    <row r="788">
      <c r="A788">
        <f>Universe!A788</f>
        <v/>
      </c>
      <c r="B788" s="10" t="n"/>
      <c r="C788" s="11">
        <f>IF(B788="","",PERCENTRANK.INC($B$2:$B$2501,B788)*100)</f>
        <v/>
      </c>
      <c r="D788" s="10" t="n"/>
      <c r="E788" s="10">
        <f>IF(D788="","",MIN(D788,100))</f>
        <v/>
      </c>
      <c r="F788" s="10" t="n"/>
      <c r="G788" s="10">
        <f>IF(F788="","",MIN(F788,100))</f>
        <v/>
      </c>
      <c r="H788" s="11">
        <f>IF(A788="","",Universe!E788/BDP(A788&amp;" US Equity","HIGH_52WEEK")*100)</f>
        <v/>
      </c>
      <c r="I788">
        <f>IF(D788="","",D788&gt;=5)</f>
        <v/>
      </c>
      <c r="J788">
        <f>IF(F788="","",F788&gt;=5)</f>
        <v/>
      </c>
      <c r="K788">
        <f>IF(H788="","",H788&gt;=75)</f>
        <v/>
      </c>
      <c r="L788">
        <f>IF(OR(I788="",J788="",K788=""),FALSE,AND(I788,J788,K788))</f>
        <v/>
      </c>
    </row>
    <row r="789">
      <c r="A789">
        <f>Universe!A789</f>
        <v/>
      </c>
      <c r="B789" s="10" t="n"/>
      <c r="C789" s="11">
        <f>IF(B789="","",PERCENTRANK.INC($B$2:$B$2501,B789)*100)</f>
        <v/>
      </c>
      <c r="D789" s="10" t="n"/>
      <c r="E789" s="10">
        <f>IF(D789="","",MIN(D789,100))</f>
        <v/>
      </c>
      <c r="F789" s="10" t="n"/>
      <c r="G789" s="10">
        <f>IF(F789="","",MIN(F789,100))</f>
        <v/>
      </c>
      <c r="H789" s="11">
        <f>IF(A789="","",Universe!E789/BDP(A789&amp;" US Equity","HIGH_52WEEK")*100)</f>
        <v/>
      </c>
      <c r="I789">
        <f>IF(D789="","",D789&gt;=5)</f>
        <v/>
      </c>
      <c r="J789">
        <f>IF(F789="","",F789&gt;=5)</f>
        <v/>
      </c>
      <c r="K789">
        <f>IF(H789="","",H789&gt;=75)</f>
        <v/>
      </c>
      <c r="L789">
        <f>IF(OR(I789="",J789="",K789=""),FALSE,AND(I789,J789,K789))</f>
        <v/>
      </c>
    </row>
    <row r="790">
      <c r="A790">
        <f>Universe!A790</f>
        <v/>
      </c>
      <c r="B790" s="10" t="n"/>
      <c r="C790" s="11">
        <f>IF(B790="","",PERCENTRANK.INC($B$2:$B$2501,B790)*100)</f>
        <v/>
      </c>
      <c r="D790" s="10" t="n"/>
      <c r="E790" s="10">
        <f>IF(D790="","",MIN(D790,100))</f>
        <v/>
      </c>
      <c r="F790" s="10" t="n"/>
      <c r="G790" s="10">
        <f>IF(F790="","",MIN(F790,100))</f>
        <v/>
      </c>
      <c r="H790" s="11">
        <f>IF(A790="","",Universe!E790/BDP(A790&amp;" US Equity","HIGH_52WEEK")*100)</f>
        <v/>
      </c>
      <c r="I790">
        <f>IF(D790="","",D790&gt;=5)</f>
        <v/>
      </c>
      <c r="J790">
        <f>IF(F790="","",F790&gt;=5)</f>
        <v/>
      </c>
      <c r="K790">
        <f>IF(H790="","",H790&gt;=75)</f>
        <v/>
      </c>
      <c r="L790">
        <f>IF(OR(I790="",J790="",K790=""),FALSE,AND(I790,J790,K790))</f>
        <v/>
      </c>
    </row>
    <row r="791">
      <c r="A791">
        <f>Universe!A791</f>
        <v/>
      </c>
      <c r="B791" s="10" t="n"/>
      <c r="C791" s="11">
        <f>IF(B791="","",PERCENTRANK.INC($B$2:$B$2501,B791)*100)</f>
        <v/>
      </c>
      <c r="D791" s="10" t="n"/>
      <c r="E791" s="10">
        <f>IF(D791="","",MIN(D791,100))</f>
        <v/>
      </c>
      <c r="F791" s="10" t="n"/>
      <c r="G791" s="10">
        <f>IF(F791="","",MIN(F791,100))</f>
        <v/>
      </c>
      <c r="H791" s="11">
        <f>IF(A791="","",Universe!E791/BDP(A791&amp;" US Equity","HIGH_52WEEK")*100)</f>
        <v/>
      </c>
      <c r="I791">
        <f>IF(D791="","",D791&gt;=5)</f>
        <v/>
      </c>
      <c r="J791">
        <f>IF(F791="","",F791&gt;=5)</f>
        <v/>
      </c>
      <c r="K791">
        <f>IF(H791="","",H791&gt;=75)</f>
        <v/>
      </c>
      <c r="L791">
        <f>IF(OR(I791="",J791="",K791=""),FALSE,AND(I791,J791,K791))</f>
        <v/>
      </c>
    </row>
    <row r="792">
      <c r="A792">
        <f>Universe!A792</f>
        <v/>
      </c>
      <c r="B792" s="10" t="n"/>
      <c r="C792" s="11">
        <f>IF(B792="","",PERCENTRANK.INC($B$2:$B$2501,B792)*100)</f>
        <v/>
      </c>
      <c r="D792" s="10" t="n"/>
      <c r="E792" s="10">
        <f>IF(D792="","",MIN(D792,100))</f>
        <v/>
      </c>
      <c r="F792" s="10" t="n"/>
      <c r="G792" s="10">
        <f>IF(F792="","",MIN(F792,100))</f>
        <v/>
      </c>
      <c r="H792" s="11">
        <f>IF(A792="","",Universe!E792/BDP(A792&amp;" US Equity","HIGH_52WEEK")*100)</f>
        <v/>
      </c>
      <c r="I792">
        <f>IF(D792="","",D792&gt;=5)</f>
        <v/>
      </c>
      <c r="J792">
        <f>IF(F792="","",F792&gt;=5)</f>
        <v/>
      </c>
      <c r="K792">
        <f>IF(H792="","",H792&gt;=75)</f>
        <v/>
      </c>
      <c r="L792">
        <f>IF(OR(I792="",J792="",K792=""),FALSE,AND(I792,J792,K792))</f>
        <v/>
      </c>
    </row>
    <row r="793">
      <c r="A793">
        <f>Universe!A793</f>
        <v/>
      </c>
      <c r="B793" s="10" t="n"/>
      <c r="C793" s="11">
        <f>IF(B793="","",PERCENTRANK.INC($B$2:$B$2501,B793)*100)</f>
        <v/>
      </c>
      <c r="D793" s="10" t="n"/>
      <c r="E793" s="10">
        <f>IF(D793="","",MIN(D793,100))</f>
        <v/>
      </c>
      <c r="F793" s="10" t="n"/>
      <c r="G793" s="10">
        <f>IF(F793="","",MIN(F793,100))</f>
        <v/>
      </c>
      <c r="H793" s="11">
        <f>IF(A793="","",Universe!E793/BDP(A793&amp;" US Equity","HIGH_52WEEK")*100)</f>
        <v/>
      </c>
      <c r="I793">
        <f>IF(D793="","",D793&gt;=5)</f>
        <v/>
      </c>
      <c r="J793">
        <f>IF(F793="","",F793&gt;=5)</f>
        <v/>
      </c>
      <c r="K793">
        <f>IF(H793="","",H793&gt;=75)</f>
        <v/>
      </c>
      <c r="L793">
        <f>IF(OR(I793="",J793="",K793=""),FALSE,AND(I793,J793,K793))</f>
        <v/>
      </c>
    </row>
    <row r="794">
      <c r="A794">
        <f>Universe!A794</f>
        <v/>
      </c>
      <c r="B794" s="10" t="n"/>
      <c r="C794" s="11">
        <f>IF(B794="","",PERCENTRANK.INC($B$2:$B$2501,B794)*100)</f>
        <v/>
      </c>
      <c r="D794" s="10" t="n"/>
      <c r="E794" s="10">
        <f>IF(D794="","",MIN(D794,100))</f>
        <v/>
      </c>
      <c r="F794" s="10" t="n"/>
      <c r="G794" s="10">
        <f>IF(F794="","",MIN(F794,100))</f>
        <v/>
      </c>
      <c r="H794" s="11">
        <f>IF(A794="","",Universe!E794/BDP(A794&amp;" US Equity","HIGH_52WEEK")*100)</f>
        <v/>
      </c>
      <c r="I794">
        <f>IF(D794="","",D794&gt;=5)</f>
        <v/>
      </c>
      <c r="J794">
        <f>IF(F794="","",F794&gt;=5)</f>
        <v/>
      </c>
      <c r="K794">
        <f>IF(H794="","",H794&gt;=75)</f>
        <v/>
      </c>
      <c r="L794">
        <f>IF(OR(I794="",J794="",K794=""),FALSE,AND(I794,J794,K794))</f>
        <v/>
      </c>
    </row>
    <row r="795">
      <c r="A795">
        <f>Universe!A795</f>
        <v/>
      </c>
      <c r="B795" s="10" t="n"/>
      <c r="C795" s="11">
        <f>IF(B795="","",PERCENTRANK.INC($B$2:$B$2501,B795)*100)</f>
        <v/>
      </c>
      <c r="D795" s="10" t="n"/>
      <c r="E795" s="10">
        <f>IF(D795="","",MIN(D795,100))</f>
        <v/>
      </c>
      <c r="F795" s="10" t="n"/>
      <c r="G795" s="10">
        <f>IF(F795="","",MIN(F795,100))</f>
        <v/>
      </c>
      <c r="H795" s="11">
        <f>IF(A795="","",Universe!E795/BDP(A795&amp;" US Equity","HIGH_52WEEK")*100)</f>
        <v/>
      </c>
      <c r="I795">
        <f>IF(D795="","",D795&gt;=5)</f>
        <v/>
      </c>
      <c r="J795">
        <f>IF(F795="","",F795&gt;=5)</f>
        <v/>
      </c>
      <c r="K795">
        <f>IF(H795="","",H795&gt;=75)</f>
        <v/>
      </c>
      <c r="L795">
        <f>IF(OR(I795="",J795="",K795=""),FALSE,AND(I795,J795,K795))</f>
        <v/>
      </c>
    </row>
    <row r="796">
      <c r="A796">
        <f>Universe!A796</f>
        <v/>
      </c>
      <c r="B796" s="10" t="n"/>
      <c r="C796" s="11">
        <f>IF(B796="","",PERCENTRANK.INC($B$2:$B$2501,B796)*100)</f>
        <v/>
      </c>
      <c r="D796" s="10" t="n"/>
      <c r="E796" s="10">
        <f>IF(D796="","",MIN(D796,100))</f>
        <v/>
      </c>
      <c r="F796" s="10" t="n"/>
      <c r="G796" s="10">
        <f>IF(F796="","",MIN(F796,100))</f>
        <v/>
      </c>
      <c r="H796" s="11">
        <f>IF(A796="","",Universe!E796/BDP(A796&amp;" US Equity","HIGH_52WEEK")*100)</f>
        <v/>
      </c>
      <c r="I796">
        <f>IF(D796="","",D796&gt;=5)</f>
        <v/>
      </c>
      <c r="J796">
        <f>IF(F796="","",F796&gt;=5)</f>
        <v/>
      </c>
      <c r="K796">
        <f>IF(H796="","",H796&gt;=75)</f>
        <v/>
      </c>
      <c r="L796">
        <f>IF(OR(I796="",J796="",K796=""),FALSE,AND(I796,J796,K796))</f>
        <v/>
      </c>
    </row>
    <row r="797">
      <c r="A797">
        <f>Universe!A797</f>
        <v/>
      </c>
      <c r="B797" s="10" t="n"/>
      <c r="C797" s="11">
        <f>IF(B797="","",PERCENTRANK.INC($B$2:$B$2501,B797)*100)</f>
        <v/>
      </c>
      <c r="D797" s="10" t="n"/>
      <c r="E797" s="10">
        <f>IF(D797="","",MIN(D797,100))</f>
        <v/>
      </c>
      <c r="F797" s="10" t="n"/>
      <c r="G797" s="10">
        <f>IF(F797="","",MIN(F797,100))</f>
        <v/>
      </c>
      <c r="H797" s="11">
        <f>IF(A797="","",Universe!E797/BDP(A797&amp;" US Equity","HIGH_52WEEK")*100)</f>
        <v/>
      </c>
      <c r="I797">
        <f>IF(D797="","",D797&gt;=5)</f>
        <v/>
      </c>
      <c r="J797">
        <f>IF(F797="","",F797&gt;=5)</f>
        <v/>
      </c>
      <c r="K797">
        <f>IF(H797="","",H797&gt;=75)</f>
        <v/>
      </c>
      <c r="L797">
        <f>IF(OR(I797="",J797="",K797=""),FALSE,AND(I797,J797,K797))</f>
        <v/>
      </c>
    </row>
    <row r="798">
      <c r="A798">
        <f>Universe!A798</f>
        <v/>
      </c>
      <c r="B798" s="10" t="n"/>
      <c r="C798" s="11">
        <f>IF(B798="","",PERCENTRANK.INC($B$2:$B$2501,B798)*100)</f>
        <v/>
      </c>
      <c r="D798" s="10" t="n"/>
      <c r="E798" s="10">
        <f>IF(D798="","",MIN(D798,100))</f>
        <v/>
      </c>
      <c r="F798" s="10" t="n"/>
      <c r="G798" s="10">
        <f>IF(F798="","",MIN(F798,100))</f>
        <v/>
      </c>
      <c r="H798" s="11">
        <f>IF(A798="","",Universe!E798/BDP(A798&amp;" US Equity","HIGH_52WEEK")*100)</f>
        <v/>
      </c>
      <c r="I798">
        <f>IF(D798="","",D798&gt;=5)</f>
        <v/>
      </c>
      <c r="J798">
        <f>IF(F798="","",F798&gt;=5)</f>
        <v/>
      </c>
      <c r="K798">
        <f>IF(H798="","",H798&gt;=75)</f>
        <v/>
      </c>
      <c r="L798">
        <f>IF(OR(I798="",J798="",K798=""),FALSE,AND(I798,J798,K798))</f>
        <v/>
      </c>
    </row>
    <row r="799">
      <c r="A799">
        <f>Universe!A799</f>
        <v/>
      </c>
      <c r="B799" s="10" t="n"/>
      <c r="C799" s="11">
        <f>IF(B799="","",PERCENTRANK.INC($B$2:$B$2501,B799)*100)</f>
        <v/>
      </c>
      <c r="D799" s="10" t="n"/>
      <c r="E799" s="10">
        <f>IF(D799="","",MIN(D799,100))</f>
        <v/>
      </c>
      <c r="F799" s="10" t="n"/>
      <c r="G799" s="10">
        <f>IF(F799="","",MIN(F799,100))</f>
        <v/>
      </c>
      <c r="H799" s="11">
        <f>IF(A799="","",Universe!E799/BDP(A799&amp;" US Equity","HIGH_52WEEK")*100)</f>
        <v/>
      </c>
      <c r="I799">
        <f>IF(D799="","",D799&gt;=5)</f>
        <v/>
      </c>
      <c r="J799">
        <f>IF(F799="","",F799&gt;=5)</f>
        <v/>
      </c>
      <c r="K799">
        <f>IF(H799="","",H799&gt;=75)</f>
        <v/>
      </c>
      <c r="L799">
        <f>IF(OR(I799="",J799="",K799=""),FALSE,AND(I799,J799,K799))</f>
        <v/>
      </c>
    </row>
    <row r="800">
      <c r="A800">
        <f>Universe!A800</f>
        <v/>
      </c>
      <c r="B800" s="10" t="n"/>
      <c r="C800" s="11">
        <f>IF(B800="","",PERCENTRANK.INC($B$2:$B$2501,B800)*100)</f>
        <v/>
      </c>
      <c r="D800" s="10" t="n"/>
      <c r="E800" s="10">
        <f>IF(D800="","",MIN(D800,100))</f>
        <v/>
      </c>
      <c r="F800" s="10" t="n"/>
      <c r="G800" s="10">
        <f>IF(F800="","",MIN(F800,100))</f>
        <v/>
      </c>
      <c r="H800" s="11">
        <f>IF(A800="","",Universe!E800/BDP(A800&amp;" US Equity","HIGH_52WEEK")*100)</f>
        <v/>
      </c>
      <c r="I800">
        <f>IF(D800="","",D800&gt;=5)</f>
        <v/>
      </c>
      <c r="J800">
        <f>IF(F800="","",F800&gt;=5)</f>
        <v/>
      </c>
      <c r="K800">
        <f>IF(H800="","",H800&gt;=75)</f>
        <v/>
      </c>
      <c r="L800">
        <f>IF(OR(I800="",J800="",K800=""),FALSE,AND(I800,J800,K800))</f>
        <v/>
      </c>
    </row>
    <row r="801">
      <c r="A801">
        <f>Universe!A801</f>
        <v/>
      </c>
      <c r="B801" s="10" t="n"/>
      <c r="C801" s="11">
        <f>IF(B801="","",PERCENTRANK.INC($B$2:$B$2501,B801)*100)</f>
        <v/>
      </c>
      <c r="D801" s="10" t="n"/>
      <c r="E801" s="10">
        <f>IF(D801="","",MIN(D801,100))</f>
        <v/>
      </c>
      <c r="F801" s="10" t="n"/>
      <c r="G801" s="10">
        <f>IF(F801="","",MIN(F801,100))</f>
        <v/>
      </c>
      <c r="H801" s="11">
        <f>IF(A801="","",Universe!E801/BDP(A801&amp;" US Equity","HIGH_52WEEK")*100)</f>
        <v/>
      </c>
      <c r="I801">
        <f>IF(D801="","",D801&gt;=5)</f>
        <v/>
      </c>
      <c r="J801">
        <f>IF(F801="","",F801&gt;=5)</f>
        <v/>
      </c>
      <c r="K801">
        <f>IF(H801="","",H801&gt;=75)</f>
        <v/>
      </c>
      <c r="L801">
        <f>IF(OR(I801="",J801="",K801=""),FALSE,AND(I801,J801,K801))</f>
        <v/>
      </c>
    </row>
    <row r="802">
      <c r="A802">
        <f>Universe!A802</f>
        <v/>
      </c>
      <c r="B802" s="10" t="n"/>
      <c r="C802" s="11">
        <f>IF(B802="","",PERCENTRANK.INC($B$2:$B$2501,B802)*100)</f>
        <v/>
      </c>
      <c r="D802" s="10" t="n"/>
      <c r="E802" s="10">
        <f>IF(D802="","",MIN(D802,100))</f>
        <v/>
      </c>
      <c r="F802" s="10" t="n"/>
      <c r="G802" s="10">
        <f>IF(F802="","",MIN(F802,100))</f>
        <v/>
      </c>
      <c r="H802" s="11">
        <f>IF(A802="","",Universe!E802/BDP(A802&amp;" US Equity","HIGH_52WEEK")*100)</f>
        <v/>
      </c>
      <c r="I802">
        <f>IF(D802="","",D802&gt;=5)</f>
        <v/>
      </c>
      <c r="J802">
        <f>IF(F802="","",F802&gt;=5)</f>
        <v/>
      </c>
      <c r="K802">
        <f>IF(H802="","",H802&gt;=75)</f>
        <v/>
      </c>
      <c r="L802">
        <f>IF(OR(I802="",J802="",K802=""),FALSE,AND(I802,J802,K802))</f>
        <v/>
      </c>
    </row>
    <row r="803">
      <c r="A803">
        <f>Universe!A803</f>
        <v/>
      </c>
      <c r="B803" s="10" t="n"/>
      <c r="C803" s="11">
        <f>IF(B803="","",PERCENTRANK.INC($B$2:$B$2501,B803)*100)</f>
        <v/>
      </c>
      <c r="D803" s="10" t="n"/>
      <c r="E803" s="10">
        <f>IF(D803="","",MIN(D803,100))</f>
        <v/>
      </c>
      <c r="F803" s="10" t="n"/>
      <c r="G803" s="10">
        <f>IF(F803="","",MIN(F803,100))</f>
        <v/>
      </c>
      <c r="H803" s="11">
        <f>IF(A803="","",Universe!E803/BDP(A803&amp;" US Equity","HIGH_52WEEK")*100)</f>
        <v/>
      </c>
      <c r="I803">
        <f>IF(D803="","",D803&gt;=5)</f>
        <v/>
      </c>
      <c r="J803">
        <f>IF(F803="","",F803&gt;=5)</f>
        <v/>
      </c>
      <c r="K803">
        <f>IF(H803="","",H803&gt;=75)</f>
        <v/>
      </c>
      <c r="L803">
        <f>IF(OR(I803="",J803="",K803=""),FALSE,AND(I803,J803,K803))</f>
        <v/>
      </c>
    </row>
    <row r="804">
      <c r="A804">
        <f>Universe!A804</f>
        <v/>
      </c>
      <c r="B804" s="10" t="n"/>
      <c r="C804" s="11">
        <f>IF(B804="","",PERCENTRANK.INC($B$2:$B$2501,B804)*100)</f>
        <v/>
      </c>
      <c r="D804" s="10" t="n"/>
      <c r="E804" s="10">
        <f>IF(D804="","",MIN(D804,100))</f>
        <v/>
      </c>
      <c r="F804" s="10" t="n"/>
      <c r="G804" s="10">
        <f>IF(F804="","",MIN(F804,100))</f>
        <v/>
      </c>
      <c r="H804" s="11">
        <f>IF(A804="","",Universe!E804/BDP(A804&amp;" US Equity","HIGH_52WEEK")*100)</f>
        <v/>
      </c>
      <c r="I804">
        <f>IF(D804="","",D804&gt;=5)</f>
        <v/>
      </c>
      <c r="J804">
        <f>IF(F804="","",F804&gt;=5)</f>
        <v/>
      </c>
      <c r="K804">
        <f>IF(H804="","",H804&gt;=75)</f>
        <v/>
      </c>
      <c r="L804">
        <f>IF(OR(I804="",J804="",K804=""),FALSE,AND(I804,J804,K804))</f>
        <v/>
      </c>
    </row>
    <row r="805">
      <c r="A805">
        <f>Universe!A805</f>
        <v/>
      </c>
      <c r="B805" s="10" t="n"/>
      <c r="C805" s="11">
        <f>IF(B805="","",PERCENTRANK.INC($B$2:$B$2501,B805)*100)</f>
        <v/>
      </c>
      <c r="D805" s="10" t="n"/>
      <c r="E805" s="10">
        <f>IF(D805="","",MIN(D805,100))</f>
        <v/>
      </c>
      <c r="F805" s="10" t="n"/>
      <c r="G805" s="10">
        <f>IF(F805="","",MIN(F805,100))</f>
        <v/>
      </c>
      <c r="H805" s="11">
        <f>IF(A805="","",Universe!E805/BDP(A805&amp;" US Equity","HIGH_52WEEK")*100)</f>
        <v/>
      </c>
      <c r="I805">
        <f>IF(D805="","",D805&gt;=5)</f>
        <v/>
      </c>
      <c r="J805">
        <f>IF(F805="","",F805&gt;=5)</f>
        <v/>
      </c>
      <c r="K805">
        <f>IF(H805="","",H805&gt;=75)</f>
        <v/>
      </c>
      <c r="L805">
        <f>IF(OR(I805="",J805="",K805=""),FALSE,AND(I805,J805,K805))</f>
        <v/>
      </c>
    </row>
    <row r="806">
      <c r="A806">
        <f>Universe!A806</f>
        <v/>
      </c>
      <c r="B806" s="10" t="n"/>
      <c r="C806" s="11">
        <f>IF(B806="","",PERCENTRANK.INC($B$2:$B$2501,B806)*100)</f>
        <v/>
      </c>
      <c r="D806" s="10" t="n"/>
      <c r="E806" s="10">
        <f>IF(D806="","",MIN(D806,100))</f>
        <v/>
      </c>
      <c r="F806" s="10" t="n"/>
      <c r="G806" s="10">
        <f>IF(F806="","",MIN(F806,100))</f>
        <v/>
      </c>
      <c r="H806" s="11">
        <f>IF(A806="","",Universe!E806/BDP(A806&amp;" US Equity","HIGH_52WEEK")*100)</f>
        <v/>
      </c>
      <c r="I806">
        <f>IF(D806="","",D806&gt;=5)</f>
        <v/>
      </c>
      <c r="J806">
        <f>IF(F806="","",F806&gt;=5)</f>
        <v/>
      </c>
      <c r="K806">
        <f>IF(H806="","",H806&gt;=75)</f>
        <v/>
      </c>
      <c r="L806">
        <f>IF(OR(I806="",J806="",K806=""),FALSE,AND(I806,J806,K806))</f>
        <v/>
      </c>
    </row>
    <row r="807">
      <c r="A807">
        <f>Universe!A807</f>
        <v/>
      </c>
      <c r="B807" s="10" t="n"/>
      <c r="C807" s="11">
        <f>IF(B807="","",PERCENTRANK.INC($B$2:$B$2501,B807)*100)</f>
        <v/>
      </c>
      <c r="D807" s="10" t="n"/>
      <c r="E807" s="10">
        <f>IF(D807="","",MIN(D807,100))</f>
        <v/>
      </c>
      <c r="F807" s="10" t="n"/>
      <c r="G807" s="10">
        <f>IF(F807="","",MIN(F807,100))</f>
        <v/>
      </c>
      <c r="H807" s="11">
        <f>IF(A807="","",Universe!E807/BDP(A807&amp;" US Equity","HIGH_52WEEK")*100)</f>
        <v/>
      </c>
      <c r="I807">
        <f>IF(D807="","",D807&gt;=5)</f>
        <v/>
      </c>
      <c r="J807">
        <f>IF(F807="","",F807&gt;=5)</f>
        <v/>
      </c>
      <c r="K807">
        <f>IF(H807="","",H807&gt;=75)</f>
        <v/>
      </c>
      <c r="L807">
        <f>IF(OR(I807="",J807="",K807=""),FALSE,AND(I807,J807,K807))</f>
        <v/>
      </c>
    </row>
    <row r="808">
      <c r="A808">
        <f>Universe!A808</f>
        <v/>
      </c>
      <c r="B808" s="10" t="n"/>
      <c r="C808" s="11">
        <f>IF(B808="","",PERCENTRANK.INC($B$2:$B$2501,B808)*100)</f>
        <v/>
      </c>
      <c r="D808" s="10" t="n"/>
      <c r="E808" s="10">
        <f>IF(D808="","",MIN(D808,100))</f>
        <v/>
      </c>
      <c r="F808" s="10" t="n"/>
      <c r="G808" s="10">
        <f>IF(F808="","",MIN(F808,100))</f>
        <v/>
      </c>
      <c r="H808" s="11">
        <f>IF(A808="","",Universe!E808/BDP(A808&amp;" US Equity","HIGH_52WEEK")*100)</f>
        <v/>
      </c>
      <c r="I808">
        <f>IF(D808="","",D808&gt;=5)</f>
        <v/>
      </c>
      <c r="J808">
        <f>IF(F808="","",F808&gt;=5)</f>
        <v/>
      </c>
      <c r="K808">
        <f>IF(H808="","",H808&gt;=75)</f>
        <v/>
      </c>
      <c r="L808">
        <f>IF(OR(I808="",J808="",K808=""),FALSE,AND(I808,J808,K808))</f>
        <v/>
      </c>
    </row>
    <row r="809">
      <c r="A809">
        <f>Universe!A809</f>
        <v/>
      </c>
      <c r="B809" s="10" t="n"/>
      <c r="C809" s="11">
        <f>IF(B809="","",PERCENTRANK.INC($B$2:$B$2501,B809)*100)</f>
        <v/>
      </c>
      <c r="D809" s="10" t="n"/>
      <c r="E809" s="10">
        <f>IF(D809="","",MIN(D809,100))</f>
        <v/>
      </c>
      <c r="F809" s="10" t="n"/>
      <c r="G809" s="10">
        <f>IF(F809="","",MIN(F809,100))</f>
        <v/>
      </c>
      <c r="H809" s="11">
        <f>IF(A809="","",Universe!E809/BDP(A809&amp;" US Equity","HIGH_52WEEK")*100)</f>
        <v/>
      </c>
      <c r="I809">
        <f>IF(D809="","",D809&gt;=5)</f>
        <v/>
      </c>
      <c r="J809">
        <f>IF(F809="","",F809&gt;=5)</f>
        <v/>
      </c>
      <c r="K809">
        <f>IF(H809="","",H809&gt;=75)</f>
        <v/>
      </c>
      <c r="L809">
        <f>IF(OR(I809="",J809="",K809=""),FALSE,AND(I809,J809,K809))</f>
        <v/>
      </c>
    </row>
    <row r="810">
      <c r="A810">
        <f>Universe!A810</f>
        <v/>
      </c>
      <c r="B810" s="10" t="n"/>
      <c r="C810" s="11">
        <f>IF(B810="","",PERCENTRANK.INC($B$2:$B$2501,B810)*100)</f>
        <v/>
      </c>
      <c r="D810" s="10" t="n"/>
      <c r="E810" s="10">
        <f>IF(D810="","",MIN(D810,100))</f>
        <v/>
      </c>
      <c r="F810" s="10" t="n"/>
      <c r="G810" s="10">
        <f>IF(F810="","",MIN(F810,100))</f>
        <v/>
      </c>
      <c r="H810" s="11">
        <f>IF(A810="","",Universe!E810/BDP(A810&amp;" US Equity","HIGH_52WEEK")*100)</f>
        <v/>
      </c>
      <c r="I810">
        <f>IF(D810="","",D810&gt;=5)</f>
        <v/>
      </c>
      <c r="J810">
        <f>IF(F810="","",F810&gt;=5)</f>
        <v/>
      </c>
      <c r="K810">
        <f>IF(H810="","",H810&gt;=75)</f>
        <v/>
      </c>
      <c r="L810">
        <f>IF(OR(I810="",J810="",K810=""),FALSE,AND(I810,J810,K810))</f>
        <v/>
      </c>
    </row>
    <row r="811">
      <c r="A811">
        <f>Universe!A811</f>
        <v/>
      </c>
      <c r="B811" s="10" t="n"/>
      <c r="C811" s="11">
        <f>IF(B811="","",PERCENTRANK.INC($B$2:$B$2501,B811)*100)</f>
        <v/>
      </c>
      <c r="D811" s="10" t="n"/>
      <c r="E811" s="10">
        <f>IF(D811="","",MIN(D811,100))</f>
        <v/>
      </c>
      <c r="F811" s="10" t="n"/>
      <c r="G811" s="10">
        <f>IF(F811="","",MIN(F811,100))</f>
        <v/>
      </c>
      <c r="H811" s="11">
        <f>IF(A811="","",Universe!E811/BDP(A811&amp;" US Equity","HIGH_52WEEK")*100)</f>
        <v/>
      </c>
      <c r="I811">
        <f>IF(D811="","",D811&gt;=5)</f>
        <v/>
      </c>
      <c r="J811">
        <f>IF(F811="","",F811&gt;=5)</f>
        <v/>
      </c>
      <c r="K811">
        <f>IF(H811="","",H811&gt;=75)</f>
        <v/>
      </c>
      <c r="L811">
        <f>IF(OR(I811="",J811="",K811=""),FALSE,AND(I811,J811,K811))</f>
        <v/>
      </c>
    </row>
    <row r="812">
      <c r="A812">
        <f>Universe!A812</f>
        <v/>
      </c>
      <c r="B812" s="10" t="n"/>
      <c r="C812" s="11">
        <f>IF(B812="","",PERCENTRANK.INC($B$2:$B$2501,B812)*100)</f>
        <v/>
      </c>
      <c r="D812" s="10" t="n"/>
      <c r="E812" s="10">
        <f>IF(D812="","",MIN(D812,100))</f>
        <v/>
      </c>
      <c r="F812" s="10" t="n"/>
      <c r="G812" s="10">
        <f>IF(F812="","",MIN(F812,100))</f>
        <v/>
      </c>
      <c r="H812" s="11">
        <f>IF(A812="","",Universe!E812/BDP(A812&amp;" US Equity","HIGH_52WEEK")*100)</f>
        <v/>
      </c>
      <c r="I812">
        <f>IF(D812="","",D812&gt;=5)</f>
        <v/>
      </c>
      <c r="J812">
        <f>IF(F812="","",F812&gt;=5)</f>
        <v/>
      </c>
      <c r="K812">
        <f>IF(H812="","",H812&gt;=75)</f>
        <v/>
      </c>
      <c r="L812">
        <f>IF(OR(I812="",J812="",K812=""),FALSE,AND(I812,J812,K812))</f>
        <v/>
      </c>
    </row>
    <row r="813">
      <c r="A813">
        <f>Universe!A813</f>
        <v/>
      </c>
      <c r="B813" s="10" t="n"/>
      <c r="C813" s="11">
        <f>IF(B813="","",PERCENTRANK.INC($B$2:$B$2501,B813)*100)</f>
        <v/>
      </c>
      <c r="D813" s="10" t="n"/>
      <c r="E813" s="10">
        <f>IF(D813="","",MIN(D813,100))</f>
        <v/>
      </c>
      <c r="F813" s="10" t="n"/>
      <c r="G813" s="10">
        <f>IF(F813="","",MIN(F813,100))</f>
        <v/>
      </c>
      <c r="H813" s="11">
        <f>IF(A813="","",Universe!E813/BDP(A813&amp;" US Equity","HIGH_52WEEK")*100)</f>
        <v/>
      </c>
      <c r="I813">
        <f>IF(D813="","",D813&gt;=5)</f>
        <v/>
      </c>
      <c r="J813">
        <f>IF(F813="","",F813&gt;=5)</f>
        <v/>
      </c>
      <c r="K813">
        <f>IF(H813="","",H813&gt;=75)</f>
        <v/>
      </c>
      <c r="L813">
        <f>IF(OR(I813="",J813="",K813=""),FALSE,AND(I813,J813,K813))</f>
        <v/>
      </c>
    </row>
    <row r="814">
      <c r="A814">
        <f>Universe!A814</f>
        <v/>
      </c>
      <c r="B814" s="10" t="n"/>
      <c r="C814" s="11">
        <f>IF(B814="","",PERCENTRANK.INC($B$2:$B$2501,B814)*100)</f>
        <v/>
      </c>
      <c r="D814" s="10" t="n"/>
      <c r="E814" s="10">
        <f>IF(D814="","",MIN(D814,100))</f>
        <v/>
      </c>
      <c r="F814" s="10" t="n"/>
      <c r="G814" s="10">
        <f>IF(F814="","",MIN(F814,100))</f>
        <v/>
      </c>
      <c r="H814" s="11">
        <f>IF(A814="","",Universe!E814/BDP(A814&amp;" US Equity","HIGH_52WEEK")*100)</f>
        <v/>
      </c>
      <c r="I814">
        <f>IF(D814="","",D814&gt;=5)</f>
        <v/>
      </c>
      <c r="J814">
        <f>IF(F814="","",F814&gt;=5)</f>
        <v/>
      </c>
      <c r="K814">
        <f>IF(H814="","",H814&gt;=75)</f>
        <v/>
      </c>
      <c r="L814">
        <f>IF(OR(I814="",J814="",K814=""),FALSE,AND(I814,J814,K814))</f>
        <v/>
      </c>
    </row>
    <row r="815">
      <c r="A815">
        <f>Universe!A815</f>
        <v/>
      </c>
      <c r="B815" s="10" t="n"/>
      <c r="C815" s="11">
        <f>IF(B815="","",PERCENTRANK.INC($B$2:$B$2501,B815)*100)</f>
        <v/>
      </c>
      <c r="D815" s="10" t="n"/>
      <c r="E815" s="10">
        <f>IF(D815="","",MIN(D815,100))</f>
        <v/>
      </c>
      <c r="F815" s="10" t="n"/>
      <c r="G815" s="10">
        <f>IF(F815="","",MIN(F815,100))</f>
        <v/>
      </c>
      <c r="H815" s="11">
        <f>IF(A815="","",Universe!E815/BDP(A815&amp;" US Equity","HIGH_52WEEK")*100)</f>
        <v/>
      </c>
      <c r="I815">
        <f>IF(D815="","",D815&gt;=5)</f>
        <v/>
      </c>
      <c r="J815">
        <f>IF(F815="","",F815&gt;=5)</f>
        <v/>
      </c>
      <c r="K815">
        <f>IF(H815="","",H815&gt;=75)</f>
        <v/>
      </c>
      <c r="L815">
        <f>IF(OR(I815="",J815="",K815=""),FALSE,AND(I815,J815,K815))</f>
        <v/>
      </c>
    </row>
    <row r="816">
      <c r="A816">
        <f>Universe!A816</f>
        <v/>
      </c>
      <c r="B816" s="10" t="n"/>
      <c r="C816" s="11">
        <f>IF(B816="","",PERCENTRANK.INC($B$2:$B$2501,B816)*100)</f>
        <v/>
      </c>
      <c r="D816" s="10" t="n"/>
      <c r="E816" s="10">
        <f>IF(D816="","",MIN(D816,100))</f>
        <v/>
      </c>
      <c r="F816" s="10" t="n"/>
      <c r="G816" s="10">
        <f>IF(F816="","",MIN(F816,100))</f>
        <v/>
      </c>
      <c r="H816" s="11">
        <f>IF(A816="","",Universe!E816/BDP(A816&amp;" US Equity","HIGH_52WEEK")*100)</f>
        <v/>
      </c>
      <c r="I816">
        <f>IF(D816="","",D816&gt;=5)</f>
        <v/>
      </c>
      <c r="J816">
        <f>IF(F816="","",F816&gt;=5)</f>
        <v/>
      </c>
      <c r="K816">
        <f>IF(H816="","",H816&gt;=75)</f>
        <v/>
      </c>
      <c r="L816">
        <f>IF(OR(I816="",J816="",K816=""),FALSE,AND(I816,J816,K816))</f>
        <v/>
      </c>
    </row>
    <row r="817">
      <c r="A817">
        <f>Universe!A817</f>
        <v/>
      </c>
      <c r="B817" s="10" t="n"/>
      <c r="C817" s="11">
        <f>IF(B817="","",PERCENTRANK.INC($B$2:$B$2501,B817)*100)</f>
        <v/>
      </c>
      <c r="D817" s="10" t="n"/>
      <c r="E817" s="10">
        <f>IF(D817="","",MIN(D817,100))</f>
        <v/>
      </c>
      <c r="F817" s="10" t="n"/>
      <c r="G817" s="10">
        <f>IF(F817="","",MIN(F817,100))</f>
        <v/>
      </c>
      <c r="H817" s="11">
        <f>IF(A817="","",Universe!E817/BDP(A817&amp;" US Equity","HIGH_52WEEK")*100)</f>
        <v/>
      </c>
      <c r="I817">
        <f>IF(D817="","",D817&gt;=5)</f>
        <v/>
      </c>
      <c r="J817">
        <f>IF(F817="","",F817&gt;=5)</f>
        <v/>
      </c>
      <c r="K817">
        <f>IF(H817="","",H817&gt;=75)</f>
        <v/>
      </c>
      <c r="L817">
        <f>IF(OR(I817="",J817="",K817=""),FALSE,AND(I817,J817,K817))</f>
        <v/>
      </c>
    </row>
    <row r="818">
      <c r="A818">
        <f>Universe!A818</f>
        <v/>
      </c>
      <c r="B818" s="10" t="n"/>
      <c r="C818" s="11">
        <f>IF(B818="","",PERCENTRANK.INC($B$2:$B$2501,B818)*100)</f>
        <v/>
      </c>
      <c r="D818" s="10" t="n"/>
      <c r="E818" s="10">
        <f>IF(D818="","",MIN(D818,100))</f>
        <v/>
      </c>
      <c r="F818" s="10" t="n"/>
      <c r="G818" s="10">
        <f>IF(F818="","",MIN(F818,100))</f>
        <v/>
      </c>
      <c r="H818" s="11">
        <f>IF(A818="","",Universe!E818/BDP(A818&amp;" US Equity","HIGH_52WEEK")*100)</f>
        <v/>
      </c>
      <c r="I818">
        <f>IF(D818="","",D818&gt;=5)</f>
        <v/>
      </c>
      <c r="J818">
        <f>IF(F818="","",F818&gt;=5)</f>
        <v/>
      </c>
      <c r="K818">
        <f>IF(H818="","",H818&gt;=75)</f>
        <v/>
      </c>
      <c r="L818">
        <f>IF(OR(I818="",J818="",K818=""),FALSE,AND(I818,J818,K818))</f>
        <v/>
      </c>
    </row>
    <row r="819">
      <c r="A819">
        <f>Universe!A819</f>
        <v/>
      </c>
      <c r="B819" s="10" t="n"/>
      <c r="C819" s="11">
        <f>IF(B819="","",PERCENTRANK.INC($B$2:$B$2501,B819)*100)</f>
        <v/>
      </c>
      <c r="D819" s="10" t="n"/>
      <c r="E819" s="10">
        <f>IF(D819="","",MIN(D819,100))</f>
        <v/>
      </c>
      <c r="F819" s="10" t="n"/>
      <c r="G819" s="10">
        <f>IF(F819="","",MIN(F819,100))</f>
        <v/>
      </c>
      <c r="H819" s="11">
        <f>IF(A819="","",Universe!E819/BDP(A819&amp;" US Equity","HIGH_52WEEK")*100)</f>
        <v/>
      </c>
      <c r="I819">
        <f>IF(D819="","",D819&gt;=5)</f>
        <v/>
      </c>
      <c r="J819">
        <f>IF(F819="","",F819&gt;=5)</f>
        <v/>
      </c>
      <c r="K819">
        <f>IF(H819="","",H819&gt;=75)</f>
        <v/>
      </c>
      <c r="L819">
        <f>IF(OR(I819="",J819="",K819=""),FALSE,AND(I819,J819,K819))</f>
        <v/>
      </c>
    </row>
    <row r="820">
      <c r="A820">
        <f>Universe!A820</f>
        <v/>
      </c>
      <c r="B820" s="10" t="n"/>
      <c r="C820" s="11">
        <f>IF(B820="","",PERCENTRANK.INC($B$2:$B$2501,B820)*100)</f>
        <v/>
      </c>
      <c r="D820" s="10" t="n"/>
      <c r="E820" s="10">
        <f>IF(D820="","",MIN(D820,100))</f>
        <v/>
      </c>
      <c r="F820" s="10" t="n"/>
      <c r="G820" s="10">
        <f>IF(F820="","",MIN(F820,100))</f>
        <v/>
      </c>
      <c r="H820" s="11">
        <f>IF(A820="","",Universe!E820/BDP(A820&amp;" US Equity","HIGH_52WEEK")*100)</f>
        <v/>
      </c>
      <c r="I820">
        <f>IF(D820="","",D820&gt;=5)</f>
        <v/>
      </c>
      <c r="J820">
        <f>IF(F820="","",F820&gt;=5)</f>
        <v/>
      </c>
      <c r="K820">
        <f>IF(H820="","",H820&gt;=75)</f>
        <v/>
      </c>
      <c r="L820">
        <f>IF(OR(I820="",J820="",K820=""),FALSE,AND(I820,J820,K820))</f>
        <v/>
      </c>
    </row>
    <row r="821">
      <c r="A821">
        <f>Universe!A821</f>
        <v/>
      </c>
      <c r="B821" s="10" t="n"/>
      <c r="C821" s="11">
        <f>IF(B821="","",PERCENTRANK.INC($B$2:$B$2501,B821)*100)</f>
        <v/>
      </c>
      <c r="D821" s="10" t="n"/>
      <c r="E821" s="10">
        <f>IF(D821="","",MIN(D821,100))</f>
        <v/>
      </c>
      <c r="F821" s="10" t="n"/>
      <c r="G821" s="10">
        <f>IF(F821="","",MIN(F821,100))</f>
        <v/>
      </c>
      <c r="H821" s="11">
        <f>IF(A821="","",Universe!E821/BDP(A821&amp;" US Equity","HIGH_52WEEK")*100)</f>
        <v/>
      </c>
      <c r="I821">
        <f>IF(D821="","",D821&gt;=5)</f>
        <v/>
      </c>
      <c r="J821">
        <f>IF(F821="","",F821&gt;=5)</f>
        <v/>
      </c>
      <c r="K821">
        <f>IF(H821="","",H821&gt;=75)</f>
        <v/>
      </c>
      <c r="L821">
        <f>IF(OR(I821="",J821="",K821=""),FALSE,AND(I821,J821,K821))</f>
        <v/>
      </c>
    </row>
    <row r="822">
      <c r="A822">
        <f>Universe!A822</f>
        <v/>
      </c>
      <c r="B822" s="10" t="n"/>
      <c r="C822" s="11">
        <f>IF(B822="","",PERCENTRANK.INC($B$2:$B$2501,B822)*100)</f>
        <v/>
      </c>
      <c r="D822" s="10" t="n"/>
      <c r="E822" s="10">
        <f>IF(D822="","",MIN(D822,100))</f>
        <v/>
      </c>
      <c r="F822" s="10" t="n"/>
      <c r="G822" s="10">
        <f>IF(F822="","",MIN(F822,100))</f>
        <v/>
      </c>
      <c r="H822" s="11">
        <f>IF(A822="","",Universe!E822/BDP(A822&amp;" US Equity","HIGH_52WEEK")*100)</f>
        <v/>
      </c>
      <c r="I822">
        <f>IF(D822="","",D822&gt;=5)</f>
        <v/>
      </c>
      <c r="J822">
        <f>IF(F822="","",F822&gt;=5)</f>
        <v/>
      </c>
      <c r="K822">
        <f>IF(H822="","",H822&gt;=75)</f>
        <v/>
      </c>
      <c r="L822">
        <f>IF(OR(I822="",J822="",K822=""),FALSE,AND(I822,J822,K822))</f>
        <v/>
      </c>
    </row>
    <row r="823">
      <c r="A823">
        <f>Universe!A823</f>
        <v/>
      </c>
      <c r="B823" s="10" t="n"/>
      <c r="C823" s="11">
        <f>IF(B823="","",PERCENTRANK.INC($B$2:$B$2501,B823)*100)</f>
        <v/>
      </c>
      <c r="D823" s="10" t="n"/>
      <c r="E823" s="10">
        <f>IF(D823="","",MIN(D823,100))</f>
        <v/>
      </c>
      <c r="F823" s="10" t="n"/>
      <c r="G823" s="10">
        <f>IF(F823="","",MIN(F823,100))</f>
        <v/>
      </c>
      <c r="H823" s="11">
        <f>IF(A823="","",Universe!E823/BDP(A823&amp;" US Equity","HIGH_52WEEK")*100)</f>
        <v/>
      </c>
      <c r="I823">
        <f>IF(D823="","",D823&gt;=5)</f>
        <v/>
      </c>
      <c r="J823">
        <f>IF(F823="","",F823&gt;=5)</f>
        <v/>
      </c>
      <c r="K823">
        <f>IF(H823="","",H823&gt;=75)</f>
        <v/>
      </c>
      <c r="L823">
        <f>IF(OR(I823="",J823="",K823=""),FALSE,AND(I823,J823,K823))</f>
        <v/>
      </c>
    </row>
    <row r="824">
      <c r="A824">
        <f>Universe!A824</f>
        <v/>
      </c>
      <c r="B824" s="10" t="n"/>
      <c r="C824" s="11">
        <f>IF(B824="","",PERCENTRANK.INC($B$2:$B$2501,B824)*100)</f>
        <v/>
      </c>
      <c r="D824" s="10" t="n"/>
      <c r="E824" s="10">
        <f>IF(D824="","",MIN(D824,100))</f>
        <v/>
      </c>
      <c r="F824" s="10" t="n"/>
      <c r="G824" s="10">
        <f>IF(F824="","",MIN(F824,100))</f>
        <v/>
      </c>
      <c r="H824" s="11">
        <f>IF(A824="","",Universe!E824/BDP(A824&amp;" US Equity","HIGH_52WEEK")*100)</f>
        <v/>
      </c>
      <c r="I824">
        <f>IF(D824="","",D824&gt;=5)</f>
        <v/>
      </c>
      <c r="J824">
        <f>IF(F824="","",F824&gt;=5)</f>
        <v/>
      </c>
      <c r="K824">
        <f>IF(H824="","",H824&gt;=75)</f>
        <v/>
      </c>
      <c r="L824">
        <f>IF(OR(I824="",J824="",K824=""),FALSE,AND(I824,J824,K824))</f>
        <v/>
      </c>
    </row>
    <row r="825">
      <c r="A825">
        <f>Universe!A825</f>
        <v/>
      </c>
      <c r="B825" s="10" t="n"/>
      <c r="C825" s="11">
        <f>IF(B825="","",PERCENTRANK.INC($B$2:$B$2501,B825)*100)</f>
        <v/>
      </c>
      <c r="D825" s="10" t="n"/>
      <c r="E825" s="10">
        <f>IF(D825="","",MIN(D825,100))</f>
        <v/>
      </c>
      <c r="F825" s="10" t="n"/>
      <c r="G825" s="10">
        <f>IF(F825="","",MIN(F825,100))</f>
        <v/>
      </c>
      <c r="H825" s="11">
        <f>IF(A825="","",Universe!E825/BDP(A825&amp;" US Equity","HIGH_52WEEK")*100)</f>
        <v/>
      </c>
      <c r="I825">
        <f>IF(D825="","",D825&gt;=5)</f>
        <v/>
      </c>
      <c r="J825">
        <f>IF(F825="","",F825&gt;=5)</f>
        <v/>
      </c>
      <c r="K825">
        <f>IF(H825="","",H825&gt;=75)</f>
        <v/>
      </c>
      <c r="L825">
        <f>IF(OR(I825="",J825="",K825=""),FALSE,AND(I825,J825,K825))</f>
        <v/>
      </c>
    </row>
    <row r="826">
      <c r="A826">
        <f>Universe!A826</f>
        <v/>
      </c>
      <c r="B826" s="10" t="n"/>
      <c r="C826" s="11">
        <f>IF(B826="","",PERCENTRANK.INC($B$2:$B$2501,B826)*100)</f>
        <v/>
      </c>
      <c r="D826" s="10" t="n"/>
      <c r="E826" s="10">
        <f>IF(D826="","",MIN(D826,100))</f>
        <v/>
      </c>
      <c r="F826" s="10" t="n"/>
      <c r="G826" s="10">
        <f>IF(F826="","",MIN(F826,100))</f>
        <v/>
      </c>
      <c r="H826" s="11">
        <f>IF(A826="","",Universe!E826/BDP(A826&amp;" US Equity","HIGH_52WEEK")*100)</f>
        <v/>
      </c>
      <c r="I826">
        <f>IF(D826="","",D826&gt;=5)</f>
        <v/>
      </c>
      <c r="J826">
        <f>IF(F826="","",F826&gt;=5)</f>
        <v/>
      </c>
      <c r="K826">
        <f>IF(H826="","",H826&gt;=75)</f>
        <v/>
      </c>
      <c r="L826">
        <f>IF(OR(I826="",J826="",K826=""),FALSE,AND(I826,J826,K826))</f>
        <v/>
      </c>
    </row>
    <row r="827">
      <c r="A827">
        <f>Universe!A827</f>
        <v/>
      </c>
      <c r="B827" s="10" t="n"/>
      <c r="C827" s="11">
        <f>IF(B827="","",PERCENTRANK.INC($B$2:$B$2501,B827)*100)</f>
        <v/>
      </c>
      <c r="D827" s="10" t="n"/>
      <c r="E827" s="10">
        <f>IF(D827="","",MIN(D827,100))</f>
        <v/>
      </c>
      <c r="F827" s="10" t="n"/>
      <c r="G827" s="10">
        <f>IF(F827="","",MIN(F827,100))</f>
        <v/>
      </c>
      <c r="H827" s="11">
        <f>IF(A827="","",Universe!E827/BDP(A827&amp;" US Equity","HIGH_52WEEK")*100)</f>
        <v/>
      </c>
      <c r="I827">
        <f>IF(D827="","",D827&gt;=5)</f>
        <v/>
      </c>
      <c r="J827">
        <f>IF(F827="","",F827&gt;=5)</f>
        <v/>
      </c>
      <c r="K827">
        <f>IF(H827="","",H827&gt;=75)</f>
        <v/>
      </c>
      <c r="L827">
        <f>IF(OR(I827="",J827="",K827=""),FALSE,AND(I827,J827,K827))</f>
        <v/>
      </c>
    </row>
    <row r="828">
      <c r="A828">
        <f>Universe!A828</f>
        <v/>
      </c>
      <c r="B828" s="10" t="n"/>
      <c r="C828" s="11">
        <f>IF(B828="","",PERCENTRANK.INC($B$2:$B$2501,B828)*100)</f>
        <v/>
      </c>
      <c r="D828" s="10" t="n"/>
      <c r="E828" s="10">
        <f>IF(D828="","",MIN(D828,100))</f>
        <v/>
      </c>
      <c r="F828" s="10" t="n"/>
      <c r="G828" s="10">
        <f>IF(F828="","",MIN(F828,100))</f>
        <v/>
      </c>
      <c r="H828" s="11">
        <f>IF(A828="","",Universe!E828/BDP(A828&amp;" US Equity","HIGH_52WEEK")*100)</f>
        <v/>
      </c>
      <c r="I828">
        <f>IF(D828="","",D828&gt;=5)</f>
        <v/>
      </c>
      <c r="J828">
        <f>IF(F828="","",F828&gt;=5)</f>
        <v/>
      </c>
      <c r="K828">
        <f>IF(H828="","",H828&gt;=75)</f>
        <v/>
      </c>
      <c r="L828">
        <f>IF(OR(I828="",J828="",K828=""),FALSE,AND(I828,J828,K828))</f>
        <v/>
      </c>
    </row>
    <row r="829">
      <c r="A829">
        <f>Universe!A829</f>
        <v/>
      </c>
      <c r="B829" s="10" t="n"/>
      <c r="C829" s="11">
        <f>IF(B829="","",PERCENTRANK.INC($B$2:$B$2501,B829)*100)</f>
        <v/>
      </c>
      <c r="D829" s="10" t="n"/>
      <c r="E829" s="10">
        <f>IF(D829="","",MIN(D829,100))</f>
        <v/>
      </c>
      <c r="F829" s="10" t="n"/>
      <c r="G829" s="10">
        <f>IF(F829="","",MIN(F829,100))</f>
        <v/>
      </c>
      <c r="H829" s="11">
        <f>IF(A829="","",Universe!E829/BDP(A829&amp;" US Equity","HIGH_52WEEK")*100)</f>
        <v/>
      </c>
      <c r="I829">
        <f>IF(D829="","",D829&gt;=5)</f>
        <v/>
      </c>
      <c r="J829">
        <f>IF(F829="","",F829&gt;=5)</f>
        <v/>
      </c>
      <c r="K829">
        <f>IF(H829="","",H829&gt;=75)</f>
        <v/>
      </c>
      <c r="L829">
        <f>IF(OR(I829="",J829="",K829=""),FALSE,AND(I829,J829,K829))</f>
        <v/>
      </c>
    </row>
    <row r="830">
      <c r="A830">
        <f>Universe!A830</f>
        <v/>
      </c>
      <c r="B830" s="10" t="n"/>
      <c r="C830" s="11">
        <f>IF(B830="","",PERCENTRANK.INC($B$2:$B$2501,B830)*100)</f>
        <v/>
      </c>
      <c r="D830" s="10" t="n"/>
      <c r="E830" s="10">
        <f>IF(D830="","",MIN(D830,100))</f>
        <v/>
      </c>
      <c r="F830" s="10" t="n"/>
      <c r="G830" s="10">
        <f>IF(F830="","",MIN(F830,100))</f>
        <v/>
      </c>
      <c r="H830" s="11">
        <f>IF(A830="","",Universe!E830/BDP(A830&amp;" US Equity","HIGH_52WEEK")*100)</f>
        <v/>
      </c>
      <c r="I830">
        <f>IF(D830="","",D830&gt;=5)</f>
        <v/>
      </c>
      <c r="J830">
        <f>IF(F830="","",F830&gt;=5)</f>
        <v/>
      </c>
      <c r="K830">
        <f>IF(H830="","",H830&gt;=75)</f>
        <v/>
      </c>
      <c r="L830">
        <f>IF(OR(I830="",J830="",K830=""),FALSE,AND(I830,J830,K830))</f>
        <v/>
      </c>
    </row>
    <row r="831">
      <c r="A831">
        <f>Universe!A831</f>
        <v/>
      </c>
      <c r="B831" s="10" t="n"/>
      <c r="C831" s="11">
        <f>IF(B831="","",PERCENTRANK.INC($B$2:$B$2501,B831)*100)</f>
        <v/>
      </c>
      <c r="D831" s="10" t="n"/>
      <c r="E831" s="10">
        <f>IF(D831="","",MIN(D831,100))</f>
        <v/>
      </c>
      <c r="F831" s="10" t="n"/>
      <c r="G831" s="10">
        <f>IF(F831="","",MIN(F831,100))</f>
        <v/>
      </c>
      <c r="H831" s="11">
        <f>IF(A831="","",Universe!E831/BDP(A831&amp;" US Equity","HIGH_52WEEK")*100)</f>
        <v/>
      </c>
      <c r="I831">
        <f>IF(D831="","",D831&gt;=5)</f>
        <v/>
      </c>
      <c r="J831">
        <f>IF(F831="","",F831&gt;=5)</f>
        <v/>
      </c>
      <c r="K831">
        <f>IF(H831="","",H831&gt;=75)</f>
        <v/>
      </c>
      <c r="L831">
        <f>IF(OR(I831="",J831="",K831=""),FALSE,AND(I831,J831,K831))</f>
        <v/>
      </c>
    </row>
    <row r="832">
      <c r="A832">
        <f>Universe!A832</f>
        <v/>
      </c>
      <c r="B832" s="10" t="n"/>
      <c r="C832" s="11">
        <f>IF(B832="","",PERCENTRANK.INC($B$2:$B$2501,B832)*100)</f>
        <v/>
      </c>
      <c r="D832" s="10" t="n"/>
      <c r="E832" s="10">
        <f>IF(D832="","",MIN(D832,100))</f>
        <v/>
      </c>
      <c r="F832" s="10" t="n"/>
      <c r="G832" s="10">
        <f>IF(F832="","",MIN(F832,100))</f>
        <v/>
      </c>
      <c r="H832" s="11">
        <f>IF(A832="","",Universe!E832/BDP(A832&amp;" US Equity","HIGH_52WEEK")*100)</f>
        <v/>
      </c>
      <c r="I832">
        <f>IF(D832="","",D832&gt;=5)</f>
        <v/>
      </c>
      <c r="J832">
        <f>IF(F832="","",F832&gt;=5)</f>
        <v/>
      </c>
      <c r="K832">
        <f>IF(H832="","",H832&gt;=75)</f>
        <v/>
      </c>
      <c r="L832">
        <f>IF(OR(I832="",J832="",K832=""),FALSE,AND(I832,J832,K832))</f>
        <v/>
      </c>
    </row>
    <row r="833">
      <c r="A833">
        <f>Universe!A833</f>
        <v/>
      </c>
      <c r="B833" s="10" t="n"/>
      <c r="C833" s="11">
        <f>IF(B833="","",PERCENTRANK.INC($B$2:$B$2501,B833)*100)</f>
        <v/>
      </c>
      <c r="D833" s="10" t="n"/>
      <c r="E833" s="10">
        <f>IF(D833="","",MIN(D833,100))</f>
        <v/>
      </c>
      <c r="F833" s="10" t="n"/>
      <c r="G833" s="10">
        <f>IF(F833="","",MIN(F833,100))</f>
        <v/>
      </c>
      <c r="H833" s="11">
        <f>IF(A833="","",Universe!E833/BDP(A833&amp;" US Equity","HIGH_52WEEK")*100)</f>
        <v/>
      </c>
      <c r="I833">
        <f>IF(D833="","",D833&gt;=5)</f>
        <v/>
      </c>
      <c r="J833">
        <f>IF(F833="","",F833&gt;=5)</f>
        <v/>
      </c>
      <c r="K833">
        <f>IF(H833="","",H833&gt;=75)</f>
        <v/>
      </c>
      <c r="L833">
        <f>IF(OR(I833="",J833="",K833=""),FALSE,AND(I833,J833,K833))</f>
        <v/>
      </c>
    </row>
    <row r="834">
      <c r="A834">
        <f>Universe!A834</f>
        <v/>
      </c>
      <c r="B834" s="10" t="n"/>
      <c r="C834" s="11">
        <f>IF(B834="","",PERCENTRANK.INC($B$2:$B$2501,B834)*100)</f>
        <v/>
      </c>
      <c r="D834" s="10" t="n"/>
      <c r="E834" s="10">
        <f>IF(D834="","",MIN(D834,100))</f>
        <v/>
      </c>
      <c r="F834" s="10" t="n"/>
      <c r="G834" s="10">
        <f>IF(F834="","",MIN(F834,100))</f>
        <v/>
      </c>
      <c r="H834" s="11">
        <f>IF(A834="","",Universe!E834/BDP(A834&amp;" US Equity","HIGH_52WEEK")*100)</f>
        <v/>
      </c>
      <c r="I834">
        <f>IF(D834="","",D834&gt;=5)</f>
        <v/>
      </c>
      <c r="J834">
        <f>IF(F834="","",F834&gt;=5)</f>
        <v/>
      </c>
      <c r="K834">
        <f>IF(H834="","",H834&gt;=75)</f>
        <v/>
      </c>
      <c r="L834">
        <f>IF(OR(I834="",J834="",K834=""),FALSE,AND(I834,J834,K834))</f>
        <v/>
      </c>
    </row>
    <row r="835">
      <c r="A835">
        <f>Universe!A835</f>
        <v/>
      </c>
      <c r="B835" s="10" t="n"/>
      <c r="C835" s="11">
        <f>IF(B835="","",PERCENTRANK.INC($B$2:$B$2501,B835)*100)</f>
        <v/>
      </c>
      <c r="D835" s="10" t="n"/>
      <c r="E835" s="10">
        <f>IF(D835="","",MIN(D835,100))</f>
        <v/>
      </c>
      <c r="F835" s="10" t="n"/>
      <c r="G835" s="10">
        <f>IF(F835="","",MIN(F835,100))</f>
        <v/>
      </c>
      <c r="H835" s="11">
        <f>IF(A835="","",Universe!E835/BDP(A835&amp;" US Equity","HIGH_52WEEK")*100)</f>
        <v/>
      </c>
      <c r="I835">
        <f>IF(D835="","",D835&gt;=5)</f>
        <v/>
      </c>
      <c r="J835">
        <f>IF(F835="","",F835&gt;=5)</f>
        <v/>
      </c>
      <c r="K835">
        <f>IF(H835="","",H835&gt;=75)</f>
        <v/>
      </c>
      <c r="L835">
        <f>IF(OR(I835="",J835="",K835=""),FALSE,AND(I835,J835,K835))</f>
        <v/>
      </c>
    </row>
    <row r="836">
      <c r="A836">
        <f>Universe!A836</f>
        <v/>
      </c>
      <c r="B836" s="10" t="n"/>
      <c r="C836" s="11">
        <f>IF(B836="","",PERCENTRANK.INC($B$2:$B$2501,B836)*100)</f>
        <v/>
      </c>
      <c r="D836" s="10" t="n"/>
      <c r="E836" s="10">
        <f>IF(D836="","",MIN(D836,100))</f>
        <v/>
      </c>
      <c r="F836" s="10" t="n"/>
      <c r="G836" s="10">
        <f>IF(F836="","",MIN(F836,100))</f>
        <v/>
      </c>
      <c r="H836" s="11">
        <f>IF(A836="","",Universe!E836/BDP(A836&amp;" US Equity","HIGH_52WEEK")*100)</f>
        <v/>
      </c>
      <c r="I836">
        <f>IF(D836="","",D836&gt;=5)</f>
        <v/>
      </c>
      <c r="J836">
        <f>IF(F836="","",F836&gt;=5)</f>
        <v/>
      </c>
      <c r="K836">
        <f>IF(H836="","",H836&gt;=75)</f>
        <v/>
      </c>
      <c r="L836">
        <f>IF(OR(I836="",J836="",K836=""),FALSE,AND(I836,J836,K836))</f>
        <v/>
      </c>
    </row>
    <row r="837">
      <c r="A837">
        <f>Universe!A837</f>
        <v/>
      </c>
      <c r="B837" s="10" t="n"/>
      <c r="C837" s="11">
        <f>IF(B837="","",PERCENTRANK.INC($B$2:$B$2501,B837)*100)</f>
        <v/>
      </c>
      <c r="D837" s="10" t="n"/>
      <c r="E837" s="10">
        <f>IF(D837="","",MIN(D837,100))</f>
        <v/>
      </c>
      <c r="F837" s="10" t="n"/>
      <c r="G837" s="10">
        <f>IF(F837="","",MIN(F837,100))</f>
        <v/>
      </c>
      <c r="H837" s="11">
        <f>IF(A837="","",Universe!E837/BDP(A837&amp;" US Equity","HIGH_52WEEK")*100)</f>
        <v/>
      </c>
      <c r="I837">
        <f>IF(D837="","",D837&gt;=5)</f>
        <v/>
      </c>
      <c r="J837">
        <f>IF(F837="","",F837&gt;=5)</f>
        <v/>
      </c>
      <c r="K837">
        <f>IF(H837="","",H837&gt;=75)</f>
        <v/>
      </c>
      <c r="L837">
        <f>IF(OR(I837="",J837="",K837=""),FALSE,AND(I837,J837,K837))</f>
        <v/>
      </c>
    </row>
    <row r="838">
      <c r="A838">
        <f>Universe!A838</f>
        <v/>
      </c>
      <c r="B838" s="10" t="n"/>
      <c r="C838" s="11">
        <f>IF(B838="","",PERCENTRANK.INC($B$2:$B$2501,B838)*100)</f>
        <v/>
      </c>
      <c r="D838" s="10" t="n"/>
      <c r="E838" s="10">
        <f>IF(D838="","",MIN(D838,100))</f>
        <v/>
      </c>
      <c r="F838" s="10" t="n"/>
      <c r="G838" s="10">
        <f>IF(F838="","",MIN(F838,100))</f>
        <v/>
      </c>
      <c r="H838" s="11">
        <f>IF(A838="","",Universe!E838/BDP(A838&amp;" US Equity","HIGH_52WEEK")*100)</f>
        <v/>
      </c>
      <c r="I838">
        <f>IF(D838="","",D838&gt;=5)</f>
        <v/>
      </c>
      <c r="J838">
        <f>IF(F838="","",F838&gt;=5)</f>
        <v/>
      </c>
      <c r="K838">
        <f>IF(H838="","",H838&gt;=75)</f>
        <v/>
      </c>
      <c r="L838">
        <f>IF(OR(I838="",J838="",K838=""),FALSE,AND(I838,J838,K838))</f>
        <v/>
      </c>
    </row>
    <row r="839">
      <c r="A839">
        <f>Universe!A839</f>
        <v/>
      </c>
      <c r="B839" s="10" t="n"/>
      <c r="C839" s="11">
        <f>IF(B839="","",PERCENTRANK.INC($B$2:$B$2501,B839)*100)</f>
        <v/>
      </c>
      <c r="D839" s="10" t="n"/>
      <c r="E839" s="10">
        <f>IF(D839="","",MIN(D839,100))</f>
        <v/>
      </c>
      <c r="F839" s="10" t="n"/>
      <c r="G839" s="10">
        <f>IF(F839="","",MIN(F839,100))</f>
        <v/>
      </c>
      <c r="H839" s="11">
        <f>IF(A839="","",Universe!E839/BDP(A839&amp;" US Equity","HIGH_52WEEK")*100)</f>
        <v/>
      </c>
      <c r="I839">
        <f>IF(D839="","",D839&gt;=5)</f>
        <v/>
      </c>
      <c r="J839">
        <f>IF(F839="","",F839&gt;=5)</f>
        <v/>
      </c>
      <c r="K839">
        <f>IF(H839="","",H839&gt;=75)</f>
        <v/>
      </c>
      <c r="L839">
        <f>IF(OR(I839="",J839="",K839=""),FALSE,AND(I839,J839,K839))</f>
        <v/>
      </c>
    </row>
    <row r="840">
      <c r="A840">
        <f>Universe!A840</f>
        <v/>
      </c>
      <c r="B840" s="10" t="n"/>
      <c r="C840" s="11">
        <f>IF(B840="","",PERCENTRANK.INC($B$2:$B$2501,B840)*100)</f>
        <v/>
      </c>
      <c r="D840" s="10" t="n"/>
      <c r="E840" s="10">
        <f>IF(D840="","",MIN(D840,100))</f>
        <v/>
      </c>
      <c r="F840" s="10" t="n"/>
      <c r="G840" s="10">
        <f>IF(F840="","",MIN(F840,100))</f>
        <v/>
      </c>
      <c r="H840" s="11">
        <f>IF(A840="","",Universe!E840/BDP(A840&amp;" US Equity","HIGH_52WEEK")*100)</f>
        <v/>
      </c>
      <c r="I840">
        <f>IF(D840="","",D840&gt;=5)</f>
        <v/>
      </c>
      <c r="J840">
        <f>IF(F840="","",F840&gt;=5)</f>
        <v/>
      </c>
      <c r="K840">
        <f>IF(H840="","",H840&gt;=75)</f>
        <v/>
      </c>
      <c r="L840">
        <f>IF(OR(I840="",J840="",K840=""),FALSE,AND(I840,J840,K840))</f>
        <v/>
      </c>
    </row>
    <row r="841">
      <c r="A841">
        <f>Universe!A841</f>
        <v/>
      </c>
      <c r="B841" s="10" t="n"/>
      <c r="C841" s="11">
        <f>IF(B841="","",PERCENTRANK.INC($B$2:$B$2501,B841)*100)</f>
        <v/>
      </c>
      <c r="D841" s="10" t="n"/>
      <c r="E841" s="10">
        <f>IF(D841="","",MIN(D841,100))</f>
        <v/>
      </c>
      <c r="F841" s="10" t="n"/>
      <c r="G841" s="10">
        <f>IF(F841="","",MIN(F841,100))</f>
        <v/>
      </c>
      <c r="H841" s="11">
        <f>IF(A841="","",Universe!E841/BDP(A841&amp;" US Equity","HIGH_52WEEK")*100)</f>
        <v/>
      </c>
      <c r="I841">
        <f>IF(D841="","",D841&gt;=5)</f>
        <v/>
      </c>
      <c r="J841">
        <f>IF(F841="","",F841&gt;=5)</f>
        <v/>
      </c>
      <c r="K841">
        <f>IF(H841="","",H841&gt;=75)</f>
        <v/>
      </c>
      <c r="L841">
        <f>IF(OR(I841="",J841="",K841=""),FALSE,AND(I841,J841,K841))</f>
        <v/>
      </c>
    </row>
    <row r="842">
      <c r="A842">
        <f>Universe!A842</f>
        <v/>
      </c>
      <c r="B842" s="10" t="n"/>
      <c r="C842" s="11">
        <f>IF(B842="","",PERCENTRANK.INC($B$2:$B$2501,B842)*100)</f>
        <v/>
      </c>
      <c r="D842" s="10" t="n"/>
      <c r="E842" s="10">
        <f>IF(D842="","",MIN(D842,100))</f>
        <v/>
      </c>
      <c r="F842" s="10" t="n"/>
      <c r="G842" s="10">
        <f>IF(F842="","",MIN(F842,100))</f>
        <v/>
      </c>
      <c r="H842" s="11">
        <f>IF(A842="","",Universe!E842/BDP(A842&amp;" US Equity","HIGH_52WEEK")*100)</f>
        <v/>
      </c>
      <c r="I842">
        <f>IF(D842="","",D842&gt;=5)</f>
        <v/>
      </c>
      <c r="J842">
        <f>IF(F842="","",F842&gt;=5)</f>
        <v/>
      </c>
      <c r="K842">
        <f>IF(H842="","",H842&gt;=75)</f>
        <v/>
      </c>
      <c r="L842">
        <f>IF(OR(I842="",J842="",K842=""),FALSE,AND(I842,J842,K842))</f>
        <v/>
      </c>
    </row>
    <row r="843">
      <c r="A843">
        <f>Universe!A843</f>
        <v/>
      </c>
      <c r="B843" s="10" t="n"/>
      <c r="C843" s="11">
        <f>IF(B843="","",PERCENTRANK.INC($B$2:$B$2501,B843)*100)</f>
        <v/>
      </c>
      <c r="D843" s="10" t="n"/>
      <c r="E843" s="10">
        <f>IF(D843="","",MIN(D843,100))</f>
        <v/>
      </c>
      <c r="F843" s="10" t="n"/>
      <c r="G843" s="10">
        <f>IF(F843="","",MIN(F843,100))</f>
        <v/>
      </c>
      <c r="H843" s="11">
        <f>IF(A843="","",Universe!E843/BDP(A843&amp;" US Equity","HIGH_52WEEK")*100)</f>
        <v/>
      </c>
      <c r="I843">
        <f>IF(D843="","",D843&gt;=5)</f>
        <v/>
      </c>
      <c r="J843">
        <f>IF(F843="","",F843&gt;=5)</f>
        <v/>
      </c>
      <c r="K843">
        <f>IF(H843="","",H843&gt;=75)</f>
        <v/>
      </c>
      <c r="L843">
        <f>IF(OR(I843="",J843="",K843=""),FALSE,AND(I843,J843,K843))</f>
        <v/>
      </c>
    </row>
    <row r="844">
      <c r="A844">
        <f>Universe!A844</f>
        <v/>
      </c>
      <c r="B844" s="10" t="n"/>
      <c r="C844" s="11">
        <f>IF(B844="","",PERCENTRANK.INC($B$2:$B$2501,B844)*100)</f>
        <v/>
      </c>
      <c r="D844" s="10" t="n"/>
      <c r="E844" s="10">
        <f>IF(D844="","",MIN(D844,100))</f>
        <v/>
      </c>
      <c r="F844" s="10" t="n"/>
      <c r="G844" s="10">
        <f>IF(F844="","",MIN(F844,100))</f>
        <v/>
      </c>
      <c r="H844" s="11">
        <f>IF(A844="","",Universe!E844/BDP(A844&amp;" US Equity","HIGH_52WEEK")*100)</f>
        <v/>
      </c>
      <c r="I844">
        <f>IF(D844="","",D844&gt;=5)</f>
        <v/>
      </c>
      <c r="J844">
        <f>IF(F844="","",F844&gt;=5)</f>
        <v/>
      </c>
      <c r="K844">
        <f>IF(H844="","",H844&gt;=75)</f>
        <v/>
      </c>
      <c r="L844">
        <f>IF(OR(I844="",J844="",K844=""),FALSE,AND(I844,J844,K844))</f>
        <v/>
      </c>
    </row>
    <row r="845">
      <c r="A845">
        <f>Universe!A845</f>
        <v/>
      </c>
      <c r="B845" s="10" t="n"/>
      <c r="C845" s="11">
        <f>IF(B845="","",PERCENTRANK.INC($B$2:$B$2501,B845)*100)</f>
        <v/>
      </c>
      <c r="D845" s="10" t="n"/>
      <c r="E845" s="10">
        <f>IF(D845="","",MIN(D845,100))</f>
        <v/>
      </c>
      <c r="F845" s="10" t="n"/>
      <c r="G845" s="10">
        <f>IF(F845="","",MIN(F845,100))</f>
        <v/>
      </c>
      <c r="H845" s="11">
        <f>IF(A845="","",Universe!E845/BDP(A845&amp;" US Equity","HIGH_52WEEK")*100)</f>
        <v/>
      </c>
      <c r="I845">
        <f>IF(D845="","",D845&gt;=5)</f>
        <v/>
      </c>
      <c r="J845">
        <f>IF(F845="","",F845&gt;=5)</f>
        <v/>
      </c>
      <c r="K845">
        <f>IF(H845="","",H845&gt;=75)</f>
        <v/>
      </c>
      <c r="L845">
        <f>IF(OR(I845="",J845="",K845=""),FALSE,AND(I845,J845,K845))</f>
        <v/>
      </c>
    </row>
    <row r="846">
      <c r="A846">
        <f>Universe!A846</f>
        <v/>
      </c>
      <c r="B846" s="10" t="n"/>
      <c r="C846" s="11">
        <f>IF(B846="","",PERCENTRANK.INC($B$2:$B$2501,B846)*100)</f>
        <v/>
      </c>
      <c r="D846" s="10" t="n"/>
      <c r="E846" s="10">
        <f>IF(D846="","",MIN(D846,100))</f>
        <v/>
      </c>
      <c r="F846" s="10" t="n"/>
      <c r="G846" s="10">
        <f>IF(F846="","",MIN(F846,100))</f>
        <v/>
      </c>
      <c r="H846" s="11">
        <f>IF(A846="","",Universe!E846/BDP(A846&amp;" US Equity","HIGH_52WEEK")*100)</f>
        <v/>
      </c>
      <c r="I846">
        <f>IF(D846="","",D846&gt;=5)</f>
        <v/>
      </c>
      <c r="J846">
        <f>IF(F846="","",F846&gt;=5)</f>
        <v/>
      </c>
      <c r="K846">
        <f>IF(H846="","",H846&gt;=75)</f>
        <v/>
      </c>
      <c r="L846">
        <f>IF(OR(I846="",J846="",K846=""),FALSE,AND(I846,J846,K846))</f>
        <v/>
      </c>
    </row>
    <row r="847">
      <c r="A847">
        <f>Universe!A847</f>
        <v/>
      </c>
      <c r="B847" s="10" t="n"/>
      <c r="C847" s="11">
        <f>IF(B847="","",PERCENTRANK.INC($B$2:$B$2501,B847)*100)</f>
        <v/>
      </c>
      <c r="D847" s="10" t="n"/>
      <c r="E847" s="10">
        <f>IF(D847="","",MIN(D847,100))</f>
        <v/>
      </c>
      <c r="F847" s="10" t="n"/>
      <c r="G847" s="10">
        <f>IF(F847="","",MIN(F847,100))</f>
        <v/>
      </c>
      <c r="H847" s="11">
        <f>IF(A847="","",Universe!E847/BDP(A847&amp;" US Equity","HIGH_52WEEK")*100)</f>
        <v/>
      </c>
      <c r="I847">
        <f>IF(D847="","",D847&gt;=5)</f>
        <v/>
      </c>
      <c r="J847">
        <f>IF(F847="","",F847&gt;=5)</f>
        <v/>
      </c>
      <c r="K847">
        <f>IF(H847="","",H847&gt;=75)</f>
        <v/>
      </c>
      <c r="L847">
        <f>IF(OR(I847="",J847="",K847=""),FALSE,AND(I847,J847,K847))</f>
        <v/>
      </c>
    </row>
    <row r="848">
      <c r="A848">
        <f>Universe!A848</f>
        <v/>
      </c>
      <c r="B848" s="10" t="n"/>
      <c r="C848" s="11">
        <f>IF(B848="","",PERCENTRANK.INC($B$2:$B$2501,B848)*100)</f>
        <v/>
      </c>
      <c r="D848" s="10" t="n"/>
      <c r="E848" s="10">
        <f>IF(D848="","",MIN(D848,100))</f>
        <v/>
      </c>
      <c r="F848" s="10" t="n"/>
      <c r="G848" s="10">
        <f>IF(F848="","",MIN(F848,100))</f>
        <v/>
      </c>
      <c r="H848" s="11">
        <f>IF(A848="","",Universe!E848/BDP(A848&amp;" US Equity","HIGH_52WEEK")*100)</f>
        <v/>
      </c>
      <c r="I848">
        <f>IF(D848="","",D848&gt;=5)</f>
        <v/>
      </c>
      <c r="J848">
        <f>IF(F848="","",F848&gt;=5)</f>
        <v/>
      </c>
      <c r="K848">
        <f>IF(H848="","",H848&gt;=75)</f>
        <v/>
      </c>
      <c r="L848">
        <f>IF(OR(I848="",J848="",K848=""),FALSE,AND(I848,J848,K848))</f>
        <v/>
      </c>
    </row>
    <row r="849">
      <c r="A849">
        <f>Universe!A849</f>
        <v/>
      </c>
      <c r="B849" s="10" t="n"/>
      <c r="C849" s="11">
        <f>IF(B849="","",PERCENTRANK.INC($B$2:$B$2501,B849)*100)</f>
        <v/>
      </c>
      <c r="D849" s="10" t="n"/>
      <c r="E849" s="10">
        <f>IF(D849="","",MIN(D849,100))</f>
        <v/>
      </c>
      <c r="F849" s="10" t="n"/>
      <c r="G849" s="10">
        <f>IF(F849="","",MIN(F849,100))</f>
        <v/>
      </c>
      <c r="H849" s="11">
        <f>IF(A849="","",Universe!E849/BDP(A849&amp;" US Equity","HIGH_52WEEK")*100)</f>
        <v/>
      </c>
      <c r="I849">
        <f>IF(D849="","",D849&gt;=5)</f>
        <v/>
      </c>
      <c r="J849">
        <f>IF(F849="","",F849&gt;=5)</f>
        <v/>
      </c>
      <c r="K849">
        <f>IF(H849="","",H849&gt;=75)</f>
        <v/>
      </c>
      <c r="L849">
        <f>IF(OR(I849="",J849="",K849=""),FALSE,AND(I849,J849,K849))</f>
        <v/>
      </c>
    </row>
    <row r="850">
      <c r="A850">
        <f>Universe!A850</f>
        <v/>
      </c>
      <c r="B850" s="10" t="n"/>
      <c r="C850" s="11">
        <f>IF(B850="","",PERCENTRANK.INC($B$2:$B$2501,B850)*100)</f>
        <v/>
      </c>
      <c r="D850" s="10" t="n"/>
      <c r="E850" s="10">
        <f>IF(D850="","",MIN(D850,100))</f>
        <v/>
      </c>
      <c r="F850" s="10" t="n"/>
      <c r="G850" s="10">
        <f>IF(F850="","",MIN(F850,100))</f>
        <v/>
      </c>
      <c r="H850" s="11">
        <f>IF(A850="","",Universe!E850/BDP(A850&amp;" US Equity","HIGH_52WEEK")*100)</f>
        <v/>
      </c>
      <c r="I850">
        <f>IF(D850="","",D850&gt;=5)</f>
        <v/>
      </c>
      <c r="J850">
        <f>IF(F850="","",F850&gt;=5)</f>
        <v/>
      </c>
      <c r="K850">
        <f>IF(H850="","",H850&gt;=75)</f>
        <v/>
      </c>
      <c r="L850">
        <f>IF(OR(I850="",J850="",K850=""),FALSE,AND(I850,J850,K850))</f>
        <v/>
      </c>
    </row>
    <row r="851">
      <c r="A851">
        <f>Universe!A851</f>
        <v/>
      </c>
      <c r="B851" s="10" t="n"/>
      <c r="C851" s="11">
        <f>IF(B851="","",PERCENTRANK.INC($B$2:$B$2501,B851)*100)</f>
        <v/>
      </c>
      <c r="D851" s="10" t="n"/>
      <c r="E851" s="10">
        <f>IF(D851="","",MIN(D851,100))</f>
        <v/>
      </c>
      <c r="F851" s="10" t="n"/>
      <c r="G851" s="10">
        <f>IF(F851="","",MIN(F851,100))</f>
        <v/>
      </c>
      <c r="H851" s="11">
        <f>IF(A851="","",Universe!E851/BDP(A851&amp;" US Equity","HIGH_52WEEK")*100)</f>
        <v/>
      </c>
      <c r="I851">
        <f>IF(D851="","",D851&gt;=5)</f>
        <v/>
      </c>
      <c r="J851">
        <f>IF(F851="","",F851&gt;=5)</f>
        <v/>
      </c>
      <c r="K851">
        <f>IF(H851="","",H851&gt;=75)</f>
        <v/>
      </c>
      <c r="L851">
        <f>IF(OR(I851="",J851="",K851=""),FALSE,AND(I851,J851,K851))</f>
        <v/>
      </c>
    </row>
    <row r="852">
      <c r="A852">
        <f>Universe!A852</f>
        <v/>
      </c>
      <c r="B852" s="10" t="n"/>
      <c r="C852" s="11">
        <f>IF(B852="","",PERCENTRANK.INC($B$2:$B$2501,B852)*100)</f>
        <v/>
      </c>
      <c r="D852" s="10" t="n"/>
      <c r="E852" s="10">
        <f>IF(D852="","",MIN(D852,100))</f>
        <v/>
      </c>
      <c r="F852" s="10" t="n"/>
      <c r="G852" s="10">
        <f>IF(F852="","",MIN(F852,100))</f>
        <v/>
      </c>
      <c r="H852" s="11">
        <f>IF(A852="","",Universe!E852/BDP(A852&amp;" US Equity","HIGH_52WEEK")*100)</f>
        <v/>
      </c>
      <c r="I852">
        <f>IF(D852="","",D852&gt;=5)</f>
        <v/>
      </c>
      <c r="J852">
        <f>IF(F852="","",F852&gt;=5)</f>
        <v/>
      </c>
      <c r="K852">
        <f>IF(H852="","",H852&gt;=75)</f>
        <v/>
      </c>
      <c r="L852">
        <f>IF(OR(I852="",J852="",K852=""),FALSE,AND(I852,J852,K852))</f>
        <v/>
      </c>
    </row>
    <row r="853">
      <c r="A853">
        <f>Universe!A853</f>
        <v/>
      </c>
      <c r="B853" s="10" t="n"/>
      <c r="C853" s="11">
        <f>IF(B853="","",PERCENTRANK.INC($B$2:$B$2501,B853)*100)</f>
        <v/>
      </c>
      <c r="D853" s="10" t="n"/>
      <c r="E853" s="10">
        <f>IF(D853="","",MIN(D853,100))</f>
        <v/>
      </c>
      <c r="F853" s="10" t="n"/>
      <c r="G853" s="10">
        <f>IF(F853="","",MIN(F853,100))</f>
        <v/>
      </c>
      <c r="H853" s="11">
        <f>IF(A853="","",Universe!E853/BDP(A853&amp;" US Equity","HIGH_52WEEK")*100)</f>
        <v/>
      </c>
      <c r="I853">
        <f>IF(D853="","",D853&gt;=5)</f>
        <v/>
      </c>
      <c r="J853">
        <f>IF(F853="","",F853&gt;=5)</f>
        <v/>
      </c>
      <c r="K853">
        <f>IF(H853="","",H853&gt;=75)</f>
        <v/>
      </c>
      <c r="L853">
        <f>IF(OR(I853="",J853="",K853=""),FALSE,AND(I853,J853,K853))</f>
        <v/>
      </c>
    </row>
    <row r="854">
      <c r="A854">
        <f>Universe!A854</f>
        <v/>
      </c>
      <c r="B854" s="10" t="n"/>
      <c r="C854" s="11">
        <f>IF(B854="","",PERCENTRANK.INC($B$2:$B$2501,B854)*100)</f>
        <v/>
      </c>
      <c r="D854" s="10" t="n"/>
      <c r="E854" s="10">
        <f>IF(D854="","",MIN(D854,100))</f>
        <v/>
      </c>
      <c r="F854" s="10" t="n"/>
      <c r="G854" s="10">
        <f>IF(F854="","",MIN(F854,100))</f>
        <v/>
      </c>
      <c r="H854" s="11">
        <f>IF(A854="","",Universe!E854/BDP(A854&amp;" US Equity","HIGH_52WEEK")*100)</f>
        <v/>
      </c>
      <c r="I854">
        <f>IF(D854="","",D854&gt;=5)</f>
        <v/>
      </c>
      <c r="J854">
        <f>IF(F854="","",F854&gt;=5)</f>
        <v/>
      </c>
      <c r="K854">
        <f>IF(H854="","",H854&gt;=75)</f>
        <v/>
      </c>
      <c r="L854">
        <f>IF(OR(I854="",J854="",K854=""),FALSE,AND(I854,J854,K854))</f>
        <v/>
      </c>
    </row>
    <row r="855">
      <c r="A855">
        <f>Universe!A855</f>
        <v/>
      </c>
      <c r="B855" s="10" t="n"/>
      <c r="C855" s="11">
        <f>IF(B855="","",PERCENTRANK.INC($B$2:$B$2501,B855)*100)</f>
        <v/>
      </c>
      <c r="D855" s="10" t="n"/>
      <c r="E855" s="10">
        <f>IF(D855="","",MIN(D855,100))</f>
        <v/>
      </c>
      <c r="F855" s="10" t="n"/>
      <c r="G855" s="10">
        <f>IF(F855="","",MIN(F855,100))</f>
        <v/>
      </c>
      <c r="H855" s="11">
        <f>IF(A855="","",Universe!E855/BDP(A855&amp;" US Equity","HIGH_52WEEK")*100)</f>
        <v/>
      </c>
      <c r="I855">
        <f>IF(D855="","",D855&gt;=5)</f>
        <v/>
      </c>
      <c r="J855">
        <f>IF(F855="","",F855&gt;=5)</f>
        <v/>
      </c>
      <c r="K855">
        <f>IF(H855="","",H855&gt;=75)</f>
        <v/>
      </c>
      <c r="L855">
        <f>IF(OR(I855="",J855="",K855=""),FALSE,AND(I855,J855,K855))</f>
        <v/>
      </c>
    </row>
    <row r="856">
      <c r="A856">
        <f>Universe!A856</f>
        <v/>
      </c>
      <c r="B856" s="10" t="n"/>
      <c r="C856" s="11">
        <f>IF(B856="","",PERCENTRANK.INC($B$2:$B$2501,B856)*100)</f>
        <v/>
      </c>
      <c r="D856" s="10" t="n"/>
      <c r="E856" s="10">
        <f>IF(D856="","",MIN(D856,100))</f>
        <v/>
      </c>
      <c r="F856" s="10" t="n"/>
      <c r="G856" s="10">
        <f>IF(F856="","",MIN(F856,100))</f>
        <v/>
      </c>
      <c r="H856" s="11">
        <f>IF(A856="","",Universe!E856/BDP(A856&amp;" US Equity","HIGH_52WEEK")*100)</f>
        <v/>
      </c>
      <c r="I856">
        <f>IF(D856="","",D856&gt;=5)</f>
        <v/>
      </c>
      <c r="J856">
        <f>IF(F856="","",F856&gt;=5)</f>
        <v/>
      </c>
      <c r="K856">
        <f>IF(H856="","",H856&gt;=75)</f>
        <v/>
      </c>
      <c r="L856">
        <f>IF(OR(I856="",J856="",K856=""),FALSE,AND(I856,J856,K856))</f>
        <v/>
      </c>
    </row>
    <row r="857">
      <c r="A857">
        <f>Universe!A857</f>
        <v/>
      </c>
      <c r="B857" s="10" t="n"/>
      <c r="C857" s="11">
        <f>IF(B857="","",PERCENTRANK.INC($B$2:$B$2501,B857)*100)</f>
        <v/>
      </c>
      <c r="D857" s="10" t="n"/>
      <c r="E857" s="10">
        <f>IF(D857="","",MIN(D857,100))</f>
        <v/>
      </c>
      <c r="F857" s="10" t="n"/>
      <c r="G857" s="10">
        <f>IF(F857="","",MIN(F857,100))</f>
        <v/>
      </c>
      <c r="H857" s="11">
        <f>IF(A857="","",Universe!E857/BDP(A857&amp;" US Equity","HIGH_52WEEK")*100)</f>
        <v/>
      </c>
      <c r="I857">
        <f>IF(D857="","",D857&gt;=5)</f>
        <v/>
      </c>
      <c r="J857">
        <f>IF(F857="","",F857&gt;=5)</f>
        <v/>
      </c>
      <c r="K857">
        <f>IF(H857="","",H857&gt;=75)</f>
        <v/>
      </c>
      <c r="L857">
        <f>IF(OR(I857="",J857="",K857=""),FALSE,AND(I857,J857,K857))</f>
        <v/>
      </c>
    </row>
    <row r="858">
      <c r="A858">
        <f>Universe!A858</f>
        <v/>
      </c>
      <c r="B858" s="10" t="n"/>
      <c r="C858" s="11">
        <f>IF(B858="","",PERCENTRANK.INC($B$2:$B$2501,B858)*100)</f>
        <v/>
      </c>
      <c r="D858" s="10" t="n"/>
      <c r="E858" s="10">
        <f>IF(D858="","",MIN(D858,100))</f>
        <v/>
      </c>
      <c r="F858" s="10" t="n"/>
      <c r="G858" s="10">
        <f>IF(F858="","",MIN(F858,100))</f>
        <v/>
      </c>
      <c r="H858" s="11">
        <f>IF(A858="","",Universe!E858/BDP(A858&amp;" US Equity","HIGH_52WEEK")*100)</f>
        <v/>
      </c>
      <c r="I858">
        <f>IF(D858="","",D858&gt;=5)</f>
        <v/>
      </c>
      <c r="J858">
        <f>IF(F858="","",F858&gt;=5)</f>
        <v/>
      </c>
      <c r="K858">
        <f>IF(H858="","",H858&gt;=75)</f>
        <v/>
      </c>
      <c r="L858">
        <f>IF(OR(I858="",J858="",K858=""),FALSE,AND(I858,J858,K858))</f>
        <v/>
      </c>
    </row>
    <row r="859">
      <c r="A859">
        <f>Universe!A859</f>
        <v/>
      </c>
      <c r="B859" s="10" t="n"/>
      <c r="C859" s="11">
        <f>IF(B859="","",PERCENTRANK.INC($B$2:$B$2501,B859)*100)</f>
        <v/>
      </c>
      <c r="D859" s="10" t="n"/>
      <c r="E859" s="10">
        <f>IF(D859="","",MIN(D859,100))</f>
        <v/>
      </c>
      <c r="F859" s="10" t="n"/>
      <c r="G859" s="10">
        <f>IF(F859="","",MIN(F859,100))</f>
        <v/>
      </c>
      <c r="H859" s="11">
        <f>IF(A859="","",Universe!E859/BDP(A859&amp;" US Equity","HIGH_52WEEK")*100)</f>
        <v/>
      </c>
      <c r="I859">
        <f>IF(D859="","",D859&gt;=5)</f>
        <v/>
      </c>
      <c r="J859">
        <f>IF(F859="","",F859&gt;=5)</f>
        <v/>
      </c>
      <c r="K859">
        <f>IF(H859="","",H859&gt;=75)</f>
        <v/>
      </c>
      <c r="L859">
        <f>IF(OR(I859="",J859="",K859=""),FALSE,AND(I859,J859,K859))</f>
        <v/>
      </c>
    </row>
    <row r="860">
      <c r="A860">
        <f>Universe!A860</f>
        <v/>
      </c>
      <c r="B860" s="10" t="n"/>
      <c r="C860" s="11">
        <f>IF(B860="","",PERCENTRANK.INC($B$2:$B$2501,B860)*100)</f>
        <v/>
      </c>
      <c r="D860" s="10" t="n"/>
      <c r="E860" s="10">
        <f>IF(D860="","",MIN(D860,100))</f>
        <v/>
      </c>
      <c r="F860" s="10" t="n"/>
      <c r="G860" s="10">
        <f>IF(F860="","",MIN(F860,100))</f>
        <v/>
      </c>
      <c r="H860" s="11">
        <f>IF(A860="","",Universe!E860/BDP(A860&amp;" US Equity","HIGH_52WEEK")*100)</f>
        <v/>
      </c>
      <c r="I860">
        <f>IF(D860="","",D860&gt;=5)</f>
        <v/>
      </c>
      <c r="J860">
        <f>IF(F860="","",F860&gt;=5)</f>
        <v/>
      </c>
      <c r="K860">
        <f>IF(H860="","",H860&gt;=75)</f>
        <v/>
      </c>
      <c r="L860">
        <f>IF(OR(I860="",J860="",K860=""),FALSE,AND(I860,J860,K860))</f>
        <v/>
      </c>
    </row>
    <row r="861">
      <c r="A861">
        <f>Universe!A861</f>
        <v/>
      </c>
      <c r="B861" s="10" t="n"/>
      <c r="C861" s="11">
        <f>IF(B861="","",PERCENTRANK.INC($B$2:$B$2501,B861)*100)</f>
        <v/>
      </c>
      <c r="D861" s="10" t="n"/>
      <c r="E861" s="10">
        <f>IF(D861="","",MIN(D861,100))</f>
        <v/>
      </c>
      <c r="F861" s="10" t="n"/>
      <c r="G861" s="10">
        <f>IF(F861="","",MIN(F861,100))</f>
        <v/>
      </c>
      <c r="H861" s="11">
        <f>IF(A861="","",Universe!E861/BDP(A861&amp;" US Equity","HIGH_52WEEK")*100)</f>
        <v/>
      </c>
      <c r="I861">
        <f>IF(D861="","",D861&gt;=5)</f>
        <v/>
      </c>
      <c r="J861">
        <f>IF(F861="","",F861&gt;=5)</f>
        <v/>
      </c>
      <c r="K861">
        <f>IF(H861="","",H861&gt;=75)</f>
        <v/>
      </c>
      <c r="L861">
        <f>IF(OR(I861="",J861="",K861=""),FALSE,AND(I861,J861,K861))</f>
        <v/>
      </c>
    </row>
    <row r="862">
      <c r="A862">
        <f>Universe!A862</f>
        <v/>
      </c>
      <c r="B862" s="10" t="n"/>
      <c r="C862" s="11">
        <f>IF(B862="","",PERCENTRANK.INC($B$2:$B$2501,B862)*100)</f>
        <v/>
      </c>
      <c r="D862" s="10" t="n"/>
      <c r="E862" s="10">
        <f>IF(D862="","",MIN(D862,100))</f>
        <v/>
      </c>
      <c r="F862" s="10" t="n"/>
      <c r="G862" s="10">
        <f>IF(F862="","",MIN(F862,100))</f>
        <v/>
      </c>
      <c r="H862" s="11">
        <f>IF(A862="","",Universe!E862/BDP(A862&amp;" US Equity","HIGH_52WEEK")*100)</f>
        <v/>
      </c>
      <c r="I862">
        <f>IF(D862="","",D862&gt;=5)</f>
        <v/>
      </c>
      <c r="J862">
        <f>IF(F862="","",F862&gt;=5)</f>
        <v/>
      </c>
      <c r="K862">
        <f>IF(H862="","",H862&gt;=75)</f>
        <v/>
      </c>
      <c r="L862">
        <f>IF(OR(I862="",J862="",K862=""),FALSE,AND(I862,J862,K862))</f>
        <v/>
      </c>
    </row>
    <row r="863">
      <c r="A863">
        <f>Universe!A863</f>
        <v/>
      </c>
      <c r="B863" s="10" t="n"/>
      <c r="C863" s="11">
        <f>IF(B863="","",PERCENTRANK.INC($B$2:$B$2501,B863)*100)</f>
        <v/>
      </c>
      <c r="D863" s="10" t="n"/>
      <c r="E863" s="10">
        <f>IF(D863="","",MIN(D863,100))</f>
        <v/>
      </c>
      <c r="F863" s="10" t="n"/>
      <c r="G863" s="10">
        <f>IF(F863="","",MIN(F863,100))</f>
        <v/>
      </c>
      <c r="H863" s="11">
        <f>IF(A863="","",Universe!E863/BDP(A863&amp;" US Equity","HIGH_52WEEK")*100)</f>
        <v/>
      </c>
      <c r="I863">
        <f>IF(D863="","",D863&gt;=5)</f>
        <v/>
      </c>
      <c r="J863">
        <f>IF(F863="","",F863&gt;=5)</f>
        <v/>
      </c>
      <c r="K863">
        <f>IF(H863="","",H863&gt;=75)</f>
        <v/>
      </c>
      <c r="L863">
        <f>IF(OR(I863="",J863="",K863=""),FALSE,AND(I863,J863,K863))</f>
        <v/>
      </c>
    </row>
    <row r="864">
      <c r="A864">
        <f>Universe!A864</f>
        <v/>
      </c>
      <c r="B864" s="10" t="n"/>
      <c r="C864" s="11">
        <f>IF(B864="","",PERCENTRANK.INC($B$2:$B$2501,B864)*100)</f>
        <v/>
      </c>
      <c r="D864" s="10" t="n"/>
      <c r="E864" s="10">
        <f>IF(D864="","",MIN(D864,100))</f>
        <v/>
      </c>
      <c r="F864" s="10" t="n"/>
      <c r="G864" s="10">
        <f>IF(F864="","",MIN(F864,100))</f>
        <v/>
      </c>
      <c r="H864" s="11">
        <f>IF(A864="","",Universe!E864/BDP(A864&amp;" US Equity","HIGH_52WEEK")*100)</f>
        <v/>
      </c>
      <c r="I864">
        <f>IF(D864="","",D864&gt;=5)</f>
        <v/>
      </c>
      <c r="J864">
        <f>IF(F864="","",F864&gt;=5)</f>
        <v/>
      </c>
      <c r="K864">
        <f>IF(H864="","",H864&gt;=75)</f>
        <v/>
      </c>
      <c r="L864">
        <f>IF(OR(I864="",J864="",K864=""),FALSE,AND(I864,J864,K864))</f>
        <v/>
      </c>
    </row>
    <row r="865">
      <c r="A865">
        <f>Universe!A865</f>
        <v/>
      </c>
      <c r="B865" s="10" t="n"/>
      <c r="C865" s="11">
        <f>IF(B865="","",PERCENTRANK.INC($B$2:$B$2501,B865)*100)</f>
        <v/>
      </c>
      <c r="D865" s="10" t="n"/>
      <c r="E865" s="10">
        <f>IF(D865="","",MIN(D865,100))</f>
        <v/>
      </c>
      <c r="F865" s="10" t="n"/>
      <c r="G865" s="10">
        <f>IF(F865="","",MIN(F865,100))</f>
        <v/>
      </c>
      <c r="H865" s="11">
        <f>IF(A865="","",Universe!E865/BDP(A865&amp;" US Equity","HIGH_52WEEK")*100)</f>
        <v/>
      </c>
      <c r="I865">
        <f>IF(D865="","",D865&gt;=5)</f>
        <v/>
      </c>
      <c r="J865">
        <f>IF(F865="","",F865&gt;=5)</f>
        <v/>
      </c>
      <c r="K865">
        <f>IF(H865="","",H865&gt;=75)</f>
        <v/>
      </c>
      <c r="L865">
        <f>IF(OR(I865="",J865="",K865=""),FALSE,AND(I865,J865,K865))</f>
        <v/>
      </c>
    </row>
    <row r="866">
      <c r="A866">
        <f>Universe!A866</f>
        <v/>
      </c>
      <c r="B866" s="10" t="n"/>
      <c r="C866" s="11">
        <f>IF(B866="","",PERCENTRANK.INC($B$2:$B$2501,B866)*100)</f>
        <v/>
      </c>
      <c r="D866" s="10" t="n"/>
      <c r="E866" s="10">
        <f>IF(D866="","",MIN(D866,100))</f>
        <v/>
      </c>
      <c r="F866" s="10" t="n"/>
      <c r="G866" s="10">
        <f>IF(F866="","",MIN(F866,100))</f>
        <v/>
      </c>
      <c r="H866" s="11">
        <f>IF(A866="","",Universe!E866/BDP(A866&amp;" US Equity","HIGH_52WEEK")*100)</f>
        <v/>
      </c>
      <c r="I866">
        <f>IF(D866="","",D866&gt;=5)</f>
        <v/>
      </c>
      <c r="J866">
        <f>IF(F866="","",F866&gt;=5)</f>
        <v/>
      </c>
      <c r="K866">
        <f>IF(H866="","",H866&gt;=75)</f>
        <v/>
      </c>
      <c r="L866">
        <f>IF(OR(I866="",J866="",K866=""),FALSE,AND(I866,J866,K866))</f>
        <v/>
      </c>
    </row>
    <row r="867">
      <c r="A867">
        <f>Universe!A867</f>
        <v/>
      </c>
      <c r="B867" s="10" t="n"/>
      <c r="C867" s="11">
        <f>IF(B867="","",PERCENTRANK.INC($B$2:$B$2501,B867)*100)</f>
        <v/>
      </c>
      <c r="D867" s="10" t="n"/>
      <c r="E867" s="10">
        <f>IF(D867="","",MIN(D867,100))</f>
        <v/>
      </c>
      <c r="F867" s="10" t="n"/>
      <c r="G867" s="10">
        <f>IF(F867="","",MIN(F867,100))</f>
        <v/>
      </c>
      <c r="H867" s="11">
        <f>IF(A867="","",Universe!E867/BDP(A867&amp;" US Equity","HIGH_52WEEK")*100)</f>
        <v/>
      </c>
      <c r="I867">
        <f>IF(D867="","",D867&gt;=5)</f>
        <v/>
      </c>
      <c r="J867">
        <f>IF(F867="","",F867&gt;=5)</f>
        <v/>
      </c>
      <c r="K867">
        <f>IF(H867="","",H867&gt;=75)</f>
        <v/>
      </c>
      <c r="L867">
        <f>IF(OR(I867="",J867="",K867=""),FALSE,AND(I867,J867,K867))</f>
        <v/>
      </c>
    </row>
    <row r="868">
      <c r="A868">
        <f>Universe!A868</f>
        <v/>
      </c>
      <c r="B868" s="10" t="n"/>
      <c r="C868" s="11">
        <f>IF(B868="","",PERCENTRANK.INC($B$2:$B$2501,B868)*100)</f>
        <v/>
      </c>
      <c r="D868" s="10" t="n"/>
      <c r="E868" s="10">
        <f>IF(D868="","",MIN(D868,100))</f>
        <v/>
      </c>
      <c r="F868" s="10" t="n"/>
      <c r="G868" s="10">
        <f>IF(F868="","",MIN(F868,100))</f>
        <v/>
      </c>
      <c r="H868" s="11">
        <f>IF(A868="","",Universe!E868/BDP(A868&amp;" US Equity","HIGH_52WEEK")*100)</f>
        <v/>
      </c>
      <c r="I868">
        <f>IF(D868="","",D868&gt;=5)</f>
        <v/>
      </c>
      <c r="J868">
        <f>IF(F868="","",F868&gt;=5)</f>
        <v/>
      </c>
      <c r="K868">
        <f>IF(H868="","",H868&gt;=75)</f>
        <v/>
      </c>
      <c r="L868">
        <f>IF(OR(I868="",J868="",K868=""),FALSE,AND(I868,J868,K868))</f>
        <v/>
      </c>
    </row>
    <row r="869">
      <c r="A869">
        <f>Universe!A869</f>
        <v/>
      </c>
      <c r="B869" s="10" t="n"/>
      <c r="C869" s="11">
        <f>IF(B869="","",PERCENTRANK.INC($B$2:$B$2501,B869)*100)</f>
        <v/>
      </c>
      <c r="D869" s="10" t="n"/>
      <c r="E869" s="10">
        <f>IF(D869="","",MIN(D869,100))</f>
        <v/>
      </c>
      <c r="F869" s="10" t="n"/>
      <c r="G869" s="10">
        <f>IF(F869="","",MIN(F869,100))</f>
        <v/>
      </c>
      <c r="H869" s="11">
        <f>IF(A869="","",Universe!E869/BDP(A869&amp;" US Equity","HIGH_52WEEK")*100)</f>
        <v/>
      </c>
      <c r="I869">
        <f>IF(D869="","",D869&gt;=5)</f>
        <v/>
      </c>
      <c r="J869">
        <f>IF(F869="","",F869&gt;=5)</f>
        <v/>
      </c>
      <c r="K869">
        <f>IF(H869="","",H869&gt;=75)</f>
        <v/>
      </c>
      <c r="L869">
        <f>IF(OR(I869="",J869="",K869=""),FALSE,AND(I869,J869,K869))</f>
        <v/>
      </c>
    </row>
    <row r="870">
      <c r="A870">
        <f>Universe!A870</f>
        <v/>
      </c>
      <c r="B870" s="10" t="n"/>
      <c r="C870" s="11">
        <f>IF(B870="","",PERCENTRANK.INC($B$2:$B$2501,B870)*100)</f>
        <v/>
      </c>
      <c r="D870" s="10" t="n"/>
      <c r="E870" s="10">
        <f>IF(D870="","",MIN(D870,100))</f>
        <v/>
      </c>
      <c r="F870" s="10" t="n"/>
      <c r="G870" s="10">
        <f>IF(F870="","",MIN(F870,100))</f>
        <v/>
      </c>
      <c r="H870" s="11">
        <f>IF(A870="","",Universe!E870/BDP(A870&amp;" US Equity","HIGH_52WEEK")*100)</f>
        <v/>
      </c>
      <c r="I870">
        <f>IF(D870="","",D870&gt;=5)</f>
        <v/>
      </c>
      <c r="J870">
        <f>IF(F870="","",F870&gt;=5)</f>
        <v/>
      </c>
      <c r="K870">
        <f>IF(H870="","",H870&gt;=75)</f>
        <v/>
      </c>
      <c r="L870">
        <f>IF(OR(I870="",J870="",K870=""),FALSE,AND(I870,J870,K870))</f>
        <v/>
      </c>
    </row>
    <row r="871">
      <c r="A871">
        <f>Universe!A871</f>
        <v/>
      </c>
      <c r="B871" s="10" t="n"/>
      <c r="C871" s="11">
        <f>IF(B871="","",PERCENTRANK.INC($B$2:$B$2501,B871)*100)</f>
        <v/>
      </c>
      <c r="D871" s="10" t="n"/>
      <c r="E871" s="10">
        <f>IF(D871="","",MIN(D871,100))</f>
        <v/>
      </c>
      <c r="F871" s="10" t="n"/>
      <c r="G871" s="10">
        <f>IF(F871="","",MIN(F871,100))</f>
        <v/>
      </c>
      <c r="H871" s="11">
        <f>IF(A871="","",Universe!E871/BDP(A871&amp;" US Equity","HIGH_52WEEK")*100)</f>
        <v/>
      </c>
      <c r="I871">
        <f>IF(D871="","",D871&gt;=5)</f>
        <v/>
      </c>
      <c r="J871">
        <f>IF(F871="","",F871&gt;=5)</f>
        <v/>
      </c>
      <c r="K871">
        <f>IF(H871="","",H871&gt;=75)</f>
        <v/>
      </c>
      <c r="L871">
        <f>IF(OR(I871="",J871="",K871=""),FALSE,AND(I871,J871,K871))</f>
        <v/>
      </c>
    </row>
    <row r="872">
      <c r="A872">
        <f>Universe!A872</f>
        <v/>
      </c>
      <c r="B872" s="10" t="n"/>
      <c r="C872" s="11">
        <f>IF(B872="","",PERCENTRANK.INC($B$2:$B$2501,B872)*100)</f>
        <v/>
      </c>
      <c r="D872" s="10" t="n"/>
      <c r="E872" s="10">
        <f>IF(D872="","",MIN(D872,100))</f>
        <v/>
      </c>
      <c r="F872" s="10" t="n"/>
      <c r="G872" s="10">
        <f>IF(F872="","",MIN(F872,100))</f>
        <v/>
      </c>
      <c r="H872" s="11">
        <f>IF(A872="","",Universe!E872/BDP(A872&amp;" US Equity","HIGH_52WEEK")*100)</f>
        <v/>
      </c>
      <c r="I872">
        <f>IF(D872="","",D872&gt;=5)</f>
        <v/>
      </c>
      <c r="J872">
        <f>IF(F872="","",F872&gt;=5)</f>
        <v/>
      </c>
      <c r="K872">
        <f>IF(H872="","",H872&gt;=75)</f>
        <v/>
      </c>
      <c r="L872">
        <f>IF(OR(I872="",J872="",K872=""),FALSE,AND(I872,J872,K872))</f>
        <v/>
      </c>
    </row>
    <row r="873">
      <c r="A873">
        <f>Universe!A873</f>
        <v/>
      </c>
      <c r="B873" s="10" t="n"/>
      <c r="C873" s="11">
        <f>IF(B873="","",PERCENTRANK.INC($B$2:$B$2501,B873)*100)</f>
        <v/>
      </c>
      <c r="D873" s="10" t="n"/>
      <c r="E873" s="10">
        <f>IF(D873="","",MIN(D873,100))</f>
        <v/>
      </c>
      <c r="F873" s="10" t="n"/>
      <c r="G873" s="10">
        <f>IF(F873="","",MIN(F873,100))</f>
        <v/>
      </c>
      <c r="H873" s="11">
        <f>IF(A873="","",Universe!E873/BDP(A873&amp;" US Equity","HIGH_52WEEK")*100)</f>
        <v/>
      </c>
      <c r="I873">
        <f>IF(D873="","",D873&gt;=5)</f>
        <v/>
      </c>
      <c r="J873">
        <f>IF(F873="","",F873&gt;=5)</f>
        <v/>
      </c>
      <c r="K873">
        <f>IF(H873="","",H873&gt;=75)</f>
        <v/>
      </c>
      <c r="L873">
        <f>IF(OR(I873="",J873="",K873=""),FALSE,AND(I873,J873,K873))</f>
        <v/>
      </c>
    </row>
    <row r="874">
      <c r="A874">
        <f>Universe!A874</f>
        <v/>
      </c>
      <c r="B874" s="10" t="n"/>
      <c r="C874" s="11">
        <f>IF(B874="","",PERCENTRANK.INC($B$2:$B$2501,B874)*100)</f>
        <v/>
      </c>
      <c r="D874" s="10" t="n"/>
      <c r="E874" s="10">
        <f>IF(D874="","",MIN(D874,100))</f>
        <v/>
      </c>
      <c r="F874" s="10" t="n"/>
      <c r="G874" s="10">
        <f>IF(F874="","",MIN(F874,100))</f>
        <v/>
      </c>
      <c r="H874" s="11">
        <f>IF(A874="","",Universe!E874/BDP(A874&amp;" US Equity","HIGH_52WEEK")*100)</f>
        <v/>
      </c>
      <c r="I874">
        <f>IF(D874="","",D874&gt;=5)</f>
        <v/>
      </c>
      <c r="J874">
        <f>IF(F874="","",F874&gt;=5)</f>
        <v/>
      </c>
      <c r="K874">
        <f>IF(H874="","",H874&gt;=75)</f>
        <v/>
      </c>
      <c r="L874">
        <f>IF(OR(I874="",J874="",K874=""),FALSE,AND(I874,J874,K874))</f>
        <v/>
      </c>
    </row>
    <row r="875">
      <c r="A875">
        <f>Universe!A875</f>
        <v/>
      </c>
      <c r="B875" s="10" t="n"/>
      <c r="C875" s="11">
        <f>IF(B875="","",PERCENTRANK.INC($B$2:$B$2501,B875)*100)</f>
        <v/>
      </c>
      <c r="D875" s="10" t="n"/>
      <c r="E875" s="10">
        <f>IF(D875="","",MIN(D875,100))</f>
        <v/>
      </c>
      <c r="F875" s="10" t="n"/>
      <c r="G875" s="10">
        <f>IF(F875="","",MIN(F875,100))</f>
        <v/>
      </c>
      <c r="H875" s="11">
        <f>IF(A875="","",Universe!E875/BDP(A875&amp;" US Equity","HIGH_52WEEK")*100)</f>
        <v/>
      </c>
      <c r="I875">
        <f>IF(D875="","",D875&gt;=5)</f>
        <v/>
      </c>
      <c r="J875">
        <f>IF(F875="","",F875&gt;=5)</f>
        <v/>
      </c>
      <c r="K875">
        <f>IF(H875="","",H875&gt;=75)</f>
        <v/>
      </c>
      <c r="L875">
        <f>IF(OR(I875="",J875="",K875=""),FALSE,AND(I875,J875,K875))</f>
        <v/>
      </c>
    </row>
    <row r="876">
      <c r="A876">
        <f>Universe!A876</f>
        <v/>
      </c>
      <c r="B876" s="10" t="n"/>
      <c r="C876" s="11">
        <f>IF(B876="","",PERCENTRANK.INC($B$2:$B$2501,B876)*100)</f>
        <v/>
      </c>
      <c r="D876" s="10" t="n"/>
      <c r="E876" s="10">
        <f>IF(D876="","",MIN(D876,100))</f>
        <v/>
      </c>
      <c r="F876" s="10" t="n"/>
      <c r="G876" s="10">
        <f>IF(F876="","",MIN(F876,100))</f>
        <v/>
      </c>
      <c r="H876" s="11">
        <f>IF(A876="","",Universe!E876/BDP(A876&amp;" US Equity","HIGH_52WEEK")*100)</f>
        <v/>
      </c>
      <c r="I876">
        <f>IF(D876="","",D876&gt;=5)</f>
        <v/>
      </c>
      <c r="J876">
        <f>IF(F876="","",F876&gt;=5)</f>
        <v/>
      </c>
      <c r="K876">
        <f>IF(H876="","",H876&gt;=75)</f>
        <v/>
      </c>
      <c r="L876">
        <f>IF(OR(I876="",J876="",K876=""),FALSE,AND(I876,J876,K876))</f>
        <v/>
      </c>
    </row>
    <row r="877">
      <c r="A877">
        <f>Universe!A877</f>
        <v/>
      </c>
      <c r="B877" s="10" t="n"/>
      <c r="C877" s="11">
        <f>IF(B877="","",PERCENTRANK.INC($B$2:$B$2501,B877)*100)</f>
        <v/>
      </c>
      <c r="D877" s="10" t="n"/>
      <c r="E877" s="10">
        <f>IF(D877="","",MIN(D877,100))</f>
        <v/>
      </c>
      <c r="F877" s="10" t="n"/>
      <c r="G877" s="10">
        <f>IF(F877="","",MIN(F877,100))</f>
        <v/>
      </c>
      <c r="H877" s="11">
        <f>IF(A877="","",Universe!E877/BDP(A877&amp;" US Equity","HIGH_52WEEK")*100)</f>
        <v/>
      </c>
      <c r="I877">
        <f>IF(D877="","",D877&gt;=5)</f>
        <v/>
      </c>
      <c r="J877">
        <f>IF(F877="","",F877&gt;=5)</f>
        <v/>
      </c>
      <c r="K877">
        <f>IF(H877="","",H877&gt;=75)</f>
        <v/>
      </c>
      <c r="L877">
        <f>IF(OR(I877="",J877="",K877=""),FALSE,AND(I877,J877,K877))</f>
        <v/>
      </c>
    </row>
    <row r="878">
      <c r="A878">
        <f>Universe!A878</f>
        <v/>
      </c>
      <c r="B878" s="10" t="n"/>
      <c r="C878" s="11">
        <f>IF(B878="","",PERCENTRANK.INC($B$2:$B$2501,B878)*100)</f>
        <v/>
      </c>
      <c r="D878" s="10" t="n"/>
      <c r="E878" s="10">
        <f>IF(D878="","",MIN(D878,100))</f>
        <v/>
      </c>
      <c r="F878" s="10" t="n"/>
      <c r="G878" s="10">
        <f>IF(F878="","",MIN(F878,100))</f>
        <v/>
      </c>
      <c r="H878" s="11">
        <f>IF(A878="","",Universe!E878/BDP(A878&amp;" US Equity","HIGH_52WEEK")*100)</f>
        <v/>
      </c>
      <c r="I878">
        <f>IF(D878="","",D878&gt;=5)</f>
        <v/>
      </c>
      <c r="J878">
        <f>IF(F878="","",F878&gt;=5)</f>
        <v/>
      </c>
      <c r="K878">
        <f>IF(H878="","",H878&gt;=75)</f>
        <v/>
      </c>
      <c r="L878">
        <f>IF(OR(I878="",J878="",K878=""),FALSE,AND(I878,J878,K878))</f>
        <v/>
      </c>
    </row>
    <row r="879">
      <c r="A879">
        <f>Universe!A879</f>
        <v/>
      </c>
      <c r="B879" s="10" t="n"/>
      <c r="C879" s="11">
        <f>IF(B879="","",PERCENTRANK.INC($B$2:$B$2501,B879)*100)</f>
        <v/>
      </c>
      <c r="D879" s="10" t="n"/>
      <c r="E879" s="10">
        <f>IF(D879="","",MIN(D879,100))</f>
        <v/>
      </c>
      <c r="F879" s="10" t="n"/>
      <c r="G879" s="10">
        <f>IF(F879="","",MIN(F879,100))</f>
        <v/>
      </c>
      <c r="H879" s="11">
        <f>IF(A879="","",Universe!E879/BDP(A879&amp;" US Equity","HIGH_52WEEK")*100)</f>
        <v/>
      </c>
      <c r="I879">
        <f>IF(D879="","",D879&gt;=5)</f>
        <v/>
      </c>
      <c r="J879">
        <f>IF(F879="","",F879&gt;=5)</f>
        <v/>
      </c>
      <c r="K879">
        <f>IF(H879="","",H879&gt;=75)</f>
        <v/>
      </c>
      <c r="L879">
        <f>IF(OR(I879="",J879="",K879=""),FALSE,AND(I879,J879,K879))</f>
        <v/>
      </c>
    </row>
    <row r="880">
      <c r="A880">
        <f>Universe!A880</f>
        <v/>
      </c>
      <c r="B880" s="10" t="n"/>
      <c r="C880" s="11">
        <f>IF(B880="","",PERCENTRANK.INC($B$2:$B$2501,B880)*100)</f>
        <v/>
      </c>
      <c r="D880" s="10" t="n"/>
      <c r="E880" s="10">
        <f>IF(D880="","",MIN(D880,100))</f>
        <v/>
      </c>
      <c r="F880" s="10" t="n"/>
      <c r="G880" s="10">
        <f>IF(F880="","",MIN(F880,100))</f>
        <v/>
      </c>
      <c r="H880" s="11">
        <f>IF(A880="","",Universe!E880/BDP(A880&amp;" US Equity","HIGH_52WEEK")*100)</f>
        <v/>
      </c>
      <c r="I880">
        <f>IF(D880="","",D880&gt;=5)</f>
        <v/>
      </c>
      <c r="J880">
        <f>IF(F880="","",F880&gt;=5)</f>
        <v/>
      </c>
      <c r="K880">
        <f>IF(H880="","",H880&gt;=75)</f>
        <v/>
      </c>
      <c r="L880">
        <f>IF(OR(I880="",J880="",K880=""),FALSE,AND(I880,J880,K880))</f>
        <v/>
      </c>
    </row>
    <row r="881">
      <c r="A881">
        <f>Universe!A881</f>
        <v/>
      </c>
      <c r="B881" s="10" t="n"/>
      <c r="C881" s="11">
        <f>IF(B881="","",PERCENTRANK.INC($B$2:$B$2501,B881)*100)</f>
        <v/>
      </c>
      <c r="D881" s="10" t="n"/>
      <c r="E881" s="10">
        <f>IF(D881="","",MIN(D881,100))</f>
        <v/>
      </c>
      <c r="F881" s="10" t="n"/>
      <c r="G881" s="10">
        <f>IF(F881="","",MIN(F881,100))</f>
        <v/>
      </c>
      <c r="H881" s="11">
        <f>IF(A881="","",Universe!E881/BDP(A881&amp;" US Equity","HIGH_52WEEK")*100)</f>
        <v/>
      </c>
      <c r="I881">
        <f>IF(D881="","",D881&gt;=5)</f>
        <v/>
      </c>
      <c r="J881">
        <f>IF(F881="","",F881&gt;=5)</f>
        <v/>
      </c>
      <c r="K881">
        <f>IF(H881="","",H881&gt;=75)</f>
        <v/>
      </c>
      <c r="L881">
        <f>IF(OR(I881="",J881="",K881=""),FALSE,AND(I881,J881,K881))</f>
        <v/>
      </c>
    </row>
    <row r="882">
      <c r="A882">
        <f>Universe!A882</f>
        <v/>
      </c>
      <c r="B882" s="10" t="n"/>
      <c r="C882" s="11">
        <f>IF(B882="","",PERCENTRANK.INC($B$2:$B$2501,B882)*100)</f>
        <v/>
      </c>
      <c r="D882" s="10" t="n"/>
      <c r="E882" s="10">
        <f>IF(D882="","",MIN(D882,100))</f>
        <v/>
      </c>
      <c r="F882" s="10" t="n"/>
      <c r="G882" s="10">
        <f>IF(F882="","",MIN(F882,100))</f>
        <v/>
      </c>
      <c r="H882" s="11">
        <f>IF(A882="","",Universe!E882/BDP(A882&amp;" US Equity","HIGH_52WEEK")*100)</f>
        <v/>
      </c>
      <c r="I882">
        <f>IF(D882="","",D882&gt;=5)</f>
        <v/>
      </c>
      <c r="J882">
        <f>IF(F882="","",F882&gt;=5)</f>
        <v/>
      </c>
      <c r="K882">
        <f>IF(H882="","",H882&gt;=75)</f>
        <v/>
      </c>
      <c r="L882">
        <f>IF(OR(I882="",J882="",K882=""),FALSE,AND(I882,J882,K882))</f>
        <v/>
      </c>
    </row>
    <row r="883">
      <c r="A883">
        <f>Universe!A883</f>
        <v/>
      </c>
      <c r="B883" s="10" t="n"/>
      <c r="C883" s="11">
        <f>IF(B883="","",PERCENTRANK.INC($B$2:$B$2501,B883)*100)</f>
        <v/>
      </c>
      <c r="D883" s="10" t="n"/>
      <c r="E883" s="10">
        <f>IF(D883="","",MIN(D883,100))</f>
        <v/>
      </c>
      <c r="F883" s="10" t="n"/>
      <c r="G883" s="10">
        <f>IF(F883="","",MIN(F883,100))</f>
        <v/>
      </c>
      <c r="H883" s="11">
        <f>IF(A883="","",Universe!E883/BDP(A883&amp;" US Equity","HIGH_52WEEK")*100)</f>
        <v/>
      </c>
      <c r="I883">
        <f>IF(D883="","",D883&gt;=5)</f>
        <v/>
      </c>
      <c r="J883">
        <f>IF(F883="","",F883&gt;=5)</f>
        <v/>
      </c>
      <c r="K883">
        <f>IF(H883="","",H883&gt;=75)</f>
        <v/>
      </c>
      <c r="L883">
        <f>IF(OR(I883="",J883="",K883=""),FALSE,AND(I883,J883,K883))</f>
        <v/>
      </c>
    </row>
    <row r="884">
      <c r="A884">
        <f>Universe!A884</f>
        <v/>
      </c>
      <c r="B884" s="10" t="n"/>
      <c r="C884" s="11">
        <f>IF(B884="","",PERCENTRANK.INC($B$2:$B$2501,B884)*100)</f>
        <v/>
      </c>
      <c r="D884" s="10" t="n"/>
      <c r="E884" s="10">
        <f>IF(D884="","",MIN(D884,100))</f>
        <v/>
      </c>
      <c r="F884" s="10" t="n"/>
      <c r="G884" s="10">
        <f>IF(F884="","",MIN(F884,100))</f>
        <v/>
      </c>
      <c r="H884" s="11">
        <f>IF(A884="","",Universe!E884/BDP(A884&amp;" US Equity","HIGH_52WEEK")*100)</f>
        <v/>
      </c>
      <c r="I884">
        <f>IF(D884="","",D884&gt;=5)</f>
        <v/>
      </c>
      <c r="J884">
        <f>IF(F884="","",F884&gt;=5)</f>
        <v/>
      </c>
      <c r="K884">
        <f>IF(H884="","",H884&gt;=75)</f>
        <v/>
      </c>
      <c r="L884">
        <f>IF(OR(I884="",J884="",K884=""),FALSE,AND(I884,J884,K884))</f>
        <v/>
      </c>
    </row>
    <row r="885">
      <c r="A885">
        <f>Universe!A885</f>
        <v/>
      </c>
      <c r="B885" s="10" t="n"/>
      <c r="C885" s="11">
        <f>IF(B885="","",PERCENTRANK.INC($B$2:$B$2501,B885)*100)</f>
        <v/>
      </c>
      <c r="D885" s="10" t="n"/>
      <c r="E885" s="10">
        <f>IF(D885="","",MIN(D885,100))</f>
        <v/>
      </c>
      <c r="F885" s="10" t="n"/>
      <c r="G885" s="10">
        <f>IF(F885="","",MIN(F885,100))</f>
        <v/>
      </c>
      <c r="H885" s="11">
        <f>IF(A885="","",Universe!E885/BDP(A885&amp;" US Equity","HIGH_52WEEK")*100)</f>
        <v/>
      </c>
      <c r="I885">
        <f>IF(D885="","",D885&gt;=5)</f>
        <v/>
      </c>
      <c r="J885">
        <f>IF(F885="","",F885&gt;=5)</f>
        <v/>
      </c>
      <c r="K885">
        <f>IF(H885="","",H885&gt;=75)</f>
        <v/>
      </c>
      <c r="L885">
        <f>IF(OR(I885="",J885="",K885=""),FALSE,AND(I885,J885,K885))</f>
        <v/>
      </c>
    </row>
    <row r="886">
      <c r="A886">
        <f>Universe!A886</f>
        <v/>
      </c>
      <c r="B886" s="10" t="n"/>
      <c r="C886" s="11">
        <f>IF(B886="","",PERCENTRANK.INC($B$2:$B$2501,B886)*100)</f>
        <v/>
      </c>
      <c r="D886" s="10" t="n"/>
      <c r="E886" s="10">
        <f>IF(D886="","",MIN(D886,100))</f>
        <v/>
      </c>
      <c r="F886" s="10" t="n"/>
      <c r="G886" s="10">
        <f>IF(F886="","",MIN(F886,100))</f>
        <v/>
      </c>
      <c r="H886" s="11">
        <f>IF(A886="","",Universe!E886/BDP(A886&amp;" US Equity","HIGH_52WEEK")*100)</f>
        <v/>
      </c>
      <c r="I886">
        <f>IF(D886="","",D886&gt;=5)</f>
        <v/>
      </c>
      <c r="J886">
        <f>IF(F886="","",F886&gt;=5)</f>
        <v/>
      </c>
      <c r="K886">
        <f>IF(H886="","",H886&gt;=75)</f>
        <v/>
      </c>
      <c r="L886">
        <f>IF(OR(I886="",J886="",K886=""),FALSE,AND(I886,J886,K886))</f>
        <v/>
      </c>
    </row>
    <row r="887">
      <c r="A887">
        <f>Universe!A887</f>
        <v/>
      </c>
      <c r="B887" s="10" t="n"/>
      <c r="C887" s="11">
        <f>IF(B887="","",PERCENTRANK.INC($B$2:$B$2501,B887)*100)</f>
        <v/>
      </c>
      <c r="D887" s="10" t="n"/>
      <c r="E887" s="10">
        <f>IF(D887="","",MIN(D887,100))</f>
        <v/>
      </c>
      <c r="F887" s="10" t="n"/>
      <c r="G887" s="10">
        <f>IF(F887="","",MIN(F887,100))</f>
        <v/>
      </c>
      <c r="H887" s="11">
        <f>IF(A887="","",Universe!E887/BDP(A887&amp;" US Equity","HIGH_52WEEK")*100)</f>
        <v/>
      </c>
      <c r="I887">
        <f>IF(D887="","",D887&gt;=5)</f>
        <v/>
      </c>
      <c r="J887">
        <f>IF(F887="","",F887&gt;=5)</f>
        <v/>
      </c>
      <c r="K887">
        <f>IF(H887="","",H887&gt;=75)</f>
        <v/>
      </c>
      <c r="L887">
        <f>IF(OR(I887="",J887="",K887=""),FALSE,AND(I887,J887,K887))</f>
        <v/>
      </c>
    </row>
    <row r="888">
      <c r="A888">
        <f>Universe!A888</f>
        <v/>
      </c>
      <c r="B888" s="10" t="n"/>
      <c r="C888" s="11">
        <f>IF(B888="","",PERCENTRANK.INC($B$2:$B$2501,B888)*100)</f>
        <v/>
      </c>
      <c r="D888" s="10" t="n"/>
      <c r="E888" s="10">
        <f>IF(D888="","",MIN(D888,100))</f>
        <v/>
      </c>
      <c r="F888" s="10" t="n"/>
      <c r="G888" s="10">
        <f>IF(F888="","",MIN(F888,100))</f>
        <v/>
      </c>
      <c r="H888" s="11">
        <f>IF(A888="","",Universe!E888/BDP(A888&amp;" US Equity","HIGH_52WEEK")*100)</f>
        <v/>
      </c>
      <c r="I888">
        <f>IF(D888="","",D888&gt;=5)</f>
        <v/>
      </c>
      <c r="J888">
        <f>IF(F888="","",F888&gt;=5)</f>
        <v/>
      </c>
      <c r="K888">
        <f>IF(H888="","",H888&gt;=75)</f>
        <v/>
      </c>
      <c r="L888">
        <f>IF(OR(I888="",J888="",K888=""),FALSE,AND(I888,J888,K888))</f>
        <v/>
      </c>
    </row>
    <row r="889">
      <c r="A889">
        <f>Universe!A889</f>
        <v/>
      </c>
      <c r="B889" s="10" t="n"/>
      <c r="C889" s="11">
        <f>IF(B889="","",PERCENTRANK.INC($B$2:$B$2501,B889)*100)</f>
        <v/>
      </c>
      <c r="D889" s="10" t="n"/>
      <c r="E889" s="10">
        <f>IF(D889="","",MIN(D889,100))</f>
        <v/>
      </c>
      <c r="F889" s="10" t="n"/>
      <c r="G889" s="10">
        <f>IF(F889="","",MIN(F889,100))</f>
        <v/>
      </c>
      <c r="H889" s="11">
        <f>IF(A889="","",Universe!E889/BDP(A889&amp;" US Equity","HIGH_52WEEK")*100)</f>
        <v/>
      </c>
      <c r="I889">
        <f>IF(D889="","",D889&gt;=5)</f>
        <v/>
      </c>
      <c r="J889">
        <f>IF(F889="","",F889&gt;=5)</f>
        <v/>
      </c>
      <c r="K889">
        <f>IF(H889="","",H889&gt;=75)</f>
        <v/>
      </c>
      <c r="L889">
        <f>IF(OR(I889="",J889="",K889=""),FALSE,AND(I889,J889,K889))</f>
        <v/>
      </c>
    </row>
    <row r="890">
      <c r="A890">
        <f>Universe!A890</f>
        <v/>
      </c>
      <c r="B890" s="10" t="n"/>
      <c r="C890" s="11">
        <f>IF(B890="","",PERCENTRANK.INC($B$2:$B$2501,B890)*100)</f>
        <v/>
      </c>
      <c r="D890" s="10" t="n"/>
      <c r="E890" s="10">
        <f>IF(D890="","",MIN(D890,100))</f>
        <v/>
      </c>
      <c r="F890" s="10" t="n"/>
      <c r="G890" s="10">
        <f>IF(F890="","",MIN(F890,100))</f>
        <v/>
      </c>
      <c r="H890" s="11">
        <f>IF(A890="","",Universe!E890/BDP(A890&amp;" US Equity","HIGH_52WEEK")*100)</f>
        <v/>
      </c>
      <c r="I890">
        <f>IF(D890="","",D890&gt;=5)</f>
        <v/>
      </c>
      <c r="J890">
        <f>IF(F890="","",F890&gt;=5)</f>
        <v/>
      </c>
      <c r="K890">
        <f>IF(H890="","",H890&gt;=75)</f>
        <v/>
      </c>
      <c r="L890">
        <f>IF(OR(I890="",J890="",K890=""),FALSE,AND(I890,J890,K890))</f>
        <v/>
      </c>
    </row>
    <row r="891">
      <c r="A891">
        <f>Universe!A891</f>
        <v/>
      </c>
      <c r="B891" s="10" t="n"/>
      <c r="C891" s="11">
        <f>IF(B891="","",PERCENTRANK.INC($B$2:$B$2501,B891)*100)</f>
        <v/>
      </c>
      <c r="D891" s="10" t="n"/>
      <c r="E891" s="10">
        <f>IF(D891="","",MIN(D891,100))</f>
        <v/>
      </c>
      <c r="F891" s="10" t="n"/>
      <c r="G891" s="10">
        <f>IF(F891="","",MIN(F891,100))</f>
        <v/>
      </c>
      <c r="H891" s="11">
        <f>IF(A891="","",Universe!E891/BDP(A891&amp;" US Equity","HIGH_52WEEK")*100)</f>
        <v/>
      </c>
      <c r="I891">
        <f>IF(D891="","",D891&gt;=5)</f>
        <v/>
      </c>
      <c r="J891">
        <f>IF(F891="","",F891&gt;=5)</f>
        <v/>
      </c>
      <c r="K891">
        <f>IF(H891="","",H891&gt;=75)</f>
        <v/>
      </c>
      <c r="L891">
        <f>IF(OR(I891="",J891="",K891=""),FALSE,AND(I891,J891,K891))</f>
        <v/>
      </c>
    </row>
    <row r="892">
      <c r="A892">
        <f>Universe!A892</f>
        <v/>
      </c>
      <c r="B892" s="10" t="n"/>
      <c r="C892" s="11">
        <f>IF(B892="","",PERCENTRANK.INC($B$2:$B$2501,B892)*100)</f>
        <v/>
      </c>
      <c r="D892" s="10" t="n"/>
      <c r="E892" s="10">
        <f>IF(D892="","",MIN(D892,100))</f>
        <v/>
      </c>
      <c r="F892" s="10" t="n"/>
      <c r="G892" s="10">
        <f>IF(F892="","",MIN(F892,100))</f>
        <v/>
      </c>
      <c r="H892" s="11">
        <f>IF(A892="","",Universe!E892/BDP(A892&amp;" US Equity","HIGH_52WEEK")*100)</f>
        <v/>
      </c>
      <c r="I892">
        <f>IF(D892="","",D892&gt;=5)</f>
        <v/>
      </c>
      <c r="J892">
        <f>IF(F892="","",F892&gt;=5)</f>
        <v/>
      </c>
      <c r="K892">
        <f>IF(H892="","",H892&gt;=75)</f>
        <v/>
      </c>
      <c r="L892">
        <f>IF(OR(I892="",J892="",K892=""),FALSE,AND(I892,J892,K892))</f>
        <v/>
      </c>
    </row>
    <row r="893">
      <c r="A893">
        <f>Universe!A893</f>
        <v/>
      </c>
      <c r="B893" s="10" t="n"/>
      <c r="C893" s="11">
        <f>IF(B893="","",PERCENTRANK.INC($B$2:$B$2501,B893)*100)</f>
        <v/>
      </c>
      <c r="D893" s="10" t="n"/>
      <c r="E893" s="10">
        <f>IF(D893="","",MIN(D893,100))</f>
        <v/>
      </c>
      <c r="F893" s="10" t="n"/>
      <c r="G893" s="10">
        <f>IF(F893="","",MIN(F893,100))</f>
        <v/>
      </c>
      <c r="H893" s="11">
        <f>IF(A893="","",Universe!E893/BDP(A893&amp;" US Equity","HIGH_52WEEK")*100)</f>
        <v/>
      </c>
      <c r="I893">
        <f>IF(D893="","",D893&gt;=5)</f>
        <v/>
      </c>
      <c r="J893">
        <f>IF(F893="","",F893&gt;=5)</f>
        <v/>
      </c>
      <c r="K893">
        <f>IF(H893="","",H893&gt;=75)</f>
        <v/>
      </c>
      <c r="L893">
        <f>IF(OR(I893="",J893="",K893=""),FALSE,AND(I893,J893,K893))</f>
        <v/>
      </c>
    </row>
    <row r="894">
      <c r="A894">
        <f>Universe!A894</f>
        <v/>
      </c>
      <c r="B894" s="10" t="n"/>
      <c r="C894" s="11">
        <f>IF(B894="","",PERCENTRANK.INC($B$2:$B$2501,B894)*100)</f>
        <v/>
      </c>
      <c r="D894" s="10" t="n"/>
      <c r="E894" s="10">
        <f>IF(D894="","",MIN(D894,100))</f>
        <v/>
      </c>
      <c r="F894" s="10" t="n"/>
      <c r="G894" s="10">
        <f>IF(F894="","",MIN(F894,100))</f>
        <v/>
      </c>
      <c r="H894" s="11">
        <f>IF(A894="","",Universe!E894/BDP(A894&amp;" US Equity","HIGH_52WEEK")*100)</f>
        <v/>
      </c>
      <c r="I894">
        <f>IF(D894="","",D894&gt;=5)</f>
        <v/>
      </c>
      <c r="J894">
        <f>IF(F894="","",F894&gt;=5)</f>
        <v/>
      </c>
      <c r="K894">
        <f>IF(H894="","",H894&gt;=75)</f>
        <v/>
      </c>
      <c r="L894">
        <f>IF(OR(I894="",J894="",K894=""),FALSE,AND(I894,J894,K894))</f>
        <v/>
      </c>
    </row>
    <row r="895">
      <c r="A895">
        <f>Universe!A895</f>
        <v/>
      </c>
      <c r="B895" s="10" t="n"/>
      <c r="C895" s="11">
        <f>IF(B895="","",PERCENTRANK.INC($B$2:$B$2501,B895)*100)</f>
        <v/>
      </c>
      <c r="D895" s="10" t="n"/>
      <c r="E895" s="10">
        <f>IF(D895="","",MIN(D895,100))</f>
        <v/>
      </c>
      <c r="F895" s="10" t="n"/>
      <c r="G895" s="10">
        <f>IF(F895="","",MIN(F895,100))</f>
        <v/>
      </c>
      <c r="H895" s="11">
        <f>IF(A895="","",Universe!E895/BDP(A895&amp;" US Equity","HIGH_52WEEK")*100)</f>
        <v/>
      </c>
      <c r="I895">
        <f>IF(D895="","",D895&gt;=5)</f>
        <v/>
      </c>
      <c r="J895">
        <f>IF(F895="","",F895&gt;=5)</f>
        <v/>
      </c>
      <c r="K895">
        <f>IF(H895="","",H895&gt;=75)</f>
        <v/>
      </c>
      <c r="L895">
        <f>IF(OR(I895="",J895="",K895=""),FALSE,AND(I895,J895,K895))</f>
        <v/>
      </c>
    </row>
    <row r="896">
      <c r="A896">
        <f>Universe!A896</f>
        <v/>
      </c>
      <c r="B896" s="10" t="n"/>
      <c r="C896" s="11">
        <f>IF(B896="","",PERCENTRANK.INC($B$2:$B$2501,B896)*100)</f>
        <v/>
      </c>
      <c r="D896" s="10" t="n"/>
      <c r="E896" s="10">
        <f>IF(D896="","",MIN(D896,100))</f>
        <v/>
      </c>
      <c r="F896" s="10" t="n"/>
      <c r="G896" s="10">
        <f>IF(F896="","",MIN(F896,100))</f>
        <v/>
      </c>
      <c r="H896" s="11">
        <f>IF(A896="","",Universe!E896/BDP(A896&amp;" US Equity","HIGH_52WEEK")*100)</f>
        <v/>
      </c>
      <c r="I896">
        <f>IF(D896="","",D896&gt;=5)</f>
        <v/>
      </c>
      <c r="J896">
        <f>IF(F896="","",F896&gt;=5)</f>
        <v/>
      </c>
      <c r="K896">
        <f>IF(H896="","",H896&gt;=75)</f>
        <v/>
      </c>
      <c r="L896">
        <f>IF(OR(I896="",J896="",K896=""),FALSE,AND(I896,J896,K896))</f>
        <v/>
      </c>
    </row>
    <row r="897">
      <c r="A897">
        <f>Universe!A897</f>
        <v/>
      </c>
      <c r="B897" s="10" t="n"/>
      <c r="C897" s="11">
        <f>IF(B897="","",PERCENTRANK.INC($B$2:$B$2501,B897)*100)</f>
        <v/>
      </c>
      <c r="D897" s="10" t="n"/>
      <c r="E897" s="10">
        <f>IF(D897="","",MIN(D897,100))</f>
        <v/>
      </c>
      <c r="F897" s="10" t="n"/>
      <c r="G897" s="10">
        <f>IF(F897="","",MIN(F897,100))</f>
        <v/>
      </c>
      <c r="H897" s="11">
        <f>IF(A897="","",Universe!E897/BDP(A897&amp;" US Equity","HIGH_52WEEK")*100)</f>
        <v/>
      </c>
      <c r="I897">
        <f>IF(D897="","",D897&gt;=5)</f>
        <v/>
      </c>
      <c r="J897">
        <f>IF(F897="","",F897&gt;=5)</f>
        <v/>
      </c>
      <c r="K897">
        <f>IF(H897="","",H897&gt;=75)</f>
        <v/>
      </c>
      <c r="L897">
        <f>IF(OR(I897="",J897="",K897=""),FALSE,AND(I897,J897,K897))</f>
        <v/>
      </c>
    </row>
    <row r="898">
      <c r="A898">
        <f>Universe!A898</f>
        <v/>
      </c>
      <c r="B898" s="10" t="n"/>
      <c r="C898" s="11">
        <f>IF(B898="","",PERCENTRANK.INC($B$2:$B$2501,B898)*100)</f>
        <v/>
      </c>
      <c r="D898" s="10" t="n"/>
      <c r="E898" s="10">
        <f>IF(D898="","",MIN(D898,100))</f>
        <v/>
      </c>
      <c r="F898" s="10" t="n"/>
      <c r="G898" s="10">
        <f>IF(F898="","",MIN(F898,100))</f>
        <v/>
      </c>
      <c r="H898" s="11">
        <f>IF(A898="","",Universe!E898/BDP(A898&amp;" US Equity","HIGH_52WEEK")*100)</f>
        <v/>
      </c>
      <c r="I898">
        <f>IF(D898="","",D898&gt;=5)</f>
        <v/>
      </c>
      <c r="J898">
        <f>IF(F898="","",F898&gt;=5)</f>
        <v/>
      </c>
      <c r="K898">
        <f>IF(H898="","",H898&gt;=75)</f>
        <v/>
      </c>
      <c r="L898">
        <f>IF(OR(I898="",J898="",K898=""),FALSE,AND(I898,J898,K898))</f>
        <v/>
      </c>
    </row>
    <row r="899">
      <c r="A899">
        <f>Universe!A899</f>
        <v/>
      </c>
      <c r="B899" s="10" t="n"/>
      <c r="C899" s="11">
        <f>IF(B899="","",PERCENTRANK.INC($B$2:$B$2501,B899)*100)</f>
        <v/>
      </c>
      <c r="D899" s="10" t="n"/>
      <c r="E899" s="10">
        <f>IF(D899="","",MIN(D899,100))</f>
        <v/>
      </c>
      <c r="F899" s="10" t="n"/>
      <c r="G899" s="10">
        <f>IF(F899="","",MIN(F899,100))</f>
        <v/>
      </c>
      <c r="H899" s="11">
        <f>IF(A899="","",Universe!E899/BDP(A899&amp;" US Equity","HIGH_52WEEK")*100)</f>
        <v/>
      </c>
      <c r="I899">
        <f>IF(D899="","",D899&gt;=5)</f>
        <v/>
      </c>
      <c r="J899">
        <f>IF(F899="","",F899&gt;=5)</f>
        <v/>
      </c>
      <c r="K899">
        <f>IF(H899="","",H899&gt;=75)</f>
        <v/>
      </c>
      <c r="L899">
        <f>IF(OR(I899="",J899="",K899=""),FALSE,AND(I899,J899,K899))</f>
        <v/>
      </c>
    </row>
    <row r="900">
      <c r="A900">
        <f>Universe!A900</f>
        <v/>
      </c>
      <c r="B900" s="10" t="n"/>
      <c r="C900" s="11">
        <f>IF(B900="","",PERCENTRANK.INC($B$2:$B$2501,B900)*100)</f>
        <v/>
      </c>
      <c r="D900" s="10" t="n"/>
      <c r="E900" s="10">
        <f>IF(D900="","",MIN(D900,100))</f>
        <v/>
      </c>
      <c r="F900" s="10" t="n"/>
      <c r="G900" s="10">
        <f>IF(F900="","",MIN(F900,100))</f>
        <v/>
      </c>
      <c r="H900" s="11">
        <f>IF(A900="","",Universe!E900/BDP(A900&amp;" US Equity","HIGH_52WEEK")*100)</f>
        <v/>
      </c>
      <c r="I900">
        <f>IF(D900="","",D900&gt;=5)</f>
        <v/>
      </c>
      <c r="J900">
        <f>IF(F900="","",F900&gt;=5)</f>
        <v/>
      </c>
      <c r="K900">
        <f>IF(H900="","",H900&gt;=75)</f>
        <v/>
      </c>
      <c r="L900">
        <f>IF(OR(I900="",J900="",K900=""),FALSE,AND(I900,J900,K900))</f>
        <v/>
      </c>
    </row>
    <row r="901">
      <c r="A901">
        <f>Universe!A901</f>
        <v/>
      </c>
      <c r="B901" s="10" t="n"/>
      <c r="C901" s="11">
        <f>IF(B901="","",PERCENTRANK.INC($B$2:$B$2501,B901)*100)</f>
        <v/>
      </c>
      <c r="D901" s="10" t="n"/>
      <c r="E901" s="10">
        <f>IF(D901="","",MIN(D901,100))</f>
        <v/>
      </c>
      <c r="F901" s="10" t="n"/>
      <c r="G901" s="10">
        <f>IF(F901="","",MIN(F901,100))</f>
        <v/>
      </c>
      <c r="H901" s="11">
        <f>IF(A901="","",Universe!E901/BDP(A901&amp;" US Equity","HIGH_52WEEK")*100)</f>
        <v/>
      </c>
      <c r="I901">
        <f>IF(D901="","",D901&gt;=5)</f>
        <v/>
      </c>
      <c r="J901">
        <f>IF(F901="","",F901&gt;=5)</f>
        <v/>
      </c>
      <c r="K901">
        <f>IF(H901="","",H901&gt;=75)</f>
        <v/>
      </c>
      <c r="L901">
        <f>IF(OR(I901="",J901="",K901=""),FALSE,AND(I901,J901,K901))</f>
        <v/>
      </c>
    </row>
    <row r="902">
      <c r="A902">
        <f>Universe!A902</f>
        <v/>
      </c>
      <c r="B902" s="10" t="n"/>
      <c r="C902" s="11">
        <f>IF(B902="","",PERCENTRANK.INC($B$2:$B$2501,B902)*100)</f>
        <v/>
      </c>
      <c r="D902" s="10" t="n"/>
      <c r="E902" s="10">
        <f>IF(D902="","",MIN(D902,100))</f>
        <v/>
      </c>
      <c r="F902" s="10" t="n"/>
      <c r="G902" s="10">
        <f>IF(F902="","",MIN(F902,100))</f>
        <v/>
      </c>
      <c r="H902" s="11">
        <f>IF(A902="","",Universe!E902/BDP(A902&amp;" US Equity","HIGH_52WEEK")*100)</f>
        <v/>
      </c>
      <c r="I902">
        <f>IF(D902="","",D902&gt;=5)</f>
        <v/>
      </c>
      <c r="J902">
        <f>IF(F902="","",F902&gt;=5)</f>
        <v/>
      </c>
      <c r="K902">
        <f>IF(H902="","",H902&gt;=75)</f>
        <v/>
      </c>
      <c r="L902">
        <f>IF(OR(I902="",J902="",K902=""),FALSE,AND(I902,J902,K902))</f>
        <v/>
      </c>
    </row>
    <row r="903">
      <c r="A903">
        <f>Universe!A903</f>
        <v/>
      </c>
      <c r="B903" s="10" t="n"/>
      <c r="C903" s="11">
        <f>IF(B903="","",PERCENTRANK.INC($B$2:$B$2501,B903)*100)</f>
        <v/>
      </c>
      <c r="D903" s="10" t="n"/>
      <c r="E903" s="10">
        <f>IF(D903="","",MIN(D903,100))</f>
        <v/>
      </c>
      <c r="F903" s="10" t="n"/>
      <c r="G903" s="10">
        <f>IF(F903="","",MIN(F903,100))</f>
        <v/>
      </c>
      <c r="H903" s="11">
        <f>IF(A903="","",Universe!E903/BDP(A903&amp;" US Equity","HIGH_52WEEK")*100)</f>
        <v/>
      </c>
      <c r="I903">
        <f>IF(D903="","",D903&gt;=5)</f>
        <v/>
      </c>
      <c r="J903">
        <f>IF(F903="","",F903&gt;=5)</f>
        <v/>
      </c>
      <c r="K903">
        <f>IF(H903="","",H903&gt;=75)</f>
        <v/>
      </c>
      <c r="L903">
        <f>IF(OR(I903="",J903="",K903=""),FALSE,AND(I903,J903,K903))</f>
        <v/>
      </c>
    </row>
    <row r="904">
      <c r="A904">
        <f>Universe!A904</f>
        <v/>
      </c>
      <c r="B904" s="10" t="n"/>
      <c r="C904" s="11">
        <f>IF(B904="","",PERCENTRANK.INC($B$2:$B$2501,B904)*100)</f>
        <v/>
      </c>
      <c r="D904" s="10" t="n"/>
      <c r="E904" s="10">
        <f>IF(D904="","",MIN(D904,100))</f>
        <v/>
      </c>
      <c r="F904" s="10" t="n"/>
      <c r="G904" s="10">
        <f>IF(F904="","",MIN(F904,100))</f>
        <v/>
      </c>
      <c r="H904" s="11">
        <f>IF(A904="","",Universe!E904/BDP(A904&amp;" US Equity","HIGH_52WEEK")*100)</f>
        <v/>
      </c>
      <c r="I904">
        <f>IF(D904="","",D904&gt;=5)</f>
        <v/>
      </c>
      <c r="J904">
        <f>IF(F904="","",F904&gt;=5)</f>
        <v/>
      </c>
      <c r="K904">
        <f>IF(H904="","",H904&gt;=75)</f>
        <v/>
      </c>
      <c r="L904">
        <f>IF(OR(I904="",J904="",K904=""),FALSE,AND(I904,J904,K904))</f>
        <v/>
      </c>
    </row>
    <row r="905">
      <c r="A905">
        <f>Universe!A905</f>
        <v/>
      </c>
      <c r="B905" s="10" t="n"/>
      <c r="C905" s="11">
        <f>IF(B905="","",PERCENTRANK.INC($B$2:$B$2501,B905)*100)</f>
        <v/>
      </c>
      <c r="D905" s="10" t="n"/>
      <c r="E905" s="10">
        <f>IF(D905="","",MIN(D905,100))</f>
        <v/>
      </c>
      <c r="F905" s="10" t="n"/>
      <c r="G905" s="10">
        <f>IF(F905="","",MIN(F905,100))</f>
        <v/>
      </c>
      <c r="H905" s="11">
        <f>IF(A905="","",Universe!E905/BDP(A905&amp;" US Equity","HIGH_52WEEK")*100)</f>
        <v/>
      </c>
      <c r="I905">
        <f>IF(D905="","",D905&gt;=5)</f>
        <v/>
      </c>
      <c r="J905">
        <f>IF(F905="","",F905&gt;=5)</f>
        <v/>
      </c>
      <c r="K905">
        <f>IF(H905="","",H905&gt;=75)</f>
        <v/>
      </c>
      <c r="L905">
        <f>IF(OR(I905="",J905="",K905=""),FALSE,AND(I905,J905,K905))</f>
        <v/>
      </c>
    </row>
    <row r="906">
      <c r="A906">
        <f>Universe!A906</f>
        <v/>
      </c>
      <c r="B906" s="10" t="n"/>
      <c r="C906" s="11">
        <f>IF(B906="","",PERCENTRANK.INC($B$2:$B$2501,B906)*100)</f>
        <v/>
      </c>
      <c r="D906" s="10" t="n"/>
      <c r="E906" s="10">
        <f>IF(D906="","",MIN(D906,100))</f>
        <v/>
      </c>
      <c r="F906" s="10" t="n"/>
      <c r="G906" s="10">
        <f>IF(F906="","",MIN(F906,100))</f>
        <v/>
      </c>
      <c r="H906" s="11">
        <f>IF(A906="","",Universe!E906/BDP(A906&amp;" US Equity","HIGH_52WEEK")*100)</f>
        <v/>
      </c>
      <c r="I906">
        <f>IF(D906="","",D906&gt;=5)</f>
        <v/>
      </c>
      <c r="J906">
        <f>IF(F906="","",F906&gt;=5)</f>
        <v/>
      </c>
      <c r="K906">
        <f>IF(H906="","",H906&gt;=75)</f>
        <v/>
      </c>
      <c r="L906">
        <f>IF(OR(I906="",J906="",K906=""),FALSE,AND(I906,J906,K906))</f>
        <v/>
      </c>
    </row>
    <row r="907">
      <c r="A907">
        <f>Universe!A907</f>
        <v/>
      </c>
      <c r="B907" s="10" t="n"/>
      <c r="C907" s="11">
        <f>IF(B907="","",PERCENTRANK.INC($B$2:$B$2501,B907)*100)</f>
        <v/>
      </c>
      <c r="D907" s="10" t="n"/>
      <c r="E907" s="10">
        <f>IF(D907="","",MIN(D907,100))</f>
        <v/>
      </c>
      <c r="F907" s="10" t="n"/>
      <c r="G907" s="10">
        <f>IF(F907="","",MIN(F907,100))</f>
        <v/>
      </c>
      <c r="H907" s="11">
        <f>IF(A907="","",Universe!E907/BDP(A907&amp;" US Equity","HIGH_52WEEK")*100)</f>
        <v/>
      </c>
      <c r="I907">
        <f>IF(D907="","",D907&gt;=5)</f>
        <v/>
      </c>
      <c r="J907">
        <f>IF(F907="","",F907&gt;=5)</f>
        <v/>
      </c>
      <c r="K907">
        <f>IF(H907="","",H907&gt;=75)</f>
        <v/>
      </c>
      <c r="L907">
        <f>IF(OR(I907="",J907="",K907=""),FALSE,AND(I907,J907,K907))</f>
        <v/>
      </c>
    </row>
    <row r="908">
      <c r="A908">
        <f>Universe!A908</f>
        <v/>
      </c>
      <c r="B908" s="10" t="n"/>
      <c r="C908" s="11">
        <f>IF(B908="","",PERCENTRANK.INC($B$2:$B$2501,B908)*100)</f>
        <v/>
      </c>
      <c r="D908" s="10" t="n"/>
      <c r="E908" s="10">
        <f>IF(D908="","",MIN(D908,100))</f>
        <v/>
      </c>
      <c r="F908" s="10" t="n"/>
      <c r="G908" s="10">
        <f>IF(F908="","",MIN(F908,100))</f>
        <v/>
      </c>
      <c r="H908" s="11">
        <f>IF(A908="","",Universe!E908/BDP(A908&amp;" US Equity","HIGH_52WEEK")*100)</f>
        <v/>
      </c>
      <c r="I908">
        <f>IF(D908="","",D908&gt;=5)</f>
        <v/>
      </c>
      <c r="J908">
        <f>IF(F908="","",F908&gt;=5)</f>
        <v/>
      </c>
      <c r="K908">
        <f>IF(H908="","",H908&gt;=75)</f>
        <v/>
      </c>
      <c r="L908">
        <f>IF(OR(I908="",J908="",K908=""),FALSE,AND(I908,J908,K908))</f>
        <v/>
      </c>
    </row>
    <row r="909">
      <c r="A909">
        <f>Universe!A909</f>
        <v/>
      </c>
      <c r="B909" s="10" t="n"/>
      <c r="C909" s="11">
        <f>IF(B909="","",PERCENTRANK.INC($B$2:$B$2501,B909)*100)</f>
        <v/>
      </c>
      <c r="D909" s="10" t="n"/>
      <c r="E909" s="10">
        <f>IF(D909="","",MIN(D909,100))</f>
        <v/>
      </c>
      <c r="F909" s="10" t="n"/>
      <c r="G909" s="10">
        <f>IF(F909="","",MIN(F909,100))</f>
        <v/>
      </c>
      <c r="H909" s="11">
        <f>IF(A909="","",Universe!E909/BDP(A909&amp;" US Equity","HIGH_52WEEK")*100)</f>
        <v/>
      </c>
      <c r="I909">
        <f>IF(D909="","",D909&gt;=5)</f>
        <v/>
      </c>
      <c r="J909">
        <f>IF(F909="","",F909&gt;=5)</f>
        <v/>
      </c>
      <c r="K909">
        <f>IF(H909="","",H909&gt;=75)</f>
        <v/>
      </c>
      <c r="L909">
        <f>IF(OR(I909="",J909="",K909=""),FALSE,AND(I909,J909,K909))</f>
        <v/>
      </c>
    </row>
    <row r="910">
      <c r="A910">
        <f>Universe!A910</f>
        <v/>
      </c>
      <c r="B910" s="10" t="n"/>
      <c r="C910" s="11">
        <f>IF(B910="","",PERCENTRANK.INC($B$2:$B$2501,B910)*100)</f>
        <v/>
      </c>
      <c r="D910" s="10" t="n"/>
      <c r="E910" s="10">
        <f>IF(D910="","",MIN(D910,100))</f>
        <v/>
      </c>
      <c r="F910" s="10" t="n"/>
      <c r="G910" s="10">
        <f>IF(F910="","",MIN(F910,100))</f>
        <v/>
      </c>
      <c r="H910" s="11">
        <f>IF(A910="","",Universe!E910/BDP(A910&amp;" US Equity","HIGH_52WEEK")*100)</f>
        <v/>
      </c>
      <c r="I910">
        <f>IF(D910="","",D910&gt;=5)</f>
        <v/>
      </c>
      <c r="J910">
        <f>IF(F910="","",F910&gt;=5)</f>
        <v/>
      </c>
      <c r="K910">
        <f>IF(H910="","",H910&gt;=75)</f>
        <v/>
      </c>
      <c r="L910">
        <f>IF(OR(I910="",J910="",K910=""),FALSE,AND(I910,J910,K910))</f>
        <v/>
      </c>
    </row>
    <row r="911">
      <c r="A911">
        <f>Universe!A911</f>
        <v/>
      </c>
      <c r="B911" s="10" t="n"/>
      <c r="C911" s="11">
        <f>IF(B911="","",PERCENTRANK.INC($B$2:$B$2501,B911)*100)</f>
        <v/>
      </c>
      <c r="D911" s="10" t="n"/>
      <c r="E911" s="10">
        <f>IF(D911="","",MIN(D911,100))</f>
        <v/>
      </c>
      <c r="F911" s="10" t="n"/>
      <c r="G911" s="10">
        <f>IF(F911="","",MIN(F911,100))</f>
        <v/>
      </c>
      <c r="H911" s="11">
        <f>IF(A911="","",Universe!E911/BDP(A911&amp;" US Equity","HIGH_52WEEK")*100)</f>
        <v/>
      </c>
      <c r="I911">
        <f>IF(D911="","",D911&gt;=5)</f>
        <v/>
      </c>
      <c r="J911">
        <f>IF(F911="","",F911&gt;=5)</f>
        <v/>
      </c>
      <c r="K911">
        <f>IF(H911="","",H911&gt;=75)</f>
        <v/>
      </c>
      <c r="L911">
        <f>IF(OR(I911="",J911="",K911=""),FALSE,AND(I911,J911,K911))</f>
        <v/>
      </c>
    </row>
    <row r="912">
      <c r="A912">
        <f>Universe!A912</f>
        <v/>
      </c>
      <c r="B912" s="10" t="n"/>
      <c r="C912" s="11">
        <f>IF(B912="","",PERCENTRANK.INC($B$2:$B$2501,B912)*100)</f>
        <v/>
      </c>
      <c r="D912" s="10" t="n"/>
      <c r="E912" s="10">
        <f>IF(D912="","",MIN(D912,100))</f>
        <v/>
      </c>
      <c r="F912" s="10" t="n"/>
      <c r="G912" s="10">
        <f>IF(F912="","",MIN(F912,100))</f>
        <v/>
      </c>
      <c r="H912" s="11">
        <f>IF(A912="","",Universe!E912/BDP(A912&amp;" US Equity","HIGH_52WEEK")*100)</f>
        <v/>
      </c>
      <c r="I912">
        <f>IF(D912="","",D912&gt;=5)</f>
        <v/>
      </c>
      <c r="J912">
        <f>IF(F912="","",F912&gt;=5)</f>
        <v/>
      </c>
      <c r="K912">
        <f>IF(H912="","",H912&gt;=75)</f>
        <v/>
      </c>
      <c r="L912">
        <f>IF(OR(I912="",J912="",K912=""),FALSE,AND(I912,J912,K912))</f>
        <v/>
      </c>
    </row>
    <row r="913">
      <c r="A913">
        <f>Universe!A913</f>
        <v/>
      </c>
      <c r="B913" s="10" t="n"/>
      <c r="C913" s="11">
        <f>IF(B913="","",PERCENTRANK.INC($B$2:$B$2501,B913)*100)</f>
        <v/>
      </c>
      <c r="D913" s="10" t="n"/>
      <c r="E913" s="10">
        <f>IF(D913="","",MIN(D913,100))</f>
        <v/>
      </c>
      <c r="F913" s="10" t="n"/>
      <c r="G913" s="10">
        <f>IF(F913="","",MIN(F913,100))</f>
        <v/>
      </c>
      <c r="H913" s="11">
        <f>IF(A913="","",Universe!E913/BDP(A913&amp;" US Equity","HIGH_52WEEK")*100)</f>
        <v/>
      </c>
      <c r="I913">
        <f>IF(D913="","",D913&gt;=5)</f>
        <v/>
      </c>
      <c r="J913">
        <f>IF(F913="","",F913&gt;=5)</f>
        <v/>
      </c>
      <c r="K913">
        <f>IF(H913="","",H913&gt;=75)</f>
        <v/>
      </c>
      <c r="L913">
        <f>IF(OR(I913="",J913="",K913=""),FALSE,AND(I913,J913,K913))</f>
        <v/>
      </c>
    </row>
    <row r="914">
      <c r="A914">
        <f>Universe!A914</f>
        <v/>
      </c>
      <c r="B914" s="10" t="n"/>
      <c r="C914" s="11">
        <f>IF(B914="","",PERCENTRANK.INC($B$2:$B$2501,B914)*100)</f>
        <v/>
      </c>
      <c r="D914" s="10" t="n"/>
      <c r="E914" s="10">
        <f>IF(D914="","",MIN(D914,100))</f>
        <v/>
      </c>
      <c r="F914" s="10" t="n"/>
      <c r="G914" s="10">
        <f>IF(F914="","",MIN(F914,100))</f>
        <v/>
      </c>
      <c r="H914" s="11">
        <f>IF(A914="","",Universe!E914/BDP(A914&amp;" US Equity","HIGH_52WEEK")*100)</f>
        <v/>
      </c>
      <c r="I914">
        <f>IF(D914="","",D914&gt;=5)</f>
        <v/>
      </c>
      <c r="J914">
        <f>IF(F914="","",F914&gt;=5)</f>
        <v/>
      </c>
      <c r="K914">
        <f>IF(H914="","",H914&gt;=75)</f>
        <v/>
      </c>
      <c r="L914">
        <f>IF(OR(I914="",J914="",K914=""),FALSE,AND(I914,J914,K914))</f>
        <v/>
      </c>
    </row>
    <row r="915">
      <c r="A915">
        <f>Universe!A915</f>
        <v/>
      </c>
      <c r="B915" s="10" t="n"/>
      <c r="C915" s="11">
        <f>IF(B915="","",PERCENTRANK.INC($B$2:$B$2501,B915)*100)</f>
        <v/>
      </c>
      <c r="D915" s="10" t="n"/>
      <c r="E915" s="10">
        <f>IF(D915="","",MIN(D915,100))</f>
        <v/>
      </c>
      <c r="F915" s="10" t="n"/>
      <c r="G915" s="10">
        <f>IF(F915="","",MIN(F915,100))</f>
        <v/>
      </c>
      <c r="H915" s="11">
        <f>IF(A915="","",Universe!E915/BDP(A915&amp;" US Equity","HIGH_52WEEK")*100)</f>
        <v/>
      </c>
      <c r="I915">
        <f>IF(D915="","",D915&gt;=5)</f>
        <v/>
      </c>
      <c r="J915">
        <f>IF(F915="","",F915&gt;=5)</f>
        <v/>
      </c>
      <c r="K915">
        <f>IF(H915="","",H915&gt;=75)</f>
        <v/>
      </c>
      <c r="L915">
        <f>IF(OR(I915="",J915="",K915=""),FALSE,AND(I915,J915,K915))</f>
        <v/>
      </c>
    </row>
    <row r="916">
      <c r="A916">
        <f>Universe!A916</f>
        <v/>
      </c>
      <c r="B916" s="10" t="n"/>
      <c r="C916" s="11">
        <f>IF(B916="","",PERCENTRANK.INC($B$2:$B$2501,B916)*100)</f>
        <v/>
      </c>
      <c r="D916" s="10" t="n"/>
      <c r="E916" s="10">
        <f>IF(D916="","",MIN(D916,100))</f>
        <v/>
      </c>
      <c r="F916" s="10" t="n"/>
      <c r="G916" s="10">
        <f>IF(F916="","",MIN(F916,100))</f>
        <v/>
      </c>
      <c r="H916" s="11">
        <f>IF(A916="","",Universe!E916/BDP(A916&amp;" US Equity","HIGH_52WEEK")*100)</f>
        <v/>
      </c>
      <c r="I916">
        <f>IF(D916="","",D916&gt;=5)</f>
        <v/>
      </c>
      <c r="J916">
        <f>IF(F916="","",F916&gt;=5)</f>
        <v/>
      </c>
      <c r="K916">
        <f>IF(H916="","",H916&gt;=75)</f>
        <v/>
      </c>
      <c r="L916">
        <f>IF(OR(I916="",J916="",K916=""),FALSE,AND(I916,J916,K916))</f>
        <v/>
      </c>
    </row>
    <row r="917">
      <c r="A917">
        <f>Universe!A917</f>
        <v/>
      </c>
      <c r="B917" s="10" t="n"/>
      <c r="C917" s="11">
        <f>IF(B917="","",PERCENTRANK.INC($B$2:$B$2501,B917)*100)</f>
        <v/>
      </c>
      <c r="D917" s="10" t="n"/>
      <c r="E917" s="10">
        <f>IF(D917="","",MIN(D917,100))</f>
        <v/>
      </c>
      <c r="F917" s="10" t="n"/>
      <c r="G917" s="10">
        <f>IF(F917="","",MIN(F917,100))</f>
        <v/>
      </c>
      <c r="H917" s="11">
        <f>IF(A917="","",Universe!E917/BDP(A917&amp;" US Equity","HIGH_52WEEK")*100)</f>
        <v/>
      </c>
      <c r="I917">
        <f>IF(D917="","",D917&gt;=5)</f>
        <v/>
      </c>
      <c r="J917">
        <f>IF(F917="","",F917&gt;=5)</f>
        <v/>
      </c>
      <c r="K917">
        <f>IF(H917="","",H917&gt;=75)</f>
        <v/>
      </c>
      <c r="L917">
        <f>IF(OR(I917="",J917="",K917=""),FALSE,AND(I917,J917,K917))</f>
        <v/>
      </c>
    </row>
    <row r="918">
      <c r="A918">
        <f>Universe!A918</f>
        <v/>
      </c>
      <c r="B918" s="10" t="n"/>
      <c r="C918" s="11">
        <f>IF(B918="","",PERCENTRANK.INC($B$2:$B$2501,B918)*100)</f>
        <v/>
      </c>
      <c r="D918" s="10" t="n"/>
      <c r="E918" s="10">
        <f>IF(D918="","",MIN(D918,100))</f>
        <v/>
      </c>
      <c r="F918" s="10" t="n"/>
      <c r="G918" s="10">
        <f>IF(F918="","",MIN(F918,100))</f>
        <v/>
      </c>
      <c r="H918" s="11">
        <f>IF(A918="","",Universe!E918/BDP(A918&amp;" US Equity","HIGH_52WEEK")*100)</f>
        <v/>
      </c>
      <c r="I918">
        <f>IF(D918="","",D918&gt;=5)</f>
        <v/>
      </c>
      <c r="J918">
        <f>IF(F918="","",F918&gt;=5)</f>
        <v/>
      </c>
      <c r="K918">
        <f>IF(H918="","",H918&gt;=75)</f>
        <v/>
      </c>
      <c r="L918">
        <f>IF(OR(I918="",J918="",K918=""),FALSE,AND(I918,J918,K918))</f>
        <v/>
      </c>
    </row>
    <row r="919">
      <c r="A919">
        <f>Universe!A919</f>
        <v/>
      </c>
      <c r="B919" s="10" t="n"/>
      <c r="C919" s="11">
        <f>IF(B919="","",PERCENTRANK.INC($B$2:$B$2501,B919)*100)</f>
        <v/>
      </c>
      <c r="D919" s="10" t="n"/>
      <c r="E919" s="10">
        <f>IF(D919="","",MIN(D919,100))</f>
        <v/>
      </c>
      <c r="F919" s="10" t="n"/>
      <c r="G919" s="10">
        <f>IF(F919="","",MIN(F919,100))</f>
        <v/>
      </c>
      <c r="H919" s="11">
        <f>IF(A919="","",Universe!E919/BDP(A919&amp;" US Equity","HIGH_52WEEK")*100)</f>
        <v/>
      </c>
      <c r="I919">
        <f>IF(D919="","",D919&gt;=5)</f>
        <v/>
      </c>
      <c r="J919">
        <f>IF(F919="","",F919&gt;=5)</f>
        <v/>
      </c>
      <c r="K919">
        <f>IF(H919="","",H919&gt;=75)</f>
        <v/>
      </c>
      <c r="L919">
        <f>IF(OR(I919="",J919="",K919=""),FALSE,AND(I919,J919,K919))</f>
        <v/>
      </c>
    </row>
    <row r="920">
      <c r="A920">
        <f>Universe!A920</f>
        <v/>
      </c>
      <c r="B920" s="10" t="n"/>
      <c r="C920" s="11">
        <f>IF(B920="","",PERCENTRANK.INC($B$2:$B$2501,B920)*100)</f>
        <v/>
      </c>
      <c r="D920" s="10" t="n"/>
      <c r="E920" s="10">
        <f>IF(D920="","",MIN(D920,100))</f>
        <v/>
      </c>
      <c r="F920" s="10" t="n"/>
      <c r="G920" s="10">
        <f>IF(F920="","",MIN(F920,100))</f>
        <v/>
      </c>
      <c r="H920" s="11">
        <f>IF(A920="","",Universe!E920/BDP(A920&amp;" US Equity","HIGH_52WEEK")*100)</f>
        <v/>
      </c>
      <c r="I920">
        <f>IF(D920="","",D920&gt;=5)</f>
        <v/>
      </c>
      <c r="J920">
        <f>IF(F920="","",F920&gt;=5)</f>
        <v/>
      </c>
      <c r="K920">
        <f>IF(H920="","",H920&gt;=75)</f>
        <v/>
      </c>
      <c r="L920">
        <f>IF(OR(I920="",J920="",K920=""),FALSE,AND(I920,J920,K920))</f>
        <v/>
      </c>
    </row>
    <row r="921">
      <c r="A921">
        <f>Universe!A921</f>
        <v/>
      </c>
      <c r="B921" s="10" t="n"/>
      <c r="C921" s="11">
        <f>IF(B921="","",PERCENTRANK.INC($B$2:$B$2501,B921)*100)</f>
        <v/>
      </c>
      <c r="D921" s="10" t="n"/>
      <c r="E921" s="10">
        <f>IF(D921="","",MIN(D921,100))</f>
        <v/>
      </c>
      <c r="F921" s="10" t="n"/>
      <c r="G921" s="10">
        <f>IF(F921="","",MIN(F921,100))</f>
        <v/>
      </c>
      <c r="H921" s="11">
        <f>IF(A921="","",Universe!E921/BDP(A921&amp;" US Equity","HIGH_52WEEK")*100)</f>
        <v/>
      </c>
      <c r="I921">
        <f>IF(D921="","",D921&gt;=5)</f>
        <v/>
      </c>
      <c r="J921">
        <f>IF(F921="","",F921&gt;=5)</f>
        <v/>
      </c>
      <c r="K921">
        <f>IF(H921="","",H921&gt;=75)</f>
        <v/>
      </c>
      <c r="L921">
        <f>IF(OR(I921="",J921="",K921=""),FALSE,AND(I921,J921,K921))</f>
        <v/>
      </c>
    </row>
    <row r="922">
      <c r="A922">
        <f>Universe!A922</f>
        <v/>
      </c>
      <c r="B922" s="10" t="n"/>
      <c r="C922" s="11">
        <f>IF(B922="","",PERCENTRANK.INC($B$2:$B$2501,B922)*100)</f>
        <v/>
      </c>
      <c r="D922" s="10" t="n"/>
      <c r="E922" s="10">
        <f>IF(D922="","",MIN(D922,100))</f>
        <v/>
      </c>
      <c r="F922" s="10" t="n"/>
      <c r="G922" s="10">
        <f>IF(F922="","",MIN(F922,100))</f>
        <v/>
      </c>
      <c r="H922" s="11">
        <f>IF(A922="","",Universe!E922/BDP(A922&amp;" US Equity","HIGH_52WEEK")*100)</f>
        <v/>
      </c>
      <c r="I922">
        <f>IF(D922="","",D922&gt;=5)</f>
        <v/>
      </c>
      <c r="J922">
        <f>IF(F922="","",F922&gt;=5)</f>
        <v/>
      </c>
      <c r="K922">
        <f>IF(H922="","",H922&gt;=75)</f>
        <v/>
      </c>
      <c r="L922">
        <f>IF(OR(I922="",J922="",K922=""),FALSE,AND(I922,J922,K922))</f>
        <v/>
      </c>
    </row>
    <row r="923">
      <c r="A923">
        <f>Universe!A923</f>
        <v/>
      </c>
      <c r="B923" s="10" t="n"/>
      <c r="C923" s="11">
        <f>IF(B923="","",PERCENTRANK.INC($B$2:$B$2501,B923)*100)</f>
        <v/>
      </c>
      <c r="D923" s="10" t="n"/>
      <c r="E923" s="10">
        <f>IF(D923="","",MIN(D923,100))</f>
        <v/>
      </c>
      <c r="F923" s="10" t="n"/>
      <c r="G923" s="10">
        <f>IF(F923="","",MIN(F923,100))</f>
        <v/>
      </c>
      <c r="H923" s="11">
        <f>IF(A923="","",Universe!E923/BDP(A923&amp;" US Equity","HIGH_52WEEK")*100)</f>
        <v/>
      </c>
      <c r="I923">
        <f>IF(D923="","",D923&gt;=5)</f>
        <v/>
      </c>
      <c r="J923">
        <f>IF(F923="","",F923&gt;=5)</f>
        <v/>
      </c>
      <c r="K923">
        <f>IF(H923="","",H923&gt;=75)</f>
        <v/>
      </c>
      <c r="L923">
        <f>IF(OR(I923="",J923="",K923=""),FALSE,AND(I923,J923,K923))</f>
        <v/>
      </c>
    </row>
    <row r="924">
      <c r="A924">
        <f>Universe!A924</f>
        <v/>
      </c>
      <c r="B924" s="10" t="n"/>
      <c r="C924" s="11">
        <f>IF(B924="","",PERCENTRANK.INC($B$2:$B$2501,B924)*100)</f>
        <v/>
      </c>
      <c r="D924" s="10" t="n"/>
      <c r="E924" s="10">
        <f>IF(D924="","",MIN(D924,100))</f>
        <v/>
      </c>
      <c r="F924" s="10" t="n"/>
      <c r="G924" s="10">
        <f>IF(F924="","",MIN(F924,100))</f>
        <v/>
      </c>
      <c r="H924" s="11">
        <f>IF(A924="","",Universe!E924/BDP(A924&amp;" US Equity","HIGH_52WEEK")*100)</f>
        <v/>
      </c>
      <c r="I924">
        <f>IF(D924="","",D924&gt;=5)</f>
        <v/>
      </c>
      <c r="J924">
        <f>IF(F924="","",F924&gt;=5)</f>
        <v/>
      </c>
      <c r="K924">
        <f>IF(H924="","",H924&gt;=75)</f>
        <v/>
      </c>
      <c r="L924">
        <f>IF(OR(I924="",J924="",K924=""),FALSE,AND(I924,J924,K924))</f>
        <v/>
      </c>
    </row>
    <row r="925">
      <c r="A925">
        <f>Universe!A925</f>
        <v/>
      </c>
      <c r="B925" s="10" t="n"/>
      <c r="C925" s="11">
        <f>IF(B925="","",PERCENTRANK.INC($B$2:$B$2501,B925)*100)</f>
        <v/>
      </c>
      <c r="D925" s="10" t="n"/>
      <c r="E925" s="10">
        <f>IF(D925="","",MIN(D925,100))</f>
        <v/>
      </c>
      <c r="F925" s="10" t="n"/>
      <c r="G925" s="10">
        <f>IF(F925="","",MIN(F925,100))</f>
        <v/>
      </c>
      <c r="H925" s="11">
        <f>IF(A925="","",Universe!E925/BDP(A925&amp;" US Equity","HIGH_52WEEK")*100)</f>
        <v/>
      </c>
      <c r="I925">
        <f>IF(D925="","",D925&gt;=5)</f>
        <v/>
      </c>
      <c r="J925">
        <f>IF(F925="","",F925&gt;=5)</f>
        <v/>
      </c>
      <c r="K925">
        <f>IF(H925="","",H925&gt;=75)</f>
        <v/>
      </c>
      <c r="L925">
        <f>IF(OR(I925="",J925="",K925=""),FALSE,AND(I925,J925,K925))</f>
        <v/>
      </c>
    </row>
    <row r="926">
      <c r="A926">
        <f>Universe!A926</f>
        <v/>
      </c>
      <c r="B926" s="10" t="n"/>
      <c r="C926" s="11">
        <f>IF(B926="","",PERCENTRANK.INC($B$2:$B$2501,B926)*100)</f>
        <v/>
      </c>
      <c r="D926" s="10" t="n"/>
      <c r="E926" s="10">
        <f>IF(D926="","",MIN(D926,100))</f>
        <v/>
      </c>
      <c r="F926" s="10" t="n"/>
      <c r="G926" s="10">
        <f>IF(F926="","",MIN(F926,100))</f>
        <v/>
      </c>
      <c r="H926" s="11">
        <f>IF(A926="","",Universe!E926/BDP(A926&amp;" US Equity","HIGH_52WEEK")*100)</f>
        <v/>
      </c>
      <c r="I926">
        <f>IF(D926="","",D926&gt;=5)</f>
        <v/>
      </c>
      <c r="J926">
        <f>IF(F926="","",F926&gt;=5)</f>
        <v/>
      </c>
      <c r="K926">
        <f>IF(H926="","",H926&gt;=75)</f>
        <v/>
      </c>
      <c r="L926">
        <f>IF(OR(I926="",J926="",K926=""),FALSE,AND(I926,J926,K926))</f>
        <v/>
      </c>
    </row>
    <row r="927">
      <c r="A927">
        <f>Universe!A927</f>
        <v/>
      </c>
      <c r="B927" s="10" t="n"/>
      <c r="C927" s="11">
        <f>IF(B927="","",PERCENTRANK.INC($B$2:$B$2501,B927)*100)</f>
        <v/>
      </c>
      <c r="D927" s="10" t="n"/>
      <c r="E927" s="10">
        <f>IF(D927="","",MIN(D927,100))</f>
        <v/>
      </c>
      <c r="F927" s="10" t="n"/>
      <c r="G927" s="10">
        <f>IF(F927="","",MIN(F927,100))</f>
        <v/>
      </c>
      <c r="H927" s="11">
        <f>IF(A927="","",Universe!E927/BDP(A927&amp;" US Equity","HIGH_52WEEK")*100)</f>
        <v/>
      </c>
      <c r="I927">
        <f>IF(D927="","",D927&gt;=5)</f>
        <v/>
      </c>
      <c r="J927">
        <f>IF(F927="","",F927&gt;=5)</f>
        <v/>
      </c>
      <c r="K927">
        <f>IF(H927="","",H927&gt;=75)</f>
        <v/>
      </c>
      <c r="L927">
        <f>IF(OR(I927="",J927="",K927=""),FALSE,AND(I927,J927,K927))</f>
        <v/>
      </c>
    </row>
    <row r="928">
      <c r="A928">
        <f>Universe!A928</f>
        <v/>
      </c>
      <c r="B928" s="10" t="n"/>
      <c r="C928" s="11">
        <f>IF(B928="","",PERCENTRANK.INC($B$2:$B$2501,B928)*100)</f>
        <v/>
      </c>
      <c r="D928" s="10" t="n"/>
      <c r="E928" s="10">
        <f>IF(D928="","",MIN(D928,100))</f>
        <v/>
      </c>
      <c r="F928" s="10" t="n"/>
      <c r="G928" s="10">
        <f>IF(F928="","",MIN(F928,100))</f>
        <v/>
      </c>
      <c r="H928" s="11">
        <f>IF(A928="","",Universe!E928/BDP(A928&amp;" US Equity","HIGH_52WEEK")*100)</f>
        <v/>
      </c>
      <c r="I928">
        <f>IF(D928="","",D928&gt;=5)</f>
        <v/>
      </c>
      <c r="J928">
        <f>IF(F928="","",F928&gt;=5)</f>
        <v/>
      </c>
      <c r="K928">
        <f>IF(H928="","",H928&gt;=75)</f>
        <v/>
      </c>
      <c r="L928">
        <f>IF(OR(I928="",J928="",K928=""),FALSE,AND(I928,J928,K928))</f>
        <v/>
      </c>
    </row>
    <row r="929">
      <c r="A929">
        <f>Universe!A929</f>
        <v/>
      </c>
      <c r="B929" s="10" t="n"/>
      <c r="C929" s="11">
        <f>IF(B929="","",PERCENTRANK.INC($B$2:$B$2501,B929)*100)</f>
        <v/>
      </c>
      <c r="D929" s="10" t="n"/>
      <c r="E929" s="10">
        <f>IF(D929="","",MIN(D929,100))</f>
        <v/>
      </c>
      <c r="F929" s="10" t="n"/>
      <c r="G929" s="10">
        <f>IF(F929="","",MIN(F929,100))</f>
        <v/>
      </c>
      <c r="H929" s="11">
        <f>IF(A929="","",Universe!E929/BDP(A929&amp;" US Equity","HIGH_52WEEK")*100)</f>
        <v/>
      </c>
      <c r="I929">
        <f>IF(D929="","",D929&gt;=5)</f>
        <v/>
      </c>
      <c r="J929">
        <f>IF(F929="","",F929&gt;=5)</f>
        <v/>
      </c>
      <c r="K929">
        <f>IF(H929="","",H929&gt;=75)</f>
        <v/>
      </c>
      <c r="L929">
        <f>IF(OR(I929="",J929="",K929=""),FALSE,AND(I929,J929,K929))</f>
        <v/>
      </c>
    </row>
    <row r="930">
      <c r="A930">
        <f>Universe!A930</f>
        <v/>
      </c>
      <c r="B930" s="10" t="n"/>
      <c r="C930" s="11">
        <f>IF(B930="","",PERCENTRANK.INC($B$2:$B$2501,B930)*100)</f>
        <v/>
      </c>
      <c r="D930" s="10" t="n"/>
      <c r="E930" s="10">
        <f>IF(D930="","",MIN(D930,100))</f>
        <v/>
      </c>
      <c r="F930" s="10" t="n"/>
      <c r="G930" s="10">
        <f>IF(F930="","",MIN(F930,100))</f>
        <v/>
      </c>
      <c r="H930" s="11">
        <f>IF(A930="","",Universe!E930/BDP(A930&amp;" US Equity","HIGH_52WEEK")*100)</f>
        <v/>
      </c>
      <c r="I930">
        <f>IF(D930="","",D930&gt;=5)</f>
        <v/>
      </c>
      <c r="J930">
        <f>IF(F930="","",F930&gt;=5)</f>
        <v/>
      </c>
      <c r="K930">
        <f>IF(H930="","",H930&gt;=75)</f>
        <v/>
      </c>
      <c r="L930">
        <f>IF(OR(I930="",J930="",K930=""),FALSE,AND(I930,J930,K930))</f>
        <v/>
      </c>
    </row>
    <row r="931">
      <c r="A931">
        <f>Universe!A931</f>
        <v/>
      </c>
      <c r="B931" s="10" t="n"/>
      <c r="C931" s="11">
        <f>IF(B931="","",PERCENTRANK.INC($B$2:$B$2501,B931)*100)</f>
        <v/>
      </c>
      <c r="D931" s="10" t="n"/>
      <c r="E931" s="10">
        <f>IF(D931="","",MIN(D931,100))</f>
        <v/>
      </c>
      <c r="F931" s="10" t="n"/>
      <c r="G931" s="10">
        <f>IF(F931="","",MIN(F931,100))</f>
        <v/>
      </c>
      <c r="H931" s="11">
        <f>IF(A931="","",Universe!E931/BDP(A931&amp;" US Equity","HIGH_52WEEK")*100)</f>
        <v/>
      </c>
      <c r="I931">
        <f>IF(D931="","",D931&gt;=5)</f>
        <v/>
      </c>
      <c r="J931">
        <f>IF(F931="","",F931&gt;=5)</f>
        <v/>
      </c>
      <c r="K931">
        <f>IF(H931="","",H931&gt;=75)</f>
        <v/>
      </c>
      <c r="L931">
        <f>IF(OR(I931="",J931="",K931=""),FALSE,AND(I931,J931,K931))</f>
        <v/>
      </c>
    </row>
    <row r="932">
      <c r="A932">
        <f>Universe!A932</f>
        <v/>
      </c>
      <c r="B932" s="10" t="n"/>
      <c r="C932" s="11">
        <f>IF(B932="","",PERCENTRANK.INC($B$2:$B$2501,B932)*100)</f>
        <v/>
      </c>
      <c r="D932" s="10" t="n"/>
      <c r="E932" s="10">
        <f>IF(D932="","",MIN(D932,100))</f>
        <v/>
      </c>
      <c r="F932" s="10" t="n"/>
      <c r="G932" s="10">
        <f>IF(F932="","",MIN(F932,100))</f>
        <v/>
      </c>
      <c r="H932" s="11">
        <f>IF(A932="","",Universe!E932/BDP(A932&amp;" US Equity","HIGH_52WEEK")*100)</f>
        <v/>
      </c>
      <c r="I932">
        <f>IF(D932="","",D932&gt;=5)</f>
        <v/>
      </c>
      <c r="J932">
        <f>IF(F932="","",F932&gt;=5)</f>
        <v/>
      </c>
      <c r="K932">
        <f>IF(H932="","",H932&gt;=75)</f>
        <v/>
      </c>
      <c r="L932">
        <f>IF(OR(I932="",J932="",K932=""),FALSE,AND(I932,J932,K932))</f>
        <v/>
      </c>
    </row>
    <row r="933">
      <c r="A933">
        <f>Universe!A933</f>
        <v/>
      </c>
      <c r="B933" s="10" t="n"/>
      <c r="C933" s="11">
        <f>IF(B933="","",PERCENTRANK.INC($B$2:$B$2501,B933)*100)</f>
        <v/>
      </c>
      <c r="D933" s="10" t="n"/>
      <c r="E933" s="10">
        <f>IF(D933="","",MIN(D933,100))</f>
        <v/>
      </c>
      <c r="F933" s="10" t="n"/>
      <c r="G933" s="10">
        <f>IF(F933="","",MIN(F933,100))</f>
        <v/>
      </c>
      <c r="H933" s="11">
        <f>IF(A933="","",Universe!E933/BDP(A933&amp;" US Equity","HIGH_52WEEK")*100)</f>
        <v/>
      </c>
      <c r="I933">
        <f>IF(D933="","",D933&gt;=5)</f>
        <v/>
      </c>
      <c r="J933">
        <f>IF(F933="","",F933&gt;=5)</f>
        <v/>
      </c>
      <c r="K933">
        <f>IF(H933="","",H933&gt;=75)</f>
        <v/>
      </c>
      <c r="L933">
        <f>IF(OR(I933="",J933="",K933=""),FALSE,AND(I933,J933,K933))</f>
        <v/>
      </c>
    </row>
    <row r="934">
      <c r="A934">
        <f>Universe!A934</f>
        <v/>
      </c>
      <c r="B934" s="10" t="n"/>
      <c r="C934" s="11">
        <f>IF(B934="","",PERCENTRANK.INC($B$2:$B$2501,B934)*100)</f>
        <v/>
      </c>
      <c r="D934" s="10" t="n"/>
      <c r="E934" s="10">
        <f>IF(D934="","",MIN(D934,100))</f>
        <v/>
      </c>
      <c r="F934" s="10" t="n"/>
      <c r="G934" s="10">
        <f>IF(F934="","",MIN(F934,100))</f>
        <v/>
      </c>
      <c r="H934" s="11">
        <f>IF(A934="","",Universe!E934/BDP(A934&amp;" US Equity","HIGH_52WEEK")*100)</f>
        <v/>
      </c>
      <c r="I934">
        <f>IF(D934="","",D934&gt;=5)</f>
        <v/>
      </c>
      <c r="J934">
        <f>IF(F934="","",F934&gt;=5)</f>
        <v/>
      </c>
      <c r="K934">
        <f>IF(H934="","",H934&gt;=75)</f>
        <v/>
      </c>
      <c r="L934">
        <f>IF(OR(I934="",J934="",K934=""),FALSE,AND(I934,J934,K934))</f>
        <v/>
      </c>
    </row>
    <row r="935">
      <c r="A935">
        <f>Universe!A935</f>
        <v/>
      </c>
      <c r="B935" s="10" t="n"/>
      <c r="C935" s="11">
        <f>IF(B935="","",PERCENTRANK.INC($B$2:$B$2501,B935)*100)</f>
        <v/>
      </c>
      <c r="D935" s="10" t="n"/>
      <c r="E935" s="10">
        <f>IF(D935="","",MIN(D935,100))</f>
        <v/>
      </c>
      <c r="F935" s="10" t="n"/>
      <c r="G935" s="10">
        <f>IF(F935="","",MIN(F935,100))</f>
        <v/>
      </c>
      <c r="H935" s="11">
        <f>IF(A935="","",Universe!E935/BDP(A935&amp;" US Equity","HIGH_52WEEK")*100)</f>
        <v/>
      </c>
      <c r="I935">
        <f>IF(D935="","",D935&gt;=5)</f>
        <v/>
      </c>
      <c r="J935">
        <f>IF(F935="","",F935&gt;=5)</f>
        <v/>
      </c>
      <c r="K935">
        <f>IF(H935="","",H935&gt;=75)</f>
        <v/>
      </c>
      <c r="L935">
        <f>IF(OR(I935="",J935="",K935=""),FALSE,AND(I935,J935,K935))</f>
        <v/>
      </c>
    </row>
    <row r="936">
      <c r="A936">
        <f>Universe!A936</f>
        <v/>
      </c>
      <c r="B936" s="10" t="n"/>
      <c r="C936" s="11">
        <f>IF(B936="","",PERCENTRANK.INC($B$2:$B$2501,B936)*100)</f>
        <v/>
      </c>
      <c r="D936" s="10" t="n"/>
      <c r="E936" s="10">
        <f>IF(D936="","",MIN(D936,100))</f>
        <v/>
      </c>
      <c r="F936" s="10" t="n"/>
      <c r="G936" s="10">
        <f>IF(F936="","",MIN(F936,100))</f>
        <v/>
      </c>
      <c r="H936" s="11">
        <f>IF(A936="","",Universe!E936/BDP(A936&amp;" US Equity","HIGH_52WEEK")*100)</f>
        <v/>
      </c>
      <c r="I936">
        <f>IF(D936="","",D936&gt;=5)</f>
        <v/>
      </c>
      <c r="J936">
        <f>IF(F936="","",F936&gt;=5)</f>
        <v/>
      </c>
      <c r="K936">
        <f>IF(H936="","",H936&gt;=75)</f>
        <v/>
      </c>
      <c r="L936">
        <f>IF(OR(I936="",J936="",K936=""),FALSE,AND(I936,J936,K936))</f>
        <v/>
      </c>
    </row>
    <row r="937">
      <c r="A937">
        <f>Universe!A937</f>
        <v/>
      </c>
      <c r="B937" s="10" t="n"/>
      <c r="C937" s="11">
        <f>IF(B937="","",PERCENTRANK.INC($B$2:$B$2501,B937)*100)</f>
        <v/>
      </c>
      <c r="D937" s="10" t="n"/>
      <c r="E937" s="10">
        <f>IF(D937="","",MIN(D937,100))</f>
        <v/>
      </c>
      <c r="F937" s="10" t="n"/>
      <c r="G937" s="10">
        <f>IF(F937="","",MIN(F937,100))</f>
        <v/>
      </c>
      <c r="H937" s="11">
        <f>IF(A937="","",Universe!E937/BDP(A937&amp;" US Equity","HIGH_52WEEK")*100)</f>
        <v/>
      </c>
      <c r="I937">
        <f>IF(D937="","",D937&gt;=5)</f>
        <v/>
      </c>
      <c r="J937">
        <f>IF(F937="","",F937&gt;=5)</f>
        <v/>
      </c>
      <c r="K937">
        <f>IF(H937="","",H937&gt;=75)</f>
        <v/>
      </c>
      <c r="L937">
        <f>IF(OR(I937="",J937="",K937=""),FALSE,AND(I937,J937,K937))</f>
        <v/>
      </c>
    </row>
    <row r="938">
      <c r="A938">
        <f>Universe!A938</f>
        <v/>
      </c>
      <c r="B938" s="10" t="n"/>
      <c r="C938" s="11">
        <f>IF(B938="","",PERCENTRANK.INC($B$2:$B$2501,B938)*100)</f>
        <v/>
      </c>
      <c r="D938" s="10" t="n"/>
      <c r="E938" s="10">
        <f>IF(D938="","",MIN(D938,100))</f>
        <v/>
      </c>
      <c r="F938" s="10" t="n"/>
      <c r="G938" s="10">
        <f>IF(F938="","",MIN(F938,100))</f>
        <v/>
      </c>
      <c r="H938" s="11">
        <f>IF(A938="","",Universe!E938/BDP(A938&amp;" US Equity","HIGH_52WEEK")*100)</f>
        <v/>
      </c>
      <c r="I938">
        <f>IF(D938="","",D938&gt;=5)</f>
        <v/>
      </c>
      <c r="J938">
        <f>IF(F938="","",F938&gt;=5)</f>
        <v/>
      </c>
      <c r="K938">
        <f>IF(H938="","",H938&gt;=75)</f>
        <v/>
      </c>
      <c r="L938">
        <f>IF(OR(I938="",J938="",K938=""),FALSE,AND(I938,J938,K938))</f>
        <v/>
      </c>
    </row>
    <row r="939">
      <c r="A939">
        <f>Universe!A939</f>
        <v/>
      </c>
      <c r="B939" s="10" t="n"/>
      <c r="C939" s="11">
        <f>IF(B939="","",PERCENTRANK.INC($B$2:$B$2501,B939)*100)</f>
        <v/>
      </c>
      <c r="D939" s="10" t="n"/>
      <c r="E939" s="10">
        <f>IF(D939="","",MIN(D939,100))</f>
        <v/>
      </c>
      <c r="F939" s="10" t="n"/>
      <c r="G939" s="10">
        <f>IF(F939="","",MIN(F939,100))</f>
        <v/>
      </c>
      <c r="H939" s="11">
        <f>IF(A939="","",Universe!E939/BDP(A939&amp;" US Equity","HIGH_52WEEK")*100)</f>
        <v/>
      </c>
      <c r="I939">
        <f>IF(D939="","",D939&gt;=5)</f>
        <v/>
      </c>
      <c r="J939">
        <f>IF(F939="","",F939&gt;=5)</f>
        <v/>
      </c>
      <c r="K939">
        <f>IF(H939="","",H939&gt;=75)</f>
        <v/>
      </c>
      <c r="L939">
        <f>IF(OR(I939="",J939="",K939=""),FALSE,AND(I939,J939,K939))</f>
        <v/>
      </c>
    </row>
    <row r="940">
      <c r="A940">
        <f>Universe!A940</f>
        <v/>
      </c>
      <c r="B940" s="10" t="n"/>
      <c r="C940" s="11">
        <f>IF(B940="","",PERCENTRANK.INC($B$2:$B$2501,B940)*100)</f>
        <v/>
      </c>
      <c r="D940" s="10" t="n"/>
      <c r="E940" s="10">
        <f>IF(D940="","",MIN(D940,100))</f>
        <v/>
      </c>
      <c r="F940" s="10" t="n"/>
      <c r="G940" s="10">
        <f>IF(F940="","",MIN(F940,100))</f>
        <v/>
      </c>
      <c r="H940" s="11">
        <f>IF(A940="","",Universe!E940/BDP(A940&amp;" US Equity","HIGH_52WEEK")*100)</f>
        <v/>
      </c>
      <c r="I940">
        <f>IF(D940="","",D940&gt;=5)</f>
        <v/>
      </c>
      <c r="J940">
        <f>IF(F940="","",F940&gt;=5)</f>
        <v/>
      </c>
      <c r="K940">
        <f>IF(H940="","",H940&gt;=75)</f>
        <v/>
      </c>
      <c r="L940">
        <f>IF(OR(I940="",J940="",K940=""),FALSE,AND(I940,J940,K940))</f>
        <v/>
      </c>
    </row>
    <row r="941">
      <c r="A941">
        <f>Universe!A941</f>
        <v/>
      </c>
      <c r="B941" s="10" t="n"/>
      <c r="C941" s="11">
        <f>IF(B941="","",PERCENTRANK.INC($B$2:$B$2501,B941)*100)</f>
        <v/>
      </c>
      <c r="D941" s="10" t="n"/>
      <c r="E941" s="10">
        <f>IF(D941="","",MIN(D941,100))</f>
        <v/>
      </c>
      <c r="F941" s="10" t="n"/>
      <c r="G941" s="10">
        <f>IF(F941="","",MIN(F941,100))</f>
        <v/>
      </c>
      <c r="H941" s="11">
        <f>IF(A941="","",Universe!E941/BDP(A941&amp;" US Equity","HIGH_52WEEK")*100)</f>
        <v/>
      </c>
      <c r="I941">
        <f>IF(D941="","",D941&gt;=5)</f>
        <v/>
      </c>
      <c r="J941">
        <f>IF(F941="","",F941&gt;=5)</f>
        <v/>
      </c>
      <c r="K941">
        <f>IF(H941="","",H941&gt;=75)</f>
        <v/>
      </c>
      <c r="L941">
        <f>IF(OR(I941="",J941="",K941=""),FALSE,AND(I941,J941,K941))</f>
        <v/>
      </c>
    </row>
    <row r="942">
      <c r="A942">
        <f>Universe!A942</f>
        <v/>
      </c>
      <c r="B942" s="10" t="n"/>
      <c r="C942" s="11">
        <f>IF(B942="","",PERCENTRANK.INC($B$2:$B$2501,B942)*100)</f>
        <v/>
      </c>
      <c r="D942" s="10" t="n"/>
      <c r="E942" s="10">
        <f>IF(D942="","",MIN(D942,100))</f>
        <v/>
      </c>
      <c r="F942" s="10" t="n"/>
      <c r="G942" s="10">
        <f>IF(F942="","",MIN(F942,100))</f>
        <v/>
      </c>
      <c r="H942" s="11">
        <f>IF(A942="","",Universe!E942/BDP(A942&amp;" US Equity","HIGH_52WEEK")*100)</f>
        <v/>
      </c>
      <c r="I942">
        <f>IF(D942="","",D942&gt;=5)</f>
        <v/>
      </c>
      <c r="J942">
        <f>IF(F942="","",F942&gt;=5)</f>
        <v/>
      </c>
      <c r="K942">
        <f>IF(H942="","",H942&gt;=75)</f>
        <v/>
      </c>
      <c r="L942">
        <f>IF(OR(I942="",J942="",K942=""),FALSE,AND(I942,J942,K942))</f>
        <v/>
      </c>
    </row>
    <row r="943">
      <c r="A943">
        <f>Universe!A943</f>
        <v/>
      </c>
      <c r="B943" s="10" t="n"/>
      <c r="C943" s="11">
        <f>IF(B943="","",PERCENTRANK.INC($B$2:$B$2501,B943)*100)</f>
        <v/>
      </c>
      <c r="D943" s="10" t="n"/>
      <c r="E943" s="10">
        <f>IF(D943="","",MIN(D943,100))</f>
        <v/>
      </c>
      <c r="F943" s="10" t="n"/>
      <c r="G943" s="10">
        <f>IF(F943="","",MIN(F943,100))</f>
        <v/>
      </c>
      <c r="H943" s="11">
        <f>IF(A943="","",Universe!E943/BDP(A943&amp;" US Equity","HIGH_52WEEK")*100)</f>
        <v/>
      </c>
      <c r="I943">
        <f>IF(D943="","",D943&gt;=5)</f>
        <v/>
      </c>
      <c r="J943">
        <f>IF(F943="","",F943&gt;=5)</f>
        <v/>
      </c>
      <c r="K943">
        <f>IF(H943="","",H943&gt;=75)</f>
        <v/>
      </c>
      <c r="L943">
        <f>IF(OR(I943="",J943="",K943=""),FALSE,AND(I943,J943,K943))</f>
        <v/>
      </c>
    </row>
    <row r="944">
      <c r="A944">
        <f>Universe!A944</f>
        <v/>
      </c>
      <c r="B944" s="10" t="n"/>
      <c r="C944" s="11">
        <f>IF(B944="","",PERCENTRANK.INC($B$2:$B$2501,B944)*100)</f>
        <v/>
      </c>
      <c r="D944" s="10" t="n"/>
      <c r="E944" s="10">
        <f>IF(D944="","",MIN(D944,100))</f>
        <v/>
      </c>
      <c r="F944" s="10" t="n"/>
      <c r="G944" s="10">
        <f>IF(F944="","",MIN(F944,100))</f>
        <v/>
      </c>
      <c r="H944" s="11">
        <f>IF(A944="","",Universe!E944/BDP(A944&amp;" US Equity","HIGH_52WEEK")*100)</f>
        <v/>
      </c>
      <c r="I944">
        <f>IF(D944="","",D944&gt;=5)</f>
        <v/>
      </c>
      <c r="J944">
        <f>IF(F944="","",F944&gt;=5)</f>
        <v/>
      </c>
      <c r="K944">
        <f>IF(H944="","",H944&gt;=75)</f>
        <v/>
      </c>
      <c r="L944">
        <f>IF(OR(I944="",J944="",K944=""),FALSE,AND(I944,J944,K944))</f>
        <v/>
      </c>
    </row>
    <row r="945">
      <c r="A945">
        <f>Universe!A945</f>
        <v/>
      </c>
      <c r="B945" s="10" t="n"/>
      <c r="C945" s="11">
        <f>IF(B945="","",PERCENTRANK.INC($B$2:$B$2501,B945)*100)</f>
        <v/>
      </c>
      <c r="D945" s="10" t="n"/>
      <c r="E945" s="10">
        <f>IF(D945="","",MIN(D945,100))</f>
        <v/>
      </c>
      <c r="F945" s="10" t="n"/>
      <c r="G945" s="10">
        <f>IF(F945="","",MIN(F945,100))</f>
        <v/>
      </c>
      <c r="H945" s="11">
        <f>IF(A945="","",Universe!E945/BDP(A945&amp;" US Equity","HIGH_52WEEK")*100)</f>
        <v/>
      </c>
      <c r="I945">
        <f>IF(D945="","",D945&gt;=5)</f>
        <v/>
      </c>
      <c r="J945">
        <f>IF(F945="","",F945&gt;=5)</f>
        <v/>
      </c>
      <c r="K945">
        <f>IF(H945="","",H945&gt;=75)</f>
        <v/>
      </c>
      <c r="L945">
        <f>IF(OR(I945="",J945="",K945=""),FALSE,AND(I945,J945,K945))</f>
        <v/>
      </c>
    </row>
    <row r="946">
      <c r="A946">
        <f>Universe!A946</f>
        <v/>
      </c>
      <c r="B946" s="10" t="n"/>
      <c r="C946" s="11">
        <f>IF(B946="","",PERCENTRANK.INC($B$2:$B$2501,B946)*100)</f>
        <v/>
      </c>
      <c r="D946" s="10" t="n"/>
      <c r="E946" s="10">
        <f>IF(D946="","",MIN(D946,100))</f>
        <v/>
      </c>
      <c r="F946" s="10" t="n"/>
      <c r="G946" s="10">
        <f>IF(F946="","",MIN(F946,100))</f>
        <v/>
      </c>
      <c r="H946" s="11">
        <f>IF(A946="","",Universe!E946/BDP(A946&amp;" US Equity","HIGH_52WEEK")*100)</f>
        <v/>
      </c>
      <c r="I946">
        <f>IF(D946="","",D946&gt;=5)</f>
        <v/>
      </c>
      <c r="J946">
        <f>IF(F946="","",F946&gt;=5)</f>
        <v/>
      </c>
      <c r="K946">
        <f>IF(H946="","",H946&gt;=75)</f>
        <v/>
      </c>
      <c r="L946">
        <f>IF(OR(I946="",J946="",K946=""),FALSE,AND(I946,J946,K946))</f>
        <v/>
      </c>
    </row>
    <row r="947">
      <c r="A947">
        <f>Universe!A947</f>
        <v/>
      </c>
      <c r="B947" s="10" t="n"/>
      <c r="C947" s="11">
        <f>IF(B947="","",PERCENTRANK.INC($B$2:$B$2501,B947)*100)</f>
        <v/>
      </c>
      <c r="D947" s="10" t="n"/>
      <c r="E947" s="10">
        <f>IF(D947="","",MIN(D947,100))</f>
        <v/>
      </c>
      <c r="F947" s="10" t="n"/>
      <c r="G947" s="10">
        <f>IF(F947="","",MIN(F947,100))</f>
        <v/>
      </c>
      <c r="H947" s="11">
        <f>IF(A947="","",Universe!E947/BDP(A947&amp;" US Equity","HIGH_52WEEK")*100)</f>
        <v/>
      </c>
      <c r="I947">
        <f>IF(D947="","",D947&gt;=5)</f>
        <v/>
      </c>
      <c r="J947">
        <f>IF(F947="","",F947&gt;=5)</f>
        <v/>
      </c>
      <c r="K947">
        <f>IF(H947="","",H947&gt;=75)</f>
        <v/>
      </c>
      <c r="L947">
        <f>IF(OR(I947="",J947="",K947=""),FALSE,AND(I947,J947,K947))</f>
        <v/>
      </c>
    </row>
    <row r="948">
      <c r="A948">
        <f>Universe!A948</f>
        <v/>
      </c>
      <c r="B948" s="10" t="n"/>
      <c r="C948" s="11">
        <f>IF(B948="","",PERCENTRANK.INC($B$2:$B$2501,B948)*100)</f>
        <v/>
      </c>
      <c r="D948" s="10" t="n"/>
      <c r="E948" s="10">
        <f>IF(D948="","",MIN(D948,100))</f>
        <v/>
      </c>
      <c r="F948" s="10" t="n"/>
      <c r="G948" s="10">
        <f>IF(F948="","",MIN(F948,100))</f>
        <v/>
      </c>
      <c r="H948" s="11">
        <f>IF(A948="","",Universe!E948/BDP(A948&amp;" US Equity","HIGH_52WEEK")*100)</f>
        <v/>
      </c>
      <c r="I948">
        <f>IF(D948="","",D948&gt;=5)</f>
        <v/>
      </c>
      <c r="J948">
        <f>IF(F948="","",F948&gt;=5)</f>
        <v/>
      </c>
      <c r="K948">
        <f>IF(H948="","",H948&gt;=75)</f>
        <v/>
      </c>
      <c r="L948">
        <f>IF(OR(I948="",J948="",K948=""),FALSE,AND(I948,J948,K948))</f>
        <v/>
      </c>
    </row>
    <row r="949">
      <c r="A949">
        <f>Universe!A949</f>
        <v/>
      </c>
      <c r="B949" s="10" t="n"/>
      <c r="C949" s="11">
        <f>IF(B949="","",PERCENTRANK.INC($B$2:$B$2501,B949)*100)</f>
        <v/>
      </c>
      <c r="D949" s="10" t="n"/>
      <c r="E949" s="10">
        <f>IF(D949="","",MIN(D949,100))</f>
        <v/>
      </c>
      <c r="F949" s="10" t="n"/>
      <c r="G949" s="10">
        <f>IF(F949="","",MIN(F949,100))</f>
        <v/>
      </c>
      <c r="H949" s="11">
        <f>IF(A949="","",Universe!E949/BDP(A949&amp;" US Equity","HIGH_52WEEK")*100)</f>
        <v/>
      </c>
      <c r="I949">
        <f>IF(D949="","",D949&gt;=5)</f>
        <v/>
      </c>
      <c r="J949">
        <f>IF(F949="","",F949&gt;=5)</f>
        <v/>
      </c>
      <c r="K949">
        <f>IF(H949="","",H949&gt;=75)</f>
        <v/>
      </c>
      <c r="L949">
        <f>IF(OR(I949="",J949="",K949=""),FALSE,AND(I949,J949,K949))</f>
        <v/>
      </c>
    </row>
    <row r="950">
      <c r="A950">
        <f>Universe!A950</f>
        <v/>
      </c>
      <c r="B950" s="10" t="n"/>
      <c r="C950" s="11">
        <f>IF(B950="","",PERCENTRANK.INC($B$2:$B$2501,B950)*100)</f>
        <v/>
      </c>
      <c r="D950" s="10" t="n"/>
      <c r="E950" s="10">
        <f>IF(D950="","",MIN(D950,100))</f>
        <v/>
      </c>
      <c r="F950" s="10" t="n"/>
      <c r="G950" s="10">
        <f>IF(F950="","",MIN(F950,100))</f>
        <v/>
      </c>
      <c r="H950" s="11">
        <f>IF(A950="","",Universe!E950/BDP(A950&amp;" US Equity","HIGH_52WEEK")*100)</f>
        <v/>
      </c>
      <c r="I950">
        <f>IF(D950="","",D950&gt;=5)</f>
        <v/>
      </c>
      <c r="J950">
        <f>IF(F950="","",F950&gt;=5)</f>
        <v/>
      </c>
      <c r="K950">
        <f>IF(H950="","",H950&gt;=75)</f>
        <v/>
      </c>
      <c r="L950">
        <f>IF(OR(I950="",J950="",K950=""),FALSE,AND(I950,J950,K950))</f>
        <v/>
      </c>
    </row>
    <row r="951">
      <c r="A951">
        <f>Universe!A951</f>
        <v/>
      </c>
      <c r="B951" s="10" t="n"/>
      <c r="C951" s="11">
        <f>IF(B951="","",PERCENTRANK.INC($B$2:$B$2501,B951)*100)</f>
        <v/>
      </c>
      <c r="D951" s="10" t="n"/>
      <c r="E951" s="10">
        <f>IF(D951="","",MIN(D951,100))</f>
        <v/>
      </c>
      <c r="F951" s="10" t="n"/>
      <c r="G951" s="10">
        <f>IF(F951="","",MIN(F951,100))</f>
        <v/>
      </c>
      <c r="H951" s="11">
        <f>IF(A951="","",Universe!E951/BDP(A951&amp;" US Equity","HIGH_52WEEK")*100)</f>
        <v/>
      </c>
      <c r="I951">
        <f>IF(D951="","",D951&gt;=5)</f>
        <v/>
      </c>
      <c r="J951">
        <f>IF(F951="","",F951&gt;=5)</f>
        <v/>
      </c>
      <c r="K951">
        <f>IF(H951="","",H951&gt;=75)</f>
        <v/>
      </c>
      <c r="L951">
        <f>IF(OR(I951="",J951="",K951=""),FALSE,AND(I951,J951,K951))</f>
        <v/>
      </c>
    </row>
    <row r="952">
      <c r="A952">
        <f>Universe!A952</f>
        <v/>
      </c>
      <c r="B952" s="10" t="n"/>
      <c r="C952" s="11">
        <f>IF(B952="","",PERCENTRANK.INC($B$2:$B$2501,B952)*100)</f>
        <v/>
      </c>
      <c r="D952" s="10" t="n"/>
      <c r="E952" s="10">
        <f>IF(D952="","",MIN(D952,100))</f>
        <v/>
      </c>
      <c r="F952" s="10" t="n"/>
      <c r="G952" s="10">
        <f>IF(F952="","",MIN(F952,100))</f>
        <v/>
      </c>
      <c r="H952" s="11">
        <f>IF(A952="","",Universe!E952/BDP(A952&amp;" US Equity","HIGH_52WEEK")*100)</f>
        <v/>
      </c>
      <c r="I952">
        <f>IF(D952="","",D952&gt;=5)</f>
        <v/>
      </c>
      <c r="J952">
        <f>IF(F952="","",F952&gt;=5)</f>
        <v/>
      </c>
      <c r="K952">
        <f>IF(H952="","",H952&gt;=75)</f>
        <v/>
      </c>
      <c r="L952">
        <f>IF(OR(I952="",J952="",K952=""),FALSE,AND(I952,J952,K952))</f>
        <v/>
      </c>
    </row>
    <row r="953">
      <c r="A953">
        <f>Universe!A953</f>
        <v/>
      </c>
      <c r="B953" s="10" t="n"/>
      <c r="C953" s="11">
        <f>IF(B953="","",PERCENTRANK.INC($B$2:$B$2501,B953)*100)</f>
        <v/>
      </c>
      <c r="D953" s="10" t="n"/>
      <c r="E953" s="10">
        <f>IF(D953="","",MIN(D953,100))</f>
        <v/>
      </c>
      <c r="F953" s="10" t="n"/>
      <c r="G953" s="10">
        <f>IF(F953="","",MIN(F953,100))</f>
        <v/>
      </c>
      <c r="H953" s="11">
        <f>IF(A953="","",Universe!E953/BDP(A953&amp;" US Equity","HIGH_52WEEK")*100)</f>
        <v/>
      </c>
      <c r="I953">
        <f>IF(D953="","",D953&gt;=5)</f>
        <v/>
      </c>
      <c r="J953">
        <f>IF(F953="","",F953&gt;=5)</f>
        <v/>
      </c>
      <c r="K953">
        <f>IF(H953="","",H953&gt;=75)</f>
        <v/>
      </c>
      <c r="L953">
        <f>IF(OR(I953="",J953="",K953=""),FALSE,AND(I953,J953,K953))</f>
        <v/>
      </c>
    </row>
    <row r="954">
      <c r="A954">
        <f>Universe!A954</f>
        <v/>
      </c>
      <c r="B954" s="10" t="n"/>
      <c r="C954" s="11">
        <f>IF(B954="","",PERCENTRANK.INC($B$2:$B$2501,B954)*100)</f>
        <v/>
      </c>
      <c r="D954" s="10" t="n"/>
      <c r="E954" s="10">
        <f>IF(D954="","",MIN(D954,100))</f>
        <v/>
      </c>
      <c r="F954" s="10" t="n"/>
      <c r="G954" s="10">
        <f>IF(F954="","",MIN(F954,100))</f>
        <v/>
      </c>
      <c r="H954" s="11">
        <f>IF(A954="","",Universe!E954/BDP(A954&amp;" US Equity","HIGH_52WEEK")*100)</f>
        <v/>
      </c>
      <c r="I954">
        <f>IF(D954="","",D954&gt;=5)</f>
        <v/>
      </c>
      <c r="J954">
        <f>IF(F954="","",F954&gt;=5)</f>
        <v/>
      </c>
      <c r="K954">
        <f>IF(H954="","",H954&gt;=75)</f>
        <v/>
      </c>
      <c r="L954">
        <f>IF(OR(I954="",J954="",K954=""),FALSE,AND(I954,J954,K954))</f>
        <v/>
      </c>
    </row>
    <row r="955">
      <c r="A955">
        <f>Universe!A955</f>
        <v/>
      </c>
      <c r="B955" s="10" t="n"/>
      <c r="C955" s="11">
        <f>IF(B955="","",PERCENTRANK.INC($B$2:$B$2501,B955)*100)</f>
        <v/>
      </c>
      <c r="D955" s="10" t="n"/>
      <c r="E955" s="10">
        <f>IF(D955="","",MIN(D955,100))</f>
        <v/>
      </c>
      <c r="F955" s="10" t="n"/>
      <c r="G955" s="10">
        <f>IF(F955="","",MIN(F955,100))</f>
        <v/>
      </c>
      <c r="H955" s="11">
        <f>IF(A955="","",Universe!E955/BDP(A955&amp;" US Equity","HIGH_52WEEK")*100)</f>
        <v/>
      </c>
      <c r="I955">
        <f>IF(D955="","",D955&gt;=5)</f>
        <v/>
      </c>
      <c r="J955">
        <f>IF(F955="","",F955&gt;=5)</f>
        <v/>
      </c>
      <c r="K955">
        <f>IF(H955="","",H955&gt;=75)</f>
        <v/>
      </c>
      <c r="L955">
        <f>IF(OR(I955="",J955="",K955=""),FALSE,AND(I955,J955,K955))</f>
        <v/>
      </c>
    </row>
    <row r="956">
      <c r="A956">
        <f>Universe!A956</f>
        <v/>
      </c>
      <c r="B956" s="10" t="n"/>
      <c r="C956" s="11">
        <f>IF(B956="","",PERCENTRANK.INC($B$2:$B$2501,B956)*100)</f>
        <v/>
      </c>
      <c r="D956" s="10" t="n"/>
      <c r="E956" s="10">
        <f>IF(D956="","",MIN(D956,100))</f>
        <v/>
      </c>
      <c r="F956" s="10" t="n"/>
      <c r="G956" s="10">
        <f>IF(F956="","",MIN(F956,100))</f>
        <v/>
      </c>
      <c r="H956" s="11">
        <f>IF(A956="","",Universe!E956/BDP(A956&amp;" US Equity","HIGH_52WEEK")*100)</f>
        <v/>
      </c>
      <c r="I956">
        <f>IF(D956="","",D956&gt;=5)</f>
        <v/>
      </c>
      <c r="J956">
        <f>IF(F956="","",F956&gt;=5)</f>
        <v/>
      </c>
      <c r="K956">
        <f>IF(H956="","",H956&gt;=75)</f>
        <v/>
      </c>
      <c r="L956">
        <f>IF(OR(I956="",J956="",K956=""),FALSE,AND(I956,J956,K956))</f>
        <v/>
      </c>
    </row>
    <row r="957">
      <c r="A957">
        <f>Universe!A957</f>
        <v/>
      </c>
      <c r="B957" s="10" t="n"/>
      <c r="C957" s="11">
        <f>IF(B957="","",PERCENTRANK.INC($B$2:$B$2501,B957)*100)</f>
        <v/>
      </c>
      <c r="D957" s="10" t="n"/>
      <c r="E957" s="10">
        <f>IF(D957="","",MIN(D957,100))</f>
        <v/>
      </c>
      <c r="F957" s="10" t="n"/>
      <c r="G957" s="10">
        <f>IF(F957="","",MIN(F957,100))</f>
        <v/>
      </c>
      <c r="H957" s="11">
        <f>IF(A957="","",Universe!E957/BDP(A957&amp;" US Equity","HIGH_52WEEK")*100)</f>
        <v/>
      </c>
      <c r="I957">
        <f>IF(D957="","",D957&gt;=5)</f>
        <v/>
      </c>
      <c r="J957">
        <f>IF(F957="","",F957&gt;=5)</f>
        <v/>
      </c>
      <c r="K957">
        <f>IF(H957="","",H957&gt;=75)</f>
        <v/>
      </c>
      <c r="L957">
        <f>IF(OR(I957="",J957="",K957=""),FALSE,AND(I957,J957,K957))</f>
        <v/>
      </c>
    </row>
    <row r="958">
      <c r="A958">
        <f>Universe!A958</f>
        <v/>
      </c>
      <c r="B958" s="10" t="n"/>
      <c r="C958" s="11">
        <f>IF(B958="","",PERCENTRANK.INC($B$2:$B$2501,B958)*100)</f>
        <v/>
      </c>
      <c r="D958" s="10" t="n"/>
      <c r="E958" s="10">
        <f>IF(D958="","",MIN(D958,100))</f>
        <v/>
      </c>
      <c r="F958" s="10" t="n"/>
      <c r="G958" s="10">
        <f>IF(F958="","",MIN(F958,100))</f>
        <v/>
      </c>
      <c r="H958" s="11">
        <f>IF(A958="","",Universe!E958/BDP(A958&amp;" US Equity","HIGH_52WEEK")*100)</f>
        <v/>
      </c>
      <c r="I958">
        <f>IF(D958="","",D958&gt;=5)</f>
        <v/>
      </c>
      <c r="J958">
        <f>IF(F958="","",F958&gt;=5)</f>
        <v/>
      </c>
      <c r="K958">
        <f>IF(H958="","",H958&gt;=75)</f>
        <v/>
      </c>
      <c r="L958">
        <f>IF(OR(I958="",J958="",K958=""),FALSE,AND(I958,J958,K958))</f>
        <v/>
      </c>
    </row>
    <row r="959">
      <c r="A959">
        <f>Universe!A959</f>
        <v/>
      </c>
      <c r="B959" s="10" t="n"/>
      <c r="C959" s="11">
        <f>IF(B959="","",PERCENTRANK.INC($B$2:$B$2501,B959)*100)</f>
        <v/>
      </c>
      <c r="D959" s="10" t="n"/>
      <c r="E959" s="10">
        <f>IF(D959="","",MIN(D959,100))</f>
        <v/>
      </c>
      <c r="F959" s="10" t="n"/>
      <c r="G959" s="10">
        <f>IF(F959="","",MIN(F959,100))</f>
        <v/>
      </c>
      <c r="H959" s="11">
        <f>IF(A959="","",Universe!E959/BDP(A959&amp;" US Equity","HIGH_52WEEK")*100)</f>
        <v/>
      </c>
      <c r="I959">
        <f>IF(D959="","",D959&gt;=5)</f>
        <v/>
      </c>
      <c r="J959">
        <f>IF(F959="","",F959&gt;=5)</f>
        <v/>
      </c>
      <c r="K959">
        <f>IF(H959="","",H959&gt;=75)</f>
        <v/>
      </c>
      <c r="L959">
        <f>IF(OR(I959="",J959="",K959=""),FALSE,AND(I959,J959,K959))</f>
        <v/>
      </c>
    </row>
    <row r="960">
      <c r="A960">
        <f>Universe!A960</f>
        <v/>
      </c>
      <c r="B960" s="10" t="n"/>
      <c r="C960" s="11">
        <f>IF(B960="","",PERCENTRANK.INC($B$2:$B$2501,B960)*100)</f>
        <v/>
      </c>
      <c r="D960" s="10" t="n"/>
      <c r="E960" s="10">
        <f>IF(D960="","",MIN(D960,100))</f>
        <v/>
      </c>
      <c r="F960" s="10" t="n"/>
      <c r="G960" s="10">
        <f>IF(F960="","",MIN(F960,100))</f>
        <v/>
      </c>
      <c r="H960" s="11">
        <f>IF(A960="","",Universe!E960/BDP(A960&amp;" US Equity","HIGH_52WEEK")*100)</f>
        <v/>
      </c>
      <c r="I960">
        <f>IF(D960="","",D960&gt;=5)</f>
        <v/>
      </c>
      <c r="J960">
        <f>IF(F960="","",F960&gt;=5)</f>
        <v/>
      </c>
      <c r="K960">
        <f>IF(H960="","",H960&gt;=75)</f>
        <v/>
      </c>
      <c r="L960">
        <f>IF(OR(I960="",J960="",K960=""),FALSE,AND(I960,J960,K960))</f>
        <v/>
      </c>
    </row>
    <row r="961">
      <c r="A961">
        <f>Universe!A961</f>
        <v/>
      </c>
      <c r="B961" s="10" t="n"/>
      <c r="C961" s="11">
        <f>IF(B961="","",PERCENTRANK.INC($B$2:$B$2501,B961)*100)</f>
        <v/>
      </c>
      <c r="D961" s="10" t="n"/>
      <c r="E961" s="10">
        <f>IF(D961="","",MIN(D961,100))</f>
        <v/>
      </c>
      <c r="F961" s="10" t="n"/>
      <c r="G961" s="10">
        <f>IF(F961="","",MIN(F961,100))</f>
        <v/>
      </c>
      <c r="H961" s="11">
        <f>IF(A961="","",Universe!E961/BDP(A961&amp;" US Equity","HIGH_52WEEK")*100)</f>
        <v/>
      </c>
      <c r="I961">
        <f>IF(D961="","",D961&gt;=5)</f>
        <v/>
      </c>
      <c r="J961">
        <f>IF(F961="","",F961&gt;=5)</f>
        <v/>
      </c>
      <c r="K961">
        <f>IF(H961="","",H961&gt;=75)</f>
        <v/>
      </c>
      <c r="L961">
        <f>IF(OR(I961="",J961="",K961=""),FALSE,AND(I961,J961,K961))</f>
        <v/>
      </c>
    </row>
    <row r="962">
      <c r="A962">
        <f>Universe!A962</f>
        <v/>
      </c>
      <c r="B962" s="10" t="n"/>
      <c r="C962" s="11">
        <f>IF(B962="","",PERCENTRANK.INC($B$2:$B$2501,B962)*100)</f>
        <v/>
      </c>
      <c r="D962" s="10" t="n"/>
      <c r="E962" s="10">
        <f>IF(D962="","",MIN(D962,100))</f>
        <v/>
      </c>
      <c r="F962" s="10" t="n"/>
      <c r="G962" s="10">
        <f>IF(F962="","",MIN(F962,100))</f>
        <v/>
      </c>
      <c r="H962" s="11">
        <f>IF(A962="","",Universe!E962/BDP(A962&amp;" US Equity","HIGH_52WEEK")*100)</f>
        <v/>
      </c>
      <c r="I962">
        <f>IF(D962="","",D962&gt;=5)</f>
        <v/>
      </c>
      <c r="J962">
        <f>IF(F962="","",F962&gt;=5)</f>
        <v/>
      </c>
      <c r="K962">
        <f>IF(H962="","",H962&gt;=75)</f>
        <v/>
      </c>
      <c r="L962">
        <f>IF(OR(I962="",J962="",K962=""),FALSE,AND(I962,J962,K962))</f>
        <v/>
      </c>
    </row>
    <row r="963">
      <c r="A963">
        <f>Universe!A963</f>
        <v/>
      </c>
      <c r="B963" s="10" t="n"/>
      <c r="C963" s="11">
        <f>IF(B963="","",PERCENTRANK.INC($B$2:$B$2501,B963)*100)</f>
        <v/>
      </c>
      <c r="D963" s="10" t="n"/>
      <c r="E963" s="10">
        <f>IF(D963="","",MIN(D963,100))</f>
        <v/>
      </c>
      <c r="F963" s="10" t="n"/>
      <c r="G963" s="10">
        <f>IF(F963="","",MIN(F963,100))</f>
        <v/>
      </c>
      <c r="H963" s="11">
        <f>IF(A963="","",Universe!E963/BDP(A963&amp;" US Equity","HIGH_52WEEK")*100)</f>
        <v/>
      </c>
      <c r="I963">
        <f>IF(D963="","",D963&gt;=5)</f>
        <v/>
      </c>
      <c r="J963">
        <f>IF(F963="","",F963&gt;=5)</f>
        <v/>
      </c>
      <c r="K963">
        <f>IF(H963="","",H963&gt;=75)</f>
        <v/>
      </c>
      <c r="L963">
        <f>IF(OR(I963="",J963="",K963=""),FALSE,AND(I963,J963,K963))</f>
        <v/>
      </c>
    </row>
    <row r="964">
      <c r="A964">
        <f>Universe!A964</f>
        <v/>
      </c>
      <c r="B964" s="10" t="n"/>
      <c r="C964" s="11">
        <f>IF(B964="","",PERCENTRANK.INC($B$2:$B$2501,B964)*100)</f>
        <v/>
      </c>
      <c r="D964" s="10" t="n"/>
      <c r="E964" s="10">
        <f>IF(D964="","",MIN(D964,100))</f>
        <v/>
      </c>
      <c r="F964" s="10" t="n"/>
      <c r="G964" s="10">
        <f>IF(F964="","",MIN(F964,100))</f>
        <v/>
      </c>
      <c r="H964" s="11">
        <f>IF(A964="","",Universe!E964/BDP(A964&amp;" US Equity","HIGH_52WEEK")*100)</f>
        <v/>
      </c>
      <c r="I964">
        <f>IF(D964="","",D964&gt;=5)</f>
        <v/>
      </c>
      <c r="J964">
        <f>IF(F964="","",F964&gt;=5)</f>
        <v/>
      </c>
      <c r="K964">
        <f>IF(H964="","",H964&gt;=75)</f>
        <v/>
      </c>
      <c r="L964">
        <f>IF(OR(I964="",J964="",K964=""),FALSE,AND(I964,J964,K964))</f>
        <v/>
      </c>
    </row>
    <row r="965">
      <c r="A965">
        <f>Universe!A965</f>
        <v/>
      </c>
      <c r="B965" s="10" t="n"/>
      <c r="C965" s="11">
        <f>IF(B965="","",PERCENTRANK.INC($B$2:$B$2501,B965)*100)</f>
        <v/>
      </c>
      <c r="D965" s="10" t="n"/>
      <c r="E965" s="10">
        <f>IF(D965="","",MIN(D965,100))</f>
        <v/>
      </c>
      <c r="F965" s="10" t="n"/>
      <c r="G965" s="10">
        <f>IF(F965="","",MIN(F965,100))</f>
        <v/>
      </c>
      <c r="H965" s="11">
        <f>IF(A965="","",Universe!E965/BDP(A965&amp;" US Equity","HIGH_52WEEK")*100)</f>
        <v/>
      </c>
      <c r="I965">
        <f>IF(D965="","",D965&gt;=5)</f>
        <v/>
      </c>
      <c r="J965">
        <f>IF(F965="","",F965&gt;=5)</f>
        <v/>
      </c>
      <c r="K965">
        <f>IF(H965="","",H965&gt;=75)</f>
        <v/>
      </c>
      <c r="L965">
        <f>IF(OR(I965="",J965="",K965=""),FALSE,AND(I965,J965,K965))</f>
        <v/>
      </c>
    </row>
    <row r="966">
      <c r="A966">
        <f>Universe!A966</f>
        <v/>
      </c>
      <c r="B966" s="10" t="n"/>
      <c r="C966" s="11">
        <f>IF(B966="","",PERCENTRANK.INC($B$2:$B$2501,B966)*100)</f>
        <v/>
      </c>
      <c r="D966" s="10" t="n"/>
      <c r="E966" s="10">
        <f>IF(D966="","",MIN(D966,100))</f>
        <v/>
      </c>
      <c r="F966" s="10" t="n"/>
      <c r="G966" s="10">
        <f>IF(F966="","",MIN(F966,100))</f>
        <v/>
      </c>
      <c r="H966" s="11">
        <f>IF(A966="","",Universe!E966/BDP(A966&amp;" US Equity","HIGH_52WEEK")*100)</f>
        <v/>
      </c>
      <c r="I966">
        <f>IF(D966="","",D966&gt;=5)</f>
        <v/>
      </c>
      <c r="J966">
        <f>IF(F966="","",F966&gt;=5)</f>
        <v/>
      </c>
      <c r="K966">
        <f>IF(H966="","",H966&gt;=75)</f>
        <v/>
      </c>
      <c r="L966">
        <f>IF(OR(I966="",J966="",K966=""),FALSE,AND(I966,J966,K966))</f>
        <v/>
      </c>
    </row>
    <row r="967">
      <c r="A967">
        <f>Universe!A967</f>
        <v/>
      </c>
      <c r="B967" s="10" t="n"/>
      <c r="C967" s="11">
        <f>IF(B967="","",PERCENTRANK.INC($B$2:$B$2501,B967)*100)</f>
        <v/>
      </c>
      <c r="D967" s="10" t="n"/>
      <c r="E967" s="10">
        <f>IF(D967="","",MIN(D967,100))</f>
        <v/>
      </c>
      <c r="F967" s="10" t="n"/>
      <c r="G967" s="10">
        <f>IF(F967="","",MIN(F967,100))</f>
        <v/>
      </c>
      <c r="H967" s="11">
        <f>IF(A967="","",Universe!E967/BDP(A967&amp;" US Equity","HIGH_52WEEK")*100)</f>
        <v/>
      </c>
      <c r="I967">
        <f>IF(D967="","",D967&gt;=5)</f>
        <v/>
      </c>
      <c r="J967">
        <f>IF(F967="","",F967&gt;=5)</f>
        <v/>
      </c>
      <c r="K967">
        <f>IF(H967="","",H967&gt;=75)</f>
        <v/>
      </c>
      <c r="L967">
        <f>IF(OR(I967="",J967="",K967=""),FALSE,AND(I967,J967,K967))</f>
        <v/>
      </c>
    </row>
    <row r="968">
      <c r="A968">
        <f>Universe!A968</f>
        <v/>
      </c>
      <c r="B968" s="10" t="n"/>
      <c r="C968" s="11">
        <f>IF(B968="","",PERCENTRANK.INC($B$2:$B$2501,B968)*100)</f>
        <v/>
      </c>
      <c r="D968" s="10" t="n"/>
      <c r="E968" s="10">
        <f>IF(D968="","",MIN(D968,100))</f>
        <v/>
      </c>
      <c r="F968" s="10" t="n"/>
      <c r="G968" s="10">
        <f>IF(F968="","",MIN(F968,100))</f>
        <v/>
      </c>
      <c r="H968" s="11">
        <f>IF(A968="","",Universe!E968/BDP(A968&amp;" US Equity","HIGH_52WEEK")*100)</f>
        <v/>
      </c>
      <c r="I968">
        <f>IF(D968="","",D968&gt;=5)</f>
        <v/>
      </c>
      <c r="J968">
        <f>IF(F968="","",F968&gt;=5)</f>
        <v/>
      </c>
      <c r="K968">
        <f>IF(H968="","",H968&gt;=75)</f>
        <v/>
      </c>
      <c r="L968">
        <f>IF(OR(I968="",J968="",K968=""),FALSE,AND(I968,J968,K968))</f>
        <v/>
      </c>
    </row>
    <row r="969">
      <c r="A969">
        <f>Universe!A969</f>
        <v/>
      </c>
      <c r="B969" s="10" t="n"/>
      <c r="C969" s="11">
        <f>IF(B969="","",PERCENTRANK.INC($B$2:$B$2501,B969)*100)</f>
        <v/>
      </c>
      <c r="D969" s="10" t="n"/>
      <c r="E969" s="10">
        <f>IF(D969="","",MIN(D969,100))</f>
        <v/>
      </c>
      <c r="F969" s="10" t="n"/>
      <c r="G969" s="10">
        <f>IF(F969="","",MIN(F969,100))</f>
        <v/>
      </c>
      <c r="H969" s="11">
        <f>IF(A969="","",Universe!E969/BDP(A969&amp;" US Equity","HIGH_52WEEK")*100)</f>
        <v/>
      </c>
      <c r="I969">
        <f>IF(D969="","",D969&gt;=5)</f>
        <v/>
      </c>
      <c r="J969">
        <f>IF(F969="","",F969&gt;=5)</f>
        <v/>
      </c>
      <c r="K969">
        <f>IF(H969="","",H969&gt;=75)</f>
        <v/>
      </c>
      <c r="L969">
        <f>IF(OR(I969="",J969="",K969=""),FALSE,AND(I969,J969,K969))</f>
        <v/>
      </c>
    </row>
    <row r="970">
      <c r="A970">
        <f>Universe!A970</f>
        <v/>
      </c>
      <c r="B970" s="10" t="n"/>
      <c r="C970" s="11">
        <f>IF(B970="","",PERCENTRANK.INC($B$2:$B$2501,B970)*100)</f>
        <v/>
      </c>
      <c r="D970" s="10" t="n"/>
      <c r="E970" s="10">
        <f>IF(D970="","",MIN(D970,100))</f>
        <v/>
      </c>
      <c r="F970" s="10" t="n"/>
      <c r="G970" s="10">
        <f>IF(F970="","",MIN(F970,100))</f>
        <v/>
      </c>
      <c r="H970" s="11">
        <f>IF(A970="","",Universe!E970/BDP(A970&amp;" US Equity","HIGH_52WEEK")*100)</f>
        <v/>
      </c>
      <c r="I970">
        <f>IF(D970="","",D970&gt;=5)</f>
        <v/>
      </c>
      <c r="J970">
        <f>IF(F970="","",F970&gt;=5)</f>
        <v/>
      </c>
      <c r="K970">
        <f>IF(H970="","",H970&gt;=75)</f>
        <v/>
      </c>
      <c r="L970">
        <f>IF(OR(I970="",J970="",K970=""),FALSE,AND(I970,J970,K970))</f>
        <v/>
      </c>
    </row>
    <row r="971">
      <c r="A971">
        <f>Universe!A971</f>
        <v/>
      </c>
      <c r="B971" s="10" t="n"/>
      <c r="C971" s="11">
        <f>IF(B971="","",PERCENTRANK.INC($B$2:$B$2501,B971)*100)</f>
        <v/>
      </c>
      <c r="D971" s="10" t="n"/>
      <c r="E971" s="10">
        <f>IF(D971="","",MIN(D971,100))</f>
        <v/>
      </c>
      <c r="F971" s="10" t="n"/>
      <c r="G971" s="10">
        <f>IF(F971="","",MIN(F971,100))</f>
        <v/>
      </c>
      <c r="H971" s="11">
        <f>IF(A971="","",Universe!E971/BDP(A971&amp;" US Equity","HIGH_52WEEK")*100)</f>
        <v/>
      </c>
      <c r="I971">
        <f>IF(D971="","",D971&gt;=5)</f>
        <v/>
      </c>
      <c r="J971">
        <f>IF(F971="","",F971&gt;=5)</f>
        <v/>
      </c>
      <c r="K971">
        <f>IF(H971="","",H971&gt;=75)</f>
        <v/>
      </c>
      <c r="L971">
        <f>IF(OR(I971="",J971="",K971=""),FALSE,AND(I971,J971,K971))</f>
        <v/>
      </c>
    </row>
    <row r="972">
      <c r="A972">
        <f>Universe!A972</f>
        <v/>
      </c>
      <c r="B972" s="10" t="n"/>
      <c r="C972" s="11">
        <f>IF(B972="","",PERCENTRANK.INC($B$2:$B$2501,B972)*100)</f>
        <v/>
      </c>
      <c r="D972" s="10" t="n"/>
      <c r="E972" s="10">
        <f>IF(D972="","",MIN(D972,100))</f>
        <v/>
      </c>
      <c r="F972" s="10" t="n"/>
      <c r="G972" s="10">
        <f>IF(F972="","",MIN(F972,100))</f>
        <v/>
      </c>
      <c r="H972" s="11">
        <f>IF(A972="","",Universe!E972/BDP(A972&amp;" US Equity","HIGH_52WEEK")*100)</f>
        <v/>
      </c>
      <c r="I972">
        <f>IF(D972="","",D972&gt;=5)</f>
        <v/>
      </c>
      <c r="J972">
        <f>IF(F972="","",F972&gt;=5)</f>
        <v/>
      </c>
      <c r="K972">
        <f>IF(H972="","",H972&gt;=75)</f>
        <v/>
      </c>
      <c r="L972">
        <f>IF(OR(I972="",J972="",K972=""),FALSE,AND(I972,J972,K972))</f>
        <v/>
      </c>
    </row>
    <row r="973">
      <c r="A973">
        <f>Universe!A973</f>
        <v/>
      </c>
      <c r="B973" s="10" t="n"/>
      <c r="C973" s="11">
        <f>IF(B973="","",PERCENTRANK.INC($B$2:$B$2501,B973)*100)</f>
        <v/>
      </c>
      <c r="D973" s="10" t="n"/>
      <c r="E973" s="10">
        <f>IF(D973="","",MIN(D973,100))</f>
        <v/>
      </c>
      <c r="F973" s="10" t="n"/>
      <c r="G973" s="10">
        <f>IF(F973="","",MIN(F973,100))</f>
        <v/>
      </c>
      <c r="H973" s="11">
        <f>IF(A973="","",Universe!E973/BDP(A973&amp;" US Equity","HIGH_52WEEK")*100)</f>
        <v/>
      </c>
      <c r="I973">
        <f>IF(D973="","",D973&gt;=5)</f>
        <v/>
      </c>
      <c r="J973">
        <f>IF(F973="","",F973&gt;=5)</f>
        <v/>
      </c>
      <c r="K973">
        <f>IF(H973="","",H973&gt;=75)</f>
        <v/>
      </c>
      <c r="L973">
        <f>IF(OR(I973="",J973="",K973=""),FALSE,AND(I973,J973,K973))</f>
        <v/>
      </c>
    </row>
    <row r="974">
      <c r="A974">
        <f>Universe!A974</f>
        <v/>
      </c>
      <c r="B974" s="10" t="n"/>
      <c r="C974" s="11">
        <f>IF(B974="","",PERCENTRANK.INC($B$2:$B$2501,B974)*100)</f>
        <v/>
      </c>
      <c r="D974" s="10" t="n"/>
      <c r="E974" s="10">
        <f>IF(D974="","",MIN(D974,100))</f>
        <v/>
      </c>
      <c r="F974" s="10" t="n"/>
      <c r="G974" s="10">
        <f>IF(F974="","",MIN(F974,100))</f>
        <v/>
      </c>
      <c r="H974" s="11">
        <f>IF(A974="","",Universe!E974/BDP(A974&amp;" US Equity","HIGH_52WEEK")*100)</f>
        <v/>
      </c>
      <c r="I974">
        <f>IF(D974="","",D974&gt;=5)</f>
        <v/>
      </c>
      <c r="J974">
        <f>IF(F974="","",F974&gt;=5)</f>
        <v/>
      </c>
      <c r="K974">
        <f>IF(H974="","",H974&gt;=75)</f>
        <v/>
      </c>
      <c r="L974">
        <f>IF(OR(I974="",J974="",K974=""),FALSE,AND(I974,J974,K974))</f>
        <v/>
      </c>
    </row>
    <row r="975">
      <c r="A975">
        <f>Universe!A975</f>
        <v/>
      </c>
      <c r="B975" s="10" t="n"/>
      <c r="C975" s="11">
        <f>IF(B975="","",PERCENTRANK.INC($B$2:$B$2501,B975)*100)</f>
        <v/>
      </c>
      <c r="D975" s="10" t="n"/>
      <c r="E975" s="10">
        <f>IF(D975="","",MIN(D975,100))</f>
        <v/>
      </c>
      <c r="F975" s="10" t="n"/>
      <c r="G975" s="10">
        <f>IF(F975="","",MIN(F975,100))</f>
        <v/>
      </c>
      <c r="H975" s="11">
        <f>IF(A975="","",Universe!E975/BDP(A975&amp;" US Equity","HIGH_52WEEK")*100)</f>
        <v/>
      </c>
      <c r="I975">
        <f>IF(D975="","",D975&gt;=5)</f>
        <v/>
      </c>
      <c r="J975">
        <f>IF(F975="","",F975&gt;=5)</f>
        <v/>
      </c>
      <c r="K975">
        <f>IF(H975="","",H975&gt;=75)</f>
        <v/>
      </c>
      <c r="L975">
        <f>IF(OR(I975="",J975="",K975=""),FALSE,AND(I975,J975,K975))</f>
        <v/>
      </c>
    </row>
    <row r="976">
      <c r="A976">
        <f>Universe!A976</f>
        <v/>
      </c>
      <c r="B976" s="10" t="n"/>
      <c r="C976" s="11">
        <f>IF(B976="","",PERCENTRANK.INC($B$2:$B$2501,B976)*100)</f>
        <v/>
      </c>
      <c r="D976" s="10" t="n"/>
      <c r="E976" s="10">
        <f>IF(D976="","",MIN(D976,100))</f>
        <v/>
      </c>
      <c r="F976" s="10" t="n"/>
      <c r="G976" s="10">
        <f>IF(F976="","",MIN(F976,100))</f>
        <v/>
      </c>
      <c r="H976" s="11">
        <f>IF(A976="","",Universe!E976/BDP(A976&amp;" US Equity","HIGH_52WEEK")*100)</f>
        <v/>
      </c>
      <c r="I976">
        <f>IF(D976="","",D976&gt;=5)</f>
        <v/>
      </c>
      <c r="J976">
        <f>IF(F976="","",F976&gt;=5)</f>
        <v/>
      </c>
      <c r="K976">
        <f>IF(H976="","",H976&gt;=75)</f>
        <v/>
      </c>
      <c r="L976">
        <f>IF(OR(I976="",J976="",K976=""),FALSE,AND(I976,J976,K976))</f>
        <v/>
      </c>
    </row>
    <row r="977">
      <c r="A977">
        <f>Universe!A977</f>
        <v/>
      </c>
      <c r="B977" s="10" t="n"/>
      <c r="C977" s="11">
        <f>IF(B977="","",PERCENTRANK.INC($B$2:$B$2501,B977)*100)</f>
        <v/>
      </c>
      <c r="D977" s="10" t="n"/>
      <c r="E977" s="10">
        <f>IF(D977="","",MIN(D977,100))</f>
        <v/>
      </c>
      <c r="F977" s="10" t="n"/>
      <c r="G977" s="10">
        <f>IF(F977="","",MIN(F977,100))</f>
        <v/>
      </c>
      <c r="H977" s="11">
        <f>IF(A977="","",Universe!E977/BDP(A977&amp;" US Equity","HIGH_52WEEK")*100)</f>
        <v/>
      </c>
      <c r="I977">
        <f>IF(D977="","",D977&gt;=5)</f>
        <v/>
      </c>
      <c r="J977">
        <f>IF(F977="","",F977&gt;=5)</f>
        <v/>
      </c>
      <c r="K977">
        <f>IF(H977="","",H977&gt;=75)</f>
        <v/>
      </c>
      <c r="L977">
        <f>IF(OR(I977="",J977="",K977=""),FALSE,AND(I977,J977,K977))</f>
        <v/>
      </c>
    </row>
    <row r="978">
      <c r="A978">
        <f>Universe!A978</f>
        <v/>
      </c>
      <c r="B978" s="10" t="n"/>
      <c r="C978" s="11">
        <f>IF(B978="","",PERCENTRANK.INC($B$2:$B$2501,B978)*100)</f>
        <v/>
      </c>
      <c r="D978" s="10" t="n"/>
      <c r="E978" s="10">
        <f>IF(D978="","",MIN(D978,100))</f>
        <v/>
      </c>
      <c r="F978" s="10" t="n"/>
      <c r="G978" s="10">
        <f>IF(F978="","",MIN(F978,100))</f>
        <v/>
      </c>
      <c r="H978" s="11">
        <f>IF(A978="","",Universe!E978/BDP(A978&amp;" US Equity","HIGH_52WEEK")*100)</f>
        <v/>
      </c>
      <c r="I978">
        <f>IF(D978="","",D978&gt;=5)</f>
        <v/>
      </c>
      <c r="J978">
        <f>IF(F978="","",F978&gt;=5)</f>
        <v/>
      </c>
      <c r="K978">
        <f>IF(H978="","",H978&gt;=75)</f>
        <v/>
      </c>
      <c r="L978">
        <f>IF(OR(I978="",J978="",K978=""),FALSE,AND(I978,J978,K978))</f>
        <v/>
      </c>
    </row>
    <row r="979">
      <c r="A979">
        <f>Universe!A979</f>
        <v/>
      </c>
      <c r="B979" s="10" t="n"/>
      <c r="C979" s="11">
        <f>IF(B979="","",PERCENTRANK.INC($B$2:$B$2501,B979)*100)</f>
        <v/>
      </c>
      <c r="D979" s="10" t="n"/>
      <c r="E979" s="10">
        <f>IF(D979="","",MIN(D979,100))</f>
        <v/>
      </c>
      <c r="F979" s="10" t="n"/>
      <c r="G979" s="10">
        <f>IF(F979="","",MIN(F979,100))</f>
        <v/>
      </c>
      <c r="H979" s="11">
        <f>IF(A979="","",Universe!E979/BDP(A979&amp;" US Equity","HIGH_52WEEK")*100)</f>
        <v/>
      </c>
      <c r="I979">
        <f>IF(D979="","",D979&gt;=5)</f>
        <v/>
      </c>
      <c r="J979">
        <f>IF(F979="","",F979&gt;=5)</f>
        <v/>
      </c>
      <c r="K979">
        <f>IF(H979="","",H979&gt;=75)</f>
        <v/>
      </c>
      <c r="L979">
        <f>IF(OR(I979="",J979="",K979=""),FALSE,AND(I979,J979,K979))</f>
        <v/>
      </c>
    </row>
    <row r="980">
      <c r="A980">
        <f>Universe!A980</f>
        <v/>
      </c>
      <c r="B980" s="10" t="n"/>
      <c r="C980" s="11">
        <f>IF(B980="","",PERCENTRANK.INC($B$2:$B$2501,B980)*100)</f>
        <v/>
      </c>
      <c r="D980" s="10" t="n"/>
      <c r="E980" s="10">
        <f>IF(D980="","",MIN(D980,100))</f>
        <v/>
      </c>
      <c r="F980" s="10" t="n"/>
      <c r="G980" s="10">
        <f>IF(F980="","",MIN(F980,100))</f>
        <v/>
      </c>
      <c r="H980" s="11">
        <f>IF(A980="","",Universe!E980/BDP(A980&amp;" US Equity","HIGH_52WEEK")*100)</f>
        <v/>
      </c>
      <c r="I980">
        <f>IF(D980="","",D980&gt;=5)</f>
        <v/>
      </c>
      <c r="J980">
        <f>IF(F980="","",F980&gt;=5)</f>
        <v/>
      </c>
      <c r="K980">
        <f>IF(H980="","",H980&gt;=75)</f>
        <v/>
      </c>
      <c r="L980">
        <f>IF(OR(I980="",J980="",K980=""),FALSE,AND(I980,J980,K980))</f>
        <v/>
      </c>
    </row>
    <row r="981">
      <c r="A981">
        <f>Universe!A981</f>
        <v/>
      </c>
      <c r="B981" s="10" t="n"/>
      <c r="C981" s="11">
        <f>IF(B981="","",PERCENTRANK.INC($B$2:$B$2501,B981)*100)</f>
        <v/>
      </c>
      <c r="D981" s="10" t="n"/>
      <c r="E981" s="10">
        <f>IF(D981="","",MIN(D981,100))</f>
        <v/>
      </c>
      <c r="F981" s="10" t="n"/>
      <c r="G981" s="10">
        <f>IF(F981="","",MIN(F981,100))</f>
        <v/>
      </c>
      <c r="H981" s="11">
        <f>IF(A981="","",Universe!E981/BDP(A981&amp;" US Equity","HIGH_52WEEK")*100)</f>
        <v/>
      </c>
      <c r="I981">
        <f>IF(D981="","",D981&gt;=5)</f>
        <v/>
      </c>
      <c r="J981">
        <f>IF(F981="","",F981&gt;=5)</f>
        <v/>
      </c>
      <c r="K981">
        <f>IF(H981="","",H981&gt;=75)</f>
        <v/>
      </c>
      <c r="L981">
        <f>IF(OR(I981="",J981="",K981=""),FALSE,AND(I981,J981,K981))</f>
        <v/>
      </c>
    </row>
    <row r="982">
      <c r="A982">
        <f>Universe!A982</f>
        <v/>
      </c>
      <c r="B982" s="10" t="n"/>
      <c r="C982" s="11">
        <f>IF(B982="","",PERCENTRANK.INC($B$2:$B$2501,B982)*100)</f>
        <v/>
      </c>
      <c r="D982" s="10" t="n"/>
      <c r="E982" s="10">
        <f>IF(D982="","",MIN(D982,100))</f>
        <v/>
      </c>
      <c r="F982" s="10" t="n"/>
      <c r="G982" s="10">
        <f>IF(F982="","",MIN(F982,100))</f>
        <v/>
      </c>
      <c r="H982" s="11">
        <f>IF(A982="","",Universe!E982/BDP(A982&amp;" US Equity","HIGH_52WEEK")*100)</f>
        <v/>
      </c>
      <c r="I982">
        <f>IF(D982="","",D982&gt;=5)</f>
        <v/>
      </c>
      <c r="J982">
        <f>IF(F982="","",F982&gt;=5)</f>
        <v/>
      </c>
      <c r="K982">
        <f>IF(H982="","",H982&gt;=75)</f>
        <v/>
      </c>
      <c r="L982">
        <f>IF(OR(I982="",J982="",K982=""),FALSE,AND(I982,J982,K982))</f>
        <v/>
      </c>
    </row>
    <row r="983">
      <c r="A983">
        <f>Universe!A983</f>
        <v/>
      </c>
      <c r="B983" s="10" t="n"/>
      <c r="C983" s="11">
        <f>IF(B983="","",PERCENTRANK.INC($B$2:$B$2501,B983)*100)</f>
        <v/>
      </c>
      <c r="D983" s="10" t="n"/>
      <c r="E983" s="10">
        <f>IF(D983="","",MIN(D983,100))</f>
        <v/>
      </c>
      <c r="F983" s="10" t="n"/>
      <c r="G983" s="10">
        <f>IF(F983="","",MIN(F983,100))</f>
        <v/>
      </c>
      <c r="H983" s="11">
        <f>IF(A983="","",Universe!E983/BDP(A983&amp;" US Equity","HIGH_52WEEK")*100)</f>
        <v/>
      </c>
      <c r="I983">
        <f>IF(D983="","",D983&gt;=5)</f>
        <v/>
      </c>
      <c r="J983">
        <f>IF(F983="","",F983&gt;=5)</f>
        <v/>
      </c>
      <c r="K983">
        <f>IF(H983="","",H983&gt;=75)</f>
        <v/>
      </c>
      <c r="L983">
        <f>IF(OR(I983="",J983="",K983=""),FALSE,AND(I983,J983,K983))</f>
        <v/>
      </c>
    </row>
    <row r="984">
      <c r="A984">
        <f>Universe!A984</f>
        <v/>
      </c>
      <c r="B984" s="10" t="n"/>
      <c r="C984" s="11">
        <f>IF(B984="","",PERCENTRANK.INC($B$2:$B$2501,B984)*100)</f>
        <v/>
      </c>
      <c r="D984" s="10" t="n"/>
      <c r="E984" s="10">
        <f>IF(D984="","",MIN(D984,100))</f>
        <v/>
      </c>
      <c r="F984" s="10" t="n"/>
      <c r="G984" s="10">
        <f>IF(F984="","",MIN(F984,100))</f>
        <v/>
      </c>
      <c r="H984" s="11">
        <f>IF(A984="","",Universe!E984/BDP(A984&amp;" US Equity","HIGH_52WEEK")*100)</f>
        <v/>
      </c>
      <c r="I984">
        <f>IF(D984="","",D984&gt;=5)</f>
        <v/>
      </c>
      <c r="J984">
        <f>IF(F984="","",F984&gt;=5)</f>
        <v/>
      </c>
      <c r="K984">
        <f>IF(H984="","",H984&gt;=75)</f>
        <v/>
      </c>
      <c r="L984">
        <f>IF(OR(I984="",J984="",K984=""),FALSE,AND(I984,J984,K984))</f>
        <v/>
      </c>
    </row>
    <row r="985">
      <c r="A985">
        <f>Universe!A985</f>
        <v/>
      </c>
      <c r="B985" s="10" t="n"/>
      <c r="C985" s="11">
        <f>IF(B985="","",PERCENTRANK.INC($B$2:$B$2501,B985)*100)</f>
        <v/>
      </c>
      <c r="D985" s="10" t="n"/>
      <c r="E985" s="10">
        <f>IF(D985="","",MIN(D985,100))</f>
        <v/>
      </c>
      <c r="F985" s="10" t="n"/>
      <c r="G985" s="10">
        <f>IF(F985="","",MIN(F985,100))</f>
        <v/>
      </c>
      <c r="H985" s="11">
        <f>IF(A985="","",Universe!E985/BDP(A985&amp;" US Equity","HIGH_52WEEK")*100)</f>
        <v/>
      </c>
      <c r="I985">
        <f>IF(D985="","",D985&gt;=5)</f>
        <v/>
      </c>
      <c r="J985">
        <f>IF(F985="","",F985&gt;=5)</f>
        <v/>
      </c>
      <c r="K985">
        <f>IF(H985="","",H985&gt;=75)</f>
        <v/>
      </c>
      <c r="L985">
        <f>IF(OR(I985="",J985="",K985=""),FALSE,AND(I985,J985,K985))</f>
        <v/>
      </c>
    </row>
    <row r="986">
      <c r="A986">
        <f>Universe!A986</f>
        <v/>
      </c>
      <c r="B986" s="10" t="n"/>
      <c r="C986" s="11">
        <f>IF(B986="","",PERCENTRANK.INC($B$2:$B$2501,B986)*100)</f>
        <v/>
      </c>
      <c r="D986" s="10" t="n"/>
      <c r="E986" s="10">
        <f>IF(D986="","",MIN(D986,100))</f>
        <v/>
      </c>
      <c r="F986" s="10" t="n"/>
      <c r="G986" s="10">
        <f>IF(F986="","",MIN(F986,100))</f>
        <v/>
      </c>
      <c r="H986" s="11">
        <f>IF(A986="","",Universe!E986/BDP(A986&amp;" US Equity","HIGH_52WEEK")*100)</f>
        <v/>
      </c>
      <c r="I986">
        <f>IF(D986="","",D986&gt;=5)</f>
        <v/>
      </c>
      <c r="J986">
        <f>IF(F986="","",F986&gt;=5)</f>
        <v/>
      </c>
      <c r="K986">
        <f>IF(H986="","",H986&gt;=75)</f>
        <v/>
      </c>
      <c r="L986">
        <f>IF(OR(I986="",J986="",K986=""),FALSE,AND(I986,J986,K986))</f>
        <v/>
      </c>
    </row>
    <row r="987">
      <c r="A987">
        <f>Universe!A987</f>
        <v/>
      </c>
      <c r="B987" s="10" t="n"/>
      <c r="C987" s="11">
        <f>IF(B987="","",PERCENTRANK.INC($B$2:$B$2501,B987)*100)</f>
        <v/>
      </c>
      <c r="D987" s="10" t="n"/>
      <c r="E987" s="10">
        <f>IF(D987="","",MIN(D987,100))</f>
        <v/>
      </c>
      <c r="F987" s="10" t="n"/>
      <c r="G987" s="10">
        <f>IF(F987="","",MIN(F987,100))</f>
        <v/>
      </c>
      <c r="H987" s="11">
        <f>IF(A987="","",Universe!E987/BDP(A987&amp;" US Equity","HIGH_52WEEK")*100)</f>
        <v/>
      </c>
      <c r="I987">
        <f>IF(D987="","",D987&gt;=5)</f>
        <v/>
      </c>
      <c r="J987">
        <f>IF(F987="","",F987&gt;=5)</f>
        <v/>
      </c>
      <c r="K987">
        <f>IF(H987="","",H987&gt;=75)</f>
        <v/>
      </c>
      <c r="L987">
        <f>IF(OR(I987="",J987="",K987=""),FALSE,AND(I987,J987,K987))</f>
        <v/>
      </c>
    </row>
    <row r="988">
      <c r="A988">
        <f>Universe!A988</f>
        <v/>
      </c>
      <c r="B988" s="10" t="n"/>
      <c r="C988" s="11">
        <f>IF(B988="","",PERCENTRANK.INC($B$2:$B$2501,B988)*100)</f>
        <v/>
      </c>
      <c r="D988" s="10" t="n"/>
      <c r="E988" s="10">
        <f>IF(D988="","",MIN(D988,100))</f>
        <v/>
      </c>
      <c r="F988" s="10" t="n"/>
      <c r="G988" s="10">
        <f>IF(F988="","",MIN(F988,100))</f>
        <v/>
      </c>
      <c r="H988" s="11">
        <f>IF(A988="","",Universe!E988/BDP(A988&amp;" US Equity","HIGH_52WEEK")*100)</f>
        <v/>
      </c>
      <c r="I988">
        <f>IF(D988="","",D988&gt;=5)</f>
        <v/>
      </c>
      <c r="J988">
        <f>IF(F988="","",F988&gt;=5)</f>
        <v/>
      </c>
      <c r="K988">
        <f>IF(H988="","",H988&gt;=75)</f>
        <v/>
      </c>
      <c r="L988">
        <f>IF(OR(I988="",J988="",K988=""),FALSE,AND(I988,J988,K988))</f>
        <v/>
      </c>
    </row>
    <row r="989">
      <c r="A989">
        <f>Universe!A989</f>
        <v/>
      </c>
      <c r="B989" s="10" t="n"/>
      <c r="C989" s="11">
        <f>IF(B989="","",PERCENTRANK.INC($B$2:$B$2501,B989)*100)</f>
        <v/>
      </c>
      <c r="D989" s="10" t="n"/>
      <c r="E989" s="10">
        <f>IF(D989="","",MIN(D989,100))</f>
        <v/>
      </c>
      <c r="F989" s="10" t="n"/>
      <c r="G989" s="10">
        <f>IF(F989="","",MIN(F989,100))</f>
        <v/>
      </c>
      <c r="H989" s="11">
        <f>IF(A989="","",Universe!E989/BDP(A989&amp;" US Equity","HIGH_52WEEK")*100)</f>
        <v/>
      </c>
      <c r="I989">
        <f>IF(D989="","",D989&gt;=5)</f>
        <v/>
      </c>
      <c r="J989">
        <f>IF(F989="","",F989&gt;=5)</f>
        <v/>
      </c>
      <c r="K989">
        <f>IF(H989="","",H989&gt;=75)</f>
        <v/>
      </c>
      <c r="L989">
        <f>IF(OR(I989="",J989="",K989=""),FALSE,AND(I989,J989,K989))</f>
        <v/>
      </c>
    </row>
    <row r="990">
      <c r="A990">
        <f>Universe!A990</f>
        <v/>
      </c>
      <c r="B990" s="10" t="n"/>
      <c r="C990" s="11">
        <f>IF(B990="","",PERCENTRANK.INC($B$2:$B$2501,B990)*100)</f>
        <v/>
      </c>
      <c r="D990" s="10" t="n"/>
      <c r="E990" s="10">
        <f>IF(D990="","",MIN(D990,100))</f>
        <v/>
      </c>
      <c r="F990" s="10" t="n"/>
      <c r="G990" s="10">
        <f>IF(F990="","",MIN(F990,100))</f>
        <v/>
      </c>
      <c r="H990" s="11">
        <f>IF(A990="","",Universe!E990/BDP(A990&amp;" US Equity","HIGH_52WEEK")*100)</f>
        <v/>
      </c>
      <c r="I990">
        <f>IF(D990="","",D990&gt;=5)</f>
        <v/>
      </c>
      <c r="J990">
        <f>IF(F990="","",F990&gt;=5)</f>
        <v/>
      </c>
      <c r="K990">
        <f>IF(H990="","",H990&gt;=75)</f>
        <v/>
      </c>
      <c r="L990">
        <f>IF(OR(I990="",J990="",K990=""),FALSE,AND(I990,J990,K990))</f>
        <v/>
      </c>
    </row>
    <row r="991">
      <c r="A991">
        <f>Universe!A991</f>
        <v/>
      </c>
      <c r="B991" s="10" t="n"/>
      <c r="C991" s="11">
        <f>IF(B991="","",PERCENTRANK.INC($B$2:$B$2501,B991)*100)</f>
        <v/>
      </c>
      <c r="D991" s="10" t="n"/>
      <c r="E991" s="10">
        <f>IF(D991="","",MIN(D991,100))</f>
        <v/>
      </c>
      <c r="F991" s="10" t="n"/>
      <c r="G991" s="10">
        <f>IF(F991="","",MIN(F991,100))</f>
        <v/>
      </c>
      <c r="H991" s="11">
        <f>IF(A991="","",Universe!E991/BDP(A991&amp;" US Equity","HIGH_52WEEK")*100)</f>
        <v/>
      </c>
      <c r="I991">
        <f>IF(D991="","",D991&gt;=5)</f>
        <v/>
      </c>
      <c r="J991">
        <f>IF(F991="","",F991&gt;=5)</f>
        <v/>
      </c>
      <c r="K991">
        <f>IF(H991="","",H991&gt;=75)</f>
        <v/>
      </c>
      <c r="L991">
        <f>IF(OR(I991="",J991="",K991=""),FALSE,AND(I991,J991,K991))</f>
        <v/>
      </c>
    </row>
    <row r="992">
      <c r="A992">
        <f>Universe!A992</f>
        <v/>
      </c>
      <c r="B992" s="10" t="n"/>
      <c r="C992" s="11">
        <f>IF(B992="","",PERCENTRANK.INC($B$2:$B$2501,B992)*100)</f>
        <v/>
      </c>
      <c r="D992" s="10" t="n"/>
      <c r="E992" s="10">
        <f>IF(D992="","",MIN(D992,100))</f>
        <v/>
      </c>
      <c r="F992" s="10" t="n"/>
      <c r="G992" s="10">
        <f>IF(F992="","",MIN(F992,100))</f>
        <v/>
      </c>
      <c r="H992" s="11">
        <f>IF(A992="","",Universe!E992/BDP(A992&amp;" US Equity","HIGH_52WEEK")*100)</f>
        <v/>
      </c>
      <c r="I992">
        <f>IF(D992="","",D992&gt;=5)</f>
        <v/>
      </c>
      <c r="J992">
        <f>IF(F992="","",F992&gt;=5)</f>
        <v/>
      </c>
      <c r="K992">
        <f>IF(H992="","",H992&gt;=75)</f>
        <v/>
      </c>
      <c r="L992">
        <f>IF(OR(I992="",J992="",K992=""),FALSE,AND(I992,J992,K992))</f>
        <v/>
      </c>
    </row>
    <row r="993">
      <c r="A993">
        <f>Universe!A993</f>
        <v/>
      </c>
      <c r="B993" s="10" t="n"/>
      <c r="C993" s="11">
        <f>IF(B993="","",PERCENTRANK.INC($B$2:$B$2501,B993)*100)</f>
        <v/>
      </c>
      <c r="D993" s="10" t="n"/>
      <c r="E993" s="10">
        <f>IF(D993="","",MIN(D993,100))</f>
        <v/>
      </c>
      <c r="F993" s="10" t="n"/>
      <c r="G993" s="10">
        <f>IF(F993="","",MIN(F993,100))</f>
        <v/>
      </c>
      <c r="H993" s="11">
        <f>IF(A993="","",Universe!E993/BDP(A993&amp;" US Equity","HIGH_52WEEK")*100)</f>
        <v/>
      </c>
      <c r="I993">
        <f>IF(D993="","",D993&gt;=5)</f>
        <v/>
      </c>
      <c r="J993">
        <f>IF(F993="","",F993&gt;=5)</f>
        <v/>
      </c>
      <c r="K993">
        <f>IF(H993="","",H993&gt;=75)</f>
        <v/>
      </c>
      <c r="L993">
        <f>IF(OR(I993="",J993="",K993=""),FALSE,AND(I993,J993,K993))</f>
        <v/>
      </c>
    </row>
    <row r="994">
      <c r="A994">
        <f>Universe!A994</f>
        <v/>
      </c>
      <c r="B994" s="10" t="n"/>
      <c r="C994" s="11">
        <f>IF(B994="","",PERCENTRANK.INC($B$2:$B$2501,B994)*100)</f>
        <v/>
      </c>
      <c r="D994" s="10" t="n"/>
      <c r="E994" s="10">
        <f>IF(D994="","",MIN(D994,100))</f>
        <v/>
      </c>
      <c r="F994" s="10" t="n"/>
      <c r="G994" s="10">
        <f>IF(F994="","",MIN(F994,100))</f>
        <v/>
      </c>
      <c r="H994" s="11">
        <f>IF(A994="","",Universe!E994/BDP(A994&amp;" US Equity","HIGH_52WEEK")*100)</f>
        <v/>
      </c>
      <c r="I994">
        <f>IF(D994="","",D994&gt;=5)</f>
        <v/>
      </c>
      <c r="J994">
        <f>IF(F994="","",F994&gt;=5)</f>
        <v/>
      </c>
      <c r="K994">
        <f>IF(H994="","",H994&gt;=75)</f>
        <v/>
      </c>
      <c r="L994">
        <f>IF(OR(I994="",J994="",K994=""),FALSE,AND(I994,J994,K994))</f>
        <v/>
      </c>
    </row>
    <row r="995">
      <c r="A995">
        <f>Universe!A995</f>
        <v/>
      </c>
      <c r="B995" s="10" t="n"/>
      <c r="C995" s="11">
        <f>IF(B995="","",PERCENTRANK.INC($B$2:$B$2501,B995)*100)</f>
        <v/>
      </c>
      <c r="D995" s="10" t="n"/>
      <c r="E995" s="10">
        <f>IF(D995="","",MIN(D995,100))</f>
        <v/>
      </c>
      <c r="F995" s="10" t="n"/>
      <c r="G995" s="10">
        <f>IF(F995="","",MIN(F995,100))</f>
        <v/>
      </c>
      <c r="H995" s="11">
        <f>IF(A995="","",Universe!E995/BDP(A995&amp;" US Equity","HIGH_52WEEK")*100)</f>
        <v/>
      </c>
      <c r="I995">
        <f>IF(D995="","",D995&gt;=5)</f>
        <v/>
      </c>
      <c r="J995">
        <f>IF(F995="","",F995&gt;=5)</f>
        <v/>
      </c>
      <c r="K995">
        <f>IF(H995="","",H995&gt;=75)</f>
        <v/>
      </c>
      <c r="L995">
        <f>IF(OR(I995="",J995="",K995=""),FALSE,AND(I995,J995,K995))</f>
        <v/>
      </c>
    </row>
    <row r="996">
      <c r="A996">
        <f>Universe!A996</f>
        <v/>
      </c>
      <c r="B996" s="10" t="n"/>
      <c r="C996" s="11">
        <f>IF(B996="","",PERCENTRANK.INC($B$2:$B$2501,B996)*100)</f>
        <v/>
      </c>
      <c r="D996" s="10" t="n"/>
      <c r="E996" s="10">
        <f>IF(D996="","",MIN(D996,100))</f>
        <v/>
      </c>
      <c r="F996" s="10" t="n"/>
      <c r="G996" s="10">
        <f>IF(F996="","",MIN(F996,100))</f>
        <v/>
      </c>
      <c r="H996" s="11">
        <f>IF(A996="","",Universe!E996/BDP(A996&amp;" US Equity","HIGH_52WEEK")*100)</f>
        <v/>
      </c>
      <c r="I996">
        <f>IF(D996="","",D996&gt;=5)</f>
        <v/>
      </c>
      <c r="J996">
        <f>IF(F996="","",F996&gt;=5)</f>
        <v/>
      </c>
      <c r="K996">
        <f>IF(H996="","",H996&gt;=75)</f>
        <v/>
      </c>
      <c r="L996">
        <f>IF(OR(I996="",J996="",K996=""),FALSE,AND(I996,J996,K996))</f>
        <v/>
      </c>
    </row>
    <row r="997">
      <c r="A997">
        <f>Universe!A997</f>
        <v/>
      </c>
      <c r="B997" s="10" t="n"/>
      <c r="C997" s="11">
        <f>IF(B997="","",PERCENTRANK.INC($B$2:$B$2501,B997)*100)</f>
        <v/>
      </c>
      <c r="D997" s="10" t="n"/>
      <c r="E997" s="10">
        <f>IF(D997="","",MIN(D997,100))</f>
        <v/>
      </c>
      <c r="F997" s="10" t="n"/>
      <c r="G997" s="10">
        <f>IF(F997="","",MIN(F997,100))</f>
        <v/>
      </c>
      <c r="H997" s="11">
        <f>IF(A997="","",Universe!E997/BDP(A997&amp;" US Equity","HIGH_52WEEK")*100)</f>
        <v/>
      </c>
      <c r="I997">
        <f>IF(D997="","",D997&gt;=5)</f>
        <v/>
      </c>
      <c r="J997">
        <f>IF(F997="","",F997&gt;=5)</f>
        <v/>
      </c>
      <c r="K997">
        <f>IF(H997="","",H997&gt;=75)</f>
        <v/>
      </c>
      <c r="L997">
        <f>IF(OR(I997="",J997="",K997=""),FALSE,AND(I997,J997,K997))</f>
        <v/>
      </c>
    </row>
    <row r="998">
      <c r="A998">
        <f>Universe!A998</f>
        <v/>
      </c>
      <c r="B998" s="10" t="n"/>
      <c r="C998" s="11">
        <f>IF(B998="","",PERCENTRANK.INC($B$2:$B$2501,B998)*100)</f>
        <v/>
      </c>
      <c r="D998" s="10" t="n"/>
      <c r="E998" s="10">
        <f>IF(D998="","",MIN(D998,100))</f>
        <v/>
      </c>
      <c r="F998" s="10" t="n"/>
      <c r="G998" s="10">
        <f>IF(F998="","",MIN(F998,100))</f>
        <v/>
      </c>
      <c r="H998" s="11">
        <f>IF(A998="","",Universe!E998/BDP(A998&amp;" US Equity","HIGH_52WEEK")*100)</f>
        <v/>
      </c>
      <c r="I998">
        <f>IF(D998="","",D998&gt;=5)</f>
        <v/>
      </c>
      <c r="J998">
        <f>IF(F998="","",F998&gt;=5)</f>
        <v/>
      </c>
      <c r="K998">
        <f>IF(H998="","",H998&gt;=75)</f>
        <v/>
      </c>
      <c r="L998">
        <f>IF(OR(I998="",J998="",K998=""),FALSE,AND(I998,J998,K998))</f>
        <v/>
      </c>
    </row>
    <row r="999">
      <c r="A999">
        <f>Universe!A999</f>
        <v/>
      </c>
      <c r="B999" s="10" t="n"/>
      <c r="C999" s="11">
        <f>IF(B999="","",PERCENTRANK.INC($B$2:$B$2501,B999)*100)</f>
        <v/>
      </c>
      <c r="D999" s="10" t="n"/>
      <c r="E999" s="10">
        <f>IF(D999="","",MIN(D999,100))</f>
        <v/>
      </c>
      <c r="F999" s="10" t="n"/>
      <c r="G999" s="10">
        <f>IF(F999="","",MIN(F999,100))</f>
        <v/>
      </c>
      <c r="H999" s="11">
        <f>IF(A999="","",Universe!E999/BDP(A999&amp;" US Equity","HIGH_52WEEK")*100)</f>
        <v/>
      </c>
      <c r="I999">
        <f>IF(D999="","",D999&gt;=5)</f>
        <v/>
      </c>
      <c r="J999">
        <f>IF(F999="","",F999&gt;=5)</f>
        <v/>
      </c>
      <c r="K999">
        <f>IF(H999="","",H999&gt;=75)</f>
        <v/>
      </c>
      <c r="L999">
        <f>IF(OR(I999="",J999="",K999=""),FALSE,AND(I999,J999,K999))</f>
        <v/>
      </c>
    </row>
    <row r="1000">
      <c r="A1000">
        <f>Universe!A1000</f>
        <v/>
      </c>
      <c r="B1000" s="10" t="n"/>
      <c r="C1000" s="11">
        <f>IF(B1000="","",PERCENTRANK.INC($B$2:$B$2501,B1000)*100)</f>
        <v/>
      </c>
      <c r="D1000" s="10" t="n"/>
      <c r="E1000" s="10">
        <f>IF(D1000="","",MIN(D1000,100))</f>
        <v/>
      </c>
      <c r="F1000" s="10" t="n"/>
      <c r="G1000" s="10">
        <f>IF(F1000="","",MIN(F1000,100))</f>
        <v/>
      </c>
      <c r="H1000" s="11">
        <f>IF(A1000="","",Universe!E1000/BDP(A1000&amp;" US Equity","HIGH_52WEEK")*100)</f>
        <v/>
      </c>
      <c r="I1000">
        <f>IF(D1000="","",D1000&gt;=5)</f>
        <v/>
      </c>
      <c r="J1000">
        <f>IF(F1000="","",F1000&gt;=5)</f>
        <v/>
      </c>
      <c r="K1000">
        <f>IF(H1000="","",H1000&gt;=75)</f>
        <v/>
      </c>
      <c r="L1000">
        <f>IF(OR(I1000="",J1000="",K1000=""),FALSE,AND(I1000,J1000,K1000))</f>
        <v/>
      </c>
    </row>
    <row r="1001">
      <c r="A1001">
        <f>Universe!A1001</f>
        <v/>
      </c>
      <c r="B1001" s="10" t="n"/>
      <c r="C1001" s="11">
        <f>IF(B1001="","",PERCENTRANK.INC($B$2:$B$2501,B1001)*100)</f>
        <v/>
      </c>
      <c r="D1001" s="10" t="n"/>
      <c r="E1001" s="10">
        <f>IF(D1001="","",MIN(D1001,100))</f>
        <v/>
      </c>
      <c r="F1001" s="10" t="n"/>
      <c r="G1001" s="10">
        <f>IF(F1001="","",MIN(F1001,100))</f>
        <v/>
      </c>
      <c r="H1001" s="11">
        <f>IF(A1001="","",Universe!E1001/BDP(A1001&amp;" US Equity","HIGH_52WEEK")*100)</f>
        <v/>
      </c>
      <c r="I1001">
        <f>IF(D1001="","",D1001&gt;=5)</f>
        <v/>
      </c>
      <c r="J1001">
        <f>IF(F1001="","",F1001&gt;=5)</f>
        <v/>
      </c>
      <c r="K1001">
        <f>IF(H1001="","",H1001&gt;=75)</f>
        <v/>
      </c>
      <c r="L1001">
        <f>IF(OR(I1001="",J1001="",K1001=""),FALSE,AND(I1001,J1001,K1001))</f>
        <v/>
      </c>
    </row>
    <row r="1002">
      <c r="A1002">
        <f>Universe!A1002</f>
        <v/>
      </c>
      <c r="B1002" s="10" t="n"/>
      <c r="C1002" s="11">
        <f>IF(B1002="","",PERCENTRANK.INC($B$2:$B$2501,B1002)*100)</f>
        <v/>
      </c>
      <c r="D1002" s="10" t="n"/>
      <c r="E1002" s="10">
        <f>IF(D1002="","",MIN(D1002,100))</f>
        <v/>
      </c>
      <c r="F1002" s="10" t="n"/>
      <c r="G1002" s="10">
        <f>IF(F1002="","",MIN(F1002,100))</f>
        <v/>
      </c>
      <c r="H1002" s="11">
        <f>IF(A1002="","",Universe!E1002/BDP(A1002&amp;" US Equity","HIGH_52WEEK")*100)</f>
        <v/>
      </c>
      <c r="I1002">
        <f>IF(D1002="","",D1002&gt;=5)</f>
        <v/>
      </c>
      <c r="J1002">
        <f>IF(F1002="","",F1002&gt;=5)</f>
        <v/>
      </c>
      <c r="K1002">
        <f>IF(H1002="","",H1002&gt;=75)</f>
        <v/>
      </c>
      <c r="L1002">
        <f>IF(OR(I1002="",J1002="",K1002=""),FALSE,AND(I1002,J1002,K1002))</f>
        <v/>
      </c>
    </row>
    <row r="1003">
      <c r="A1003">
        <f>Universe!A1003</f>
        <v/>
      </c>
      <c r="B1003" s="10" t="n"/>
      <c r="C1003" s="11">
        <f>IF(B1003="","",PERCENTRANK.INC($B$2:$B$2501,B1003)*100)</f>
        <v/>
      </c>
      <c r="D1003" s="10" t="n"/>
      <c r="E1003" s="10">
        <f>IF(D1003="","",MIN(D1003,100))</f>
        <v/>
      </c>
      <c r="F1003" s="10" t="n"/>
      <c r="G1003" s="10">
        <f>IF(F1003="","",MIN(F1003,100))</f>
        <v/>
      </c>
      <c r="H1003" s="11">
        <f>IF(A1003="","",Universe!E1003/BDP(A1003&amp;" US Equity","HIGH_52WEEK")*100)</f>
        <v/>
      </c>
      <c r="I1003">
        <f>IF(D1003="","",D1003&gt;=5)</f>
        <v/>
      </c>
      <c r="J1003">
        <f>IF(F1003="","",F1003&gt;=5)</f>
        <v/>
      </c>
      <c r="K1003">
        <f>IF(H1003="","",H1003&gt;=75)</f>
        <v/>
      </c>
      <c r="L1003">
        <f>IF(OR(I1003="",J1003="",K1003=""),FALSE,AND(I1003,J1003,K1003))</f>
        <v/>
      </c>
    </row>
    <row r="1004">
      <c r="A1004">
        <f>Universe!A1004</f>
        <v/>
      </c>
      <c r="B1004" s="10" t="n"/>
      <c r="C1004" s="11">
        <f>IF(B1004="","",PERCENTRANK.INC($B$2:$B$2501,B1004)*100)</f>
        <v/>
      </c>
      <c r="D1004" s="10" t="n"/>
      <c r="E1004" s="10">
        <f>IF(D1004="","",MIN(D1004,100))</f>
        <v/>
      </c>
      <c r="F1004" s="10" t="n"/>
      <c r="G1004" s="10">
        <f>IF(F1004="","",MIN(F1004,100))</f>
        <v/>
      </c>
      <c r="H1004" s="11">
        <f>IF(A1004="","",Universe!E1004/BDP(A1004&amp;" US Equity","HIGH_52WEEK")*100)</f>
        <v/>
      </c>
      <c r="I1004">
        <f>IF(D1004="","",D1004&gt;=5)</f>
        <v/>
      </c>
      <c r="J1004">
        <f>IF(F1004="","",F1004&gt;=5)</f>
        <v/>
      </c>
      <c r="K1004">
        <f>IF(H1004="","",H1004&gt;=75)</f>
        <v/>
      </c>
      <c r="L1004">
        <f>IF(OR(I1004="",J1004="",K1004=""),FALSE,AND(I1004,J1004,K1004))</f>
        <v/>
      </c>
    </row>
    <row r="1005">
      <c r="A1005">
        <f>Universe!A1005</f>
        <v/>
      </c>
      <c r="B1005" s="10" t="n"/>
      <c r="C1005" s="11">
        <f>IF(B1005="","",PERCENTRANK.INC($B$2:$B$2501,B1005)*100)</f>
        <v/>
      </c>
      <c r="D1005" s="10" t="n"/>
      <c r="E1005" s="10">
        <f>IF(D1005="","",MIN(D1005,100))</f>
        <v/>
      </c>
      <c r="F1005" s="10" t="n"/>
      <c r="G1005" s="10">
        <f>IF(F1005="","",MIN(F1005,100))</f>
        <v/>
      </c>
      <c r="H1005" s="11">
        <f>IF(A1005="","",Universe!E1005/BDP(A1005&amp;" US Equity","HIGH_52WEEK")*100)</f>
        <v/>
      </c>
      <c r="I1005">
        <f>IF(D1005="","",D1005&gt;=5)</f>
        <v/>
      </c>
      <c r="J1005">
        <f>IF(F1005="","",F1005&gt;=5)</f>
        <v/>
      </c>
      <c r="K1005">
        <f>IF(H1005="","",H1005&gt;=75)</f>
        <v/>
      </c>
      <c r="L1005">
        <f>IF(OR(I1005="",J1005="",K1005=""),FALSE,AND(I1005,J1005,K1005))</f>
        <v/>
      </c>
    </row>
    <row r="1006">
      <c r="A1006">
        <f>Universe!A1006</f>
        <v/>
      </c>
      <c r="B1006" s="10" t="n"/>
      <c r="C1006" s="11">
        <f>IF(B1006="","",PERCENTRANK.INC($B$2:$B$2501,B1006)*100)</f>
        <v/>
      </c>
      <c r="D1006" s="10" t="n"/>
      <c r="E1006" s="10">
        <f>IF(D1006="","",MIN(D1006,100))</f>
        <v/>
      </c>
      <c r="F1006" s="10" t="n"/>
      <c r="G1006" s="10">
        <f>IF(F1006="","",MIN(F1006,100))</f>
        <v/>
      </c>
      <c r="H1006" s="11">
        <f>IF(A1006="","",Universe!E1006/BDP(A1006&amp;" US Equity","HIGH_52WEEK")*100)</f>
        <v/>
      </c>
      <c r="I1006">
        <f>IF(D1006="","",D1006&gt;=5)</f>
        <v/>
      </c>
      <c r="J1006">
        <f>IF(F1006="","",F1006&gt;=5)</f>
        <v/>
      </c>
      <c r="K1006">
        <f>IF(H1006="","",H1006&gt;=75)</f>
        <v/>
      </c>
      <c r="L1006">
        <f>IF(OR(I1006="",J1006="",K1006=""),FALSE,AND(I1006,J1006,K1006))</f>
        <v/>
      </c>
    </row>
    <row r="1007">
      <c r="A1007">
        <f>Universe!A1007</f>
        <v/>
      </c>
      <c r="B1007" s="10" t="n"/>
      <c r="C1007" s="11">
        <f>IF(B1007="","",PERCENTRANK.INC($B$2:$B$2501,B1007)*100)</f>
        <v/>
      </c>
      <c r="D1007" s="10" t="n"/>
      <c r="E1007" s="10">
        <f>IF(D1007="","",MIN(D1007,100))</f>
        <v/>
      </c>
      <c r="F1007" s="10" t="n"/>
      <c r="G1007" s="10">
        <f>IF(F1007="","",MIN(F1007,100))</f>
        <v/>
      </c>
      <c r="H1007" s="11">
        <f>IF(A1007="","",Universe!E1007/BDP(A1007&amp;" US Equity","HIGH_52WEEK")*100)</f>
        <v/>
      </c>
      <c r="I1007">
        <f>IF(D1007="","",D1007&gt;=5)</f>
        <v/>
      </c>
      <c r="J1007">
        <f>IF(F1007="","",F1007&gt;=5)</f>
        <v/>
      </c>
      <c r="K1007">
        <f>IF(H1007="","",H1007&gt;=75)</f>
        <v/>
      </c>
      <c r="L1007">
        <f>IF(OR(I1007="",J1007="",K1007=""),FALSE,AND(I1007,J1007,K1007))</f>
        <v/>
      </c>
    </row>
    <row r="1008">
      <c r="A1008">
        <f>Universe!A1008</f>
        <v/>
      </c>
      <c r="B1008" s="10" t="n"/>
      <c r="C1008" s="11">
        <f>IF(B1008="","",PERCENTRANK.INC($B$2:$B$2501,B1008)*100)</f>
        <v/>
      </c>
      <c r="D1008" s="10" t="n"/>
      <c r="E1008" s="10">
        <f>IF(D1008="","",MIN(D1008,100))</f>
        <v/>
      </c>
      <c r="F1008" s="10" t="n"/>
      <c r="G1008" s="10">
        <f>IF(F1008="","",MIN(F1008,100))</f>
        <v/>
      </c>
      <c r="H1008" s="11">
        <f>IF(A1008="","",Universe!E1008/BDP(A1008&amp;" US Equity","HIGH_52WEEK")*100)</f>
        <v/>
      </c>
      <c r="I1008">
        <f>IF(D1008="","",D1008&gt;=5)</f>
        <v/>
      </c>
      <c r="J1008">
        <f>IF(F1008="","",F1008&gt;=5)</f>
        <v/>
      </c>
      <c r="K1008">
        <f>IF(H1008="","",H1008&gt;=75)</f>
        <v/>
      </c>
      <c r="L1008">
        <f>IF(OR(I1008="",J1008="",K1008=""),FALSE,AND(I1008,J1008,K1008))</f>
        <v/>
      </c>
    </row>
    <row r="1009">
      <c r="A1009">
        <f>Universe!A1009</f>
        <v/>
      </c>
      <c r="B1009" s="10" t="n"/>
      <c r="C1009" s="11">
        <f>IF(B1009="","",PERCENTRANK.INC($B$2:$B$2501,B1009)*100)</f>
        <v/>
      </c>
      <c r="D1009" s="10" t="n"/>
      <c r="E1009" s="10">
        <f>IF(D1009="","",MIN(D1009,100))</f>
        <v/>
      </c>
      <c r="F1009" s="10" t="n"/>
      <c r="G1009" s="10">
        <f>IF(F1009="","",MIN(F1009,100))</f>
        <v/>
      </c>
      <c r="H1009" s="11">
        <f>IF(A1009="","",Universe!E1009/BDP(A1009&amp;" US Equity","HIGH_52WEEK")*100)</f>
        <v/>
      </c>
      <c r="I1009">
        <f>IF(D1009="","",D1009&gt;=5)</f>
        <v/>
      </c>
      <c r="J1009">
        <f>IF(F1009="","",F1009&gt;=5)</f>
        <v/>
      </c>
      <c r="K1009">
        <f>IF(H1009="","",H1009&gt;=75)</f>
        <v/>
      </c>
      <c r="L1009">
        <f>IF(OR(I1009="",J1009="",K1009=""),FALSE,AND(I1009,J1009,K1009))</f>
        <v/>
      </c>
    </row>
    <row r="1010">
      <c r="A1010">
        <f>Universe!A1010</f>
        <v/>
      </c>
      <c r="B1010" s="10" t="n"/>
      <c r="C1010" s="11">
        <f>IF(B1010="","",PERCENTRANK.INC($B$2:$B$2501,B1010)*100)</f>
        <v/>
      </c>
      <c r="D1010" s="10" t="n"/>
      <c r="E1010" s="10">
        <f>IF(D1010="","",MIN(D1010,100))</f>
        <v/>
      </c>
      <c r="F1010" s="10" t="n"/>
      <c r="G1010" s="10">
        <f>IF(F1010="","",MIN(F1010,100))</f>
        <v/>
      </c>
      <c r="H1010" s="11">
        <f>IF(A1010="","",Universe!E1010/BDP(A1010&amp;" US Equity","HIGH_52WEEK")*100)</f>
        <v/>
      </c>
      <c r="I1010">
        <f>IF(D1010="","",D1010&gt;=5)</f>
        <v/>
      </c>
      <c r="J1010">
        <f>IF(F1010="","",F1010&gt;=5)</f>
        <v/>
      </c>
      <c r="K1010">
        <f>IF(H1010="","",H1010&gt;=75)</f>
        <v/>
      </c>
      <c r="L1010">
        <f>IF(OR(I1010="",J1010="",K1010=""),FALSE,AND(I1010,J1010,K1010))</f>
        <v/>
      </c>
    </row>
    <row r="1011">
      <c r="A1011">
        <f>Universe!A1011</f>
        <v/>
      </c>
      <c r="B1011" s="10" t="n"/>
      <c r="C1011" s="11">
        <f>IF(B1011="","",PERCENTRANK.INC($B$2:$B$2501,B1011)*100)</f>
        <v/>
      </c>
      <c r="D1011" s="10" t="n"/>
      <c r="E1011" s="10">
        <f>IF(D1011="","",MIN(D1011,100))</f>
        <v/>
      </c>
      <c r="F1011" s="10" t="n"/>
      <c r="G1011" s="10">
        <f>IF(F1011="","",MIN(F1011,100))</f>
        <v/>
      </c>
      <c r="H1011" s="11">
        <f>IF(A1011="","",Universe!E1011/BDP(A1011&amp;" US Equity","HIGH_52WEEK")*100)</f>
        <v/>
      </c>
      <c r="I1011">
        <f>IF(D1011="","",D1011&gt;=5)</f>
        <v/>
      </c>
      <c r="J1011">
        <f>IF(F1011="","",F1011&gt;=5)</f>
        <v/>
      </c>
      <c r="K1011">
        <f>IF(H1011="","",H1011&gt;=75)</f>
        <v/>
      </c>
      <c r="L1011">
        <f>IF(OR(I1011="",J1011="",K1011=""),FALSE,AND(I1011,J1011,K1011))</f>
        <v/>
      </c>
    </row>
    <row r="1012">
      <c r="A1012">
        <f>Universe!A1012</f>
        <v/>
      </c>
      <c r="B1012" s="10" t="n"/>
      <c r="C1012" s="11">
        <f>IF(B1012="","",PERCENTRANK.INC($B$2:$B$2501,B1012)*100)</f>
        <v/>
      </c>
      <c r="D1012" s="10" t="n"/>
      <c r="E1012" s="10">
        <f>IF(D1012="","",MIN(D1012,100))</f>
        <v/>
      </c>
      <c r="F1012" s="10" t="n"/>
      <c r="G1012" s="10">
        <f>IF(F1012="","",MIN(F1012,100))</f>
        <v/>
      </c>
      <c r="H1012" s="11">
        <f>IF(A1012="","",Universe!E1012/BDP(A1012&amp;" US Equity","HIGH_52WEEK")*100)</f>
        <v/>
      </c>
      <c r="I1012">
        <f>IF(D1012="","",D1012&gt;=5)</f>
        <v/>
      </c>
      <c r="J1012">
        <f>IF(F1012="","",F1012&gt;=5)</f>
        <v/>
      </c>
      <c r="K1012">
        <f>IF(H1012="","",H1012&gt;=75)</f>
        <v/>
      </c>
      <c r="L1012">
        <f>IF(OR(I1012="",J1012="",K1012=""),FALSE,AND(I1012,J1012,K1012))</f>
        <v/>
      </c>
    </row>
    <row r="1013">
      <c r="A1013">
        <f>Universe!A1013</f>
        <v/>
      </c>
      <c r="B1013" s="10" t="n"/>
      <c r="C1013" s="11">
        <f>IF(B1013="","",PERCENTRANK.INC($B$2:$B$2501,B1013)*100)</f>
        <v/>
      </c>
      <c r="D1013" s="10" t="n"/>
      <c r="E1013" s="10">
        <f>IF(D1013="","",MIN(D1013,100))</f>
        <v/>
      </c>
      <c r="F1013" s="10" t="n"/>
      <c r="G1013" s="10">
        <f>IF(F1013="","",MIN(F1013,100))</f>
        <v/>
      </c>
      <c r="H1013" s="11">
        <f>IF(A1013="","",Universe!E1013/BDP(A1013&amp;" US Equity","HIGH_52WEEK")*100)</f>
        <v/>
      </c>
      <c r="I1013">
        <f>IF(D1013="","",D1013&gt;=5)</f>
        <v/>
      </c>
      <c r="J1013">
        <f>IF(F1013="","",F1013&gt;=5)</f>
        <v/>
      </c>
      <c r="K1013">
        <f>IF(H1013="","",H1013&gt;=75)</f>
        <v/>
      </c>
      <c r="L1013">
        <f>IF(OR(I1013="",J1013="",K1013=""),FALSE,AND(I1013,J1013,K1013))</f>
        <v/>
      </c>
    </row>
    <row r="1014">
      <c r="A1014">
        <f>Universe!A1014</f>
        <v/>
      </c>
      <c r="B1014" s="10" t="n"/>
      <c r="C1014" s="11">
        <f>IF(B1014="","",PERCENTRANK.INC($B$2:$B$2501,B1014)*100)</f>
        <v/>
      </c>
      <c r="D1014" s="10" t="n"/>
      <c r="E1014" s="10">
        <f>IF(D1014="","",MIN(D1014,100))</f>
        <v/>
      </c>
      <c r="F1014" s="10" t="n"/>
      <c r="G1014" s="10">
        <f>IF(F1014="","",MIN(F1014,100))</f>
        <v/>
      </c>
      <c r="H1014" s="11">
        <f>IF(A1014="","",Universe!E1014/BDP(A1014&amp;" US Equity","HIGH_52WEEK")*100)</f>
        <v/>
      </c>
      <c r="I1014">
        <f>IF(D1014="","",D1014&gt;=5)</f>
        <v/>
      </c>
      <c r="J1014">
        <f>IF(F1014="","",F1014&gt;=5)</f>
        <v/>
      </c>
      <c r="K1014">
        <f>IF(H1014="","",H1014&gt;=75)</f>
        <v/>
      </c>
      <c r="L1014">
        <f>IF(OR(I1014="",J1014="",K1014=""),FALSE,AND(I1014,J1014,K1014))</f>
        <v/>
      </c>
    </row>
    <row r="1015">
      <c r="A1015">
        <f>Universe!A1015</f>
        <v/>
      </c>
      <c r="B1015" s="10" t="n"/>
      <c r="C1015" s="11">
        <f>IF(B1015="","",PERCENTRANK.INC($B$2:$B$2501,B1015)*100)</f>
        <v/>
      </c>
      <c r="D1015" s="10" t="n"/>
      <c r="E1015" s="10">
        <f>IF(D1015="","",MIN(D1015,100))</f>
        <v/>
      </c>
      <c r="F1015" s="10" t="n"/>
      <c r="G1015" s="10">
        <f>IF(F1015="","",MIN(F1015,100))</f>
        <v/>
      </c>
      <c r="H1015" s="11">
        <f>IF(A1015="","",Universe!E1015/BDP(A1015&amp;" US Equity","HIGH_52WEEK")*100)</f>
        <v/>
      </c>
      <c r="I1015">
        <f>IF(D1015="","",D1015&gt;=5)</f>
        <v/>
      </c>
      <c r="J1015">
        <f>IF(F1015="","",F1015&gt;=5)</f>
        <v/>
      </c>
      <c r="K1015">
        <f>IF(H1015="","",H1015&gt;=75)</f>
        <v/>
      </c>
      <c r="L1015">
        <f>IF(OR(I1015="",J1015="",K1015=""),FALSE,AND(I1015,J1015,K1015))</f>
        <v/>
      </c>
    </row>
    <row r="1016">
      <c r="A1016">
        <f>Universe!A1016</f>
        <v/>
      </c>
      <c r="B1016" s="10" t="n"/>
      <c r="C1016" s="11">
        <f>IF(B1016="","",PERCENTRANK.INC($B$2:$B$2501,B1016)*100)</f>
        <v/>
      </c>
      <c r="D1016" s="10" t="n"/>
      <c r="E1016" s="10">
        <f>IF(D1016="","",MIN(D1016,100))</f>
        <v/>
      </c>
      <c r="F1016" s="10" t="n"/>
      <c r="G1016" s="10">
        <f>IF(F1016="","",MIN(F1016,100))</f>
        <v/>
      </c>
      <c r="H1016" s="11">
        <f>IF(A1016="","",Universe!E1016/BDP(A1016&amp;" US Equity","HIGH_52WEEK")*100)</f>
        <v/>
      </c>
      <c r="I1016">
        <f>IF(D1016="","",D1016&gt;=5)</f>
        <v/>
      </c>
      <c r="J1016">
        <f>IF(F1016="","",F1016&gt;=5)</f>
        <v/>
      </c>
      <c r="K1016">
        <f>IF(H1016="","",H1016&gt;=75)</f>
        <v/>
      </c>
      <c r="L1016">
        <f>IF(OR(I1016="",J1016="",K1016=""),FALSE,AND(I1016,J1016,K1016))</f>
        <v/>
      </c>
    </row>
    <row r="1017">
      <c r="A1017">
        <f>Universe!A1017</f>
        <v/>
      </c>
      <c r="B1017" s="10" t="n"/>
      <c r="C1017" s="11">
        <f>IF(B1017="","",PERCENTRANK.INC($B$2:$B$2501,B1017)*100)</f>
        <v/>
      </c>
      <c r="D1017" s="10" t="n"/>
      <c r="E1017" s="10">
        <f>IF(D1017="","",MIN(D1017,100))</f>
        <v/>
      </c>
      <c r="F1017" s="10" t="n"/>
      <c r="G1017" s="10">
        <f>IF(F1017="","",MIN(F1017,100))</f>
        <v/>
      </c>
      <c r="H1017" s="11">
        <f>IF(A1017="","",Universe!E1017/BDP(A1017&amp;" US Equity","HIGH_52WEEK")*100)</f>
        <v/>
      </c>
      <c r="I1017">
        <f>IF(D1017="","",D1017&gt;=5)</f>
        <v/>
      </c>
      <c r="J1017">
        <f>IF(F1017="","",F1017&gt;=5)</f>
        <v/>
      </c>
      <c r="K1017">
        <f>IF(H1017="","",H1017&gt;=75)</f>
        <v/>
      </c>
      <c r="L1017">
        <f>IF(OR(I1017="",J1017="",K1017=""),FALSE,AND(I1017,J1017,K1017))</f>
        <v/>
      </c>
    </row>
    <row r="1018">
      <c r="A1018">
        <f>Universe!A1018</f>
        <v/>
      </c>
      <c r="B1018" s="10" t="n"/>
      <c r="C1018" s="11">
        <f>IF(B1018="","",PERCENTRANK.INC($B$2:$B$2501,B1018)*100)</f>
        <v/>
      </c>
      <c r="D1018" s="10" t="n"/>
      <c r="E1018" s="10">
        <f>IF(D1018="","",MIN(D1018,100))</f>
        <v/>
      </c>
      <c r="F1018" s="10" t="n"/>
      <c r="G1018" s="10">
        <f>IF(F1018="","",MIN(F1018,100))</f>
        <v/>
      </c>
      <c r="H1018" s="11">
        <f>IF(A1018="","",Universe!E1018/BDP(A1018&amp;" US Equity","HIGH_52WEEK")*100)</f>
        <v/>
      </c>
      <c r="I1018">
        <f>IF(D1018="","",D1018&gt;=5)</f>
        <v/>
      </c>
      <c r="J1018">
        <f>IF(F1018="","",F1018&gt;=5)</f>
        <v/>
      </c>
      <c r="K1018">
        <f>IF(H1018="","",H1018&gt;=75)</f>
        <v/>
      </c>
      <c r="L1018">
        <f>IF(OR(I1018="",J1018="",K1018=""),FALSE,AND(I1018,J1018,K1018))</f>
        <v/>
      </c>
    </row>
    <row r="1019">
      <c r="A1019">
        <f>Universe!A1019</f>
        <v/>
      </c>
      <c r="B1019" s="10" t="n"/>
      <c r="C1019" s="11">
        <f>IF(B1019="","",PERCENTRANK.INC($B$2:$B$2501,B1019)*100)</f>
        <v/>
      </c>
      <c r="D1019" s="10" t="n"/>
      <c r="E1019" s="10">
        <f>IF(D1019="","",MIN(D1019,100))</f>
        <v/>
      </c>
      <c r="F1019" s="10" t="n"/>
      <c r="G1019" s="10">
        <f>IF(F1019="","",MIN(F1019,100))</f>
        <v/>
      </c>
      <c r="H1019" s="11">
        <f>IF(A1019="","",Universe!E1019/BDP(A1019&amp;" US Equity","HIGH_52WEEK")*100)</f>
        <v/>
      </c>
      <c r="I1019">
        <f>IF(D1019="","",D1019&gt;=5)</f>
        <v/>
      </c>
      <c r="J1019">
        <f>IF(F1019="","",F1019&gt;=5)</f>
        <v/>
      </c>
      <c r="K1019">
        <f>IF(H1019="","",H1019&gt;=75)</f>
        <v/>
      </c>
      <c r="L1019">
        <f>IF(OR(I1019="",J1019="",K1019=""),FALSE,AND(I1019,J1019,K1019))</f>
        <v/>
      </c>
    </row>
    <row r="1020">
      <c r="A1020">
        <f>Universe!A1020</f>
        <v/>
      </c>
      <c r="B1020" s="10" t="n"/>
      <c r="C1020" s="11">
        <f>IF(B1020="","",PERCENTRANK.INC($B$2:$B$2501,B1020)*100)</f>
        <v/>
      </c>
      <c r="D1020" s="10" t="n"/>
      <c r="E1020" s="10">
        <f>IF(D1020="","",MIN(D1020,100))</f>
        <v/>
      </c>
      <c r="F1020" s="10" t="n"/>
      <c r="G1020" s="10">
        <f>IF(F1020="","",MIN(F1020,100))</f>
        <v/>
      </c>
      <c r="H1020" s="11">
        <f>IF(A1020="","",Universe!E1020/BDP(A1020&amp;" US Equity","HIGH_52WEEK")*100)</f>
        <v/>
      </c>
      <c r="I1020">
        <f>IF(D1020="","",D1020&gt;=5)</f>
        <v/>
      </c>
      <c r="J1020">
        <f>IF(F1020="","",F1020&gt;=5)</f>
        <v/>
      </c>
      <c r="K1020">
        <f>IF(H1020="","",H1020&gt;=75)</f>
        <v/>
      </c>
      <c r="L1020">
        <f>IF(OR(I1020="",J1020="",K1020=""),FALSE,AND(I1020,J1020,K1020))</f>
        <v/>
      </c>
    </row>
    <row r="1021">
      <c r="A1021">
        <f>Universe!A1021</f>
        <v/>
      </c>
      <c r="B1021" s="10" t="n"/>
      <c r="C1021" s="11">
        <f>IF(B1021="","",PERCENTRANK.INC($B$2:$B$2501,B1021)*100)</f>
        <v/>
      </c>
      <c r="D1021" s="10" t="n"/>
      <c r="E1021" s="10">
        <f>IF(D1021="","",MIN(D1021,100))</f>
        <v/>
      </c>
      <c r="F1021" s="10" t="n"/>
      <c r="G1021" s="10">
        <f>IF(F1021="","",MIN(F1021,100))</f>
        <v/>
      </c>
      <c r="H1021" s="11">
        <f>IF(A1021="","",Universe!E1021/BDP(A1021&amp;" US Equity","HIGH_52WEEK")*100)</f>
        <v/>
      </c>
      <c r="I1021">
        <f>IF(D1021="","",D1021&gt;=5)</f>
        <v/>
      </c>
      <c r="J1021">
        <f>IF(F1021="","",F1021&gt;=5)</f>
        <v/>
      </c>
      <c r="K1021">
        <f>IF(H1021="","",H1021&gt;=75)</f>
        <v/>
      </c>
      <c r="L1021">
        <f>IF(OR(I1021="",J1021="",K1021=""),FALSE,AND(I1021,J1021,K1021))</f>
        <v/>
      </c>
    </row>
    <row r="1022">
      <c r="A1022">
        <f>Universe!A1022</f>
        <v/>
      </c>
      <c r="B1022" s="10" t="n"/>
      <c r="C1022" s="11">
        <f>IF(B1022="","",PERCENTRANK.INC($B$2:$B$2501,B1022)*100)</f>
        <v/>
      </c>
      <c r="D1022" s="10" t="n"/>
      <c r="E1022" s="10">
        <f>IF(D1022="","",MIN(D1022,100))</f>
        <v/>
      </c>
      <c r="F1022" s="10" t="n"/>
      <c r="G1022" s="10">
        <f>IF(F1022="","",MIN(F1022,100))</f>
        <v/>
      </c>
      <c r="H1022" s="11">
        <f>IF(A1022="","",Universe!E1022/BDP(A1022&amp;" US Equity","HIGH_52WEEK")*100)</f>
        <v/>
      </c>
      <c r="I1022">
        <f>IF(D1022="","",D1022&gt;=5)</f>
        <v/>
      </c>
      <c r="J1022">
        <f>IF(F1022="","",F1022&gt;=5)</f>
        <v/>
      </c>
      <c r="K1022">
        <f>IF(H1022="","",H1022&gt;=75)</f>
        <v/>
      </c>
      <c r="L1022">
        <f>IF(OR(I1022="",J1022="",K1022=""),FALSE,AND(I1022,J1022,K1022))</f>
        <v/>
      </c>
    </row>
    <row r="1023">
      <c r="A1023">
        <f>Universe!A1023</f>
        <v/>
      </c>
      <c r="B1023" s="10" t="n"/>
      <c r="C1023" s="11">
        <f>IF(B1023="","",PERCENTRANK.INC($B$2:$B$2501,B1023)*100)</f>
        <v/>
      </c>
      <c r="D1023" s="10" t="n"/>
      <c r="E1023" s="10">
        <f>IF(D1023="","",MIN(D1023,100))</f>
        <v/>
      </c>
      <c r="F1023" s="10" t="n"/>
      <c r="G1023" s="10">
        <f>IF(F1023="","",MIN(F1023,100))</f>
        <v/>
      </c>
      <c r="H1023" s="11">
        <f>IF(A1023="","",Universe!E1023/BDP(A1023&amp;" US Equity","HIGH_52WEEK")*100)</f>
        <v/>
      </c>
      <c r="I1023">
        <f>IF(D1023="","",D1023&gt;=5)</f>
        <v/>
      </c>
      <c r="J1023">
        <f>IF(F1023="","",F1023&gt;=5)</f>
        <v/>
      </c>
      <c r="K1023">
        <f>IF(H1023="","",H1023&gt;=75)</f>
        <v/>
      </c>
      <c r="L1023">
        <f>IF(OR(I1023="",J1023="",K1023=""),FALSE,AND(I1023,J1023,K1023))</f>
        <v/>
      </c>
    </row>
    <row r="1024">
      <c r="A1024">
        <f>Universe!A1024</f>
        <v/>
      </c>
      <c r="B1024" s="10" t="n"/>
      <c r="C1024" s="11">
        <f>IF(B1024="","",PERCENTRANK.INC($B$2:$B$2501,B1024)*100)</f>
        <v/>
      </c>
      <c r="D1024" s="10" t="n"/>
      <c r="E1024" s="10">
        <f>IF(D1024="","",MIN(D1024,100))</f>
        <v/>
      </c>
      <c r="F1024" s="10" t="n"/>
      <c r="G1024" s="10">
        <f>IF(F1024="","",MIN(F1024,100))</f>
        <v/>
      </c>
      <c r="H1024" s="11">
        <f>IF(A1024="","",Universe!E1024/BDP(A1024&amp;" US Equity","HIGH_52WEEK")*100)</f>
        <v/>
      </c>
      <c r="I1024">
        <f>IF(D1024="","",D1024&gt;=5)</f>
        <v/>
      </c>
      <c r="J1024">
        <f>IF(F1024="","",F1024&gt;=5)</f>
        <v/>
      </c>
      <c r="K1024">
        <f>IF(H1024="","",H1024&gt;=75)</f>
        <v/>
      </c>
      <c r="L1024">
        <f>IF(OR(I1024="",J1024="",K1024=""),FALSE,AND(I1024,J1024,K1024))</f>
        <v/>
      </c>
    </row>
    <row r="1025">
      <c r="A1025">
        <f>Universe!A1025</f>
        <v/>
      </c>
      <c r="B1025" s="10" t="n"/>
      <c r="C1025" s="11">
        <f>IF(B1025="","",PERCENTRANK.INC($B$2:$B$2501,B1025)*100)</f>
        <v/>
      </c>
      <c r="D1025" s="10" t="n"/>
      <c r="E1025" s="10">
        <f>IF(D1025="","",MIN(D1025,100))</f>
        <v/>
      </c>
      <c r="F1025" s="10" t="n"/>
      <c r="G1025" s="10">
        <f>IF(F1025="","",MIN(F1025,100))</f>
        <v/>
      </c>
      <c r="H1025" s="11">
        <f>IF(A1025="","",Universe!E1025/BDP(A1025&amp;" US Equity","HIGH_52WEEK")*100)</f>
        <v/>
      </c>
      <c r="I1025">
        <f>IF(D1025="","",D1025&gt;=5)</f>
        <v/>
      </c>
      <c r="J1025">
        <f>IF(F1025="","",F1025&gt;=5)</f>
        <v/>
      </c>
      <c r="K1025">
        <f>IF(H1025="","",H1025&gt;=75)</f>
        <v/>
      </c>
      <c r="L1025">
        <f>IF(OR(I1025="",J1025="",K1025=""),FALSE,AND(I1025,J1025,K1025))</f>
        <v/>
      </c>
    </row>
    <row r="1026">
      <c r="A1026">
        <f>Universe!A1026</f>
        <v/>
      </c>
      <c r="B1026" s="10" t="n"/>
      <c r="C1026" s="11">
        <f>IF(B1026="","",PERCENTRANK.INC($B$2:$B$2501,B1026)*100)</f>
        <v/>
      </c>
      <c r="D1026" s="10" t="n"/>
      <c r="E1026" s="10">
        <f>IF(D1026="","",MIN(D1026,100))</f>
        <v/>
      </c>
      <c r="F1026" s="10" t="n"/>
      <c r="G1026" s="10">
        <f>IF(F1026="","",MIN(F1026,100))</f>
        <v/>
      </c>
      <c r="H1026" s="11">
        <f>IF(A1026="","",Universe!E1026/BDP(A1026&amp;" US Equity","HIGH_52WEEK")*100)</f>
        <v/>
      </c>
      <c r="I1026">
        <f>IF(D1026="","",D1026&gt;=5)</f>
        <v/>
      </c>
      <c r="J1026">
        <f>IF(F1026="","",F1026&gt;=5)</f>
        <v/>
      </c>
      <c r="K1026">
        <f>IF(H1026="","",H1026&gt;=75)</f>
        <v/>
      </c>
      <c r="L1026">
        <f>IF(OR(I1026="",J1026="",K1026=""),FALSE,AND(I1026,J1026,K1026))</f>
        <v/>
      </c>
    </row>
    <row r="1027">
      <c r="A1027">
        <f>Universe!A1027</f>
        <v/>
      </c>
      <c r="B1027" s="10" t="n"/>
      <c r="C1027" s="11">
        <f>IF(B1027="","",PERCENTRANK.INC($B$2:$B$2501,B1027)*100)</f>
        <v/>
      </c>
      <c r="D1027" s="10" t="n"/>
      <c r="E1027" s="10">
        <f>IF(D1027="","",MIN(D1027,100))</f>
        <v/>
      </c>
      <c r="F1027" s="10" t="n"/>
      <c r="G1027" s="10">
        <f>IF(F1027="","",MIN(F1027,100))</f>
        <v/>
      </c>
      <c r="H1027" s="11">
        <f>IF(A1027="","",Universe!E1027/BDP(A1027&amp;" US Equity","HIGH_52WEEK")*100)</f>
        <v/>
      </c>
      <c r="I1027">
        <f>IF(D1027="","",D1027&gt;=5)</f>
        <v/>
      </c>
      <c r="J1027">
        <f>IF(F1027="","",F1027&gt;=5)</f>
        <v/>
      </c>
      <c r="K1027">
        <f>IF(H1027="","",H1027&gt;=75)</f>
        <v/>
      </c>
      <c r="L1027">
        <f>IF(OR(I1027="",J1027="",K1027=""),FALSE,AND(I1027,J1027,K1027))</f>
        <v/>
      </c>
    </row>
    <row r="1028">
      <c r="A1028">
        <f>Universe!A1028</f>
        <v/>
      </c>
      <c r="B1028" s="10" t="n"/>
      <c r="C1028" s="11">
        <f>IF(B1028="","",PERCENTRANK.INC($B$2:$B$2501,B1028)*100)</f>
        <v/>
      </c>
      <c r="D1028" s="10" t="n"/>
      <c r="E1028" s="10">
        <f>IF(D1028="","",MIN(D1028,100))</f>
        <v/>
      </c>
      <c r="F1028" s="10" t="n"/>
      <c r="G1028" s="10">
        <f>IF(F1028="","",MIN(F1028,100))</f>
        <v/>
      </c>
      <c r="H1028" s="11">
        <f>IF(A1028="","",Universe!E1028/BDP(A1028&amp;" US Equity","HIGH_52WEEK")*100)</f>
        <v/>
      </c>
      <c r="I1028">
        <f>IF(D1028="","",D1028&gt;=5)</f>
        <v/>
      </c>
      <c r="J1028">
        <f>IF(F1028="","",F1028&gt;=5)</f>
        <v/>
      </c>
      <c r="K1028">
        <f>IF(H1028="","",H1028&gt;=75)</f>
        <v/>
      </c>
      <c r="L1028">
        <f>IF(OR(I1028="",J1028="",K1028=""),FALSE,AND(I1028,J1028,K1028))</f>
        <v/>
      </c>
    </row>
    <row r="1029">
      <c r="A1029">
        <f>Universe!A1029</f>
        <v/>
      </c>
      <c r="B1029" s="10" t="n"/>
      <c r="C1029" s="11">
        <f>IF(B1029="","",PERCENTRANK.INC($B$2:$B$2501,B1029)*100)</f>
        <v/>
      </c>
      <c r="D1029" s="10" t="n"/>
      <c r="E1029" s="10">
        <f>IF(D1029="","",MIN(D1029,100))</f>
        <v/>
      </c>
      <c r="F1029" s="10" t="n"/>
      <c r="G1029" s="10">
        <f>IF(F1029="","",MIN(F1029,100))</f>
        <v/>
      </c>
      <c r="H1029" s="11">
        <f>IF(A1029="","",Universe!E1029/BDP(A1029&amp;" US Equity","HIGH_52WEEK")*100)</f>
        <v/>
      </c>
      <c r="I1029">
        <f>IF(D1029="","",D1029&gt;=5)</f>
        <v/>
      </c>
      <c r="J1029">
        <f>IF(F1029="","",F1029&gt;=5)</f>
        <v/>
      </c>
      <c r="K1029">
        <f>IF(H1029="","",H1029&gt;=75)</f>
        <v/>
      </c>
      <c r="L1029">
        <f>IF(OR(I1029="",J1029="",K1029=""),FALSE,AND(I1029,J1029,K1029))</f>
        <v/>
      </c>
    </row>
    <row r="1030">
      <c r="A1030">
        <f>Universe!A1030</f>
        <v/>
      </c>
      <c r="B1030" s="10" t="n"/>
      <c r="C1030" s="11">
        <f>IF(B1030="","",PERCENTRANK.INC($B$2:$B$2501,B1030)*100)</f>
        <v/>
      </c>
      <c r="D1030" s="10" t="n"/>
      <c r="E1030" s="10">
        <f>IF(D1030="","",MIN(D1030,100))</f>
        <v/>
      </c>
      <c r="F1030" s="10" t="n"/>
      <c r="G1030" s="10">
        <f>IF(F1030="","",MIN(F1030,100))</f>
        <v/>
      </c>
      <c r="H1030" s="11">
        <f>IF(A1030="","",Universe!E1030/BDP(A1030&amp;" US Equity","HIGH_52WEEK")*100)</f>
        <v/>
      </c>
      <c r="I1030">
        <f>IF(D1030="","",D1030&gt;=5)</f>
        <v/>
      </c>
      <c r="J1030">
        <f>IF(F1030="","",F1030&gt;=5)</f>
        <v/>
      </c>
      <c r="K1030">
        <f>IF(H1030="","",H1030&gt;=75)</f>
        <v/>
      </c>
      <c r="L1030">
        <f>IF(OR(I1030="",J1030="",K1030=""),FALSE,AND(I1030,J1030,K1030))</f>
        <v/>
      </c>
    </row>
    <row r="1031">
      <c r="A1031">
        <f>Universe!A1031</f>
        <v/>
      </c>
      <c r="B1031" s="10" t="n"/>
      <c r="C1031" s="11">
        <f>IF(B1031="","",PERCENTRANK.INC($B$2:$B$2501,B1031)*100)</f>
        <v/>
      </c>
      <c r="D1031" s="10" t="n"/>
      <c r="E1031" s="10">
        <f>IF(D1031="","",MIN(D1031,100))</f>
        <v/>
      </c>
      <c r="F1031" s="10" t="n"/>
      <c r="G1031" s="10">
        <f>IF(F1031="","",MIN(F1031,100))</f>
        <v/>
      </c>
      <c r="H1031" s="11">
        <f>IF(A1031="","",Universe!E1031/BDP(A1031&amp;" US Equity","HIGH_52WEEK")*100)</f>
        <v/>
      </c>
      <c r="I1031">
        <f>IF(D1031="","",D1031&gt;=5)</f>
        <v/>
      </c>
      <c r="J1031">
        <f>IF(F1031="","",F1031&gt;=5)</f>
        <v/>
      </c>
      <c r="K1031">
        <f>IF(H1031="","",H1031&gt;=75)</f>
        <v/>
      </c>
      <c r="L1031">
        <f>IF(OR(I1031="",J1031="",K1031=""),FALSE,AND(I1031,J1031,K1031))</f>
        <v/>
      </c>
    </row>
    <row r="1032">
      <c r="A1032">
        <f>Universe!A1032</f>
        <v/>
      </c>
      <c r="B1032" s="10" t="n"/>
      <c r="C1032" s="11">
        <f>IF(B1032="","",PERCENTRANK.INC($B$2:$B$2501,B1032)*100)</f>
        <v/>
      </c>
      <c r="D1032" s="10" t="n"/>
      <c r="E1032" s="10">
        <f>IF(D1032="","",MIN(D1032,100))</f>
        <v/>
      </c>
      <c r="F1032" s="10" t="n"/>
      <c r="G1032" s="10">
        <f>IF(F1032="","",MIN(F1032,100))</f>
        <v/>
      </c>
      <c r="H1032" s="11">
        <f>IF(A1032="","",Universe!E1032/BDP(A1032&amp;" US Equity","HIGH_52WEEK")*100)</f>
        <v/>
      </c>
      <c r="I1032">
        <f>IF(D1032="","",D1032&gt;=5)</f>
        <v/>
      </c>
      <c r="J1032">
        <f>IF(F1032="","",F1032&gt;=5)</f>
        <v/>
      </c>
      <c r="K1032">
        <f>IF(H1032="","",H1032&gt;=75)</f>
        <v/>
      </c>
      <c r="L1032">
        <f>IF(OR(I1032="",J1032="",K1032=""),FALSE,AND(I1032,J1032,K1032))</f>
        <v/>
      </c>
    </row>
    <row r="1033">
      <c r="A1033">
        <f>Universe!A1033</f>
        <v/>
      </c>
      <c r="B1033" s="10" t="n"/>
      <c r="C1033" s="11">
        <f>IF(B1033="","",PERCENTRANK.INC($B$2:$B$2501,B1033)*100)</f>
        <v/>
      </c>
      <c r="D1033" s="10" t="n"/>
      <c r="E1033" s="10">
        <f>IF(D1033="","",MIN(D1033,100))</f>
        <v/>
      </c>
      <c r="F1033" s="10" t="n"/>
      <c r="G1033" s="10">
        <f>IF(F1033="","",MIN(F1033,100))</f>
        <v/>
      </c>
      <c r="H1033" s="11">
        <f>IF(A1033="","",Universe!E1033/BDP(A1033&amp;" US Equity","HIGH_52WEEK")*100)</f>
        <v/>
      </c>
      <c r="I1033">
        <f>IF(D1033="","",D1033&gt;=5)</f>
        <v/>
      </c>
      <c r="J1033">
        <f>IF(F1033="","",F1033&gt;=5)</f>
        <v/>
      </c>
      <c r="K1033">
        <f>IF(H1033="","",H1033&gt;=75)</f>
        <v/>
      </c>
      <c r="L1033">
        <f>IF(OR(I1033="",J1033="",K1033=""),FALSE,AND(I1033,J1033,K1033))</f>
        <v/>
      </c>
    </row>
    <row r="1034">
      <c r="A1034">
        <f>Universe!A1034</f>
        <v/>
      </c>
      <c r="B1034" s="10" t="n"/>
      <c r="C1034" s="11">
        <f>IF(B1034="","",PERCENTRANK.INC($B$2:$B$2501,B1034)*100)</f>
        <v/>
      </c>
      <c r="D1034" s="10" t="n"/>
      <c r="E1034" s="10">
        <f>IF(D1034="","",MIN(D1034,100))</f>
        <v/>
      </c>
      <c r="F1034" s="10" t="n"/>
      <c r="G1034" s="10">
        <f>IF(F1034="","",MIN(F1034,100))</f>
        <v/>
      </c>
      <c r="H1034" s="11">
        <f>IF(A1034="","",Universe!E1034/BDP(A1034&amp;" US Equity","HIGH_52WEEK")*100)</f>
        <v/>
      </c>
      <c r="I1034">
        <f>IF(D1034="","",D1034&gt;=5)</f>
        <v/>
      </c>
      <c r="J1034">
        <f>IF(F1034="","",F1034&gt;=5)</f>
        <v/>
      </c>
      <c r="K1034">
        <f>IF(H1034="","",H1034&gt;=75)</f>
        <v/>
      </c>
      <c r="L1034">
        <f>IF(OR(I1034="",J1034="",K1034=""),FALSE,AND(I1034,J1034,K1034))</f>
        <v/>
      </c>
    </row>
    <row r="1035">
      <c r="A1035">
        <f>Universe!A1035</f>
        <v/>
      </c>
      <c r="B1035" s="10" t="n"/>
      <c r="C1035" s="11">
        <f>IF(B1035="","",PERCENTRANK.INC($B$2:$B$2501,B1035)*100)</f>
        <v/>
      </c>
      <c r="D1035" s="10" t="n"/>
      <c r="E1035" s="10">
        <f>IF(D1035="","",MIN(D1035,100))</f>
        <v/>
      </c>
      <c r="F1035" s="10" t="n"/>
      <c r="G1035" s="10">
        <f>IF(F1035="","",MIN(F1035,100))</f>
        <v/>
      </c>
      <c r="H1035" s="11">
        <f>IF(A1035="","",Universe!E1035/BDP(A1035&amp;" US Equity","HIGH_52WEEK")*100)</f>
        <v/>
      </c>
      <c r="I1035">
        <f>IF(D1035="","",D1035&gt;=5)</f>
        <v/>
      </c>
      <c r="J1035">
        <f>IF(F1035="","",F1035&gt;=5)</f>
        <v/>
      </c>
      <c r="K1035">
        <f>IF(H1035="","",H1035&gt;=75)</f>
        <v/>
      </c>
      <c r="L1035">
        <f>IF(OR(I1035="",J1035="",K1035=""),FALSE,AND(I1035,J1035,K1035))</f>
        <v/>
      </c>
    </row>
    <row r="1036">
      <c r="A1036">
        <f>Universe!A1036</f>
        <v/>
      </c>
      <c r="B1036" s="10" t="n"/>
      <c r="C1036" s="11">
        <f>IF(B1036="","",PERCENTRANK.INC($B$2:$B$2501,B1036)*100)</f>
        <v/>
      </c>
      <c r="D1036" s="10" t="n"/>
      <c r="E1036" s="10">
        <f>IF(D1036="","",MIN(D1036,100))</f>
        <v/>
      </c>
      <c r="F1036" s="10" t="n"/>
      <c r="G1036" s="10">
        <f>IF(F1036="","",MIN(F1036,100))</f>
        <v/>
      </c>
      <c r="H1036" s="11">
        <f>IF(A1036="","",Universe!E1036/BDP(A1036&amp;" US Equity","HIGH_52WEEK")*100)</f>
        <v/>
      </c>
      <c r="I1036">
        <f>IF(D1036="","",D1036&gt;=5)</f>
        <v/>
      </c>
      <c r="J1036">
        <f>IF(F1036="","",F1036&gt;=5)</f>
        <v/>
      </c>
      <c r="K1036">
        <f>IF(H1036="","",H1036&gt;=75)</f>
        <v/>
      </c>
      <c r="L1036">
        <f>IF(OR(I1036="",J1036="",K1036=""),FALSE,AND(I1036,J1036,K1036))</f>
        <v/>
      </c>
    </row>
    <row r="1037">
      <c r="A1037">
        <f>Universe!A1037</f>
        <v/>
      </c>
      <c r="B1037" s="10" t="n"/>
      <c r="C1037" s="11">
        <f>IF(B1037="","",PERCENTRANK.INC($B$2:$B$2501,B1037)*100)</f>
        <v/>
      </c>
      <c r="D1037" s="10" t="n"/>
      <c r="E1037" s="10">
        <f>IF(D1037="","",MIN(D1037,100))</f>
        <v/>
      </c>
      <c r="F1037" s="10" t="n"/>
      <c r="G1037" s="10">
        <f>IF(F1037="","",MIN(F1037,100))</f>
        <v/>
      </c>
      <c r="H1037" s="11">
        <f>IF(A1037="","",Universe!E1037/BDP(A1037&amp;" US Equity","HIGH_52WEEK")*100)</f>
        <v/>
      </c>
      <c r="I1037">
        <f>IF(D1037="","",D1037&gt;=5)</f>
        <v/>
      </c>
      <c r="J1037">
        <f>IF(F1037="","",F1037&gt;=5)</f>
        <v/>
      </c>
      <c r="K1037">
        <f>IF(H1037="","",H1037&gt;=75)</f>
        <v/>
      </c>
      <c r="L1037">
        <f>IF(OR(I1037="",J1037="",K1037=""),FALSE,AND(I1037,J1037,K1037))</f>
        <v/>
      </c>
    </row>
    <row r="1038">
      <c r="A1038">
        <f>Universe!A1038</f>
        <v/>
      </c>
      <c r="B1038" s="10" t="n"/>
      <c r="C1038" s="11">
        <f>IF(B1038="","",PERCENTRANK.INC($B$2:$B$2501,B1038)*100)</f>
        <v/>
      </c>
      <c r="D1038" s="10" t="n"/>
      <c r="E1038" s="10">
        <f>IF(D1038="","",MIN(D1038,100))</f>
        <v/>
      </c>
      <c r="F1038" s="10" t="n"/>
      <c r="G1038" s="10">
        <f>IF(F1038="","",MIN(F1038,100))</f>
        <v/>
      </c>
      <c r="H1038" s="11">
        <f>IF(A1038="","",Universe!E1038/BDP(A1038&amp;" US Equity","HIGH_52WEEK")*100)</f>
        <v/>
      </c>
      <c r="I1038">
        <f>IF(D1038="","",D1038&gt;=5)</f>
        <v/>
      </c>
      <c r="J1038">
        <f>IF(F1038="","",F1038&gt;=5)</f>
        <v/>
      </c>
      <c r="K1038">
        <f>IF(H1038="","",H1038&gt;=75)</f>
        <v/>
      </c>
      <c r="L1038">
        <f>IF(OR(I1038="",J1038="",K1038=""),FALSE,AND(I1038,J1038,K1038))</f>
        <v/>
      </c>
    </row>
    <row r="1039">
      <c r="A1039">
        <f>Universe!A1039</f>
        <v/>
      </c>
      <c r="B1039" s="10" t="n"/>
      <c r="C1039" s="11">
        <f>IF(B1039="","",PERCENTRANK.INC($B$2:$B$2501,B1039)*100)</f>
        <v/>
      </c>
      <c r="D1039" s="10" t="n"/>
      <c r="E1039" s="10">
        <f>IF(D1039="","",MIN(D1039,100))</f>
        <v/>
      </c>
      <c r="F1039" s="10" t="n"/>
      <c r="G1039" s="10">
        <f>IF(F1039="","",MIN(F1039,100))</f>
        <v/>
      </c>
      <c r="H1039" s="11">
        <f>IF(A1039="","",Universe!E1039/BDP(A1039&amp;" US Equity","HIGH_52WEEK")*100)</f>
        <v/>
      </c>
      <c r="I1039">
        <f>IF(D1039="","",D1039&gt;=5)</f>
        <v/>
      </c>
      <c r="J1039">
        <f>IF(F1039="","",F1039&gt;=5)</f>
        <v/>
      </c>
      <c r="K1039">
        <f>IF(H1039="","",H1039&gt;=75)</f>
        <v/>
      </c>
      <c r="L1039">
        <f>IF(OR(I1039="",J1039="",K1039=""),FALSE,AND(I1039,J1039,K1039))</f>
        <v/>
      </c>
    </row>
    <row r="1040">
      <c r="A1040">
        <f>Universe!A1040</f>
        <v/>
      </c>
      <c r="B1040" s="10" t="n"/>
      <c r="C1040" s="11">
        <f>IF(B1040="","",PERCENTRANK.INC($B$2:$B$2501,B1040)*100)</f>
        <v/>
      </c>
      <c r="D1040" s="10" t="n"/>
      <c r="E1040" s="10">
        <f>IF(D1040="","",MIN(D1040,100))</f>
        <v/>
      </c>
      <c r="F1040" s="10" t="n"/>
      <c r="G1040" s="10">
        <f>IF(F1040="","",MIN(F1040,100))</f>
        <v/>
      </c>
      <c r="H1040" s="11">
        <f>IF(A1040="","",Universe!E1040/BDP(A1040&amp;" US Equity","HIGH_52WEEK")*100)</f>
        <v/>
      </c>
      <c r="I1040">
        <f>IF(D1040="","",D1040&gt;=5)</f>
        <v/>
      </c>
      <c r="J1040">
        <f>IF(F1040="","",F1040&gt;=5)</f>
        <v/>
      </c>
      <c r="K1040">
        <f>IF(H1040="","",H1040&gt;=75)</f>
        <v/>
      </c>
      <c r="L1040">
        <f>IF(OR(I1040="",J1040="",K1040=""),FALSE,AND(I1040,J1040,K1040))</f>
        <v/>
      </c>
    </row>
    <row r="1041">
      <c r="A1041">
        <f>Universe!A1041</f>
        <v/>
      </c>
      <c r="B1041" s="10" t="n"/>
      <c r="C1041" s="11">
        <f>IF(B1041="","",PERCENTRANK.INC($B$2:$B$2501,B1041)*100)</f>
        <v/>
      </c>
      <c r="D1041" s="10" t="n"/>
      <c r="E1041" s="10">
        <f>IF(D1041="","",MIN(D1041,100))</f>
        <v/>
      </c>
      <c r="F1041" s="10" t="n"/>
      <c r="G1041" s="10">
        <f>IF(F1041="","",MIN(F1041,100))</f>
        <v/>
      </c>
      <c r="H1041" s="11">
        <f>IF(A1041="","",Universe!E1041/BDP(A1041&amp;" US Equity","HIGH_52WEEK")*100)</f>
        <v/>
      </c>
      <c r="I1041">
        <f>IF(D1041="","",D1041&gt;=5)</f>
        <v/>
      </c>
      <c r="J1041">
        <f>IF(F1041="","",F1041&gt;=5)</f>
        <v/>
      </c>
      <c r="K1041">
        <f>IF(H1041="","",H1041&gt;=75)</f>
        <v/>
      </c>
      <c r="L1041">
        <f>IF(OR(I1041="",J1041="",K1041=""),FALSE,AND(I1041,J1041,K1041))</f>
        <v/>
      </c>
    </row>
    <row r="1042">
      <c r="A1042">
        <f>Universe!A1042</f>
        <v/>
      </c>
      <c r="B1042" s="10" t="n"/>
      <c r="C1042" s="11">
        <f>IF(B1042="","",PERCENTRANK.INC($B$2:$B$2501,B1042)*100)</f>
        <v/>
      </c>
      <c r="D1042" s="10" t="n"/>
      <c r="E1042" s="10">
        <f>IF(D1042="","",MIN(D1042,100))</f>
        <v/>
      </c>
      <c r="F1042" s="10" t="n"/>
      <c r="G1042" s="10">
        <f>IF(F1042="","",MIN(F1042,100))</f>
        <v/>
      </c>
      <c r="H1042" s="11">
        <f>IF(A1042="","",Universe!E1042/BDP(A1042&amp;" US Equity","HIGH_52WEEK")*100)</f>
        <v/>
      </c>
      <c r="I1042">
        <f>IF(D1042="","",D1042&gt;=5)</f>
        <v/>
      </c>
      <c r="J1042">
        <f>IF(F1042="","",F1042&gt;=5)</f>
        <v/>
      </c>
      <c r="K1042">
        <f>IF(H1042="","",H1042&gt;=75)</f>
        <v/>
      </c>
      <c r="L1042">
        <f>IF(OR(I1042="",J1042="",K1042=""),FALSE,AND(I1042,J1042,K1042))</f>
        <v/>
      </c>
    </row>
    <row r="1043">
      <c r="A1043">
        <f>Universe!A1043</f>
        <v/>
      </c>
      <c r="B1043" s="10" t="n"/>
      <c r="C1043" s="11">
        <f>IF(B1043="","",PERCENTRANK.INC($B$2:$B$2501,B1043)*100)</f>
        <v/>
      </c>
      <c r="D1043" s="10" t="n"/>
      <c r="E1043" s="10">
        <f>IF(D1043="","",MIN(D1043,100))</f>
        <v/>
      </c>
      <c r="F1043" s="10" t="n"/>
      <c r="G1043" s="10">
        <f>IF(F1043="","",MIN(F1043,100))</f>
        <v/>
      </c>
      <c r="H1043" s="11">
        <f>IF(A1043="","",Universe!E1043/BDP(A1043&amp;" US Equity","HIGH_52WEEK")*100)</f>
        <v/>
      </c>
      <c r="I1043">
        <f>IF(D1043="","",D1043&gt;=5)</f>
        <v/>
      </c>
      <c r="J1043">
        <f>IF(F1043="","",F1043&gt;=5)</f>
        <v/>
      </c>
      <c r="K1043">
        <f>IF(H1043="","",H1043&gt;=75)</f>
        <v/>
      </c>
      <c r="L1043">
        <f>IF(OR(I1043="",J1043="",K1043=""),FALSE,AND(I1043,J1043,K1043))</f>
        <v/>
      </c>
    </row>
    <row r="1044">
      <c r="A1044">
        <f>Universe!A1044</f>
        <v/>
      </c>
      <c r="B1044" s="10" t="n"/>
      <c r="C1044" s="11">
        <f>IF(B1044="","",PERCENTRANK.INC($B$2:$B$2501,B1044)*100)</f>
        <v/>
      </c>
      <c r="D1044" s="10" t="n"/>
      <c r="E1044" s="10">
        <f>IF(D1044="","",MIN(D1044,100))</f>
        <v/>
      </c>
      <c r="F1044" s="10" t="n"/>
      <c r="G1044" s="10">
        <f>IF(F1044="","",MIN(F1044,100))</f>
        <v/>
      </c>
      <c r="H1044" s="11">
        <f>IF(A1044="","",Universe!E1044/BDP(A1044&amp;" US Equity","HIGH_52WEEK")*100)</f>
        <v/>
      </c>
      <c r="I1044">
        <f>IF(D1044="","",D1044&gt;=5)</f>
        <v/>
      </c>
      <c r="J1044">
        <f>IF(F1044="","",F1044&gt;=5)</f>
        <v/>
      </c>
      <c r="K1044">
        <f>IF(H1044="","",H1044&gt;=75)</f>
        <v/>
      </c>
      <c r="L1044">
        <f>IF(OR(I1044="",J1044="",K1044=""),FALSE,AND(I1044,J1044,K1044))</f>
        <v/>
      </c>
    </row>
    <row r="1045">
      <c r="A1045">
        <f>Universe!A1045</f>
        <v/>
      </c>
      <c r="B1045" s="10" t="n"/>
      <c r="C1045" s="11">
        <f>IF(B1045="","",PERCENTRANK.INC($B$2:$B$2501,B1045)*100)</f>
        <v/>
      </c>
      <c r="D1045" s="10" t="n"/>
      <c r="E1045" s="10">
        <f>IF(D1045="","",MIN(D1045,100))</f>
        <v/>
      </c>
      <c r="F1045" s="10" t="n"/>
      <c r="G1045" s="10">
        <f>IF(F1045="","",MIN(F1045,100))</f>
        <v/>
      </c>
      <c r="H1045" s="11">
        <f>IF(A1045="","",Universe!E1045/BDP(A1045&amp;" US Equity","HIGH_52WEEK")*100)</f>
        <v/>
      </c>
      <c r="I1045">
        <f>IF(D1045="","",D1045&gt;=5)</f>
        <v/>
      </c>
      <c r="J1045">
        <f>IF(F1045="","",F1045&gt;=5)</f>
        <v/>
      </c>
      <c r="K1045">
        <f>IF(H1045="","",H1045&gt;=75)</f>
        <v/>
      </c>
      <c r="L1045">
        <f>IF(OR(I1045="",J1045="",K1045=""),FALSE,AND(I1045,J1045,K1045))</f>
        <v/>
      </c>
    </row>
    <row r="1046">
      <c r="A1046">
        <f>Universe!A1046</f>
        <v/>
      </c>
      <c r="B1046" s="10" t="n"/>
      <c r="C1046" s="11">
        <f>IF(B1046="","",PERCENTRANK.INC($B$2:$B$2501,B1046)*100)</f>
        <v/>
      </c>
      <c r="D1046" s="10" t="n"/>
      <c r="E1046" s="10">
        <f>IF(D1046="","",MIN(D1046,100))</f>
        <v/>
      </c>
      <c r="F1046" s="10" t="n"/>
      <c r="G1046" s="10">
        <f>IF(F1046="","",MIN(F1046,100))</f>
        <v/>
      </c>
      <c r="H1046" s="11">
        <f>IF(A1046="","",Universe!E1046/BDP(A1046&amp;" US Equity","HIGH_52WEEK")*100)</f>
        <v/>
      </c>
      <c r="I1046">
        <f>IF(D1046="","",D1046&gt;=5)</f>
        <v/>
      </c>
      <c r="J1046">
        <f>IF(F1046="","",F1046&gt;=5)</f>
        <v/>
      </c>
      <c r="K1046">
        <f>IF(H1046="","",H1046&gt;=75)</f>
        <v/>
      </c>
      <c r="L1046">
        <f>IF(OR(I1046="",J1046="",K1046=""),FALSE,AND(I1046,J1046,K1046))</f>
        <v/>
      </c>
    </row>
    <row r="1047">
      <c r="A1047">
        <f>Universe!A1047</f>
        <v/>
      </c>
      <c r="B1047" s="10" t="n"/>
      <c r="C1047" s="11">
        <f>IF(B1047="","",PERCENTRANK.INC($B$2:$B$2501,B1047)*100)</f>
        <v/>
      </c>
      <c r="D1047" s="10" t="n"/>
      <c r="E1047" s="10">
        <f>IF(D1047="","",MIN(D1047,100))</f>
        <v/>
      </c>
      <c r="F1047" s="10" t="n"/>
      <c r="G1047" s="10">
        <f>IF(F1047="","",MIN(F1047,100))</f>
        <v/>
      </c>
      <c r="H1047" s="11">
        <f>IF(A1047="","",Universe!E1047/BDP(A1047&amp;" US Equity","HIGH_52WEEK")*100)</f>
        <v/>
      </c>
      <c r="I1047">
        <f>IF(D1047="","",D1047&gt;=5)</f>
        <v/>
      </c>
      <c r="J1047">
        <f>IF(F1047="","",F1047&gt;=5)</f>
        <v/>
      </c>
      <c r="K1047">
        <f>IF(H1047="","",H1047&gt;=75)</f>
        <v/>
      </c>
      <c r="L1047">
        <f>IF(OR(I1047="",J1047="",K1047=""),FALSE,AND(I1047,J1047,K1047))</f>
        <v/>
      </c>
    </row>
    <row r="1048">
      <c r="A1048">
        <f>Universe!A1048</f>
        <v/>
      </c>
      <c r="B1048" s="10" t="n"/>
      <c r="C1048" s="11">
        <f>IF(B1048="","",PERCENTRANK.INC($B$2:$B$2501,B1048)*100)</f>
        <v/>
      </c>
      <c r="D1048" s="10" t="n"/>
      <c r="E1048" s="10">
        <f>IF(D1048="","",MIN(D1048,100))</f>
        <v/>
      </c>
      <c r="F1048" s="10" t="n"/>
      <c r="G1048" s="10">
        <f>IF(F1048="","",MIN(F1048,100))</f>
        <v/>
      </c>
      <c r="H1048" s="11">
        <f>IF(A1048="","",Universe!E1048/BDP(A1048&amp;" US Equity","HIGH_52WEEK")*100)</f>
        <v/>
      </c>
      <c r="I1048">
        <f>IF(D1048="","",D1048&gt;=5)</f>
        <v/>
      </c>
      <c r="J1048">
        <f>IF(F1048="","",F1048&gt;=5)</f>
        <v/>
      </c>
      <c r="K1048">
        <f>IF(H1048="","",H1048&gt;=75)</f>
        <v/>
      </c>
      <c r="L1048">
        <f>IF(OR(I1048="",J1048="",K1048=""),FALSE,AND(I1048,J1048,K1048))</f>
        <v/>
      </c>
    </row>
    <row r="1049">
      <c r="A1049">
        <f>Universe!A1049</f>
        <v/>
      </c>
      <c r="B1049" s="10" t="n"/>
      <c r="C1049" s="11">
        <f>IF(B1049="","",PERCENTRANK.INC($B$2:$B$2501,B1049)*100)</f>
        <v/>
      </c>
      <c r="D1049" s="10" t="n"/>
      <c r="E1049" s="10">
        <f>IF(D1049="","",MIN(D1049,100))</f>
        <v/>
      </c>
      <c r="F1049" s="10" t="n"/>
      <c r="G1049" s="10">
        <f>IF(F1049="","",MIN(F1049,100))</f>
        <v/>
      </c>
      <c r="H1049" s="11">
        <f>IF(A1049="","",Universe!E1049/BDP(A1049&amp;" US Equity","HIGH_52WEEK")*100)</f>
        <v/>
      </c>
      <c r="I1049">
        <f>IF(D1049="","",D1049&gt;=5)</f>
        <v/>
      </c>
      <c r="J1049">
        <f>IF(F1049="","",F1049&gt;=5)</f>
        <v/>
      </c>
      <c r="K1049">
        <f>IF(H1049="","",H1049&gt;=75)</f>
        <v/>
      </c>
      <c r="L1049">
        <f>IF(OR(I1049="",J1049="",K1049=""),FALSE,AND(I1049,J1049,K1049))</f>
        <v/>
      </c>
    </row>
    <row r="1050">
      <c r="A1050">
        <f>Universe!A1050</f>
        <v/>
      </c>
      <c r="B1050" s="10" t="n"/>
      <c r="C1050" s="11">
        <f>IF(B1050="","",PERCENTRANK.INC($B$2:$B$2501,B1050)*100)</f>
        <v/>
      </c>
      <c r="D1050" s="10" t="n"/>
      <c r="E1050" s="10">
        <f>IF(D1050="","",MIN(D1050,100))</f>
        <v/>
      </c>
      <c r="F1050" s="10" t="n"/>
      <c r="G1050" s="10">
        <f>IF(F1050="","",MIN(F1050,100))</f>
        <v/>
      </c>
      <c r="H1050" s="11">
        <f>IF(A1050="","",Universe!E1050/BDP(A1050&amp;" US Equity","HIGH_52WEEK")*100)</f>
        <v/>
      </c>
      <c r="I1050">
        <f>IF(D1050="","",D1050&gt;=5)</f>
        <v/>
      </c>
      <c r="J1050">
        <f>IF(F1050="","",F1050&gt;=5)</f>
        <v/>
      </c>
      <c r="K1050">
        <f>IF(H1050="","",H1050&gt;=75)</f>
        <v/>
      </c>
      <c r="L1050">
        <f>IF(OR(I1050="",J1050="",K1050=""),FALSE,AND(I1050,J1050,K1050))</f>
        <v/>
      </c>
    </row>
    <row r="1051">
      <c r="A1051">
        <f>Universe!A1051</f>
        <v/>
      </c>
      <c r="B1051" s="10" t="n"/>
      <c r="C1051" s="11">
        <f>IF(B1051="","",PERCENTRANK.INC($B$2:$B$2501,B1051)*100)</f>
        <v/>
      </c>
      <c r="D1051" s="10" t="n"/>
      <c r="E1051" s="10">
        <f>IF(D1051="","",MIN(D1051,100))</f>
        <v/>
      </c>
      <c r="F1051" s="10" t="n"/>
      <c r="G1051" s="10">
        <f>IF(F1051="","",MIN(F1051,100))</f>
        <v/>
      </c>
      <c r="H1051" s="11">
        <f>IF(A1051="","",Universe!E1051/BDP(A1051&amp;" US Equity","HIGH_52WEEK")*100)</f>
        <v/>
      </c>
      <c r="I1051">
        <f>IF(D1051="","",D1051&gt;=5)</f>
        <v/>
      </c>
      <c r="J1051">
        <f>IF(F1051="","",F1051&gt;=5)</f>
        <v/>
      </c>
      <c r="K1051">
        <f>IF(H1051="","",H1051&gt;=75)</f>
        <v/>
      </c>
      <c r="L1051">
        <f>IF(OR(I1051="",J1051="",K1051=""),FALSE,AND(I1051,J1051,K1051))</f>
        <v/>
      </c>
    </row>
    <row r="1052">
      <c r="A1052">
        <f>Universe!A1052</f>
        <v/>
      </c>
      <c r="B1052" s="10" t="n"/>
      <c r="C1052" s="11">
        <f>IF(B1052="","",PERCENTRANK.INC($B$2:$B$2501,B1052)*100)</f>
        <v/>
      </c>
      <c r="D1052" s="10" t="n"/>
      <c r="E1052" s="10">
        <f>IF(D1052="","",MIN(D1052,100))</f>
        <v/>
      </c>
      <c r="F1052" s="10" t="n"/>
      <c r="G1052" s="10">
        <f>IF(F1052="","",MIN(F1052,100))</f>
        <v/>
      </c>
      <c r="H1052" s="11">
        <f>IF(A1052="","",Universe!E1052/BDP(A1052&amp;" US Equity","HIGH_52WEEK")*100)</f>
        <v/>
      </c>
      <c r="I1052">
        <f>IF(D1052="","",D1052&gt;=5)</f>
        <v/>
      </c>
      <c r="J1052">
        <f>IF(F1052="","",F1052&gt;=5)</f>
        <v/>
      </c>
      <c r="K1052">
        <f>IF(H1052="","",H1052&gt;=75)</f>
        <v/>
      </c>
      <c r="L1052">
        <f>IF(OR(I1052="",J1052="",K1052=""),FALSE,AND(I1052,J1052,K1052))</f>
        <v/>
      </c>
    </row>
    <row r="1053">
      <c r="A1053">
        <f>Universe!A1053</f>
        <v/>
      </c>
      <c r="B1053" s="10" t="n"/>
      <c r="C1053" s="11">
        <f>IF(B1053="","",PERCENTRANK.INC($B$2:$B$2501,B1053)*100)</f>
        <v/>
      </c>
      <c r="D1053" s="10" t="n"/>
      <c r="E1053" s="10">
        <f>IF(D1053="","",MIN(D1053,100))</f>
        <v/>
      </c>
      <c r="F1053" s="10" t="n"/>
      <c r="G1053" s="10">
        <f>IF(F1053="","",MIN(F1053,100))</f>
        <v/>
      </c>
      <c r="H1053" s="11">
        <f>IF(A1053="","",Universe!E1053/BDP(A1053&amp;" US Equity","HIGH_52WEEK")*100)</f>
        <v/>
      </c>
      <c r="I1053">
        <f>IF(D1053="","",D1053&gt;=5)</f>
        <v/>
      </c>
      <c r="J1053">
        <f>IF(F1053="","",F1053&gt;=5)</f>
        <v/>
      </c>
      <c r="K1053">
        <f>IF(H1053="","",H1053&gt;=75)</f>
        <v/>
      </c>
      <c r="L1053">
        <f>IF(OR(I1053="",J1053="",K1053=""),FALSE,AND(I1053,J1053,K1053))</f>
        <v/>
      </c>
    </row>
    <row r="1054">
      <c r="A1054">
        <f>Universe!A1054</f>
        <v/>
      </c>
      <c r="B1054" s="10" t="n"/>
      <c r="C1054" s="11">
        <f>IF(B1054="","",PERCENTRANK.INC($B$2:$B$2501,B1054)*100)</f>
        <v/>
      </c>
      <c r="D1054" s="10" t="n"/>
      <c r="E1054" s="10">
        <f>IF(D1054="","",MIN(D1054,100))</f>
        <v/>
      </c>
      <c r="F1054" s="10" t="n"/>
      <c r="G1054" s="10">
        <f>IF(F1054="","",MIN(F1054,100))</f>
        <v/>
      </c>
      <c r="H1054" s="11">
        <f>IF(A1054="","",Universe!E1054/BDP(A1054&amp;" US Equity","HIGH_52WEEK")*100)</f>
        <v/>
      </c>
      <c r="I1054">
        <f>IF(D1054="","",D1054&gt;=5)</f>
        <v/>
      </c>
      <c r="J1054">
        <f>IF(F1054="","",F1054&gt;=5)</f>
        <v/>
      </c>
      <c r="K1054">
        <f>IF(H1054="","",H1054&gt;=75)</f>
        <v/>
      </c>
      <c r="L1054">
        <f>IF(OR(I1054="",J1054="",K1054=""),FALSE,AND(I1054,J1054,K1054))</f>
        <v/>
      </c>
    </row>
    <row r="1055">
      <c r="A1055">
        <f>Universe!A1055</f>
        <v/>
      </c>
      <c r="B1055" s="10" t="n"/>
      <c r="C1055" s="11">
        <f>IF(B1055="","",PERCENTRANK.INC($B$2:$B$2501,B1055)*100)</f>
        <v/>
      </c>
      <c r="D1055" s="10" t="n"/>
      <c r="E1055" s="10">
        <f>IF(D1055="","",MIN(D1055,100))</f>
        <v/>
      </c>
      <c r="F1055" s="10" t="n"/>
      <c r="G1055" s="10">
        <f>IF(F1055="","",MIN(F1055,100))</f>
        <v/>
      </c>
      <c r="H1055" s="11">
        <f>IF(A1055="","",Universe!E1055/BDP(A1055&amp;" US Equity","HIGH_52WEEK")*100)</f>
        <v/>
      </c>
      <c r="I1055">
        <f>IF(D1055="","",D1055&gt;=5)</f>
        <v/>
      </c>
      <c r="J1055">
        <f>IF(F1055="","",F1055&gt;=5)</f>
        <v/>
      </c>
      <c r="K1055">
        <f>IF(H1055="","",H1055&gt;=75)</f>
        <v/>
      </c>
      <c r="L1055">
        <f>IF(OR(I1055="",J1055="",K1055=""),FALSE,AND(I1055,J1055,K1055))</f>
        <v/>
      </c>
    </row>
    <row r="1056">
      <c r="A1056">
        <f>Universe!A1056</f>
        <v/>
      </c>
      <c r="B1056" s="10" t="n"/>
      <c r="C1056" s="11">
        <f>IF(B1056="","",PERCENTRANK.INC($B$2:$B$2501,B1056)*100)</f>
        <v/>
      </c>
      <c r="D1056" s="10" t="n"/>
      <c r="E1056" s="10">
        <f>IF(D1056="","",MIN(D1056,100))</f>
        <v/>
      </c>
      <c r="F1056" s="10" t="n"/>
      <c r="G1056" s="10">
        <f>IF(F1056="","",MIN(F1056,100))</f>
        <v/>
      </c>
      <c r="H1056" s="11">
        <f>IF(A1056="","",Universe!E1056/BDP(A1056&amp;" US Equity","HIGH_52WEEK")*100)</f>
        <v/>
      </c>
      <c r="I1056">
        <f>IF(D1056="","",D1056&gt;=5)</f>
        <v/>
      </c>
      <c r="J1056">
        <f>IF(F1056="","",F1056&gt;=5)</f>
        <v/>
      </c>
      <c r="K1056">
        <f>IF(H1056="","",H1056&gt;=75)</f>
        <v/>
      </c>
      <c r="L1056">
        <f>IF(OR(I1056="",J1056="",K1056=""),FALSE,AND(I1056,J1056,K1056))</f>
        <v/>
      </c>
    </row>
    <row r="1057">
      <c r="A1057">
        <f>Universe!A1057</f>
        <v/>
      </c>
      <c r="B1057" s="10" t="n"/>
      <c r="C1057" s="11">
        <f>IF(B1057="","",PERCENTRANK.INC($B$2:$B$2501,B1057)*100)</f>
        <v/>
      </c>
      <c r="D1057" s="10" t="n"/>
      <c r="E1057" s="10">
        <f>IF(D1057="","",MIN(D1057,100))</f>
        <v/>
      </c>
      <c r="F1057" s="10" t="n"/>
      <c r="G1057" s="10">
        <f>IF(F1057="","",MIN(F1057,100))</f>
        <v/>
      </c>
      <c r="H1057" s="11">
        <f>IF(A1057="","",Universe!E1057/BDP(A1057&amp;" US Equity","HIGH_52WEEK")*100)</f>
        <v/>
      </c>
      <c r="I1057">
        <f>IF(D1057="","",D1057&gt;=5)</f>
        <v/>
      </c>
      <c r="J1057">
        <f>IF(F1057="","",F1057&gt;=5)</f>
        <v/>
      </c>
      <c r="K1057">
        <f>IF(H1057="","",H1057&gt;=75)</f>
        <v/>
      </c>
      <c r="L1057">
        <f>IF(OR(I1057="",J1057="",K1057=""),FALSE,AND(I1057,J1057,K1057))</f>
        <v/>
      </c>
    </row>
    <row r="1058">
      <c r="A1058">
        <f>Universe!A1058</f>
        <v/>
      </c>
      <c r="B1058" s="10" t="n"/>
      <c r="C1058" s="11">
        <f>IF(B1058="","",PERCENTRANK.INC($B$2:$B$2501,B1058)*100)</f>
        <v/>
      </c>
      <c r="D1058" s="10" t="n"/>
      <c r="E1058" s="10">
        <f>IF(D1058="","",MIN(D1058,100))</f>
        <v/>
      </c>
      <c r="F1058" s="10" t="n"/>
      <c r="G1058" s="10">
        <f>IF(F1058="","",MIN(F1058,100))</f>
        <v/>
      </c>
      <c r="H1058" s="11">
        <f>IF(A1058="","",Universe!E1058/BDP(A1058&amp;" US Equity","HIGH_52WEEK")*100)</f>
        <v/>
      </c>
      <c r="I1058">
        <f>IF(D1058="","",D1058&gt;=5)</f>
        <v/>
      </c>
      <c r="J1058">
        <f>IF(F1058="","",F1058&gt;=5)</f>
        <v/>
      </c>
      <c r="K1058">
        <f>IF(H1058="","",H1058&gt;=75)</f>
        <v/>
      </c>
      <c r="L1058">
        <f>IF(OR(I1058="",J1058="",K1058=""),FALSE,AND(I1058,J1058,K1058))</f>
        <v/>
      </c>
    </row>
    <row r="1059">
      <c r="A1059">
        <f>Universe!A1059</f>
        <v/>
      </c>
      <c r="B1059" s="10" t="n"/>
      <c r="C1059" s="11">
        <f>IF(B1059="","",PERCENTRANK.INC($B$2:$B$2501,B1059)*100)</f>
        <v/>
      </c>
      <c r="D1059" s="10" t="n"/>
      <c r="E1059" s="10">
        <f>IF(D1059="","",MIN(D1059,100))</f>
        <v/>
      </c>
      <c r="F1059" s="10" t="n"/>
      <c r="G1059" s="10">
        <f>IF(F1059="","",MIN(F1059,100))</f>
        <v/>
      </c>
      <c r="H1059" s="11">
        <f>IF(A1059="","",Universe!E1059/BDP(A1059&amp;" US Equity","HIGH_52WEEK")*100)</f>
        <v/>
      </c>
      <c r="I1059">
        <f>IF(D1059="","",D1059&gt;=5)</f>
        <v/>
      </c>
      <c r="J1059">
        <f>IF(F1059="","",F1059&gt;=5)</f>
        <v/>
      </c>
      <c r="K1059">
        <f>IF(H1059="","",H1059&gt;=75)</f>
        <v/>
      </c>
      <c r="L1059">
        <f>IF(OR(I1059="",J1059="",K1059=""),FALSE,AND(I1059,J1059,K1059))</f>
        <v/>
      </c>
    </row>
    <row r="1060">
      <c r="A1060">
        <f>Universe!A1060</f>
        <v/>
      </c>
      <c r="B1060" s="10" t="n"/>
      <c r="C1060" s="11">
        <f>IF(B1060="","",PERCENTRANK.INC($B$2:$B$2501,B1060)*100)</f>
        <v/>
      </c>
      <c r="D1060" s="10" t="n"/>
      <c r="E1060" s="10">
        <f>IF(D1060="","",MIN(D1060,100))</f>
        <v/>
      </c>
      <c r="F1060" s="10" t="n"/>
      <c r="G1060" s="10">
        <f>IF(F1060="","",MIN(F1060,100))</f>
        <v/>
      </c>
      <c r="H1060" s="11">
        <f>IF(A1060="","",Universe!E1060/BDP(A1060&amp;" US Equity","HIGH_52WEEK")*100)</f>
        <v/>
      </c>
      <c r="I1060">
        <f>IF(D1060="","",D1060&gt;=5)</f>
        <v/>
      </c>
      <c r="J1060">
        <f>IF(F1060="","",F1060&gt;=5)</f>
        <v/>
      </c>
      <c r="K1060">
        <f>IF(H1060="","",H1060&gt;=75)</f>
        <v/>
      </c>
      <c r="L1060">
        <f>IF(OR(I1060="",J1060="",K1060=""),FALSE,AND(I1060,J1060,K1060))</f>
        <v/>
      </c>
    </row>
    <row r="1061">
      <c r="A1061">
        <f>Universe!A1061</f>
        <v/>
      </c>
      <c r="B1061" s="10" t="n"/>
      <c r="C1061" s="11">
        <f>IF(B1061="","",PERCENTRANK.INC($B$2:$B$2501,B1061)*100)</f>
        <v/>
      </c>
      <c r="D1061" s="10" t="n"/>
      <c r="E1061" s="10">
        <f>IF(D1061="","",MIN(D1061,100))</f>
        <v/>
      </c>
      <c r="F1061" s="10" t="n"/>
      <c r="G1061" s="10">
        <f>IF(F1061="","",MIN(F1061,100))</f>
        <v/>
      </c>
      <c r="H1061" s="11">
        <f>IF(A1061="","",Universe!E1061/BDP(A1061&amp;" US Equity","HIGH_52WEEK")*100)</f>
        <v/>
      </c>
      <c r="I1061">
        <f>IF(D1061="","",D1061&gt;=5)</f>
        <v/>
      </c>
      <c r="J1061">
        <f>IF(F1061="","",F1061&gt;=5)</f>
        <v/>
      </c>
      <c r="K1061">
        <f>IF(H1061="","",H1061&gt;=75)</f>
        <v/>
      </c>
      <c r="L1061">
        <f>IF(OR(I1061="",J1061="",K1061=""),FALSE,AND(I1061,J1061,K1061))</f>
        <v/>
      </c>
    </row>
    <row r="1062">
      <c r="A1062">
        <f>Universe!A1062</f>
        <v/>
      </c>
      <c r="B1062" s="10" t="n"/>
      <c r="C1062" s="11">
        <f>IF(B1062="","",PERCENTRANK.INC($B$2:$B$2501,B1062)*100)</f>
        <v/>
      </c>
      <c r="D1062" s="10" t="n"/>
      <c r="E1062" s="10">
        <f>IF(D1062="","",MIN(D1062,100))</f>
        <v/>
      </c>
      <c r="F1062" s="10" t="n"/>
      <c r="G1062" s="10">
        <f>IF(F1062="","",MIN(F1062,100))</f>
        <v/>
      </c>
      <c r="H1062" s="11">
        <f>IF(A1062="","",Universe!E1062/BDP(A1062&amp;" US Equity","HIGH_52WEEK")*100)</f>
        <v/>
      </c>
      <c r="I1062">
        <f>IF(D1062="","",D1062&gt;=5)</f>
        <v/>
      </c>
      <c r="J1062">
        <f>IF(F1062="","",F1062&gt;=5)</f>
        <v/>
      </c>
      <c r="K1062">
        <f>IF(H1062="","",H1062&gt;=75)</f>
        <v/>
      </c>
      <c r="L1062">
        <f>IF(OR(I1062="",J1062="",K1062=""),FALSE,AND(I1062,J1062,K1062))</f>
        <v/>
      </c>
    </row>
    <row r="1063">
      <c r="A1063">
        <f>Universe!A1063</f>
        <v/>
      </c>
      <c r="B1063" s="10" t="n"/>
      <c r="C1063" s="11">
        <f>IF(B1063="","",PERCENTRANK.INC($B$2:$B$2501,B1063)*100)</f>
        <v/>
      </c>
      <c r="D1063" s="10" t="n"/>
      <c r="E1063" s="10">
        <f>IF(D1063="","",MIN(D1063,100))</f>
        <v/>
      </c>
      <c r="F1063" s="10" t="n"/>
      <c r="G1063" s="10">
        <f>IF(F1063="","",MIN(F1063,100))</f>
        <v/>
      </c>
      <c r="H1063" s="11">
        <f>IF(A1063="","",Universe!E1063/BDP(A1063&amp;" US Equity","HIGH_52WEEK")*100)</f>
        <v/>
      </c>
      <c r="I1063">
        <f>IF(D1063="","",D1063&gt;=5)</f>
        <v/>
      </c>
      <c r="J1063">
        <f>IF(F1063="","",F1063&gt;=5)</f>
        <v/>
      </c>
      <c r="K1063">
        <f>IF(H1063="","",H1063&gt;=75)</f>
        <v/>
      </c>
      <c r="L1063">
        <f>IF(OR(I1063="",J1063="",K1063=""),FALSE,AND(I1063,J1063,K1063))</f>
        <v/>
      </c>
    </row>
    <row r="1064">
      <c r="A1064">
        <f>Universe!A1064</f>
        <v/>
      </c>
      <c r="B1064" s="10" t="n"/>
      <c r="C1064" s="11">
        <f>IF(B1064="","",PERCENTRANK.INC($B$2:$B$2501,B1064)*100)</f>
        <v/>
      </c>
      <c r="D1064" s="10" t="n"/>
      <c r="E1064" s="10">
        <f>IF(D1064="","",MIN(D1064,100))</f>
        <v/>
      </c>
      <c r="F1064" s="10" t="n"/>
      <c r="G1064" s="10">
        <f>IF(F1064="","",MIN(F1064,100))</f>
        <v/>
      </c>
      <c r="H1064" s="11">
        <f>IF(A1064="","",Universe!E1064/BDP(A1064&amp;" US Equity","HIGH_52WEEK")*100)</f>
        <v/>
      </c>
      <c r="I1064">
        <f>IF(D1064="","",D1064&gt;=5)</f>
        <v/>
      </c>
      <c r="J1064">
        <f>IF(F1064="","",F1064&gt;=5)</f>
        <v/>
      </c>
      <c r="K1064">
        <f>IF(H1064="","",H1064&gt;=75)</f>
        <v/>
      </c>
      <c r="L1064">
        <f>IF(OR(I1064="",J1064="",K1064=""),FALSE,AND(I1064,J1064,K1064))</f>
        <v/>
      </c>
    </row>
    <row r="1065">
      <c r="A1065">
        <f>Universe!A1065</f>
        <v/>
      </c>
      <c r="B1065" s="10" t="n"/>
      <c r="C1065" s="11">
        <f>IF(B1065="","",PERCENTRANK.INC($B$2:$B$2501,B1065)*100)</f>
        <v/>
      </c>
      <c r="D1065" s="10" t="n"/>
      <c r="E1065" s="10">
        <f>IF(D1065="","",MIN(D1065,100))</f>
        <v/>
      </c>
      <c r="F1065" s="10" t="n"/>
      <c r="G1065" s="10">
        <f>IF(F1065="","",MIN(F1065,100))</f>
        <v/>
      </c>
      <c r="H1065" s="11">
        <f>IF(A1065="","",Universe!E1065/BDP(A1065&amp;" US Equity","HIGH_52WEEK")*100)</f>
        <v/>
      </c>
      <c r="I1065">
        <f>IF(D1065="","",D1065&gt;=5)</f>
        <v/>
      </c>
      <c r="J1065">
        <f>IF(F1065="","",F1065&gt;=5)</f>
        <v/>
      </c>
      <c r="K1065">
        <f>IF(H1065="","",H1065&gt;=75)</f>
        <v/>
      </c>
      <c r="L1065">
        <f>IF(OR(I1065="",J1065="",K1065=""),FALSE,AND(I1065,J1065,K1065))</f>
        <v/>
      </c>
    </row>
    <row r="1066">
      <c r="A1066">
        <f>Universe!A1066</f>
        <v/>
      </c>
      <c r="B1066" s="10" t="n"/>
      <c r="C1066" s="11">
        <f>IF(B1066="","",PERCENTRANK.INC($B$2:$B$2501,B1066)*100)</f>
        <v/>
      </c>
      <c r="D1066" s="10" t="n"/>
      <c r="E1066" s="10">
        <f>IF(D1066="","",MIN(D1066,100))</f>
        <v/>
      </c>
      <c r="F1066" s="10" t="n"/>
      <c r="G1066" s="10">
        <f>IF(F1066="","",MIN(F1066,100))</f>
        <v/>
      </c>
      <c r="H1066" s="11">
        <f>IF(A1066="","",Universe!E1066/BDP(A1066&amp;" US Equity","HIGH_52WEEK")*100)</f>
        <v/>
      </c>
      <c r="I1066">
        <f>IF(D1066="","",D1066&gt;=5)</f>
        <v/>
      </c>
      <c r="J1066">
        <f>IF(F1066="","",F1066&gt;=5)</f>
        <v/>
      </c>
      <c r="K1066">
        <f>IF(H1066="","",H1066&gt;=75)</f>
        <v/>
      </c>
      <c r="L1066">
        <f>IF(OR(I1066="",J1066="",K1066=""),FALSE,AND(I1066,J1066,K1066))</f>
        <v/>
      </c>
    </row>
    <row r="1067">
      <c r="A1067">
        <f>Universe!A1067</f>
        <v/>
      </c>
      <c r="B1067" s="10" t="n"/>
      <c r="C1067" s="11">
        <f>IF(B1067="","",PERCENTRANK.INC($B$2:$B$2501,B1067)*100)</f>
        <v/>
      </c>
      <c r="D1067" s="10" t="n"/>
      <c r="E1067" s="10">
        <f>IF(D1067="","",MIN(D1067,100))</f>
        <v/>
      </c>
      <c r="F1067" s="10" t="n"/>
      <c r="G1067" s="10">
        <f>IF(F1067="","",MIN(F1067,100))</f>
        <v/>
      </c>
      <c r="H1067" s="11">
        <f>IF(A1067="","",Universe!E1067/BDP(A1067&amp;" US Equity","HIGH_52WEEK")*100)</f>
        <v/>
      </c>
      <c r="I1067">
        <f>IF(D1067="","",D1067&gt;=5)</f>
        <v/>
      </c>
      <c r="J1067">
        <f>IF(F1067="","",F1067&gt;=5)</f>
        <v/>
      </c>
      <c r="K1067">
        <f>IF(H1067="","",H1067&gt;=75)</f>
        <v/>
      </c>
      <c r="L1067">
        <f>IF(OR(I1067="",J1067="",K1067=""),FALSE,AND(I1067,J1067,K1067))</f>
        <v/>
      </c>
    </row>
    <row r="1068">
      <c r="A1068">
        <f>Universe!A1068</f>
        <v/>
      </c>
      <c r="B1068" s="10" t="n"/>
      <c r="C1068" s="11">
        <f>IF(B1068="","",PERCENTRANK.INC($B$2:$B$2501,B1068)*100)</f>
        <v/>
      </c>
      <c r="D1068" s="10" t="n"/>
      <c r="E1068" s="10">
        <f>IF(D1068="","",MIN(D1068,100))</f>
        <v/>
      </c>
      <c r="F1068" s="10" t="n"/>
      <c r="G1068" s="10">
        <f>IF(F1068="","",MIN(F1068,100))</f>
        <v/>
      </c>
      <c r="H1068" s="11">
        <f>IF(A1068="","",Universe!E1068/BDP(A1068&amp;" US Equity","HIGH_52WEEK")*100)</f>
        <v/>
      </c>
      <c r="I1068">
        <f>IF(D1068="","",D1068&gt;=5)</f>
        <v/>
      </c>
      <c r="J1068">
        <f>IF(F1068="","",F1068&gt;=5)</f>
        <v/>
      </c>
      <c r="K1068">
        <f>IF(H1068="","",H1068&gt;=75)</f>
        <v/>
      </c>
      <c r="L1068">
        <f>IF(OR(I1068="",J1068="",K1068=""),FALSE,AND(I1068,J1068,K1068))</f>
        <v/>
      </c>
    </row>
    <row r="1069">
      <c r="A1069">
        <f>Universe!A1069</f>
        <v/>
      </c>
      <c r="B1069" s="10" t="n"/>
      <c r="C1069" s="11">
        <f>IF(B1069="","",PERCENTRANK.INC($B$2:$B$2501,B1069)*100)</f>
        <v/>
      </c>
      <c r="D1069" s="10" t="n"/>
      <c r="E1069" s="10">
        <f>IF(D1069="","",MIN(D1069,100))</f>
        <v/>
      </c>
      <c r="F1069" s="10" t="n"/>
      <c r="G1069" s="10">
        <f>IF(F1069="","",MIN(F1069,100))</f>
        <v/>
      </c>
      <c r="H1069" s="11">
        <f>IF(A1069="","",Universe!E1069/BDP(A1069&amp;" US Equity","HIGH_52WEEK")*100)</f>
        <v/>
      </c>
      <c r="I1069">
        <f>IF(D1069="","",D1069&gt;=5)</f>
        <v/>
      </c>
      <c r="J1069">
        <f>IF(F1069="","",F1069&gt;=5)</f>
        <v/>
      </c>
      <c r="K1069">
        <f>IF(H1069="","",H1069&gt;=75)</f>
        <v/>
      </c>
      <c r="L1069">
        <f>IF(OR(I1069="",J1069="",K1069=""),FALSE,AND(I1069,J1069,K1069))</f>
        <v/>
      </c>
    </row>
    <row r="1070">
      <c r="A1070">
        <f>Universe!A1070</f>
        <v/>
      </c>
      <c r="B1070" s="10" t="n"/>
      <c r="C1070" s="11">
        <f>IF(B1070="","",PERCENTRANK.INC($B$2:$B$2501,B1070)*100)</f>
        <v/>
      </c>
      <c r="D1070" s="10" t="n"/>
      <c r="E1070" s="10">
        <f>IF(D1070="","",MIN(D1070,100))</f>
        <v/>
      </c>
      <c r="F1070" s="10" t="n"/>
      <c r="G1070" s="10">
        <f>IF(F1070="","",MIN(F1070,100))</f>
        <v/>
      </c>
      <c r="H1070" s="11">
        <f>IF(A1070="","",Universe!E1070/BDP(A1070&amp;" US Equity","HIGH_52WEEK")*100)</f>
        <v/>
      </c>
      <c r="I1070">
        <f>IF(D1070="","",D1070&gt;=5)</f>
        <v/>
      </c>
      <c r="J1070">
        <f>IF(F1070="","",F1070&gt;=5)</f>
        <v/>
      </c>
      <c r="K1070">
        <f>IF(H1070="","",H1070&gt;=75)</f>
        <v/>
      </c>
      <c r="L1070">
        <f>IF(OR(I1070="",J1070="",K1070=""),FALSE,AND(I1070,J1070,K1070))</f>
        <v/>
      </c>
    </row>
    <row r="1071">
      <c r="A1071">
        <f>Universe!A1071</f>
        <v/>
      </c>
      <c r="B1071" s="10" t="n"/>
      <c r="C1071" s="11">
        <f>IF(B1071="","",PERCENTRANK.INC($B$2:$B$2501,B1071)*100)</f>
        <v/>
      </c>
      <c r="D1071" s="10" t="n"/>
      <c r="E1071" s="10">
        <f>IF(D1071="","",MIN(D1071,100))</f>
        <v/>
      </c>
      <c r="F1071" s="10" t="n"/>
      <c r="G1071" s="10">
        <f>IF(F1071="","",MIN(F1071,100))</f>
        <v/>
      </c>
      <c r="H1071" s="11">
        <f>IF(A1071="","",Universe!E1071/BDP(A1071&amp;" US Equity","HIGH_52WEEK")*100)</f>
        <v/>
      </c>
      <c r="I1071">
        <f>IF(D1071="","",D1071&gt;=5)</f>
        <v/>
      </c>
      <c r="J1071">
        <f>IF(F1071="","",F1071&gt;=5)</f>
        <v/>
      </c>
      <c r="K1071">
        <f>IF(H1071="","",H1071&gt;=75)</f>
        <v/>
      </c>
      <c r="L1071">
        <f>IF(OR(I1071="",J1071="",K1071=""),FALSE,AND(I1071,J1071,K1071))</f>
        <v/>
      </c>
    </row>
    <row r="1072">
      <c r="A1072">
        <f>Universe!A1072</f>
        <v/>
      </c>
      <c r="B1072" s="10" t="n"/>
      <c r="C1072" s="11">
        <f>IF(B1072="","",PERCENTRANK.INC($B$2:$B$2501,B1072)*100)</f>
        <v/>
      </c>
      <c r="D1072" s="10" t="n"/>
      <c r="E1072" s="10">
        <f>IF(D1072="","",MIN(D1072,100))</f>
        <v/>
      </c>
      <c r="F1072" s="10" t="n"/>
      <c r="G1072" s="10">
        <f>IF(F1072="","",MIN(F1072,100))</f>
        <v/>
      </c>
      <c r="H1072" s="11">
        <f>IF(A1072="","",Universe!E1072/BDP(A1072&amp;" US Equity","HIGH_52WEEK")*100)</f>
        <v/>
      </c>
      <c r="I1072">
        <f>IF(D1072="","",D1072&gt;=5)</f>
        <v/>
      </c>
      <c r="J1072">
        <f>IF(F1072="","",F1072&gt;=5)</f>
        <v/>
      </c>
      <c r="K1072">
        <f>IF(H1072="","",H1072&gt;=75)</f>
        <v/>
      </c>
      <c r="L1072">
        <f>IF(OR(I1072="",J1072="",K1072=""),FALSE,AND(I1072,J1072,K1072))</f>
        <v/>
      </c>
    </row>
    <row r="1073">
      <c r="A1073">
        <f>Universe!A1073</f>
        <v/>
      </c>
      <c r="B1073" s="10" t="n"/>
      <c r="C1073" s="11">
        <f>IF(B1073="","",PERCENTRANK.INC($B$2:$B$2501,B1073)*100)</f>
        <v/>
      </c>
      <c r="D1073" s="10" t="n"/>
      <c r="E1073" s="10">
        <f>IF(D1073="","",MIN(D1073,100))</f>
        <v/>
      </c>
      <c r="F1073" s="10" t="n"/>
      <c r="G1073" s="10">
        <f>IF(F1073="","",MIN(F1073,100))</f>
        <v/>
      </c>
      <c r="H1073" s="11">
        <f>IF(A1073="","",Universe!E1073/BDP(A1073&amp;" US Equity","HIGH_52WEEK")*100)</f>
        <v/>
      </c>
      <c r="I1073">
        <f>IF(D1073="","",D1073&gt;=5)</f>
        <v/>
      </c>
      <c r="J1073">
        <f>IF(F1073="","",F1073&gt;=5)</f>
        <v/>
      </c>
      <c r="K1073">
        <f>IF(H1073="","",H1073&gt;=75)</f>
        <v/>
      </c>
      <c r="L1073">
        <f>IF(OR(I1073="",J1073="",K1073=""),FALSE,AND(I1073,J1073,K1073))</f>
        <v/>
      </c>
    </row>
    <row r="1074">
      <c r="A1074">
        <f>Universe!A1074</f>
        <v/>
      </c>
      <c r="B1074" s="10" t="n"/>
      <c r="C1074" s="11">
        <f>IF(B1074="","",PERCENTRANK.INC($B$2:$B$2501,B1074)*100)</f>
        <v/>
      </c>
      <c r="D1074" s="10" t="n"/>
      <c r="E1074" s="10">
        <f>IF(D1074="","",MIN(D1074,100))</f>
        <v/>
      </c>
      <c r="F1074" s="10" t="n"/>
      <c r="G1074" s="10">
        <f>IF(F1074="","",MIN(F1074,100))</f>
        <v/>
      </c>
      <c r="H1074" s="11">
        <f>IF(A1074="","",Universe!E1074/BDP(A1074&amp;" US Equity","HIGH_52WEEK")*100)</f>
        <v/>
      </c>
      <c r="I1074">
        <f>IF(D1074="","",D1074&gt;=5)</f>
        <v/>
      </c>
      <c r="J1074">
        <f>IF(F1074="","",F1074&gt;=5)</f>
        <v/>
      </c>
      <c r="K1074">
        <f>IF(H1074="","",H1074&gt;=75)</f>
        <v/>
      </c>
      <c r="L1074">
        <f>IF(OR(I1074="",J1074="",K1074=""),FALSE,AND(I1074,J1074,K1074))</f>
        <v/>
      </c>
    </row>
    <row r="1075">
      <c r="A1075">
        <f>Universe!A1075</f>
        <v/>
      </c>
      <c r="B1075" s="10" t="n"/>
      <c r="C1075" s="11">
        <f>IF(B1075="","",PERCENTRANK.INC($B$2:$B$2501,B1075)*100)</f>
        <v/>
      </c>
      <c r="D1075" s="10" t="n"/>
      <c r="E1075" s="10">
        <f>IF(D1075="","",MIN(D1075,100))</f>
        <v/>
      </c>
      <c r="F1075" s="10" t="n"/>
      <c r="G1075" s="10">
        <f>IF(F1075="","",MIN(F1075,100))</f>
        <v/>
      </c>
      <c r="H1075" s="11">
        <f>IF(A1075="","",Universe!E1075/BDP(A1075&amp;" US Equity","HIGH_52WEEK")*100)</f>
        <v/>
      </c>
      <c r="I1075">
        <f>IF(D1075="","",D1075&gt;=5)</f>
        <v/>
      </c>
      <c r="J1075">
        <f>IF(F1075="","",F1075&gt;=5)</f>
        <v/>
      </c>
      <c r="K1075">
        <f>IF(H1075="","",H1075&gt;=75)</f>
        <v/>
      </c>
      <c r="L1075">
        <f>IF(OR(I1075="",J1075="",K1075=""),FALSE,AND(I1075,J1075,K1075))</f>
        <v/>
      </c>
    </row>
    <row r="1076">
      <c r="A1076">
        <f>Universe!A1076</f>
        <v/>
      </c>
      <c r="B1076" s="10" t="n"/>
      <c r="C1076" s="11">
        <f>IF(B1076="","",PERCENTRANK.INC($B$2:$B$2501,B1076)*100)</f>
        <v/>
      </c>
      <c r="D1076" s="10" t="n"/>
      <c r="E1076" s="10">
        <f>IF(D1076="","",MIN(D1076,100))</f>
        <v/>
      </c>
      <c r="F1076" s="10" t="n"/>
      <c r="G1076" s="10">
        <f>IF(F1076="","",MIN(F1076,100))</f>
        <v/>
      </c>
      <c r="H1076" s="11">
        <f>IF(A1076="","",Universe!E1076/BDP(A1076&amp;" US Equity","HIGH_52WEEK")*100)</f>
        <v/>
      </c>
      <c r="I1076">
        <f>IF(D1076="","",D1076&gt;=5)</f>
        <v/>
      </c>
      <c r="J1076">
        <f>IF(F1076="","",F1076&gt;=5)</f>
        <v/>
      </c>
      <c r="K1076">
        <f>IF(H1076="","",H1076&gt;=75)</f>
        <v/>
      </c>
      <c r="L1076">
        <f>IF(OR(I1076="",J1076="",K1076=""),FALSE,AND(I1076,J1076,K1076))</f>
        <v/>
      </c>
    </row>
    <row r="1077">
      <c r="A1077">
        <f>Universe!A1077</f>
        <v/>
      </c>
      <c r="B1077" s="10" t="n"/>
      <c r="C1077" s="11">
        <f>IF(B1077="","",PERCENTRANK.INC($B$2:$B$2501,B1077)*100)</f>
        <v/>
      </c>
      <c r="D1077" s="10" t="n"/>
      <c r="E1077" s="10">
        <f>IF(D1077="","",MIN(D1077,100))</f>
        <v/>
      </c>
      <c r="F1077" s="10" t="n"/>
      <c r="G1077" s="10">
        <f>IF(F1077="","",MIN(F1077,100))</f>
        <v/>
      </c>
      <c r="H1077" s="11">
        <f>IF(A1077="","",Universe!E1077/BDP(A1077&amp;" US Equity","HIGH_52WEEK")*100)</f>
        <v/>
      </c>
      <c r="I1077">
        <f>IF(D1077="","",D1077&gt;=5)</f>
        <v/>
      </c>
      <c r="J1077">
        <f>IF(F1077="","",F1077&gt;=5)</f>
        <v/>
      </c>
      <c r="K1077">
        <f>IF(H1077="","",H1077&gt;=75)</f>
        <v/>
      </c>
      <c r="L1077">
        <f>IF(OR(I1077="",J1077="",K1077=""),FALSE,AND(I1077,J1077,K1077))</f>
        <v/>
      </c>
    </row>
    <row r="1078">
      <c r="A1078">
        <f>Universe!A1078</f>
        <v/>
      </c>
      <c r="B1078" s="10" t="n"/>
      <c r="C1078" s="11">
        <f>IF(B1078="","",PERCENTRANK.INC($B$2:$B$2501,B1078)*100)</f>
        <v/>
      </c>
      <c r="D1078" s="10" t="n"/>
      <c r="E1078" s="10">
        <f>IF(D1078="","",MIN(D1078,100))</f>
        <v/>
      </c>
      <c r="F1078" s="10" t="n"/>
      <c r="G1078" s="10">
        <f>IF(F1078="","",MIN(F1078,100))</f>
        <v/>
      </c>
      <c r="H1078" s="11">
        <f>IF(A1078="","",Universe!E1078/BDP(A1078&amp;" US Equity","HIGH_52WEEK")*100)</f>
        <v/>
      </c>
      <c r="I1078">
        <f>IF(D1078="","",D1078&gt;=5)</f>
        <v/>
      </c>
      <c r="J1078">
        <f>IF(F1078="","",F1078&gt;=5)</f>
        <v/>
      </c>
      <c r="K1078">
        <f>IF(H1078="","",H1078&gt;=75)</f>
        <v/>
      </c>
      <c r="L1078">
        <f>IF(OR(I1078="",J1078="",K1078=""),FALSE,AND(I1078,J1078,K1078))</f>
        <v/>
      </c>
    </row>
    <row r="1079">
      <c r="A1079">
        <f>Universe!A1079</f>
        <v/>
      </c>
      <c r="B1079" s="10" t="n"/>
      <c r="C1079" s="11">
        <f>IF(B1079="","",PERCENTRANK.INC($B$2:$B$2501,B1079)*100)</f>
        <v/>
      </c>
      <c r="D1079" s="10" t="n"/>
      <c r="E1079" s="10">
        <f>IF(D1079="","",MIN(D1079,100))</f>
        <v/>
      </c>
      <c r="F1079" s="10" t="n"/>
      <c r="G1079" s="10">
        <f>IF(F1079="","",MIN(F1079,100))</f>
        <v/>
      </c>
      <c r="H1079" s="11">
        <f>IF(A1079="","",Universe!E1079/BDP(A1079&amp;" US Equity","HIGH_52WEEK")*100)</f>
        <v/>
      </c>
      <c r="I1079">
        <f>IF(D1079="","",D1079&gt;=5)</f>
        <v/>
      </c>
      <c r="J1079">
        <f>IF(F1079="","",F1079&gt;=5)</f>
        <v/>
      </c>
      <c r="K1079">
        <f>IF(H1079="","",H1079&gt;=75)</f>
        <v/>
      </c>
      <c r="L1079">
        <f>IF(OR(I1079="",J1079="",K1079=""),FALSE,AND(I1079,J1079,K1079))</f>
        <v/>
      </c>
    </row>
    <row r="1080">
      <c r="A1080">
        <f>Universe!A1080</f>
        <v/>
      </c>
      <c r="B1080" s="10" t="n"/>
      <c r="C1080" s="11">
        <f>IF(B1080="","",PERCENTRANK.INC($B$2:$B$2501,B1080)*100)</f>
        <v/>
      </c>
      <c r="D1080" s="10" t="n"/>
      <c r="E1080" s="10">
        <f>IF(D1080="","",MIN(D1080,100))</f>
        <v/>
      </c>
      <c r="F1080" s="10" t="n"/>
      <c r="G1080" s="10">
        <f>IF(F1080="","",MIN(F1080,100))</f>
        <v/>
      </c>
      <c r="H1080" s="11">
        <f>IF(A1080="","",Universe!E1080/BDP(A1080&amp;" US Equity","HIGH_52WEEK")*100)</f>
        <v/>
      </c>
      <c r="I1080">
        <f>IF(D1080="","",D1080&gt;=5)</f>
        <v/>
      </c>
      <c r="J1080">
        <f>IF(F1080="","",F1080&gt;=5)</f>
        <v/>
      </c>
      <c r="K1080">
        <f>IF(H1080="","",H1080&gt;=75)</f>
        <v/>
      </c>
      <c r="L1080">
        <f>IF(OR(I1080="",J1080="",K1080=""),FALSE,AND(I1080,J1080,K1080))</f>
        <v/>
      </c>
    </row>
    <row r="1081">
      <c r="A1081">
        <f>Universe!A1081</f>
        <v/>
      </c>
      <c r="B1081" s="10" t="n"/>
      <c r="C1081" s="11">
        <f>IF(B1081="","",PERCENTRANK.INC($B$2:$B$2501,B1081)*100)</f>
        <v/>
      </c>
      <c r="D1081" s="10" t="n"/>
      <c r="E1081" s="10">
        <f>IF(D1081="","",MIN(D1081,100))</f>
        <v/>
      </c>
      <c r="F1081" s="10" t="n"/>
      <c r="G1081" s="10">
        <f>IF(F1081="","",MIN(F1081,100))</f>
        <v/>
      </c>
      <c r="H1081" s="11">
        <f>IF(A1081="","",Universe!E1081/BDP(A1081&amp;" US Equity","HIGH_52WEEK")*100)</f>
        <v/>
      </c>
      <c r="I1081">
        <f>IF(D1081="","",D1081&gt;=5)</f>
        <v/>
      </c>
      <c r="J1081">
        <f>IF(F1081="","",F1081&gt;=5)</f>
        <v/>
      </c>
      <c r="K1081">
        <f>IF(H1081="","",H1081&gt;=75)</f>
        <v/>
      </c>
      <c r="L1081">
        <f>IF(OR(I1081="",J1081="",K1081=""),FALSE,AND(I1081,J1081,K1081))</f>
        <v/>
      </c>
    </row>
    <row r="1082">
      <c r="A1082">
        <f>Universe!A1082</f>
        <v/>
      </c>
      <c r="B1082" s="10" t="n"/>
      <c r="C1082" s="11">
        <f>IF(B1082="","",PERCENTRANK.INC($B$2:$B$2501,B1082)*100)</f>
        <v/>
      </c>
      <c r="D1082" s="10" t="n"/>
      <c r="E1082" s="10">
        <f>IF(D1082="","",MIN(D1082,100))</f>
        <v/>
      </c>
      <c r="F1082" s="10" t="n"/>
      <c r="G1082" s="10">
        <f>IF(F1082="","",MIN(F1082,100))</f>
        <v/>
      </c>
      <c r="H1082" s="11">
        <f>IF(A1082="","",Universe!E1082/BDP(A1082&amp;" US Equity","HIGH_52WEEK")*100)</f>
        <v/>
      </c>
      <c r="I1082">
        <f>IF(D1082="","",D1082&gt;=5)</f>
        <v/>
      </c>
      <c r="J1082">
        <f>IF(F1082="","",F1082&gt;=5)</f>
        <v/>
      </c>
      <c r="K1082">
        <f>IF(H1082="","",H1082&gt;=75)</f>
        <v/>
      </c>
      <c r="L1082">
        <f>IF(OR(I1082="",J1082="",K1082=""),FALSE,AND(I1082,J1082,K1082))</f>
        <v/>
      </c>
    </row>
    <row r="1083">
      <c r="A1083">
        <f>Universe!A1083</f>
        <v/>
      </c>
      <c r="B1083" s="10" t="n"/>
      <c r="C1083" s="11">
        <f>IF(B1083="","",PERCENTRANK.INC($B$2:$B$2501,B1083)*100)</f>
        <v/>
      </c>
      <c r="D1083" s="10" t="n"/>
      <c r="E1083" s="10">
        <f>IF(D1083="","",MIN(D1083,100))</f>
        <v/>
      </c>
      <c r="F1083" s="10" t="n"/>
      <c r="G1083" s="10">
        <f>IF(F1083="","",MIN(F1083,100))</f>
        <v/>
      </c>
      <c r="H1083" s="11">
        <f>IF(A1083="","",Universe!E1083/BDP(A1083&amp;" US Equity","HIGH_52WEEK")*100)</f>
        <v/>
      </c>
      <c r="I1083">
        <f>IF(D1083="","",D1083&gt;=5)</f>
        <v/>
      </c>
      <c r="J1083">
        <f>IF(F1083="","",F1083&gt;=5)</f>
        <v/>
      </c>
      <c r="K1083">
        <f>IF(H1083="","",H1083&gt;=75)</f>
        <v/>
      </c>
      <c r="L1083">
        <f>IF(OR(I1083="",J1083="",K1083=""),FALSE,AND(I1083,J1083,K1083))</f>
        <v/>
      </c>
    </row>
    <row r="1084">
      <c r="A1084">
        <f>Universe!A1084</f>
        <v/>
      </c>
      <c r="B1084" s="10" t="n"/>
      <c r="C1084" s="11">
        <f>IF(B1084="","",PERCENTRANK.INC($B$2:$B$2501,B1084)*100)</f>
        <v/>
      </c>
      <c r="D1084" s="10" t="n"/>
      <c r="E1084" s="10">
        <f>IF(D1084="","",MIN(D1084,100))</f>
        <v/>
      </c>
      <c r="F1084" s="10" t="n"/>
      <c r="G1084" s="10">
        <f>IF(F1084="","",MIN(F1084,100))</f>
        <v/>
      </c>
      <c r="H1084" s="11">
        <f>IF(A1084="","",Universe!E1084/BDP(A1084&amp;" US Equity","HIGH_52WEEK")*100)</f>
        <v/>
      </c>
      <c r="I1084">
        <f>IF(D1084="","",D1084&gt;=5)</f>
        <v/>
      </c>
      <c r="J1084">
        <f>IF(F1084="","",F1084&gt;=5)</f>
        <v/>
      </c>
      <c r="K1084">
        <f>IF(H1084="","",H1084&gt;=75)</f>
        <v/>
      </c>
      <c r="L1084">
        <f>IF(OR(I1084="",J1084="",K1084=""),FALSE,AND(I1084,J1084,K1084))</f>
        <v/>
      </c>
    </row>
    <row r="1085">
      <c r="A1085">
        <f>Universe!A1085</f>
        <v/>
      </c>
      <c r="B1085" s="10" t="n"/>
      <c r="C1085" s="11">
        <f>IF(B1085="","",PERCENTRANK.INC($B$2:$B$2501,B1085)*100)</f>
        <v/>
      </c>
      <c r="D1085" s="10" t="n"/>
      <c r="E1085" s="10">
        <f>IF(D1085="","",MIN(D1085,100))</f>
        <v/>
      </c>
      <c r="F1085" s="10" t="n"/>
      <c r="G1085" s="10">
        <f>IF(F1085="","",MIN(F1085,100))</f>
        <v/>
      </c>
      <c r="H1085" s="11">
        <f>IF(A1085="","",Universe!E1085/BDP(A1085&amp;" US Equity","HIGH_52WEEK")*100)</f>
        <v/>
      </c>
      <c r="I1085">
        <f>IF(D1085="","",D1085&gt;=5)</f>
        <v/>
      </c>
      <c r="J1085">
        <f>IF(F1085="","",F1085&gt;=5)</f>
        <v/>
      </c>
      <c r="K1085">
        <f>IF(H1085="","",H1085&gt;=75)</f>
        <v/>
      </c>
      <c r="L1085">
        <f>IF(OR(I1085="",J1085="",K1085=""),FALSE,AND(I1085,J1085,K1085))</f>
        <v/>
      </c>
    </row>
    <row r="1086">
      <c r="A1086">
        <f>Universe!A1086</f>
        <v/>
      </c>
      <c r="B1086" s="10" t="n"/>
      <c r="C1086" s="11">
        <f>IF(B1086="","",PERCENTRANK.INC($B$2:$B$2501,B1086)*100)</f>
        <v/>
      </c>
      <c r="D1086" s="10" t="n"/>
      <c r="E1086" s="10">
        <f>IF(D1086="","",MIN(D1086,100))</f>
        <v/>
      </c>
      <c r="F1086" s="10" t="n"/>
      <c r="G1086" s="10">
        <f>IF(F1086="","",MIN(F1086,100))</f>
        <v/>
      </c>
      <c r="H1086" s="11">
        <f>IF(A1086="","",Universe!E1086/BDP(A1086&amp;" US Equity","HIGH_52WEEK")*100)</f>
        <v/>
      </c>
      <c r="I1086">
        <f>IF(D1086="","",D1086&gt;=5)</f>
        <v/>
      </c>
      <c r="J1086">
        <f>IF(F1086="","",F1086&gt;=5)</f>
        <v/>
      </c>
      <c r="K1086">
        <f>IF(H1086="","",H1086&gt;=75)</f>
        <v/>
      </c>
      <c r="L1086">
        <f>IF(OR(I1086="",J1086="",K1086=""),FALSE,AND(I1086,J1086,K1086))</f>
        <v/>
      </c>
    </row>
    <row r="1087">
      <c r="A1087">
        <f>Universe!A1087</f>
        <v/>
      </c>
      <c r="B1087" s="10" t="n"/>
      <c r="C1087" s="11">
        <f>IF(B1087="","",PERCENTRANK.INC($B$2:$B$2501,B1087)*100)</f>
        <v/>
      </c>
      <c r="D1087" s="10" t="n"/>
      <c r="E1087" s="10">
        <f>IF(D1087="","",MIN(D1087,100))</f>
        <v/>
      </c>
      <c r="F1087" s="10" t="n"/>
      <c r="G1087" s="10">
        <f>IF(F1087="","",MIN(F1087,100))</f>
        <v/>
      </c>
      <c r="H1087" s="11">
        <f>IF(A1087="","",Universe!E1087/BDP(A1087&amp;" US Equity","HIGH_52WEEK")*100)</f>
        <v/>
      </c>
      <c r="I1087">
        <f>IF(D1087="","",D1087&gt;=5)</f>
        <v/>
      </c>
      <c r="J1087">
        <f>IF(F1087="","",F1087&gt;=5)</f>
        <v/>
      </c>
      <c r="K1087">
        <f>IF(H1087="","",H1087&gt;=75)</f>
        <v/>
      </c>
      <c r="L1087">
        <f>IF(OR(I1087="",J1087="",K1087=""),FALSE,AND(I1087,J1087,K1087))</f>
        <v/>
      </c>
    </row>
    <row r="1088">
      <c r="A1088">
        <f>Universe!A1088</f>
        <v/>
      </c>
      <c r="B1088" s="10" t="n"/>
      <c r="C1088" s="11">
        <f>IF(B1088="","",PERCENTRANK.INC($B$2:$B$2501,B1088)*100)</f>
        <v/>
      </c>
      <c r="D1088" s="10" t="n"/>
      <c r="E1088" s="10">
        <f>IF(D1088="","",MIN(D1088,100))</f>
        <v/>
      </c>
      <c r="F1088" s="10" t="n"/>
      <c r="G1088" s="10">
        <f>IF(F1088="","",MIN(F1088,100))</f>
        <v/>
      </c>
      <c r="H1088" s="11">
        <f>IF(A1088="","",Universe!E1088/BDP(A1088&amp;" US Equity","HIGH_52WEEK")*100)</f>
        <v/>
      </c>
      <c r="I1088">
        <f>IF(D1088="","",D1088&gt;=5)</f>
        <v/>
      </c>
      <c r="J1088">
        <f>IF(F1088="","",F1088&gt;=5)</f>
        <v/>
      </c>
      <c r="K1088">
        <f>IF(H1088="","",H1088&gt;=75)</f>
        <v/>
      </c>
      <c r="L1088">
        <f>IF(OR(I1088="",J1088="",K1088=""),FALSE,AND(I1088,J1088,K1088))</f>
        <v/>
      </c>
    </row>
    <row r="1089">
      <c r="A1089">
        <f>Universe!A1089</f>
        <v/>
      </c>
      <c r="B1089" s="10" t="n"/>
      <c r="C1089" s="11">
        <f>IF(B1089="","",PERCENTRANK.INC($B$2:$B$2501,B1089)*100)</f>
        <v/>
      </c>
      <c r="D1089" s="10" t="n"/>
      <c r="E1089" s="10">
        <f>IF(D1089="","",MIN(D1089,100))</f>
        <v/>
      </c>
      <c r="F1089" s="10" t="n"/>
      <c r="G1089" s="10">
        <f>IF(F1089="","",MIN(F1089,100))</f>
        <v/>
      </c>
      <c r="H1089" s="11">
        <f>IF(A1089="","",Universe!E1089/BDP(A1089&amp;" US Equity","HIGH_52WEEK")*100)</f>
        <v/>
      </c>
      <c r="I1089">
        <f>IF(D1089="","",D1089&gt;=5)</f>
        <v/>
      </c>
      <c r="J1089">
        <f>IF(F1089="","",F1089&gt;=5)</f>
        <v/>
      </c>
      <c r="K1089">
        <f>IF(H1089="","",H1089&gt;=75)</f>
        <v/>
      </c>
      <c r="L1089">
        <f>IF(OR(I1089="",J1089="",K1089=""),FALSE,AND(I1089,J1089,K1089))</f>
        <v/>
      </c>
    </row>
    <row r="1090">
      <c r="A1090">
        <f>Universe!A1090</f>
        <v/>
      </c>
      <c r="B1090" s="10" t="n"/>
      <c r="C1090" s="11">
        <f>IF(B1090="","",PERCENTRANK.INC($B$2:$B$2501,B1090)*100)</f>
        <v/>
      </c>
      <c r="D1090" s="10" t="n"/>
      <c r="E1090" s="10">
        <f>IF(D1090="","",MIN(D1090,100))</f>
        <v/>
      </c>
      <c r="F1090" s="10" t="n"/>
      <c r="G1090" s="10">
        <f>IF(F1090="","",MIN(F1090,100))</f>
        <v/>
      </c>
      <c r="H1090" s="11">
        <f>IF(A1090="","",Universe!E1090/BDP(A1090&amp;" US Equity","HIGH_52WEEK")*100)</f>
        <v/>
      </c>
      <c r="I1090">
        <f>IF(D1090="","",D1090&gt;=5)</f>
        <v/>
      </c>
      <c r="J1090">
        <f>IF(F1090="","",F1090&gt;=5)</f>
        <v/>
      </c>
      <c r="K1090">
        <f>IF(H1090="","",H1090&gt;=75)</f>
        <v/>
      </c>
      <c r="L1090">
        <f>IF(OR(I1090="",J1090="",K1090=""),FALSE,AND(I1090,J1090,K1090))</f>
        <v/>
      </c>
    </row>
    <row r="1091">
      <c r="A1091">
        <f>Universe!A1091</f>
        <v/>
      </c>
      <c r="B1091" s="10" t="n"/>
      <c r="C1091" s="11">
        <f>IF(B1091="","",PERCENTRANK.INC($B$2:$B$2501,B1091)*100)</f>
        <v/>
      </c>
      <c r="D1091" s="10" t="n"/>
      <c r="E1091" s="10">
        <f>IF(D1091="","",MIN(D1091,100))</f>
        <v/>
      </c>
      <c r="F1091" s="10" t="n"/>
      <c r="G1091" s="10">
        <f>IF(F1091="","",MIN(F1091,100))</f>
        <v/>
      </c>
      <c r="H1091" s="11">
        <f>IF(A1091="","",Universe!E1091/BDP(A1091&amp;" US Equity","HIGH_52WEEK")*100)</f>
        <v/>
      </c>
      <c r="I1091">
        <f>IF(D1091="","",D1091&gt;=5)</f>
        <v/>
      </c>
      <c r="J1091">
        <f>IF(F1091="","",F1091&gt;=5)</f>
        <v/>
      </c>
      <c r="K1091">
        <f>IF(H1091="","",H1091&gt;=75)</f>
        <v/>
      </c>
      <c r="L1091">
        <f>IF(OR(I1091="",J1091="",K1091=""),FALSE,AND(I1091,J1091,K1091))</f>
        <v/>
      </c>
    </row>
    <row r="1092">
      <c r="A1092">
        <f>Universe!A1092</f>
        <v/>
      </c>
      <c r="B1092" s="10" t="n"/>
      <c r="C1092" s="11">
        <f>IF(B1092="","",PERCENTRANK.INC($B$2:$B$2501,B1092)*100)</f>
        <v/>
      </c>
      <c r="D1092" s="10" t="n"/>
      <c r="E1092" s="10">
        <f>IF(D1092="","",MIN(D1092,100))</f>
        <v/>
      </c>
      <c r="F1092" s="10" t="n"/>
      <c r="G1092" s="10">
        <f>IF(F1092="","",MIN(F1092,100))</f>
        <v/>
      </c>
      <c r="H1092" s="11">
        <f>IF(A1092="","",Universe!E1092/BDP(A1092&amp;" US Equity","HIGH_52WEEK")*100)</f>
        <v/>
      </c>
      <c r="I1092">
        <f>IF(D1092="","",D1092&gt;=5)</f>
        <v/>
      </c>
      <c r="J1092">
        <f>IF(F1092="","",F1092&gt;=5)</f>
        <v/>
      </c>
      <c r="K1092">
        <f>IF(H1092="","",H1092&gt;=75)</f>
        <v/>
      </c>
      <c r="L1092">
        <f>IF(OR(I1092="",J1092="",K1092=""),FALSE,AND(I1092,J1092,K1092))</f>
        <v/>
      </c>
    </row>
    <row r="1093">
      <c r="A1093">
        <f>Universe!A1093</f>
        <v/>
      </c>
      <c r="B1093" s="10" t="n"/>
      <c r="C1093" s="11">
        <f>IF(B1093="","",PERCENTRANK.INC($B$2:$B$2501,B1093)*100)</f>
        <v/>
      </c>
      <c r="D1093" s="10" t="n"/>
      <c r="E1093" s="10">
        <f>IF(D1093="","",MIN(D1093,100))</f>
        <v/>
      </c>
      <c r="F1093" s="10" t="n"/>
      <c r="G1093" s="10">
        <f>IF(F1093="","",MIN(F1093,100))</f>
        <v/>
      </c>
      <c r="H1093" s="11">
        <f>IF(A1093="","",Universe!E1093/BDP(A1093&amp;" US Equity","HIGH_52WEEK")*100)</f>
        <v/>
      </c>
      <c r="I1093">
        <f>IF(D1093="","",D1093&gt;=5)</f>
        <v/>
      </c>
      <c r="J1093">
        <f>IF(F1093="","",F1093&gt;=5)</f>
        <v/>
      </c>
      <c r="K1093">
        <f>IF(H1093="","",H1093&gt;=75)</f>
        <v/>
      </c>
      <c r="L1093">
        <f>IF(OR(I1093="",J1093="",K1093=""),FALSE,AND(I1093,J1093,K1093))</f>
        <v/>
      </c>
    </row>
    <row r="1094">
      <c r="A1094">
        <f>Universe!A1094</f>
        <v/>
      </c>
      <c r="B1094" s="10" t="n"/>
      <c r="C1094" s="11">
        <f>IF(B1094="","",PERCENTRANK.INC($B$2:$B$2501,B1094)*100)</f>
        <v/>
      </c>
      <c r="D1094" s="10" t="n"/>
      <c r="E1094" s="10">
        <f>IF(D1094="","",MIN(D1094,100))</f>
        <v/>
      </c>
      <c r="F1094" s="10" t="n"/>
      <c r="G1094" s="10">
        <f>IF(F1094="","",MIN(F1094,100))</f>
        <v/>
      </c>
      <c r="H1094" s="11">
        <f>IF(A1094="","",Universe!E1094/BDP(A1094&amp;" US Equity","HIGH_52WEEK")*100)</f>
        <v/>
      </c>
      <c r="I1094">
        <f>IF(D1094="","",D1094&gt;=5)</f>
        <v/>
      </c>
      <c r="J1094">
        <f>IF(F1094="","",F1094&gt;=5)</f>
        <v/>
      </c>
      <c r="K1094">
        <f>IF(H1094="","",H1094&gt;=75)</f>
        <v/>
      </c>
      <c r="L1094">
        <f>IF(OR(I1094="",J1094="",K1094=""),FALSE,AND(I1094,J1094,K1094))</f>
        <v/>
      </c>
    </row>
    <row r="1095">
      <c r="A1095">
        <f>Universe!A1095</f>
        <v/>
      </c>
      <c r="B1095" s="10" t="n"/>
      <c r="C1095" s="11">
        <f>IF(B1095="","",PERCENTRANK.INC($B$2:$B$2501,B1095)*100)</f>
        <v/>
      </c>
      <c r="D1095" s="10" t="n"/>
      <c r="E1095" s="10">
        <f>IF(D1095="","",MIN(D1095,100))</f>
        <v/>
      </c>
      <c r="F1095" s="10" t="n"/>
      <c r="G1095" s="10">
        <f>IF(F1095="","",MIN(F1095,100))</f>
        <v/>
      </c>
      <c r="H1095" s="11">
        <f>IF(A1095="","",Universe!E1095/BDP(A1095&amp;" US Equity","HIGH_52WEEK")*100)</f>
        <v/>
      </c>
      <c r="I1095">
        <f>IF(D1095="","",D1095&gt;=5)</f>
        <v/>
      </c>
      <c r="J1095">
        <f>IF(F1095="","",F1095&gt;=5)</f>
        <v/>
      </c>
      <c r="K1095">
        <f>IF(H1095="","",H1095&gt;=75)</f>
        <v/>
      </c>
      <c r="L1095">
        <f>IF(OR(I1095="",J1095="",K1095=""),FALSE,AND(I1095,J1095,K1095))</f>
        <v/>
      </c>
    </row>
    <row r="1096">
      <c r="A1096">
        <f>Universe!A1096</f>
        <v/>
      </c>
      <c r="B1096" s="10" t="n"/>
      <c r="C1096" s="11">
        <f>IF(B1096="","",PERCENTRANK.INC($B$2:$B$2501,B1096)*100)</f>
        <v/>
      </c>
      <c r="D1096" s="10" t="n"/>
      <c r="E1096" s="10">
        <f>IF(D1096="","",MIN(D1096,100))</f>
        <v/>
      </c>
      <c r="F1096" s="10" t="n"/>
      <c r="G1096" s="10">
        <f>IF(F1096="","",MIN(F1096,100))</f>
        <v/>
      </c>
      <c r="H1096" s="11">
        <f>IF(A1096="","",Universe!E1096/BDP(A1096&amp;" US Equity","HIGH_52WEEK")*100)</f>
        <v/>
      </c>
      <c r="I1096">
        <f>IF(D1096="","",D1096&gt;=5)</f>
        <v/>
      </c>
      <c r="J1096">
        <f>IF(F1096="","",F1096&gt;=5)</f>
        <v/>
      </c>
      <c r="K1096">
        <f>IF(H1096="","",H1096&gt;=75)</f>
        <v/>
      </c>
      <c r="L1096">
        <f>IF(OR(I1096="",J1096="",K1096=""),FALSE,AND(I1096,J1096,K1096))</f>
        <v/>
      </c>
    </row>
    <row r="1097">
      <c r="A1097">
        <f>Universe!A1097</f>
        <v/>
      </c>
      <c r="B1097" s="10" t="n"/>
      <c r="C1097" s="11">
        <f>IF(B1097="","",PERCENTRANK.INC($B$2:$B$2501,B1097)*100)</f>
        <v/>
      </c>
      <c r="D1097" s="10" t="n"/>
      <c r="E1097" s="10">
        <f>IF(D1097="","",MIN(D1097,100))</f>
        <v/>
      </c>
      <c r="F1097" s="10" t="n"/>
      <c r="G1097" s="10">
        <f>IF(F1097="","",MIN(F1097,100))</f>
        <v/>
      </c>
      <c r="H1097" s="11">
        <f>IF(A1097="","",Universe!E1097/BDP(A1097&amp;" US Equity","HIGH_52WEEK")*100)</f>
        <v/>
      </c>
      <c r="I1097">
        <f>IF(D1097="","",D1097&gt;=5)</f>
        <v/>
      </c>
      <c r="J1097">
        <f>IF(F1097="","",F1097&gt;=5)</f>
        <v/>
      </c>
      <c r="K1097">
        <f>IF(H1097="","",H1097&gt;=75)</f>
        <v/>
      </c>
      <c r="L1097">
        <f>IF(OR(I1097="",J1097="",K1097=""),FALSE,AND(I1097,J1097,K1097))</f>
        <v/>
      </c>
    </row>
    <row r="1098">
      <c r="A1098">
        <f>Universe!A1098</f>
        <v/>
      </c>
      <c r="B1098" s="10" t="n"/>
      <c r="C1098" s="11">
        <f>IF(B1098="","",PERCENTRANK.INC($B$2:$B$2501,B1098)*100)</f>
        <v/>
      </c>
      <c r="D1098" s="10" t="n"/>
      <c r="E1098" s="10">
        <f>IF(D1098="","",MIN(D1098,100))</f>
        <v/>
      </c>
      <c r="F1098" s="10" t="n"/>
      <c r="G1098" s="10">
        <f>IF(F1098="","",MIN(F1098,100))</f>
        <v/>
      </c>
      <c r="H1098" s="11">
        <f>IF(A1098="","",Universe!E1098/BDP(A1098&amp;" US Equity","HIGH_52WEEK")*100)</f>
        <v/>
      </c>
      <c r="I1098">
        <f>IF(D1098="","",D1098&gt;=5)</f>
        <v/>
      </c>
      <c r="J1098">
        <f>IF(F1098="","",F1098&gt;=5)</f>
        <v/>
      </c>
      <c r="K1098">
        <f>IF(H1098="","",H1098&gt;=75)</f>
        <v/>
      </c>
      <c r="L1098">
        <f>IF(OR(I1098="",J1098="",K1098=""),FALSE,AND(I1098,J1098,K1098))</f>
        <v/>
      </c>
    </row>
    <row r="1099">
      <c r="A1099">
        <f>Universe!A1099</f>
        <v/>
      </c>
      <c r="B1099" s="10" t="n"/>
      <c r="C1099" s="11">
        <f>IF(B1099="","",PERCENTRANK.INC($B$2:$B$2501,B1099)*100)</f>
        <v/>
      </c>
      <c r="D1099" s="10" t="n"/>
      <c r="E1099" s="10">
        <f>IF(D1099="","",MIN(D1099,100))</f>
        <v/>
      </c>
      <c r="F1099" s="10" t="n"/>
      <c r="G1099" s="10">
        <f>IF(F1099="","",MIN(F1099,100))</f>
        <v/>
      </c>
      <c r="H1099" s="11">
        <f>IF(A1099="","",Universe!E1099/BDP(A1099&amp;" US Equity","HIGH_52WEEK")*100)</f>
        <v/>
      </c>
      <c r="I1099">
        <f>IF(D1099="","",D1099&gt;=5)</f>
        <v/>
      </c>
      <c r="J1099">
        <f>IF(F1099="","",F1099&gt;=5)</f>
        <v/>
      </c>
      <c r="K1099">
        <f>IF(H1099="","",H1099&gt;=75)</f>
        <v/>
      </c>
      <c r="L1099">
        <f>IF(OR(I1099="",J1099="",K1099=""),FALSE,AND(I1099,J1099,K1099))</f>
        <v/>
      </c>
    </row>
    <row r="1100">
      <c r="A1100">
        <f>Universe!A1100</f>
        <v/>
      </c>
      <c r="B1100" s="10" t="n"/>
      <c r="C1100" s="11">
        <f>IF(B1100="","",PERCENTRANK.INC($B$2:$B$2501,B1100)*100)</f>
        <v/>
      </c>
      <c r="D1100" s="10" t="n"/>
      <c r="E1100" s="10">
        <f>IF(D1100="","",MIN(D1100,100))</f>
        <v/>
      </c>
      <c r="F1100" s="10" t="n"/>
      <c r="G1100" s="10">
        <f>IF(F1100="","",MIN(F1100,100))</f>
        <v/>
      </c>
      <c r="H1100" s="11">
        <f>IF(A1100="","",Universe!E1100/BDP(A1100&amp;" US Equity","HIGH_52WEEK")*100)</f>
        <v/>
      </c>
      <c r="I1100">
        <f>IF(D1100="","",D1100&gt;=5)</f>
        <v/>
      </c>
      <c r="J1100">
        <f>IF(F1100="","",F1100&gt;=5)</f>
        <v/>
      </c>
      <c r="K1100">
        <f>IF(H1100="","",H1100&gt;=75)</f>
        <v/>
      </c>
      <c r="L1100">
        <f>IF(OR(I1100="",J1100="",K1100=""),FALSE,AND(I1100,J1100,K1100))</f>
        <v/>
      </c>
    </row>
    <row r="1101">
      <c r="A1101">
        <f>Universe!A1101</f>
        <v/>
      </c>
      <c r="B1101" s="10" t="n"/>
      <c r="C1101" s="11">
        <f>IF(B1101="","",PERCENTRANK.INC($B$2:$B$2501,B1101)*100)</f>
        <v/>
      </c>
      <c r="D1101" s="10" t="n"/>
      <c r="E1101" s="10">
        <f>IF(D1101="","",MIN(D1101,100))</f>
        <v/>
      </c>
      <c r="F1101" s="10" t="n"/>
      <c r="G1101" s="10">
        <f>IF(F1101="","",MIN(F1101,100))</f>
        <v/>
      </c>
      <c r="H1101" s="11">
        <f>IF(A1101="","",Universe!E1101/BDP(A1101&amp;" US Equity","HIGH_52WEEK")*100)</f>
        <v/>
      </c>
      <c r="I1101">
        <f>IF(D1101="","",D1101&gt;=5)</f>
        <v/>
      </c>
      <c r="J1101">
        <f>IF(F1101="","",F1101&gt;=5)</f>
        <v/>
      </c>
      <c r="K1101">
        <f>IF(H1101="","",H1101&gt;=75)</f>
        <v/>
      </c>
      <c r="L1101">
        <f>IF(OR(I1101="",J1101="",K1101=""),FALSE,AND(I1101,J1101,K1101))</f>
        <v/>
      </c>
    </row>
    <row r="1102">
      <c r="A1102">
        <f>Universe!A1102</f>
        <v/>
      </c>
      <c r="B1102" s="10" t="n"/>
      <c r="C1102" s="11">
        <f>IF(B1102="","",PERCENTRANK.INC($B$2:$B$2501,B1102)*100)</f>
        <v/>
      </c>
      <c r="D1102" s="10" t="n"/>
      <c r="E1102" s="10">
        <f>IF(D1102="","",MIN(D1102,100))</f>
        <v/>
      </c>
      <c r="F1102" s="10" t="n"/>
      <c r="G1102" s="10">
        <f>IF(F1102="","",MIN(F1102,100))</f>
        <v/>
      </c>
      <c r="H1102" s="11">
        <f>IF(A1102="","",Universe!E1102/BDP(A1102&amp;" US Equity","HIGH_52WEEK")*100)</f>
        <v/>
      </c>
      <c r="I1102">
        <f>IF(D1102="","",D1102&gt;=5)</f>
        <v/>
      </c>
      <c r="J1102">
        <f>IF(F1102="","",F1102&gt;=5)</f>
        <v/>
      </c>
      <c r="K1102">
        <f>IF(H1102="","",H1102&gt;=75)</f>
        <v/>
      </c>
      <c r="L1102">
        <f>IF(OR(I1102="",J1102="",K1102=""),FALSE,AND(I1102,J1102,K1102))</f>
        <v/>
      </c>
    </row>
    <row r="1103">
      <c r="A1103">
        <f>Universe!A1103</f>
        <v/>
      </c>
      <c r="B1103" s="10" t="n"/>
      <c r="C1103" s="11">
        <f>IF(B1103="","",PERCENTRANK.INC($B$2:$B$2501,B1103)*100)</f>
        <v/>
      </c>
      <c r="D1103" s="10" t="n"/>
      <c r="E1103" s="10">
        <f>IF(D1103="","",MIN(D1103,100))</f>
        <v/>
      </c>
      <c r="F1103" s="10" t="n"/>
      <c r="G1103" s="10">
        <f>IF(F1103="","",MIN(F1103,100))</f>
        <v/>
      </c>
      <c r="H1103" s="11">
        <f>IF(A1103="","",Universe!E1103/BDP(A1103&amp;" US Equity","HIGH_52WEEK")*100)</f>
        <v/>
      </c>
      <c r="I1103">
        <f>IF(D1103="","",D1103&gt;=5)</f>
        <v/>
      </c>
      <c r="J1103">
        <f>IF(F1103="","",F1103&gt;=5)</f>
        <v/>
      </c>
      <c r="K1103">
        <f>IF(H1103="","",H1103&gt;=75)</f>
        <v/>
      </c>
      <c r="L1103">
        <f>IF(OR(I1103="",J1103="",K1103=""),FALSE,AND(I1103,J1103,K1103))</f>
        <v/>
      </c>
    </row>
    <row r="1104">
      <c r="A1104">
        <f>Universe!A1104</f>
        <v/>
      </c>
      <c r="B1104" s="10" t="n"/>
      <c r="C1104" s="11">
        <f>IF(B1104="","",PERCENTRANK.INC($B$2:$B$2501,B1104)*100)</f>
        <v/>
      </c>
      <c r="D1104" s="10" t="n"/>
      <c r="E1104" s="10">
        <f>IF(D1104="","",MIN(D1104,100))</f>
        <v/>
      </c>
      <c r="F1104" s="10" t="n"/>
      <c r="G1104" s="10">
        <f>IF(F1104="","",MIN(F1104,100))</f>
        <v/>
      </c>
      <c r="H1104" s="11">
        <f>IF(A1104="","",Universe!E1104/BDP(A1104&amp;" US Equity","HIGH_52WEEK")*100)</f>
        <v/>
      </c>
      <c r="I1104">
        <f>IF(D1104="","",D1104&gt;=5)</f>
        <v/>
      </c>
      <c r="J1104">
        <f>IF(F1104="","",F1104&gt;=5)</f>
        <v/>
      </c>
      <c r="K1104">
        <f>IF(H1104="","",H1104&gt;=75)</f>
        <v/>
      </c>
      <c r="L1104">
        <f>IF(OR(I1104="",J1104="",K1104=""),FALSE,AND(I1104,J1104,K1104))</f>
        <v/>
      </c>
    </row>
    <row r="1105">
      <c r="A1105">
        <f>Universe!A1105</f>
        <v/>
      </c>
      <c r="B1105" s="10" t="n"/>
      <c r="C1105" s="11">
        <f>IF(B1105="","",PERCENTRANK.INC($B$2:$B$2501,B1105)*100)</f>
        <v/>
      </c>
      <c r="D1105" s="10" t="n"/>
      <c r="E1105" s="10">
        <f>IF(D1105="","",MIN(D1105,100))</f>
        <v/>
      </c>
      <c r="F1105" s="10" t="n"/>
      <c r="G1105" s="10">
        <f>IF(F1105="","",MIN(F1105,100))</f>
        <v/>
      </c>
      <c r="H1105" s="11">
        <f>IF(A1105="","",Universe!E1105/BDP(A1105&amp;" US Equity","HIGH_52WEEK")*100)</f>
        <v/>
      </c>
      <c r="I1105">
        <f>IF(D1105="","",D1105&gt;=5)</f>
        <v/>
      </c>
      <c r="J1105">
        <f>IF(F1105="","",F1105&gt;=5)</f>
        <v/>
      </c>
      <c r="K1105">
        <f>IF(H1105="","",H1105&gt;=75)</f>
        <v/>
      </c>
      <c r="L1105">
        <f>IF(OR(I1105="",J1105="",K1105=""),FALSE,AND(I1105,J1105,K1105))</f>
        <v/>
      </c>
    </row>
    <row r="1106">
      <c r="A1106">
        <f>Universe!A1106</f>
        <v/>
      </c>
      <c r="B1106" s="10" t="n"/>
      <c r="C1106" s="11">
        <f>IF(B1106="","",PERCENTRANK.INC($B$2:$B$2501,B1106)*100)</f>
        <v/>
      </c>
      <c r="D1106" s="10" t="n"/>
      <c r="E1106" s="10">
        <f>IF(D1106="","",MIN(D1106,100))</f>
        <v/>
      </c>
      <c r="F1106" s="10" t="n"/>
      <c r="G1106" s="10">
        <f>IF(F1106="","",MIN(F1106,100))</f>
        <v/>
      </c>
      <c r="H1106" s="11">
        <f>IF(A1106="","",Universe!E1106/BDP(A1106&amp;" US Equity","HIGH_52WEEK")*100)</f>
        <v/>
      </c>
      <c r="I1106">
        <f>IF(D1106="","",D1106&gt;=5)</f>
        <v/>
      </c>
      <c r="J1106">
        <f>IF(F1106="","",F1106&gt;=5)</f>
        <v/>
      </c>
      <c r="K1106">
        <f>IF(H1106="","",H1106&gt;=75)</f>
        <v/>
      </c>
      <c r="L1106">
        <f>IF(OR(I1106="",J1106="",K1106=""),FALSE,AND(I1106,J1106,K1106))</f>
        <v/>
      </c>
    </row>
    <row r="1107">
      <c r="A1107">
        <f>Universe!A1107</f>
        <v/>
      </c>
      <c r="B1107" s="10" t="n"/>
      <c r="C1107" s="11">
        <f>IF(B1107="","",PERCENTRANK.INC($B$2:$B$2501,B1107)*100)</f>
        <v/>
      </c>
      <c r="D1107" s="10" t="n"/>
      <c r="E1107" s="10">
        <f>IF(D1107="","",MIN(D1107,100))</f>
        <v/>
      </c>
      <c r="F1107" s="10" t="n"/>
      <c r="G1107" s="10">
        <f>IF(F1107="","",MIN(F1107,100))</f>
        <v/>
      </c>
      <c r="H1107" s="11">
        <f>IF(A1107="","",Universe!E1107/BDP(A1107&amp;" US Equity","HIGH_52WEEK")*100)</f>
        <v/>
      </c>
      <c r="I1107">
        <f>IF(D1107="","",D1107&gt;=5)</f>
        <v/>
      </c>
      <c r="J1107">
        <f>IF(F1107="","",F1107&gt;=5)</f>
        <v/>
      </c>
      <c r="K1107">
        <f>IF(H1107="","",H1107&gt;=75)</f>
        <v/>
      </c>
      <c r="L1107">
        <f>IF(OR(I1107="",J1107="",K1107=""),FALSE,AND(I1107,J1107,K1107))</f>
        <v/>
      </c>
    </row>
    <row r="1108">
      <c r="A1108">
        <f>Universe!A1108</f>
        <v/>
      </c>
      <c r="B1108" s="10" t="n"/>
      <c r="C1108" s="11">
        <f>IF(B1108="","",PERCENTRANK.INC($B$2:$B$2501,B1108)*100)</f>
        <v/>
      </c>
      <c r="D1108" s="10" t="n"/>
      <c r="E1108" s="10">
        <f>IF(D1108="","",MIN(D1108,100))</f>
        <v/>
      </c>
      <c r="F1108" s="10" t="n"/>
      <c r="G1108" s="10">
        <f>IF(F1108="","",MIN(F1108,100))</f>
        <v/>
      </c>
      <c r="H1108" s="11">
        <f>IF(A1108="","",Universe!E1108/BDP(A1108&amp;" US Equity","HIGH_52WEEK")*100)</f>
        <v/>
      </c>
      <c r="I1108">
        <f>IF(D1108="","",D1108&gt;=5)</f>
        <v/>
      </c>
      <c r="J1108">
        <f>IF(F1108="","",F1108&gt;=5)</f>
        <v/>
      </c>
      <c r="K1108">
        <f>IF(H1108="","",H1108&gt;=75)</f>
        <v/>
      </c>
      <c r="L1108">
        <f>IF(OR(I1108="",J1108="",K1108=""),FALSE,AND(I1108,J1108,K1108))</f>
        <v/>
      </c>
    </row>
    <row r="1109">
      <c r="A1109">
        <f>Universe!A1109</f>
        <v/>
      </c>
      <c r="B1109" s="10" t="n"/>
      <c r="C1109" s="11">
        <f>IF(B1109="","",PERCENTRANK.INC($B$2:$B$2501,B1109)*100)</f>
        <v/>
      </c>
      <c r="D1109" s="10" t="n"/>
      <c r="E1109" s="10">
        <f>IF(D1109="","",MIN(D1109,100))</f>
        <v/>
      </c>
      <c r="F1109" s="10" t="n"/>
      <c r="G1109" s="10">
        <f>IF(F1109="","",MIN(F1109,100))</f>
        <v/>
      </c>
      <c r="H1109" s="11">
        <f>IF(A1109="","",Universe!E1109/BDP(A1109&amp;" US Equity","HIGH_52WEEK")*100)</f>
        <v/>
      </c>
      <c r="I1109">
        <f>IF(D1109="","",D1109&gt;=5)</f>
        <v/>
      </c>
      <c r="J1109">
        <f>IF(F1109="","",F1109&gt;=5)</f>
        <v/>
      </c>
      <c r="K1109">
        <f>IF(H1109="","",H1109&gt;=75)</f>
        <v/>
      </c>
      <c r="L1109">
        <f>IF(OR(I1109="",J1109="",K1109=""),FALSE,AND(I1109,J1109,K1109))</f>
        <v/>
      </c>
    </row>
    <row r="1110">
      <c r="A1110">
        <f>Universe!A1110</f>
        <v/>
      </c>
      <c r="B1110" s="10" t="n"/>
      <c r="C1110" s="11">
        <f>IF(B1110="","",PERCENTRANK.INC($B$2:$B$2501,B1110)*100)</f>
        <v/>
      </c>
      <c r="D1110" s="10" t="n"/>
      <c r="E1110" s="10">
        <f>IF(D1110="","",MIN(D1110,100))</f>
        <v/>
      </c>
      <c r="F1110" s="10" t="n"/>
      <c r="G1110" s="10">
        <f>IF(F1110="","",MIN(F1110,100))</f>
        <v/>
      </c>
      <c r="H1110" s="11">
        <f>IF(A1110="","",Universe!E1110/BDP(A1110&amp;" US Equity","HIGH_52WEEK")*100)</f>
        <v/>
      </c>
      <c r="I1110">
        <f>IF(D1110="","",D1110&gt;=5)</f>
        <v/>
      </c>
      <c r="J1110">
        <f>IF(F1110="","",F1110&gt;=5)</f>
        <v/>
      </c>
      <c r="K1110">
        <f>IF(H1110="","",H1110&gt;=75)</f>
        <v/>
      </c>
      <c r="L1110">
        <f>IF(OR(I1110="",J1110="",K1110=""),FALSE,AND(I1110,J1110,K1110))</f>
        <v/>
      </c>
    </row>
    <row r="1111">
      <c r="A1111">
        <f>Universe!A1111</f>
        <v/>
      </c>
      <c r="B1111" s="10" t="n"/>
      <c r="C1111" s="11">
        <f>IF(B1111="","",PERCENTRANK.INC($B$2:$B$2501,B1111)*100)</f>
        <v/>
      </c>
      <c r="D1111" s="10" t="n"/>
      <c r="E1111" s="10">
        <f>IF(D1111="","",MIN(D1111,100))</f>
        <v/>
      </c>
      <c r="F1111" s="10" t="n"/>
      <c r="G1111" s="10">
        <f>IF(F1111="","",MIN(F1111,100))</f>
        <v/>
      </c>
      <c r="H1111" s="11">
        <f>IF(A1111="","",Universe!E1111/BDP(A1111&amp;" US Equity","HIGH_52WEEK")*100)</f>
        <v/>
      </c>
      <c r="I1111">
        <f>IF(D1111="","",D1111&gt;=5)</f>
        <v/>
      </c>
      <c r="J1111">
        <f>IF(F1111="","",F1111&gt;=5)</f>
        <v/>
      </c>
      <c r="K1111">
        <f>IF(H1111="","",H1111&gt;=75)</f>
        <v/>
      </c>
      <c r="L1111">
        <f>IF(OR(I1111="",J1111="",K1111=""),FALSE,AND(I1111,J1111,K1111))</f>
        <v/>
      </c>
    </row>
    <row r="1112">
      <c r="A1112">
        <f>Universe!A1112</f>
        <v/>
      </c>
      <c r="B1112" s="10" t="n"/>
      <c r="C1112" s="11">
        <f>IF(B1112="","",PERCENTRANK.INC($B$2:$B$2501,B1112)*100)</f>
        <v/>
      </c>
      <c r="D1112" s="10" t="n"/>
      <c r="E1112" s="10">
        <f>IF(D1112="","",MIN(D1112,100))</f>
        <v/>
      </c>
      <c r="F1112" s="10" t="n"/>
      <c r="G1112" s="10">
        <f>IF(F1112="","",MIN(F1112,100))</f>
        <v/>
      </c>
      <c r="H1112" s="11">
        <f>IF(A1112="","",Universe!E1112/BDP(A1112&amp;" US Equity","HIGH_52WEEK")*100)</f>
        <v/>
      </c>
      <c r="I1112">
        <f>IF(D1112="","",D1112&gt;=5)</f>
        <v/>
      </c>
      <c r="J1112">
        <f>IF(F1112="","",F1112&gt;=5)</f>
        <v/>
      </c>
      <c r="K1112">
        <f>IF(H1112="","",H1112&gt;=75)</f>
        <v/>
      </c>
      <c r="L1112">
        <f>IF(OR(I1112="",J1112="",K1112=""),FALSE,AND(I1112,J1112,K1112))</f>
        <v/>
      </c>
    </row>
    <row r="1113">
      <c r="A1113">
        <f>Universe!A1113</f>
        <v/>
      </c>
      <c r="B1113" s="10" t="n"/>
      <c r="C1113" s="11">
        <f>IF(B1113="","",PERCENTRANK.INC($B$2:$B$2501,B1113)*100)</f>
        <v/>
      </c>
      <c r="D1113" s="10" t="n"/>
      <c r="E1113" s="10">
        <f>IF(D1113="","",MIN(D1113,100))</f>
        <v/>
      </c>
      <c r="F1113" s="10" t="n"/>
      <c r="G1113" s="10">
        <f>IF(F1113="","",MIN(F1113,100))</f>
        <v/>
      </c>
      <c r="H1113" s="11">
        <f>IF(A1113="","",Universe!E1113/BDP(A1113&amp;" US Equity","HIGH_52WEEK")*100)</f>
        <v/>
      </c>
      <c r="I1113">
        <f>IF(D1113="","",D1113&gt;=5)</f>
        <v/>
      </c>
      <c r="J1113">
        <f>IF(F1113="","",F1113&gt;=5)</f>
        <v/>
      </c>
      <c r="K1113">
        <f>IF(H1113="","",H1113&gt;=75)</f>
        <v/>
      </c>
      <c r="L1113">
        <f>IF(OR(I1113="",J1113="",K1113=""),FALSE,AND(I1113,J1113,K1113))</f>
        <v/>
      </c>
    </row>
    <row r="1114">
      <c r="A1114">
        <f>Universe!A1114</f>
        <v/>
      </c>
      <c r="B1114" s="10" t="n"/>
      <c r="C1114" s="11">
        <f>IF(B1114="","",PERCENTRANK.INC($B$2:$B$2501,B1114)*100)</f>
        <v/>
      </c>
      <c r="D1114" s="10" t="n"/>
      <c r="E1114" s="10">
        <f>IF(D1114="","",MIN(D1114,100))</f>
        <v/>
      </c>
      <c r="F1114" s="10" t="n"/>
      <c r="G1114" s="10">
        <f>IF(F1114="","",MIN(F1114,100))</f>
        <v/>
      </c>
      <c r="H1114" s="11">
        <f>IF(A1114="","",Universe!E1114/BDP(A1114&amp;" US Equity","HIGH_52WEEK")*100)</f>
        <v/>
      </c>
      <c r="I1114">
        <f>IF(D1114="","",D1114&gt;=5)</f>
        <v/>
      </c>
      <c r="J1114">
        <f>IF(F1114="","",F1114&gt;=5)</f>
        <v/>
      </c>
      <c r="K1114">
        <f>IF(H1114="","",H1114&gt;=75)</f>
        <v/>
      </c>
      <c r="L1114">
        <f>IF(OR(I1114="",J1114="",K1114=""),FALSE,AND(I1114,J1114,K1114))</f>
        <v/>
      </c>
    </row>
    <row r="1115">
      <c r="A1115">
        <f>Universe!A1115</f>
        <v/>
      </c>
      <c r="B1115" s="10" t="n"/>
      <c r="C1115" s="11">
        <f>IF(B1115="","",PERCENTRANK.INC($B$2:$B$2501,B1115)*100)</f>
        <v/>
      </c>
      <c r="D1115" s="10" t="n"/>
      <c r="E1115" s="10">
        <f>IF(D1115="","",MIN(D1115,100))</f>
        <v/>
      </c>
      <c r="F1115" s="10" t="n"/>
      <c r="G1115" s="10">
        <f>IF(F1115="","",MIN(F1115,100))</f>
        <v/>
      </c>
      <c r="H1115" s="11">
        <f>IF(A1115="","",Universe!E1115/BDP(A1115&amp;" US Equity","HIGH_52WEEK")*100)</f>
        <v/>
      </c>
      <c r="I1115">
        <f>IF(D1115="","",D1115&gt;=5)</f>
        <v/>
      </c>
      <c r="J1115">
        <f>IF(F1115="","",F1115&gt;=5)</f>
        <v/>
      </c>
      <c r="K1115">
        <f>IF(H1115="","",H1115&gt;=75)</f>
        <v/>
      </c>
      <c r="L1115">
        <f>IF(OR(I1115="",J1115="",K1115=""),FALSE,AND(I1115,J1115,K1115))</f>
        <v/>
      </c>
    </row>
    <row r="1116">
      <c r="A1116">
        <f>Universe!A1116</f>
        <v/>
      </c>
      <c r="B1116" s="10" t="n"/>
      <c r="C1116" s="11">
        <f>IF(B1116="","",PERCENTRANK.INC($B$2:$B$2501,B1116)*100)</f>
        <v/>
      </c>
      <c r="D1116" s="10" t="n"/>
      <c r="E1116" s="10">
        <f>IF(D1116="","",MIN(D1116,100))</f>
        <v/>
      </c>
      <c r="F1116" s="10" t="n"/>
      <c r="G1116" s="10">
        <f>IF(F1116="","",MIN(F1116,100))</f>
        <v/>
      </c>
      <c r="H1116" s="11">
        <f>IF(A1116="","",Universe!E1116/BDP(A1116&amp;" US Equity","HIGH_52WEEK")*100)</f>
        <v/>
      </c>
      <c r="I1116">
        <f>IF(D1116="","",D1116&gt;=5)</f>
        <v/>
      </c>
      <c r="J1116">
        <f>IF(F1116="","",F1116&gt;=5)</f>
        <v/>
      </c>
      <c r="K1116">
        <f>IF(H1116="","",H1116&gt;=75)</f>
        <v/>
      </c>
      <c r="L1116">
        <f>IF(OR(I1116="",J1116="",K1116=""),FALSE,AND(I1116,J1116,K1116))</f>
        <v/>
      </c>
    </row>
    <row r="1117">
      <c r="A1117">
        <f>Universe!A1117</f>
        <v/>
      </c>
      <c r="B1117" s="10" t="n"/>
      <c r="C1117" s="11">
        <f>IF(B1117="","",PERCENTRANK.INC($B$2:$B$2501,B1117)*100)</f>
        <v/>
      </c>
      <c r="D1117" s="10" t="n"/>
      <c r="E1117" s="10">
        <f>IF(D1117="","",MIN(D1117,100))</f>
        <v/>
      </c>
      <c r="F1117" s="10" t="n"/>
      <c r="G1117" s="10">
        <f>IF(F1117="","",MIN(F1117,100))</f>
        <v/>
      </c>
      <c r="H1117" s="11">
        <f>IF(A1117="","",Universe!E1117/BDP(A1117&amp;" US Equity","HIGH_52WEEK")*100)</f>
        <v/>
      </c>
      <c r="I1117">
        <f>IF(D1117="","",D1117&gt;=5)</f>
        <v/>
      </c>
      <c r="J1117">
        <f>IF(F1117="","",F1117&gt;=5)</f>
        <v/>
      </c>
      <c r="K1117">
        <f>IF(H1117="","",H1117&gt;=75)</f>
        <v/>
      </c>
      <c r="L1117">
        <f>IF(OR(I1117="",J1117="",K1117=""),FALSE,AND(I1117,J1117,K1117))</f>
        <v/>
      </c>
    </row>
    <row r="1118">
      <c r="A1118">
        <f>Universe!A1118</f>
        <v/>
      </c>
      <c r="B1118" s="10" t="n"/>
      <c r="C1118" s="11">
        <f>IF(B1118="","",PERCENTRANK.INC($B$2:$B$2501,B1118)*100)</f>
        <v/>
      </c>
      <c r="D1118" s="10" t="n"/>
      <c r="E1118" s="10">
        <f>IF(D1118="","",MIN(D1118,100))</f>
        <v/>
      </c>
      <c r="F1118" s="10" t="n"/>
      <c r="G1118" s="10">
        <f>IF(F1118="","",MIN(F1118,100))</f>
        <v/>
      </c>
      <c r="H1118" s="11">
        <f>IF(A1118="","",Universe!E1118/BDP(A1118&amp;" US Equity","HIGH_52WEEK")*100)</f>
        <v/>
      </c>
      <c r="I1118">
        <f>IF(D1118="","",D1118&gt;=5)</f>
        <v/>
      </c>
      <c r="J1118">
        <f>IF(F1118="","",F1118&gt;=5)</f>
        <v/>
      </c>
      <c r="K1118">
        <f>IF(H1118="","",H1118&gt;=75)</f>
        <v/>
      </c>
      <c r="L1118">
        <f>IF(OR(I1118="",J1118="",K1118=""),FALSE,AND(I1118,J1118,K1118))</f>
        <v/>
      </c>
    </row>
    <row r="1119">
      <c r="A1119">
        <f>Universe!A1119</f>
        <v/>
      </c>
      <c r="B1119" s="10" t="n"/>
      <c r="C1119" s="11">
        <f>IF(B1119="","",PERCENTRANK.INC($B$2:$B$2501,B1119)*100)</f>
        <v/>
      </c>
      <c r="D1119" s="10" t="n"/>
      <c r="E1119" s="10">
        <f>IF(D1119="","",MIN(D1119,100))</f>
        <v/>
      </c>
      <c r="F1119" s="10" t="n"/>
      <c r="G1119" s="10">
        <f>IF(F1119="","",MIN(F1119,100))</f>
        <v/>
      </c>
      <c r="H1119" s="11">
        <f>IF(A1119="","",Universe!E1119/BDP(A1119&amp;" US Equity","HIGH_52WEEK")*100)</f>
        <v/>
      </c>
      <c r="I1119">
        <f>IF(D1119="","",D1119&gt;=5)</f>
        <v/>
      </c>
      <c r="J1119">
        <f>IF(F1119="","",F1119&gt;=5)</f>
        <v/>
      </c>
      <c r="K1119">
        <f>IF(H1119="","",H1119&gt;=75)</f>
        <v/>
      </c>
      <c r="L1119">
        <f>IF(OR(I1119="",J1119="",K1119=""),FALSE,AND(I1119,J1119,K1119))</f>
        <v/>
      </c>
    </row>
    <row r="1120">
      <c r="A1120">
        <f>Universe!A1120</f>
        <v/>
      </c>
      <c r="B1120" s="10" t="n"/>
      <c r="C1120" s="11">
        <f>IF(B1120="","",PERCENTRANK.INC($B$2:$B$2501,B1120)*100)</f>
        <v/>
      </c>
      <c r="D1120" s="10" t="n"/>
      <c r="E1120" s="10">
        <f>IF(D1120="","",MIN(D1120,100))</f>
        <v/>
      </c>
      <c r="F1120" s="10" t="n"/>
      <c r="G1120" s="10">
        <f>IF(F1120="","",MIN(F1120,100))</f>
        <v/>
      </c>
      <c r="H1120" s="11">
        <f>IF(A1120="","",Universe!E1120/BDP(A1120&amp;" US Equity","HIGH_52WEEK")*100)</f>
        <v/>
      </c>
      <c r="I1120">
        <f>IF(D1120="","",D1120&gt;=5)</f>
        <v/>
      </c>
      <c r="J1120">
        <f>IF(F1120="","",F1120&gt;=5)</f>
        <v/>
      </c>
      <c r="K1120">
        <f>IF(H1120="","",H1120&gt;=75)</f>
        <v/>
      </c>
      <c r="L1120">
        <f>IF(OR(I1120="",J1120="",K1120=""),FALSE,AND(I1120,J1120,K1120))</f>
        <v/>
      </c>
    </row>
    <row r="1121">
      <c r="A1121">
        <f>Universe!A1121</f>
        <v/>
      </c>
      <c r="B1121" s="10" t="n"/>
      <c r="C1121" s="11">
        <f>IF(B1121="","",PERCENTRANK.INC($B$2:$B$2501,B1121)*100)</f>
        <v/>
      </c>
      <c r="D1121" s="10" t="n"/>
      <c r="E1121" s="10">
        <f>IF(D1121="","",MIN(D1121,100))</f>
        <v/>
      </c>
      <c r="F1121" s="10" t="n"/>
      <c r="G1121" s="10">
        <f>IF(F1121="","",MIN(F1121,100))</f>
        <v/>
      </c>
      <c r="H1121" s="11">
        <f>IF(A1121="","",Universe!E1121/BDP(A1121&amp;" US Equity","HIGH_52WEEK")*100)</f>
        <v/>
      </c>
      <c r="I1121">
        <f>IF(D1121="","",D1121&gt;=5)</f>
        <v/>
      </c>
      <c r="J1121">
        <f>IF(F1121="","",F1121&gt;=5)</f>
        <v/>
      </c>
      <c r="K1121">
        <f>IF(H1121="","",H1121&gt;=75)</f>
        <v/>
      </c>
      <c r="L1121">
        <f>IF(OR(I1121="",J1121="",K1121=""),FALSE,AND(I1121,J1121,K1121))</f>
        <v/>
      </c>
    </row>
    <row r="1122">
      <c r="A1122">
        <f>Universe!A1122</f>
        <v/>
      </c>
      <c r="B1122" s="10" t="n"/>
      <c r="C1122" s="11">
        <f>IF(B1122="","",PERCENTRANK.INC($B$2:$B$2501,B1122)*100)</f>
        <v/>
      </c>
      <c r="D1122" s="10" t="n"/>
      <c r="E1122" s="10">
        <f>IF(D1122="","",MIN(D1122,100))</f>
        <v/>
      </c>
      <c r="F1122" s="10" t="n"/>
      <c r="G1122" s="10">
        <f>IF(F1122="","",MIN(F1122,100))</f>
        <v/>
      </c>
      <c r="H1122" s="11">
        <f>IF(A1122="","",Universe!E1122/BDP(A1122&amp;" US Equity","HIGH_52WEEK")*100)</f>
        <v/>
      </c>
      <c r="I1122">
        <f>IF(D1122="","",D1122&gt;=5)</f>
        <v/>
      </c>
      <c r="J1122">
        <f>IF(F1122="","",F1122&gt;=5)</f>
        <v/>
      </c>
      <c r="K1122">
        <f>IF(H1122="","",H1122&gt;=75)</f>
        <v/>
      </c>
      <c r="L1122">
        <f>IF(OR(I1122="",J1122="",K1122=""),FALSE,AND(I1122,J1122,K1122))</f>
        <v/>
      </c>
    </row>
    <row r="1123">
      <c r="A1123">
        <f>Universe!A1123</f>
        <v/>
      </c>
      <c r="B1123" s="10" t="n"/>
      <c r="C1123" s="11">
        <f>IF(B1123="","",PERCENTRANK.INC($B$2:$B$2501,B1123)*100)</f>
        <v/>
      </c>
      <c r="D1123" s="10" t="n"/>
      <c r="E1123" s="10">
        <f>IF(D1123="","",MIN(D1123,100))</f>
        <v/>
      </c>
      <c r="F1123" s="10" t="n"/>
      <c r="G1123" s="10">
        <f>IF(F1123="","",MIN(F1123,100))</f>
        <v/>
      </c>
      <c r="H1123" s="11">
        <f>IF(A1123="","",Universe!E1123/BDP(A1123&amp;" US Equity","HIGH_52WEEK")*100)</f>
        <v/>
      </c>
      <c r="I1123">
        <f>IF(D1123="","",D1123&gt;=5)</f>
        <v/>
      </c>
      <c r="J1123">
        <f>IF(F1123="","",F1123&gt;=5)</f>
        <v/>
      </c>
      <c r="K1123">
        <f>IF(H1123="","",H1123&gt;=75)</f>
        <v/>
      </c>
      <c r="L1123">
        <f>IF(OR(I1123="",J1123="",K1123=""),FALSE,AND(I1123,J1123,K1123))</f>
        <v/>
      </c>
    </row>
    <row r="1124">
      <c r="A1124">
        <f>Universe!A1124</f>
        <v/>
      </c>
      <c r="B1124" s="10" t="n"/>
      <c r="C1124" s="11">
        <f>IF(B1124="","",PERCENTRANK.INC($B$2:$B$2501,B1124)*100)</f>
        <v/>
      </c>
      <c r="D1124" s="10" t="n"/>
      <c r="E1124" s="10">
        <f>IF(D1124="","",MIN(D1124,100))</f>
        <v/>
      </c>
      <c r="F1124" s="10" t="n"/>
      <c r="G1124" s="10">
        <f>IF(F1124="","",MIN(F1124,100))</f>
        <v/>
      </c>
      <c r="H1124" s="11">
        <f>IF(A1124="","",Universe!E1124/BDP(A1124&amp;" US Equity","HIGH_52WEEK")*100)</f>
        <v/>
      </c>
      <c r="I1124">
        <f>IF(D1124="","",D1124&gt;=5)</f>
        <v/>
      </c>
      <c r="J1124">
        <f>IF(F1124="","",F1124&gt;=5)</f>
        <v/>
      </c>
      <c r="K1124">
        <f>IF(H1124="","",H1124&gt;=75)</f>
        <v/>
      </c>
      <c r="L1124">
        <f>IF(OR(I1124="",J1124="",K1124=""),FALSE,AND(I1124,J1124,K1124))</f>
        <v/>
      </c>
    </row>
    <row r="1125">
      <c r="A1125">
        <f>Universe!A1125</f>
        <v/>
      </c>
      <c r="B1125" s="10" t="n"/>
      <c r="C1125" s="11">
        <f>IF(B1125="","",PERCENTRANK.INC($B$2:$B$2501,B1125)*100)</f>
        <v/>
      </c>
      <c r="D1125" s="10" t="n"/>
      <c r="E1125" s="10">
        <f>IF(D1125="","",MIN(D1125,100))</f>
        <v/>
      </c>
      <c r="F1125" s="10" t="n"/>
      <c r="G1125" s="10">
        <f>IF(F1125="","",MIN(F1125,100))</f>
        <v/>
      </c>
      <c r="H1125" s="11">
        <f>IF(A1125="","",Universe!E1125/BDP(A1125&amp;" US Equity","HIGH_52WEEK")*100)</f>
        <v/>
      </c>
      <c r="I1125">
        <f>IF(D1125="","",D1125&gt;=5)</f>
        <v/>
      </c>
      <c r="J1125">
        <f>IF(F1125="","",F1125&gt;=5)</f>
        <v/>
      </c>
      <c r="K1125">
        <f>IF(H1125="","",H1125&gt;=75)</f>
        <v/>
      </c>
      <c r="L1125">
        <f>IF(OR(I1125="",J1125="",K1125=""),FALSE,AND(I1125,J1125,K1125))</f>
        <v/>
      </c>
    </row>
    <row r="1126">
      <c r="A1126">
        <f>Universe!A1126</f>
        <v/>
      </c>
      <c r="B1126" s="10" t="n"/>
      <c r="C1126" s="11">
        <f>IF(B1126="","",PERCENTRANK.INC($B$2:$B$2501,B1126)*100)</f>
        <v/>
      </c>
      <c r="D1126" s="10" t="n"/>
      <c r="E1126" s="10">
        <f>IF(D1126="","",MIN(D1126,100))</f>
        <v/>
      </c>
      <c r="F1126" s="10" t="n"/>
      <c r="G1126" s="10">
        <f>IF(F1126="","",MIN(F1126,100))</f>
        <v/>
      </c>
      <c r="H1126" s="11">
        <f>IF(A1126="","",Universe!E1126/BDP(A1126&amp;" US Equity","HIGH_52WEEK")*100)</f>
        <v/>
      </c>
      <c r="I1126">
        <f>IF(D1126="","",D1126&gt;=5)</f>
        <v/>
      </c>
      <c r="J1126">
        <f>IF(F1126="","",F1126&gt;=5)</f>
        <v/>
      </c>
      <c r="K1126">
        <f>IF(H1126="","",H1126&gt;=75)</f>
        <v/>
      </c>
      <c r="L1126">
        <f>IF(OR(I1126="",J1126="",K1126=""),FALSE,AND(I1126,J1126,K1126))</f>
        <v/>
      </c>
    </row>
    <row r="1127">
      <c r="A1127">
        <f>Universe!A1127</f>
        <v/>
      </c>
      <c r="B1127" s="10" t="n"/>
      <c r="C1127" s="11">
        <f>IF(B1127="","",PERCENTRANK.INC($B$2:$B$2501,B1127)*100)</f>
        <v/>
      </c>
      <c r="D1127" s="10" t="n"/>
      <c r="E1127" s="10">
        <f>IF(D1127="","",MIN(D1127,100))</f>
        <v/>
      </c>
      <c r="F1127" s="10" t="n"/>
      <c r="G1127" s="10">
        <f>IF(F1127="","",MIN(F1127,100))</f>
        <v/>
      </c>
      <c r="H1127" s="11">
        <f>IF(A1127="","",Universe!E1127/BDP(A1127&amp;" US Equity","HIGH_52WEEK")*100)</f>
        <v/>
      </c>
      <c r="I1127">
        <f>IF(D1127="","",D1127&gt;=5)</f>
        <v/>
      </c>
      <c r="J1127">
        <f>IF(F1127="","",F1127&gt;=5)</f>
        <v/>
      </c>
      <c r="K1127">
        <f>IF(H1127="","",H1127&gt;=75)</f>
        <v/>
      </c>
      <c r="L1127">
        <f>IF(OR(I1127="",J1127="",K1127=""),FALSE,AND(I1127,J1127,K1127))</f>
        <v/>
      </c>
    </row>
    <row r="1128">
      <c r="A1128">
        <f>Universe!A1128</f>
        <v/>
      </c>
      <c r="B1128" s="10" t="n"/>
      <c r="C1128" s="11">
        <f>IF(B1128="","",PERCENTRANK.INC($B$2:$B$2501,B1128)*100)</f>
        <v/>
      </c>
      <c r="D1128" s="10" t="n"/>
      <c r="E1128" s="10">
        <f>IF(D1128="","",MIN(D1128,100))</f>
        <v/>
      </c>
      <c r="F1128" s="10" t="n"/>
      <c r="G1128" s="10">
        <f>IF(F1128="","",MIN(F1128,100))</f>
        <v/>
      </c>
      <c r="H1128" s="11">
        <f>IF(A1128="","",Universe!E1128/BDP(A1128&amp;" US Equity","HIGH_52WEEK")*100)</f>
        <v/>
      </c>
      <c r="I1128">
        <f>IF(D1128="","",D1128&gt;=5)</f>
        <v/>
      </c>
      <c r="J1128">
        <f>IF(F1128="","",F1128&gt;=5)</f>
        <v/>
      </c>
      <c r="K1128">
        <f>IF(H1128="","",H1128&gt;=75)</f>
        <v/>
      </c>
      <c r="L1128">
        <f>IF(OR(I1128="",J1128="",K1128=""),FALSE,AND(I1128,J1128,K1128))</f>
        <v/>
      </c>
    </row>
    <row r="1129">
      <c r="A1129">
        <f>Universe!A1129</f>
        <v/>
      </c>
      <c r="B1129" s="10" t="n"/>
      <c r="C1129" s="11">
        <f>IF(B1129="","",PERCENTRANK.INC($B$2:$B$2501,B1129)*100)</f>
        <v/>
      </c>
      <c r="D1129" s="10" t="n"/>
      <c r="E1129" s="10">
        <f>IF(D1129="","",MIN(D1129,100))</f>
        <v/>
      </c>
      <c r="F1129" s="10" t="n"/>
      <c r="G1129" s="10">
        <f>IF(F1129="","",MIN(F1129,100))</f>
        <v/>
      </c>
      <c r="H1129" s="11">
        <f>IF(A1129="","",Universe!E1129/BDP(A1129&amp;" US Equity","HIGH_52WEEK")*100)</f>
        <v/>
      </c>
      <c r="I1129">
        <f>IF(D1129="","",D1129&gt;=5)</f>
        <v/>
      </c>
      <c r="J1129">
        <f>IF(F1129="","",F1129&gt;=5)</f>
        <v/>
      </c>
      <c r="K1129">
        <f>IF(H1129="","",H1129&gt;=75)</f>
        <v/>
      </c>
      <c r="L1129">
        <f>IF(OR(I1129="",J1129="",K1129=""),FALSE,AND(I1129,J1129,K1129))</f>
        <v/>
      </c>
    </row>
    <row r="1130">
      <c r="A1130">
        <f>Universe!A1130</f>
        <v/>
      </c>
      <c r="B1130" s="10" t="n"/>
      <c r="C1130" s="11">
        <f>IF(B1130="","",PERCENTRANK.INC($B$2:$B$2501,B1130)*100)</f>
        <v/>
      </c>
      <c r="D1130" s="10" t="n"/>
      <c r="E1130" s="10">
        <f>IF(D1130="","",MIN(D1130,100))</f>
        <v/>
      </c>
      <c r="F1130" s="10" t="n"/>
      <c r="G1130" s="10">
        <f>IF(F1130="","",MIN(F1130,100))</f>
        <v/>
      </c>
      <c r="H1130" s="11">
        <f>IF(A1130="","",Universe!E1130/BDP(A1130&amp;" US Equity","HIGH_52WEEK")*100)</f>
        <v/>
      </c>
      <c r="I1130">
        <f>IF(D1130="","",D1130&gt;=5)</f>
        <v/>
      </c>
      <c r="J1130">
        <f>IF(F1130="","",F1130&gt;=5)</f>
        <v/>
      </c>
      <c r="K1130">
        <f>IF(H1130="","",H1130&gt;=75)</f>
        <v/>
      </c>
      <c r="L1130">
        <f>IF(OR(I1130="",J1130="",K1130=""),FALSE,AND(I1130,J1130,K1130))</f>
        <v/>
      </c>
    </row>
    <row r="1131">
      <c r="A1131">
        <f>Universe!A1131</f>
        <v/>
      </c>
      <c r="B1131" s="10" t="n"/>
      <c r="C1131" s="11">
        <f>IF(B1131="","",PERCENTRANK.INC($B$2:$B$2501,B1131)*100)</f>
        <v/>
      </c>
      <c r="D1131" s="10" t="n"/>
      <c r="E1131" s="10">
        <f>IF(D1131="","",MIN(D1131,100))</f>
        <v/>
      </c>
      <c r="F1131" s="10" t="n"/>
      <c r="G1131" s="10">
        <f>IF(F1131="","",MIN(F1131,100))</f>
        <v/>
      </c>
      <c r="H1131" s="11">
        <f>IF(A1131="","",Universe!E1131/BDP(A1131&amp;" US Equity","HIGH_52WEEK")*100)</f>
        <v/>
      </c>
      <c r="I1131">
        <f>IF(D1131="","",D1131&gt;=5)</f>
        <v/>
      </c>
      <c r="J1131">
        <f>IF(F1131="","",F1131&gt;=5)</f>
        <v/>
      </c>
      <c r="K1131">
        <f>IF(H1131="","",H1131&gt;=75)</f>
        <v/>
      </c>
      <c r="L1131">
        <f>IF(OR(I1131="",J1131="",K1131=""),FALSE,AND(I1131,J1131,K1131))</f>
        <v/>
      </c>
    </row>
    <row r="1132">
      <c r="A1132">
        <f>Universe!A1132</f>
        <v/>
      </c>
      <c r="B1132" s="10" t="n"/>
      <c r="C1132" s="11">
        <f>IF(B1132="","",PERCENTRANK.INC($B$2:$B$2501,B1132)*100)</f>
        <v/>
      </c>
      <c r="D1132" s="10" t="n"/>
      <c r="E1132" s="10">
        <f>IF(D1132="","",MIN(D1132,100))</f>
        <v/>
      </c>
      <c r="F1132" s="10" t="n"/>
      <c r="G1132" s="10">
        <f>IF(F1132="","",MIN(F1132,100))</f>
        <v/>
      </c>
      <c r="H1132" s="11">
        <f>IF(A1132="","",Universe!E1132/BDP(A1132&amp;" US Equity","HIGH_52WEEK")*100)</f>
        <v/>
      </c>
      <c r="I1132">
        <f>IF(D1132="","",D1132&gt;=5)</f>
        <v/>
      </c>
      <c r="J1132">
        <f>IF(F1132="","",F1132&gt;=5)</f>
        <v/>
      </c>
      <c r="K1132">
        <f>IF(H1132="","",H1132&gt;=75)</f>
        <v/>
      </c>
      <c r="L1132">
        <f>IF(OR(I1132="",J1132="",K1132=""),FALSE,AND(I1132,J1132,K1132))</f>
        <v/>
      </c>
    </row>
    <row r="1133">
      <c r="A1133">
        <f>Universe!A1133</f>
        <v/>
      </c>
      <c r="B1133" s="10" t="n"/>
      <c r="C1133" s="11">
        <f>IF(B1133="","",PERCENTRANK.INC($B$2:$B$2501,B1133)*100)</f>
        <v/>
      </c>
      <c r="D1133" s="10" t="n"/>
      <c r="E1133" s="10">
        <f>IF(D1133="","",MIN(D1133,100))</f>
        <v/>
      </c>
      <c r="F1133" s="10" t="n"/>
      <c r="G1133" s="10">
        <f>IF(F1133="","",MIN(F1133,100))</f>
        <v/>
      </c>
      <c r="H1133" s="11">
        <f>IF(A1133="","",Universe!E1133/BDP(A1133&amp;" US Equity","HIGH_52WEEK")*100)</f>
        <v/>
      </c>
      <c r="I1133">
        <f>IF(D1133="","",D1133&gt;=5)</f>
        <v/>
      </c>
      <c r="J1133">
        <f>IF(F1133="","",F1133&gt;=5)</f>
        <v/>
      </c>
      <c r="K1133">
        <f>IF(H1133="","",H1133&gt;=75)</f>
        <v/>
      </c>
      <c r="L1133">
        <f>IF(OR(I1133="",J1133="",K1133=""),FALSE,AND(I1133,J1133,K1133))</f>
        <v/>
      </c>
    </row>
    <row r="1134">
      <c r="A1134">
        <f>Universe!A1134</f>
        <v/>
      </c>
      <c r="B1134" s="10" t="n"/>
      <c r="C1134" s="11">
        <f>IF(B1134="","",PERCENTRANK.INC($B$2:$B$2501,B1134)*100)</f>
        <v/>
      </c>
      <c r="D1134" s="10" t="n"/>
      <c r="E1134" s="10">
        <f>IF(D1134="","",MIN(D1134,100))</f>
        <v/>
      </c>
      <c r="F1134" s="10" t="n"/>
      <c r="G1134" s="10">
        <f>IF(F1134="","",MIN(F1134,100))</f>
        <v/>
      </c>
      <c r="H1134" s="11">
        <f>IF(A1134="","",Universe!E1134/BDP(A1134&amp;" US Equity","HIGH_52WEEK")*100)</f>
        <v/>
      </c>
      <c r="I1134">
        <f>IF(D1134="","",D1134&gt;=5)</f>
        <v/>
      </c>
      <c r="J1134">
        <f>IF(F1134="","",F1134&gt;=5)</f>
        <v/>
      </c>
      <c r="K1134">
        <f>IF(H1134="","",H1134&gt;=75)</f>
        <v/>
      </c>
      <c r="L1134">
        <f>IF(OR(I1134="",J1134="",K1134=""),FALSE,AND(I1134,J1134,K1134))</f>
        <v/>
      </c>
    </row>
    <row r="1135">
      <c r="A1135">
        <f>Universe!A1135</f>
        <v/>
      </c>
      <c r="B1135" s="10" t="n"/>
      <c r="C1135" s="11">
        <f>IF(B1135="","",PERCENTRANK.INC($B$2:$B$2501,B1135)*100)</f>
        <v/>
      </c>
      <c r="D1135" s="10" t="n"/>
      <c r="E1135" s="10">
        <f>IF(D1135="","",MIN(D1135,100))</f>
        <v/>
      </c>
      <c r="F1135" s="10" t="n"/>
      <c r="G1135" s="10">
        <f>IF(F1135="","",MIN(F1135,100))</f>
        <v/>
      </c>
      <c r="H1135" s="11">
        <f>IF(A1135="","",Universe!E1135/BDP(A1135&amp;" US Equity","HIGH_52WEEK")*100)</f>
        <v/>
      </c>
      <c r="I1135">
        <f>IF(D1135="","",D1135&gt;=5)</f>
        <v/>
      </c>
      <c r="J1135">
        <f>IF(F1135="","",F1135&gt;=5)</f>
        <v/>
      </c>
      <c r="K1135">
        <f>IF(H1135="","",H1135&gt;=75)</f>
        <v/>
      </c>
      <c r="L1135">
        <f>IF(OR(I1135="",J1135="",K1135=""),FALSE,AND(I1135,J1135,K1135))</f>
        <v/>
      </c>
    </row>
    <row r="1136">
      <c r="A1136">
        <f>Universe!A1136</f>
        <v/>
      </c>
      <c r="B1136" s="10" t="n"/>
      <c r="C1136" s="11">
        <f>IF(B1136="","",PERCENTRANK.INC($B$2:$B$2501,B1136)*100)</f>
        <v/>
      </c>
      <c r="D1136" s="10" t="n"/>
      <c r="E1136" s="10">
        <f>IF(D1136="","",MIN(D1136,100))</f>
        <v/>
      </c>
      <c r="F1136" s="10" t="n"/>
      <c r="G1136" s="10">
        <f>IF(F1136="","",MIN(F1136,100))</f>
        <v/>
      </c>
      <c r="H1136" s="11">
        <f>IF(A1136="","",Universe!E1136/BDP(A1136&amp;" US Equity","HIGH_52WEEK")*100)</f>
        <v/>
      </c>
      <c r="I1136">
        <f>IF(D1136="","",D1136&gt;=5)</f>
        <v/>
      </c>
      <c r="J1136">
        <f>IF(F1136="","",F1136&gt;=5)</f>
        <v/>
      </c>
      <c r="K1136">
        <f>IF(H1136="","",H1136&gt;=75)</f>
        <v/>
      </c>
      <c r="L1136">
        <f>IF(OR(I1136="",J1136="",K1136=""),FALSE,AND(I1136,J1136,K1136))</f>
        <v/>
      </c>
    </row>
    <row r="1137">
      <c r="A1137">
        <f>Universe!A1137</f>
        <v/>
      </c>
      <c r="B1137" s="10" t="n"/>
      <c r="C1137" s="11">
        <f>IF(B1137="","",PERCENTRANK.INC($B$2:$B$2501,B1137)*100)</f>
        <v/>
      </c>
      <c r="D1137" s="10" t="n"/>
      <c r="E1137" s="10">
        <f>IF(D1137="","",MIN(D1137,100))</f>
        <v/>
      </c>
      <c r="F1137" s="10" t="n"/>
      <c r="G1137" s="10">
        <f>IF(F1137="","",MIN(F1137,100))</f>
        <v/>
      </c>
      <c r="H1137" s="11">
        <f>IF(A1137="","",Universe!E1137/BDP(A1137&amp;" US Equity","HIGH_52WEEK")*100)</f>
        <v/>
      </c>
      <c r="I1137">
        <f>IF(D1137="","",D1137&gt;=5)</f>
        <v/>
      </c>
      <c r="J1137">
        <f>IF(F1137="","",F1137&gt;=5)</f>
        <v/>
      </c>
      <c r="K1137">
        <f>IF(H1137="","",H1137&gt;=75)</f>
        <v/>
      </c>
      <c r="L1137">
        <f>IF(OR(I1137="",J1137="",K1137=""),FALSE,AND(I1137,J1137,K1137))</f>
        <v/>
      </c>
    </row>
    <row r="1138">
      <c r="A1138">
        <f>Universe!A1138</f>
        <v/>
      </c>
      <c r="B1138" s="10" t="n"/>
      <c r="C1138" s="11">
        <f>IF(B1138="","",PERCENTRANK.INC($B$2:$B$2501,B1138)*100)</f>
        <v/>
      </c>
      <c r="D1138" s="10" t="n"/>
      <c r="E1138" s="10">
        <f>IF(D1138="","",MIN(D1138,100))</f>
        <v/>
      </c>
      <c r="F1138" s="10" t="n"/>
      <c r="G1138" s="10">
        <f>IF(F1138="","",MIN(F1138,100))</f>
        <v/>
      </c>
      <c r="H1138" s="11">
        <f>IF(A1138="","",Universe!E1138/BDP(A1138&amp;" US Equity","HIGH_52WEEK")*100)</f>
        <v/>
      </c>
      <c r="I1138">
        <f>IF(D1138="","",D1138&gt;=5)</f>
        <v/>
      </c>
      <c r="J1138">
        <f>IF(F1138="","",F1138&gt;=5)</f>
        <v/>
      </c>
      <c r="K1138">
        <f>IF(H1138="","",H1138&gt;=75)</f>
        <v/>
      </c>
      <c r="L1138">
        <f>IF(OR(I1138="",J1138="",K1138=""),FALSE,AND(I1138,J1138,K1138))</f>
        <v/>
      </c>
    </row>
    <row r="1139">
      <c r="A1139">
        <f>Universe!A1139</f>
        <v/>
      </c>
      <c r="B1139" s="10" t="n"/>
      <c r="C1139" s="11">
        <f>IF(B1139="","",PERCENTRANK.INC($B$2:$B$2501,B1139)*100)</f>
        <v/>
      </c>
      <c r="D1139" s="10" t="n"/>
      <c r="E1139" s="10">
        <f>IF(D1139="","",MIN(D1139,100))</f>
        <v/>
      </c>
      <c r="F1139" s="10" t="n"/>
      <c r="G1139" s="10">
        <f>IF(F1139="","",MIN(F1139,100))</f>
        <v/>
      </c>
      <c r="H1139" s="11">
        <f>IF(A1139="","",Universe!E1139/BDP(A1139&amp;" US Equity","HIGH_52WEEK")*100)</f>
        <v/>
      </c>
      <c r="I1139">
        <f>IF(D1139="","",D1139&gt;=5)</f>
        <v/>
      </c>
      <c r="J1139">
        <f>IF(F1139="","",F1139&gt;=5)</f>
        <v/>
      </c>
      <c r="K1139">
        <f>IF(H1139="","",H1139&gt;=75)</f>
        <v/>
      </c>
      <c r="L1139">
        <f>IF(OR(I1139="",J1139="",K1139=""),FALSE,AND(I1139,J1139,K1139))</f>
        <v/>
      </c>
    </row>
    <row r="1140">
      <c r="A1140">
        <f>Universe!A1140</f>
        <v/>
      </c>
      <c r="B1140" s="10" t="n"/>
      <c r="C1140" s="11">
        <f>IF(B1140="","",PERCENTRANK.INC($B$2:$B$2501,B1140)*100)</f>
        <v/>
      </c>
      <c r="D1140" s="10" t="n"/>
      <c r="E1140" s="10">
        <f>IF(D1140="","",MIN(D1140,100))</f>
        <v/>
      </c>
      <c r="F1140" s="10" t="n"/>
      <c r="G1140" s="10">
        <f>IF(F1140="","",MIN(F1140,100))</f>
        <v/>
      </c>
      <c r="H1140" s="11">
        <f>IF(A1140="","",Universe!E1140/BDP(A1140&amp;" US Equity","HIGH_52WEEK")*100)</f>
        <v/>
      </c>
      <c r="I1140">
        <f>IF(D1140="","",D1140&gt;=5)</f>
        <v/>
      </c>
      <c r="J1140">
        <f>IF(F1140="","",F1140&gt;=5)</f>
        <v/>
      </c>
      <c r="K1140">
        <f>IF(H1140="","",H1140&gt;=75)</f>
        <v/>
      </c>
      <c r="L1140">
        <f>IF(OR(I1140="",J1140="",K1140=""),FALSE,AND(I1140,J1140,K1140))</f>
        <v/>
      </c>
    </row>
    <row r="1141">
      <c r="A1141">
        <f>Universe!A1141</f>
        <v/>
      </c>
      <c r="B1141" s="10" t="n"/>
      <c r="C1141" s="11">
        <f>IF(B1141="","",PERCENTRANK.INC($B$2:$B$2501,B1141)*100)</f>
        <v/>
      </c>
      <c r="D1141" s="10" t="n"/>
      <c r="E1141" s="10">
        <f>IF(D1141="","",MIN(D1141,100))</f>
        <v/>
      </c>
      <c r="F1141" s="10" t="n"/>
      <c r="G1141" s="10">
        <f>IF(F1141="","",MIN(F1141,100))</f>
        <v/>
      </c>
      <c r="H1141" s="11">
        <f>IF(A1141="","",Universe!E1141/BDP(A1141&amp;" US Equity","HIGH_52WEEK")*100)</f>
        <v/>
      </c>
      <c r="I1141">
        <f>IF(D1141="","",D1141&gt;=5)</f>
        <v/>
      </c>
      <c r="J1141">
        <f>IF(F1141="","",F1141&gt;=5)</f>
        <v/>
      </c>
      <c r="K1141">
        <f>IF(H1141="","",H1141&gt;=75)</f>
        <v/>
      </c>
      <c r="L1141">
        <f>IF(OR(I1141="",J1141="",K1141=""),FALSE,AND(I1141,J1141,K1141))</f>
        <v/>
      </c>
    </row>
    <row r="1142">
      <c r="A1142">
        <f>Universe!A1142</f>
        <v/>
      </c>
      <c r="B1142" s="10" t="n"/>
      <c r="C1142" s="11">
        <f>IF(B1142="","",PERCENTRANK.INC($B$2:$B$2501,B1142)*100)</f>
        <v/>
      </c>
      <c r="D1142" s="10" t="n"/>
      <c r="E1142" s="10">
        <f>IF(D1142="","",MIN(D1142,100))</f>
        <v/>
      </c>
      <c r="F1142" s="10" t="n"/>
      <c r="G1142" s="10">
        <f>IF(F1142="","",MIN(F1142,100))</f>
        <v/>
      </c>
      <c r="H1142" s="11">
        <f>IF(A1142="","",Universe!E1142/BDP(A1142&amp;" US Equity","HIGH_52WEEK")*100)</f>
        <v/>
      </c>
      <c r="I1142">
        <f>IF(D1142="","",D1142&gt;=5)</f>
        <v/>
      </c>
      <c r="J1142">
        <f>IF(F1142="","",F1142&gt;=5)</f>
        <v/>
      </c>
      <c r="K1142">
        <f>IF(H1142="","",H1142&gt;=75)</f>
        <v/>
      </c>
      <c r="L1142">
        <f>IF(OR(I1142="",J1142="",K1142=""),FALSE,AND(I1142,J1142,K1142))</f>
        <v/>
      </c>
    </row>
    <row r="1143">
      <c r="A1143">
        <f>Universe!A1143</f>
        <v/>
      </c>
      <c r="B1143" s="10" t="n"/>
      <c r="C1143" s="11">
        <f>IF(B1143="","",PERCENTRANK.INC($B$2:$B$2501,B1143)*100)</f>
        <v/>
      </c>
      <c r="D1143" s="10" t="n"/>
      <c r="E1143" s="10">
        <f>IF(D1143="","",MIN(D1143,100))</f>
        <v/>
      </c>
      <c r="F1143" s="10" t="n"/>
      <c r="G1143" s="10">
        <f>IF(F1143="","",MIN(F1143,100))</f>
        <v/>
      </c>
      <c r="H1143" s="11">
        <f>IF(A1143="","",Universe!E1143/BDP(A1143&amp;" US Equity","HIGH_52WEEK")*100)</f>
        <v/>
      </c>
      <c r="I1143">
        <f>IF(D1143="","",D1143&gt;=5)</f>
        <v/>
      </c>
      <c r="J1143">
        <f>IF(F1143="","",F1143&gt;=5)</f>
        <v/>
      </c>
      <c r="K1143">
        <f>IF(H1143="","",H1143&gt;=75)</f>
        <v/>
      </c>
      <c r="L1143">
        <f>IF(OR(I1143="",J1143="",K1143=""),FALSE,AND(I1143,J1143,K1143))</f>
        <v/>
      </c>
    </row>
    <row r="1144">
      <c r="A1144">
        <f>Universe!A1144</f>
        <v/>
      </c>
      <c r="B1144" s="10" t="n"/>
      <c r="C1144" s="11">
        <f>IF(B1144="","",PERCENTRANK.INC($B$2:$B$2501,B1144)*100)</f>
        <v/>
      </c>
      <c r="D1144" s="10" t="n"/>
      <c r="E1144" s="10">
        <f>IF(D1144="","",MIN(D1144,100))</f>
        <v/>
      </c>
      <c r="F1144" s="10" t="n"/>
      <c r="G1144" s="10">
        <f>IF(F1144="","",MIN(F1144,100))</f>
        <v/>
      </c>
      <c r="H1144" s="11">
        <f>IF(A1144="","",Universe!E1144/BDP(A1144&amp;" US Equity","HIGH_52WEEK")*100)</f>
        <v/>
      </c>
      <c r="I1144">
        <f>IF(D1144="","",D1144&gt;=5)</f>
        <v/>
      </c>
      <c r="J1144">
        <f>IF(F1144="","",F1144&gt;=5)</f>
        <v/>
      </c>
      <c r="K1144">
        <f>IF(H1144="","",H1144&gt;=75)</f>
        <v/>
      </c>
      <c r="L1144">
        <f>IF(OR(I1144="",J1144="",K1144=""),FALSE,AND(I1144,J1144,K1144))</f>
        <v/>
      </c>
    </row>
    <row r="1145">
      <c r="A1145">
        <f>Universe!A1145</f>
        <v/>
      </c>
      <c r="B1145" s="10" t="n"/>
      <c r="C1145" s="11">
        <f>IF(B1145="","",PERCENTRANK.INC($B$2:$B$2501,B1145)*100)</f>
        <v/>
      </c>
      <c r="D1145" s="10" t="n"/>
      <c r="E1145" s="10">
        <f>IF(D1145="","",MIN(D1145,100))</f>
        <v/>
      </c>
      <c r="F1145" s="10" t="n"/>
      <c r="G1145" s="10">
        <f>IF(F1145="","",MIN(F1145,100))</f>
        <v/>
      </c>
      <c r="H1145" s="11">
        <f>IF(A1145="","",Universe!E1145/BDP(A1145&amp;" US Equity","HIGH_52WEEK")*100)</f>
        <v/>
      </c>
      <c r="I1145">
        <f>IF(D1145="","",D1145&gt;=5)</f>
        <v/>
      </c>
      <c r="J1145">
        <f>IF(F1145="","",F1145&gt;=5)</f>
        <v/>
      </c>
      <c r="K1145">
        <f>IF(H1145="","",H1145&gt;=75)</f>
        <v/>
      </c>
      <c r="L1145">
        <f>IF(OR(I1145="",J1145="",K1145=""),FALSE,AND(I1145,J1145,K1145))</f>
        <v/>
      </c>
    </row>
    <row r="1146">
      <c r="A1146">
        <f>Universe!A1146</f>
        <v/>
      </c>
      <c r="B1146" s="10" t="n"/>
      <c r="C1146" s="11">
        <f>IF(B1146="","",PERCENTRANK.INC($B$2:$B$2501,B1146)*100)</f>
        <v/>
      </c>
      <c r="D1146" s="10" t="n"/>
      <c r="E1146" s="10">
        <f>IF(D1146="","",MIN(D1146,100))</f>
        <v/>
      </c>
      <c r="F1146" s="10" t="n"/>
      <c r="G1146" s="10">
        <f>IF(F1146="","",MIN(F1146,100))</f>
        <v/>
      </c>
      <c r="H1146" s="11">
        <f>IF(A1146="","",Universe!E1146/BDP(A1146&amp;" US Equity","HIGH_52WEEK")*100)</f>
        <v/>
      </c>
      <c r="I1146">
        <f>IF(D1146="","",D1146&gt;=5)</f>
        <v/>
      </c>
      <c r="J1146">
        <f>IF(F1146="","",F1146&gt;=5)</f>
        <v/>
      </c>
      <c r="K1146">
        <f>IF(H1146="","",H1146&gt;=75)</f>
        <v/>
      </c>
      <c r="L1146">
        <f>IF(OR(I1146="",J1146="",K1146=""),FALSE,AND(I1146,J1146,K1146))</f>
        <v/>
      </c>
    </row>
    <row r="1147">
      <c r="A1147">
        <f>Universe!A1147</f>
        <v/>
      </c>
      <c r="B1147" s="10" t="n"/>
      <c r="C1147" s="11">
        <f>IF(B1147="","",PERCENTRANK.INC($B$2:$B$2501,B1147)*100)</f>
        <v/>
      </c>
      <c r="D1147" s="10" t="n"/>
      <c r="E1147" s="10">
        <f>IF(D1147="","",MIN(D1147,100))</f>
        <v/>
      </c>
      <c r="F1147" s="10" t="n"/>
      <c r="G1147" s="10">
        <f>IF(F1147="","",MIN(F1147,100))</f>
        <v/>
      </c>
      <c r="H1147" s="11">
        <f>IF(A1147="","",Universe!E1147/BDP(A1147&amp;" US Equity","HIGH_52WEEK")*100)</f>
        <v/>
      </c>
      <c r="I1147">
        <f>IF(D1147="","",D1147&gt;=5)</f>
        <v/>
      </c>
      <c r="J1147">
        <f>IF(F1147="","",F1147&gt;=5)</f>
        <v/>
      </c>
      <c r="K1147">
        <f>IF(H1147="","",H1147&gt;=75)</f>
        <v/>
      </c>
      <c r="L1147">
        <f>IF(OR(I1147="",J1147="",K1147=""),FALSE,AND(I1147,J1147,K1147))</f>
        <v/>
      </c>
    </row>
    <row r="1148">
      <c r="A1148">
        <f>Universe!A1148</f>
        <v/>
      </c>
      <c r="B1148" s="10" t="n"/>
      <c r="C1148" s="11">
        <f>IF(B1148="","",PERCENTRANK.INC($B$2:$B$2501,B1148)*100)</f>
        <v/>
      </c>
      <c r="D1148" s="10" t="n"/>
      <c r="E1148" s="10">
        <f>IF(D1148="","",MIN(D1148,100))</f>
        <v/>
      </c>
      <c r="F1148" s="10" t="n"/>
      <c r="G1148" s="10">
        <f>IF(F1148="","",MIN(F1148,100))</f>
        <v/>
      </c>
      <c r="H1148" s="11">
        <f>IF(A1148="","",Universe!E1148/BDP(A1148&amp;" US Equity","HIGH_52WEEK")*100)</f>
        <v/>
      </c>
      <c r="I1148">
        <f>IF(D1148="","",D1148&gt;=5)</f>
        <v/>
      </c>
      <c r="J1148">
        <f>IF(F1148="","",F1148&gt;=5)</f>
        <v/>
      </c>
      <c r="K1148">
        <f>IF(H1148="","",H1148&gt;=75)</f>
        <v/>
      </c>
      <c r="L1148">
        <f>IF(OR(I1148="",J1148="",K1148=""),FALSE,AND(I1148,J1148,K1148))</f>
        <v/>
      </c>
    </row>
    <row r="1149">
      <c r="A1149">
        <f>Universe!A1149</f>
        <v/>
      </c>
      <c r="B1149" s="10" t="n"/>
      <c r="C1149" s="11">
        <f>IF(B1149="","",PERCENTRANK.INC($B$2:$B$2501,B1149)*100)</f>
        <v/>
      </c>
      <c r="D1149" s="10" t="n"/>
      <c r="E1149" s="10">
        <f>IF(D1149="","",MIN(D1149,100))</f>
        <v/>
      </c>
      <c r="F1149" s="10" t="n"/>
      <c r="G1149" s="10">
        <f>IF(F1149="","",MIN(F1149,100))</f>
        <v/>
      </c>
      <c r="H1149" s="11">
        <f>IF(A1149="","",Universe!E1149/BDP(A1149&amp;" US Equity","HIGH_52WEEK")*100)</f>
        <v/>
      </c>
      <c r="I1149">
        <f>IF(D1149="","",D1149&gt;=5)</f>
        <v/>
      </c>
      <c r="J1149">
        <f>IF(F1149="","",F1149&gt;=5)</f>
        <v/>
      </c>
      <c r="K1149">
        <f>IF(H1149="","",H1149&gt;=75)</f>
        <v/>
      </c>
      <c r="L1149">
        <f>IF(OR(I1149="",J1149="",K1149=""),FALSE,AND(I1149,J1149,K1149))</f>
        <v/>
      </c>
    </row>
    <row r="1150">
      <c r="A1150">
        <f>Universe!A1150</f>
        <v/>
      </c>
      <c r="B1150" s="10" t="n"/>
      <c r="C1150" s="11">
        <f>IF(B1150="","",PERCENTRANK.INC($B$2:$B$2501,B1150)*100)</f>
        <v/>
      </c>
      <c r="D1150" s="10" t="n"/>
      <c r="E1150" s="10">
        <f>IF(D1150="","",MIN(D1150,100))</f>
        <v/>
      </c>
      <c r="F1150" s="10" t="n"/>
      <c r="G1150" s="10">
        <f>IF(F1150="","",MIN(F1150,100))</f>
        <v/>
      </c>
      <c r="H1150" s="11">
        <f>IF(A1150="","",Universe!E1150/BDP(A1150&amp;" US Equity","HIGH_52WEEK")*100)</f>
        <v/>
      </c>
      <c r="I1150">
        <f>IF(D1150="","",D1150&gt;=5)</f>
        <v/>
      </c>
      <c r="J1150">
        <f>IF(F1150="","",F1150&gt;=5)</f>
        <v/>
      </c>
      <c r="K1150">
        <f>IF(H1150="","",H1150&gt;=75)</f>
        <v/>
      </c>
      <c r="L1150">
        <f>IF(OR(I1150="",J1150="",K1150=""),FALSE,AND(I1150,J1150,K1150))</f>
        <v/>
      </c>
    </row>
    <row r="1151">
      <c r="A1151">
        <f>Universe!A1151</f>
        <v/>
      </c>
      <c r="B1151" s="10" t="n"/>
      <c r="C1151" s="11">
        <f>IF(B1151="","",PERCENTRANK.INC($B$2:$B$2501,B1151)*100)</f>
        <v/>
      </c>
      <c r="D1151" s="10" t="n"/>
      <c r="E1151" s="10">
        <f>IF(D1151="","",MIN(D1151,100))</f>
        <v/>
      </c>
      <c r="F1151" s="10" t="n"/>
      <c r="G1151" s="10">
        <f>IF(F1151="","",MIN(F1151,100))</f>
        <v/>
      </c>
      <c r="H1151" s="11">
        <f>IF(A1151="","",Universe!E1151/BDP(A1151&amp;" US Equity","HIGH_52WEEK")*100)</f>
        <v/>
      </c>
      <c r="I1151">
        <f>IF(D1151="","",D1151&gt;=5)</f>
        <v/>
      </c>
      <c r="J1151">
        <f>IF(F1151="","",F1151&gt;=5)</f>
        <v/>
      </c>
      <c r="K1151">
        <f>IF(H1151="","",H1151&gt;=75)</f>
        <v/>
      </c>
      <c r="L1151">
        <f>IF(OR(I1151="",J1151="",K1151=""),FALSE,AND(I1151,J1151,K1151))</f>
        <v/>
      </c>
    </row>
    <row r="1152">
      <c r="A1152">
        <f>Universe!A1152</f>
        <v/>
      </c>
      <c r="B1152" s="10" t="n"/>
      <c r="C1152" s="11">
        <f>IF(B1152="","",PERCENTRANK.INC($B$2:$B$2501,B1152)*100)</f>
        <v/>
      </c>
      <c r="D1152" s="10" t="n"/>
      <c r="E1152" s="10">
        <f>IF(D1152="","",MIN(D1152,100))</f>
        <v/>
      </c>
      <c r="F1152" s="10" t="n"/>
      <c r="G1152" s="10">
        <f>IF(F1152="","",MIN(F1152,100))</f>
        <v/>
      </c>
      <c r="H1152" s="11">
        <f>IF(A1152="","",Universe!E1152/BDP(A1152&amp;" US Equity","HIGH_52WEEK")*100)</f>
        <v/>
      </c>
      <c r="I1152">
        <f>IF(D1152="","",D1152&gt;=5)</f>
        <v/>
      </c>
      <c r="J1152">
        <f>IF(F1152="","",F1152&gt;=5)</f>
        <v/>
      </c>
      <c r="K1152">
        <f>IF(H1152="","",H1152&gt;=75)</f>
        <v/>
      </c>
      <c r="L1152">
        <f>IF(OR(I1152="",J1152="",K1152=""),FALSE,AND(I1152,J1152,K1152))</f>
        <v/>
      </c>
    </row>
    <row r="1153">
      <c r="A1153">
        <f>Universe!A1153</f>
        <v/>
      </c>
      <c r="B1153" s="10" t="n"/>
      <c r="C1153" s="11">
        <f>IF(B1153="","",PERCENTRANK.INC($B$2:$B$2501,B1153)*100)</f>
        <v/>
      </c>
      <c r="D1153" s="10" t="n"/>
      <c r="E1153" s="10">
        <f>IF(D1153="","",MIN(D1153,100))</f>
        <v/>
      </c>
      <c r="F1153" s="10" t="n"/>
      <c r="G1153" s="10">
        <f>IF(F1153="","",MIN(F1153,100))</f>
        <v/>
      </c>
      <c r="H1153" s="11">
        <f>IF(A1153="","",Universe!E1153/BDP(A1153&amp;" US Equity","HIGH_52WEEK")*100)</f>
        <v/>
      </c>
      <c r="I1153">
        <f>IF(D1153="","",D1153&gt;=5)</f>
        <v/>
      </c>
      <c r="J1153">
        <f>IF(F1153="","",F1153&gt;=5)</f>
        <v/>
      </c>
      <c r="K1153">
        <f>IF(H1153="","",H1153&gt;=75)</f>
        <v/>
      </c>
      <c r="L1153">
        <f>IF(OR(I1153="",J1153="",K1153=""),FALSE,AND(I1153,J1153,K1153))</f>
        <v/>
      </c>
    </row>
    <row r="1154">
      <c r="A1154">
        <f>Universe!A1154</f>
        <v/>
      </c>
      <c r="B1154" s="10" t="n"/>
      <c r="C1154" s="11">
        <f>IF(B1154="","",PERCENTRANK.INC($B$2:$B$2501,B1154)*100)</f>
        <v/>
      </c>
      <c r="D1154" s="10" t="n"/>
      <c r="E1154" s="10">
        <f>IF(D1154="","",MIN(D1154,100))</f>
        <v/>
      </c>
      <c r="F1154" s="10" t="n"/>
      <c r="G1154" s="10">
        <f>IF(F1154="","",MIN(F1154,100))</f>
        <v/>
      </c>
      <c r="H1154" s="11">
        <f>IF(A1154="","",Universe!E1154/BDP(A1154&amp;" US Equity","HIGH_52WEEK")*100)</f>
        <v/>
      </c>
      <c r="I1154">
        <f>IF(D1154="","",D1154&gt;=5)</f>
        <v/>
      </c>
      <c r="J1154">
        <f>IF(F1154="","",F1154&gt;=5)</f>
        <v/>
      </c>
      <c r="K1154">
        <f>IF(H1154="","",H1154&gt;=75)</f>
        <v/>
      </c>
      <c r="L1154">
        <f>IF(OR(I1154="",J1154="",K1154=""),FALSE,AND(I1154,J1154,K1154))</f>
        <v/>
      </c>
    </row>
    <row r="1155">
      <c r="A1155">
        <f>Universe!A1155</f>
        <v/>
      </c>
      <c r="B1155" s="10" t="n"/>
      <c r="C1155" s="11">
        <f>IF(B1155="","",PERCENTRANK.INC($B$2:$B$2501,B1155)*100)</f>
        <v/>
      </c>
      <c r="D1155" s="10" t="n"/>
      <c r="E1155" s="10">
        <f>IF(D1155="","",MIN(D1155,100))</f>
        <v/>
      </c>
      <c r="F1155" s="10" t="n"/>
      <c r="G1155" s="10">
        <f>IF(F1155="","",MIN(F1155,100))</f>
        <v/>
      </c>
      <c r="H1155" s="11">
        <f>IF(A1155="","",Universe!E1155/BDP(A1155&amp;" US Equity","HIGH_52WEEK")*100)</f>
        <v/>
      </c>
      <c r="I1155">
        <f>IF(D1155="","",D1155&gt;=5)</f>
        <v/>
      </c>
      <c r="J1155">
        <f>IF(F1155="","",F1155&gt;=5)</f>
        <v/>
      </c>
      <c r="K1155">
        <f>IF(H1155="","",H1155&gt;=75)</f>
        <v/>
      </c>
      <c r="L1155">
        <f>IF(OR(I1155="",J1155="",K1155=""),FALSE,AND(I1155,J1155,K1155))</f>
        <v/>
      </c>
    </row>
    <row r="1156">
      <c r="A1156">
        <f>Universe!A1156</f>
        <v/>
      </c>
      <c r="B1156" s="10" t="n"/>
      <c r="C1156" s="11">
        <f>IF(B1156="","",PERCENTRANK.INC($B$2:$B$2501,B1156)*100)</f>
        <v/>
      </c>
      <c r="D1156" s="10" t="n"/>
      <c r="E1156" s="10">
        <f>IF(D1156="","",MIN(D1156,100))</f>
        <v/>
      </c>
      <c r="F1156" s="10" t="n"/>
      <c r="G1156" s="10">
        <f>IF(F1156="","",MIN(F1156,100))</f>
        <v/>
      </c>
      <c r="H1156" s="11">
        <f>IF(A1156="","",Universe!E1156/BDP(A1156&amp;" US Equity","HIGH_52WEEK")*100)</f>
        <v/>
      </c>
      <c r="I1156">
        <f>IF(D1156="","",D1156&gt;=5)</f>
        <v/>
      </c>
      <c r="J1156">
        <f>IF(F1156="","",F1156&gt;=5)</f>
        <v/>
      </c>
      <c r="K1156">
        <f>IF(H1156="","",H1156&gt;=75)</f>
        <v/>
      </c>
      <c r="L1156">
        <f>IF(OR(I1156="",J1156="",K1156=""),FALSE,AND(I1156,J1156,K1156))</f>
        <v/>
      </c>
    </row>
    <row r="1157">
      <c r="A1157">
        <f>Universe!A1157</f>
        <v/>
      </c>
      <c r="B1157" s="10" t="n"/>
      <c r="C1157" s="11">
        <f>IF(B1157="","",PERCENTRANK.INC($B$2:$B$2501,B1157)*100)</f>
        <v/>
      </c>
      <c r="D1157" s="10" t="n"/>
      <c r="E1157" s="10">
        <f>IF(D1157="","",MIN(D1157,100))</f>
        <v/>
      </c>
      <c r="F1157" s="10" t="n"/>
      <c r="G1157" s="10">
        <f>IF(F1157="","",MIN(F1157,100))</f>
        <v/>
      </c>
      <c r="H1157" s="11">
        <f>IF(A1157="","",Universe!E1157/BDP(A1157&amp;" US Equity","HIGH_52WEEK")*100)</f>
        <v/>
      </c>
      <c r="I1157">
        <f>IF(D1157="","",D1157&gt;=5)</f>
        <v/>
      </c>
      <c r="J1157">
        <f>IF(F1157="","",F1157&gt;=5)</f>
        <v/>
      </c>
      <c r="K1157">
        <f>IF(H1157="","",H1157&gt;=75)</f>
        <v/>
      </c>
      <c r="L1157">
        <f>IF(OR(I1157="",J1157="",K1157=""),FALSE,AND(I1157,J1157,K1157))</f>
        <v/>
      </c>
    </row>
    <row r="1158">
      <c r="A1158">
        <f>Universe!A1158</f>
        <v/>
      </c>
      <c r="B1158" s="10" t="n"/>
      <c r="C1158" s="11">
        <f>IF(B1158="","",PERCENTRANK.INC($B$2:$B$2501,B1158)*100)</f>
        <v/>
      </c>
      <c r="D1158" s="10" t="n"/>
      <c r="E1158" s="10">
        <f>IF(D1158="","",MIN(D1158,100))</f>
        <v/>
      </c>
      <c r="F1158" s="10" t="n"/>
      <c r="G1158" s="10">
        <f>IF(F1158="","",MIN(F1158,100))</f>
        <v/>
      </c>
      <c r="H1158" s="11">
        <f>IF(A1158="","",Universe!E1158/BDP(A1158&amp;" US Equity","HIGH_52WEEK")*100)</f>
        <v/>
      </c>
      <c r="I1158">
        <f>IF(D1158="","",D1158&gt;=5)</f>
        <v/>
      </c>
      <c r="J1158">
        <f>IF(F1158="","",F1158&gt;=5)</f>
        <v/>
      </c>
      <c r="K1158">
        <f>IF(H1158="","",H1158&gt;=75)</f>
        <v/>
      </c>
      <c r="L1158">
        <f>IF(OR(I1158="",J1158="",K1158=""),FALSE,AND(I1158,J1158,K1158))</f>
        <v/>
      </c>
    </row>
    <row r="1159">
      <c r="A1159">
        <f>Universe!A1159</f>
        <v/>
      </c>
      <c r="B1159" s="10" t="n"/>
      <c r="C1159" s="11">
        <f>IF(B1159="","",PERCENTRANK.INC($B$2:$B$2501,B1159)*100)</f>
        <v/>
      </c>
      <c r="D1159" s="10" t="n"/>
      <c r="E1159" s="10">
        <f>IF(D1159="","",MIN(D1159,100))</f>
        <v/>
      </c>
      <c r="F1159" s="10" t="n"/>
      <c r="G1159" s="10">
        <f>IF(F1159="","",MIN(F1159,100))</f>
        <v/>
      </c>
      <c r="H1159" s="11">
        <f>IF(A1159="","",Universe!E1159/BDP(A1159&amp;" US Equity","HIGH_52WEEK")*100)</f>
        <v/>
      </c>
      <c r="I1159">
        <f>IF(D1159="","",D1159&gt;=5)</f>
        <v/>
      </c>
      <c r="J1159">
        <f>IF(F1159="","",F1159&gt;=5)</f>
        <v/>
      </c>
      <c r="K1159">
        <f>IF(H1159="","",H1159&gt;=75)</f>
        <v/>
      </c>
      <c r="L1159">
        <f>IF(OR(I1159="",J1159="",K1159=""),FALSE,AND(I1159,J1159,K1159))</f>
        <v/>
      </c>
    </row>
    <row r="1160">
      <c r="A1160">
        <f>Universe!A1160</f>
        <v/>
      </c>
      <c r="B1160" s="10" t="n"/>
      <c r="C1160" s="11">
        <f>IF(B1160="","",PERCENTRANK.INC($B$2:$B$2501,B1160)*100)</f>
        <v/>
      </c>
      <c r="D1160" s="10" t="n"/>
      <c r="E1160" s="10">
        <f>IF(D1160="","",MIN(D1160,100))</f>
        <v/>
      </c>
      <c r="F1160" s="10" t="n"/>
      <c r="G1160" s="10">
        <f>IF(F1160="","",MIN(F1160,100))</f>
        <v/>
      </c>
      <c r="H1160" s="11">
        <f>IF(A1160="","",Universe!E1160/BDP(A1160&amp;" US Equity","HIGH_52WEEK")*100)</f>
        <v/>
      </c>
      <c r="I1160">
        <f>IF(D1160="","",D1160&gt;=5)</f>
        <v/>
      </c>
      <c r="J1160">
        <f>IF(F1160="","",F1160&gt;=5)</f>
        <v/>
      </c>
      <c r="K1160">
        <f>IF(H1160="","",H1160&gt;=75)</f>
        <v/>
      </c>
      <c r="L1160">
        <f>IF(OR(I1160="",J1160="",K1160=""),FALSE,AND(I1160,J1160,K1160))</f>
        <v/>
      </c>
    </row>
    <row r="1161">
      <c r="A1161">
        <f>Universe!A1161</f>
        <v/>
      </c>
      <c r="B1161" s="10" t="n"/>
      <c r="C1161" s="11">
        <f>IF(B1161="","",PERCENTRANK.INC($B$2:$B$2501,B1161)*100)</f>
        <v/>
      </c>
      <c r="D1161" s="10" t="n"/>
      <c r="E1161" s="10">
        <f>IF(D1161="","",MIN(D1161,100))</f>
        <v/>
      </c>
      <c r="F1161" s="10" t="n"/>
      <c r="G1161" s="10">
        <f>IF(F1161="","",MIN(F1161,100))</f>
        <v/>
      </c>
      <c r="H1161" s="11">
        <f>IF(A1161="","",Universe!E1161/BDP(A1161&amp;" US Equity","HIGH_52WEEK")*100)</f>
        <v/>
      </c>
      <c r="I1161">
        <f>IF(D1161="","",D1161&gt;=5)</f>
        <v/>
      </c>
      <c r="J1161">
        <f>IF(F1161="","",F1161&gt;=5)</f>
        <v/>
      </c>
      <c r="K1161">
        <f>IF(H1161="","",H1161&gt;=75)</f>
        <v/>
      </c>
      <c r="L1161">
        <f>IF(OR(I1161="",J1161="",K1161=""),FALSE,AND(I1161,J1161,K1161))</f>
        <v/>
      </c>
    </row>
    <row r="1162">
      <c r="A1162">
        <f>Universe!A1162</f>
        <v/>
      </c>
      <c r="B1162" s="10" t="n"/>
      <c r="C1162" s="11">
        <f>IF(B1162="","",PERCENTRANK.INC($B$2:$B$2501,B1162)*100)</f>
        <v/>
      </c>
      <c r="D1162" s="10" t="n"/>
      <c r="E1162" s="10">
        <f>IF(D1162="","",MIN(D1162,100))</f>
        <v/>
      </c>
      <c r="F1162" s="10" t="n"/>
      <c r="G1162" s="10">
        <f>IF(F1162="","",MIN(F1162,100))</f>
        <v/>
      </c>
      <c r="H1162" s="11">
        <f>IF(A1162="","",Universe!E1162/BDP(A1162&amp;" US Equity","HIGH_52WEEK")*100)</f>
        <v/>
      </c>
      <c r="I1162">
        <f>IF(D1162="","",D1162&gt;=5)</f>
        <v/>
      </c>
      <c r="J1162">
        <f>IF(F1162="","",F1162&gt;=5)</f>
        <v/>
      </c>
      <c r="K1162">
        <f>IF(H1162="","",H1162&gt;=75)</f>
        <v/>
      </c>
      <c r="L1162">
        <f>IF(OR(I1162="",J1162="",K1162=""),FALSE,AND(I1162,J1162,K1162))</f>
        <v/>
      </c>
    </row>
    <row r="1163">
      <c r="A1163">
        <f>Universe!A1163</f>
        <v/>
      </c>
      <c r="B1163" s="10" t="n"/>
      <c r="C1163" s="11">
        <f>IF(B1163="","",PERCENTRANK.INC($B$2:$B$2501,B1163)*100)</f>
        <v/>
      </c>
      <c r="D1163" s="10" t="n"/>
      <c r="E1163" s="10">
        <f>IF(D1163="","",MIN(D1163,100))</f>
        <v/>
      </c>
      <c r="F1163" s="10" t="n"/>
      <c r="G1163" s="10">
        <f>IF(F1163="","",MIN(F1163,100))</f>
        <v/>
      </c>
      <c r="H1163" s="11">
        <f>IF(A1163="","",Universe!E1163/BDP(A1163&amp;" US Equity","HIGH_52WEEK")*100)</f>
        <v/>
      </c>
      <c r="I1163">
        <f>IF(D1163="","",D1163&gt;=5)</f>
        <v/>
      </c>
      <c r="J1163">
        <f>IF(F1163="","",F1163&gt;=5)</f>
        <v/>
      </c>
      <c r="K1163">
        <f>IF(H1163="","",H1163&gt;=75)</f>
        <v/>
      </c>
      <c r="L1163">
        <f>IF(OR(I1163="",J1163="",K1163=""),FALSE,AND(I1163,J1163,K1163))</f>
        <v/>
      </c>
    </row>
    <row r="1164">
      <c r="A1164">
        <f>Universe!A1164</f>
        <v/>
      </c>
      <c r="B1164" s="10" t="n"/>
      <c r="C1164" s="11">
        <f>IF(B1164="","",PERCENTRANK.INC($B$2:$B$2501,B1164)*100)</f>
        <v/>
      </c>
      <c r="D1164" s="10" t="n"/>
      <c r="E1164" s="10">
        <f>IF(D1164="","",MIN(D1164,100))</f>
        <v/>
      </c>
      <c r="F1164" s="10" t="n"/>
      <c r="G1164" s="10">
        <f>IF(F1164="","",MIN(F1164,100))</f>
        <v/>
      </c>
      <c r="H1164" s="11">
        <f>IF(A1164="","",Universe!E1164/BDP(A1164&amp;" US Equity","HIGH_52WEEK")*100)</f>
        <v/>
      </c>
      <c r="I1164">
        <f>IF(D1164="","",D1164&gt;=5)</f>
        <v/>
      </c>
      <c r="J1164">
        <f>IF(F1164="","",F1164&gt;=5)</f>
        <v/>
      </c>
      <c r="K1164">
        <f>IF(H1164="","",H1164&gt;=75)</f>
        <v/>
      </c>
      <c r="L1164">
        <f>IF(OR(I1164="",J1164="",K1164=""),FALSE,AND(I1164,J1164,K1164))</f>
        <v/>
      </c>
    </row>
    <row r="1165">
      <c r="A1165">
        <f>Universe!A1165</f>
        <v/>
      </c>
      <c r="B1165" s="10" t="n"/>
      <c r="C1165" s="11">
        <f>IF(B1165="","",PERCENTRANK.INC($B$2:$B$2501,B1165)*100)</f>
        <v/>
      </c>
      <c r="D1165" s="10" t="n"/>
      <c r="E1165" s="10">
        <f>IF(D1165="","",MIN(D1165,100))</f>
        <v/>
      </c>
      <c r="F1165" s="10" t="n"/>
      <c r="G1165" s="10">
        <f>IF(F1165="","",MIN(F1165,100))</f>
        <v/>
      </c>
      <c r="H1165" s="11">
        <f>IF(A1165="","",Universe!E1165/BDP(A1165&amp;" US Equity","HIGH_52WEEK")*100)</f>
        <v/>
      </c>
      <c r="I1165">
        <f>IF(D1165="","",D1165&gt;=5)</f>
        <v/>
      </c>
      <c r="J1165">
        <f>IF(F1165="","",F1165&gt;=5)</f>
        <v/>
      </c>
      <c r="K1165">
        <f>IF(H1165="","",H1165&gt;=75)</f>
        <v/>
      </c>
      <c r="L1165">
        <f>IF(OR(I1165="",J1165="",K1165=""),FALSE,AND(I1165,J1165,K1165))</f>
        <v/>
      </c>
    </row>
    <row r="1166">
      <c r="A1166">
        <f>Universe!A1166</f>
        <v/>
      </c>
      <c r="B1166" s="10" t="n"/>
      <c r="C1166" s="11">
        <f>IF(B1166="","",PERCENTRANK.INC($B$2:$B$2501,B1166)*100)</f>
        <v/>
      </c>
      <c r="D1166" s="10" t="n"/>
      <c r="E1166" s="10">
        <f>IF(D1166="","",MIN(D1166,100))</f>
        <v/>
      </c>
      <c r="F1166" s="10" t="n"/>
      <c r="G1166" s="10">
        <f>IF(F1166="","",MIN(F1166,100))</f>
        <v/>
      </c>
      <c r="H1166" s="11">
        <f>IF(A1166="","",Universe!E1166/BDP(A1166&amp;" US Equity","HIGH_52WEEK")*100)</f>
        <v/>
      </c>
      <c r="I1166">
        <f>IF(D1166="","",D1166&gt;=5)</f>
        <v/>
      </c>
      <c r="J1166">
        <f>IF(F1166="","",F1166&gt;=5)</f>
        <v/>
      </c>
      <c r="K1166">
        <f>IF(H1166="","",H1166&gt;=75)</f>
        <v/>
      </c>
      <c r="L1166">
        <f>IF(OR(I1166="",J1166="",K1166=""),FALSE,AND(I1166,J1166,K1166))</f>
        <v/>
      </c>
    </row>
    <row r="1167">
      <c r="A1167">
        <f>Universe!A1167</f>
        <v/>
      </c>
      <c r="B1167" s="10" t="n"/>
      <c r="C1167" s="11">
        <f>IF(B1167="","",PERCENTRANK.INC($B$2:$B$2501,B1167)*100)</f>
        <v/>
      </c>
      <c r="D1167" s="10" t="n"/>
      <c r="E1167" s="10">
        <f>IF(D1167="","",MIN(D1167,100))</f>
        <v/>
      </c>
      <c r="F1167" s="10" t="n"/>
      <c r="G1167" s="10">
        <f>IF(F1167="","",MIN(F1167,100))</f>
        <v/>
      </c>
      <c r="H1167" s="11">
        <f>IF(A1167="","",Universe!E1167/BDP(A1167&amp;" US Equity","HIGH_52WEEK")*100)</f>
        <v/>
      </c>
      <c r="I1167">
        <f>IF(D1167="","",D1167&gt;=5)</f>
        <v/>
      </c>
      <c r="J1167">
        <f>IF(F1167="","",F1167&gt;=5)</f>
        <v/>
      </c>
      <c r="K1167">
        <f>IF(H1167="","",H1167&gt;=75)</f>
        <v/>
      </c>
      <c r="L1167">
        <f>IF(OR(I1167="",J1167="",K1167=""),FALSE,AND(I1167,J1167,K1167))</f>
        <v/>
      </c>
    </row>
    <row r="1168">
      <c r="A1168">
        <f>Universe!A1168</f>
        <v/>
      </c>
      <c r="B1168" s="10" t="n"/>
      <c r="C1168" s="11">
        <f>IF(B1168="","",PERCENTRANK.INC($B$2:$B$2501,B1168)*100)</f>
        <v/>
      </c>
      <c r="D1168" s="10" t="n"/>
      <c r="E1168" s="10">
        <f>IF(D1168="","",MIN(D1168,100))</f>
        <v/>
      </c>
      <c r="F1168" s="10" t="n"/>
      <c r="G1168" s="10">
        <f>IF(F1168="","",MIN(F1168,100))</f>
        <v/>
      </c>
      <c r="H1168" s="11">
        <f>IF(A1168="","",Universe!E1168/BDP(A1168&amp;" US Equity","HIGH_52WEEK")*100)</f>
        <v/>
      </c>
      <c r="I1168">
        <f>IF(D1168="","",D1168&gt;=5)</f>
        <v/>
      </c>
      <c r="J1168">
        <f>IF(F1168="","",F1168&gt;=5)</f>
        <v/>
      </c>
      <c r="K1168">
        <f>IF(H1168="","",H1168&gt;=75)</f>
        <v/>
      </c>
      <c r="L1168">
        <f>IF(OR(I1168="",J1168="",K1168=""),FALSE,AND(I1168,J1168,K1168))</f>
        <v/>
      </c>
    </row>
    <row r="1169">
      <c r="A1169">
        <f>Universe!A1169</f>
        <v/>
      </c>
      <c r="B1169" s="10" t="n"/>
      <c r="C1169" s="11">
        <f>IF(B1169="","",PERCENTRANK.INC($B$2:$B$2501,B1169)*100)</f>
        <v/>
      </c>
      <c r="D1169" s="10" t="n"/>
      <c r="E1169" s="10">
        <f>IF(D1169="","",MIN(D1169,100))</f>
        <v/>
      </c>
      <c r="F1169" s="10" t="n"/>
      <c r="G1169" s="10">
        <f>IF(F1169="","",MIN(F1169,100))</f>
        <v/>
      </c>
      <c r="H1169" s="11">
        <f>IF(A1169="","",Universe!E1169/BDP(A1169&amp;" US Equity","HIGH_52WEEK")*100)</f>
        <v/>
      </c>
      <c r="I1169">
        <f>IF(D1169="","",D1169&gt;=5)</f>
        <v/>
      </c>
      <c r="J1169">
        <f>IF(F1169="","",F1169&gt;=5)</f>
        <v/>
      </c>
      <c r="K1169">
        <f>IF(H1169="","",H1169&gt;=75)</f>
        <v/>
      </c>
      <c r="L1169">
        <f>IF(OR(I1169="",J1169="",K1169=""),FALSE,AND(I1169,J1169,K1169))</f>
        <v/>
      </c>
    </row>
    <row r="1170">
      <c r="A1170">
        <f>Universe!A1170</f>
        <v/>
      </c>
      <c r="B1170" s="10" t="n"/>
      <c r="C1170" s="11">
        <f>IF(B1170="","",PERCENTRANK.INC($B$2:$B$2501,B1170)*100)</f>
        <v/>
      </c>
      <c r="D1170" s="10" t="n"/>
      <c r="E1170" s="10">
        <f>IF(D1170="","",MIN(D1170,100))</f>
        <v/>
      </c>
      <c r="F1170" s="10" t="n"/>
      <c r="G1170" s="10">
        <f>IF(F1170="","",MIN(F1170,100))</f>
        <v/>
      </c>
      <c r="H1170" s="11">
        <f>IF(A1170="","",Universe!E1170/BDP(A1170&amp;" US Equity","HIGH_52WEEK")*100)</f>
        <v/>
      </c>
      <c r="I1170">
        <f>IF(D1170="","",D1170&gt;=5)</f>
        <v/>
      </c>
      <c r="J1170">
        <f>IF(F1170="","",F1170&gt;=5)</f>
        <v/>
      </c>
      <c r="K1170">
        <f>IF(H1170="","",H1170&gt;=75)</f>
        <v/>
      </c>
      <c r="L1170">
        <f>IF(OR(I1170="",J1170="",K1170=""),FALSE,AND(I1170,J1170,K1170))</f>
        <v/>
      </c>
    </row>
    <row r="1171">
      <c r="A1171">
        <f>Universe!A1171</f>
        <v/>
      </c>
      <c r="B1171" s="10" t="n"/>
      <c r="C1171" s="11">
        <f>IF(B1171="","",PERCENTRANK.INC($B$2:$B$2501,B1171)*100)</f>
        <v/>
      </c>
      <c r="D1171" s="10" t="n"/>
      <c r="E1171" s="10">
        <f>IF(D1171="","",MIN(D1171,100))</f>
        <v/>
      </c>
      <c r="F1171" s="10" t="n"/>
      <c r="G1171" s="10">
        <f>IF(F1171="","",MIN(F1171,100))</f>
        <v/>
      </c>
      <c r="H1171" s="11">
        <f>IF(A1171="","",Universe!E1171/BDP(A1171&amp;" US Equity","HIGH_52WEEK")*100)</f>
        <v/>
      </c>
      <c r="I1171">
        <f>IF(D1171="","",D1171&gt;=5)</f>
        <v/>
      </c>
      <c r="J1171">
        <f>IF(F1171="","",F1171&gt;=5)</f>
        <v/>
      </c>
      <c r="K1171">
        <f>IF(H1171="","",H1171&gt;=75)</f>
        <v/>
      </c>
      <c r="L1171">
        <f>IF(OR(I1171="",J1171="",K1171=""),FALSE,AND(I1171,J1171,K1171))</f>
        <v/>
      </c>
    </row>
    <row r="1172">
      <c r="A1172">
        <f>Universe!A1172</f>
        <v/>
      </c>
      <c r="B1172" s="10" t="n"/>
      <c r="C1172" s="11">
        <f>IF(B1172="","",PERCENTRANK.INC($B$2:$B$2501,B1172)*100)</f>
        <v/>
      </c>
      <c r="D1172" s="10" t="n"/>
      <c r="E1172" s="10">
        <f>IF(D1172="","",MIN(D1172,100))</f>
        <v/>
      </c>
      <c r="F1172" s="10" t="n"/>
      <c r="G1172" s="10">
        <f>IF(F1172="","",MIN(F1172,100))</f>
        <v/>
      </c>
      <c r="H1172" s="11">
        <f>IF(A1172="","",Universe!E1172/BDP(A1172&amp;" US Equity","HIGH_52WEEK")*100)</f>
        <v/>
      </c>
      <c r="I1172">
        <f>IF(D1172="","",D1172&gt;=5)</f>
        <v/>
      </c>
      <c r="J1172">
        <f>IF(F1172="","",F1172&gt;=5)</f>
        <v/>
      </c>
      <c r="K1172">
        <f>IF(H1172="","",H1172&gt;=75)</f>
        <v/>
      </c>
      <c r="L1172">
        <f>IF(OR(I1172="",J1172="",K1172=""),FALSE,AND(I1172,J1172,K1172))</f>
        <v/>
      </c>
    </row>
    <row r="1173">
      <c r="A1173">
        <f>Universe!A1173</f>
        <v/>
      </c>
      <c r="B1173" s="10" t="n"/>
      <c r="C1173" s="11">
        <f>IF(B1173="","",PERCENTRANK.INC($B$2:$B$2501,B1173)*100)</f>
        <v/>
      </c>
      <c r="D1173" s="10" t="n"/>
      <c r="E1173" s="10">
        <f>IF(D1173="","",MIN(D1173,100))</f>
        <v/>
      </c>
      <c r="F1173" s="10" t="n"/>
      <c r="G1173" s="10">
        <f>IF(F1173="","",MIN(F1173,100))</f>
        <v/>
      </c>
      <c r="H1173" s="11">
        <f>IF(A1173="","",Universe!E1173/BDP(A1173&amp;" US Equity","HIGH_52WEEK")*100)</f>
        <v/>
      </c>
      <c r="I1173">
        <f>IF(D1173="","",D1173&gt;=5)</f>
        <v/>
      </c>
      <c r="J1173">
        <f>IF(F1173="","",F1173&gt;=5)</f>
        <v/>
      </c>
      <c r="K1173">
        <f>IF(H1173="","",H1173&gt;=75)</f>
        <v/>
      </c>
      <c r="L1173">
        <f>IF(OR(I1173="",J1173="",K1173=""),FALSE,AND(I1173,J1173,K1173))</f>
        <v/>
      </c>
    </row>
    <row r="1174">
      <c r="A1174">
        <f>Universe!A1174</f>
        <v/>
      </c>
      <c r="B1174" s="10" t="n"/>
      <c r="C1174" s="11">
        <f>IF(B1174="","",PERCENTRANK.INC($B$2:$B$2501,B1174)*100)</f>
        <v/>
      </c>
      <c r="D1174" s="10" t="n"/>
      <c r="E1174" s="10">
        <f>IF(D1174="","",MIN(D1174,100))</f>
        <v/>
      </c>
      <c r="F1174" s="10" t="n"/>
      <c r="G1174" s="10">
        <f>IF(F1174="","",MIN(F1174,100))</f>
        <v/>
      </c>
      <c r="H1174" s="11">
        <f>IF(A1174="","",Universe!E1174/BDP(A1174&amp;" US Equity","HIGH_52WEEK")*100)</f>
        <v/>
      </c>
      <c r="I1174">
        <f>IF(D1174="","",D1174&gt;=5)</f>
        <v/>
      </c>
      <c r="J1174">
        <f>IF(F1174="","",F1174&gt;=5)</f>
        <v/>
      </c>
      <c r="K1174">
        <f>IF(H1174="","",H1174&gt;=75)</f>
        <v/>
      </c>
      <c r="L1174">
        <f>IF(OR(I1174="",J1174="",K1174=""),FALSE,AND(I1174,J1174,K1174))</f>
        <v/>
      </c>
    </row>
    <row r="1175">
      <c r="A1175">
        <f>Universe!A1175</f>
        <v/>
      </c>
      <c r="B1175" s="10" t="n"/>
      <c r="C1175" s="11">
        <f>IF(B1175="","",PERCENTRANK.INC($B$2:$B$2501,B1175)*100)</f>
        <v/>
      </c>
      <c r="D1175" s="10" t="n"/>
      <c r="E1175" s="10">
        <f>IF(D1175="","",MIN(D1175,100))</f>
        <v/>
      </c>
      <c r="F1175" s="10" t="n"/>
      <c r="G1175" s="10">
        <f>IF(F1175="","",MIN(F1175,100))</f>
        <v/>
      </c>
      <c r="H1175" s="11">
        <f>IF(A1175="","",Universe!E1175/BDP(A1175&amp;" US Equity","HIGH_52WEEK")*100)</f>
        <v/>
      </c>
      <c r="I1175">
        <f>IF(D1175="","",D1175&gt;=5)</f>
        <v/>
      </c>
      <c r="J1175">
        <f>IF(F1175="","",F1175&gt;=5)</f>
        <v/>
      </c>
      <c r="K1175">
        <f>IF(H1175="","",H1175&gt;=75)</f>
        <v/>
      </c>
      <c r="L1175">
        <f>IF(OR(I1175="",J1175="",K1175=""),FALSE,AND(I1175,J1175,K1175))</f>
        <v/>
      </c>
    </row>
    <row r="1176">
      <c r="A1176">
        <f>Universe!A1176</f>
        <v/>
      </c>
      <c r="B1176" s="10" t="n"/>
      <c r="C1176" s="11">
        <f>IF(B1176="","",PERCENTRANK.INC($B$2:$B$2501,B1176)*100)</f>
        <v/>
      </c>
      <c r="D1176" s="10" t="n"/>
      <c r="E1176" s="10">
        <f>IF(D1176="","",MIN(D1176,100))</f>
        <v/>
      </c>
      <c r="F1176" s="10" t="n"/>
      <c r="G1176" s="10">
        <f>IF(F1176="","",MIN(F1176,100))</f>
        <v/>
      </c>
      <c r="H1176" s="11">
        <f>IF(A1176="","",Universe!E1176/BDP(A1176&amp;" US Equity","HIGH_52WEEK")*100)</f>
        <v/>
      </c>
      <c r="I1176">
        <f>IF(D1176="","",D1176&gt;=5)</f>
        <v/>
      </c>
      <c r="J1176">
        <f>IF(F1176="","",F1176&gt;=5)</f>
        <v/>
      </c>
      <c r="K1176">
        <f>IF(H1176="","",H1176&gt;=75)</f>
        <v/>
      </c>
      <c r="L1176">
        <f>IF(OR(I1176="",J1176="",K1176=""),FALSE,AND(I1176,J1176,K1176))</f>
        <v/>
      </c>
    </row>
    <row r="1177">
      <c r="A1177">
        <f>Universe!A1177</f>
        <v/>
      </c>
      <c r="B1177" s="10" t="n"/>
      <c r="C1177" s="11">
        <f>IF(B1177="","",PERCENTRANK.INC($B$2:$B$2501,B1177)*100)</f>
        <v/>
      </c>
      <c r="D1177" s="10" t="n"/>
      <c r="E1177" s="10">
        <f>IF(D1177="","",MIN(D1177,100))</f>
        <v/>
      </c>
      <c r="F1177" s="10" t="n"/>
      <c r="G1177" s="10">
        <f>IF(F1177="","",MIN(F1177,100))</f>
        <v/>
      </c>
      <c r="H1177" s="11">
        <f>IF(A1177="","",Universe!E1177/BDP(A1177&amp;" US Equity","HIGH_52WEEK")*100)</f>
        <v/>
      </c>
      <c r="I1177">
        <f>IF(D1177="","",D1177&gt;=5)</f>
        <v/>
      </c>
      <c r="J1177">
        <f>IF(F1177="","",F1177&gt;=5)</f>
        <v/>
      </c>
      <c r="K1177">
        <f>IF(H1177="","",H1177&gt;=75)</f>
        <v/>
      </c>
      <c r="L1177">
        <f>IF(OR(I1177="",J1177="",K1177=""),FALSE,AND(I1177,J1177,K1177))</f>
        <v/>
      </c>
    </row>
    <row r="1178">
      <c r="A1178">
        <f>Universe!A1178</f>
        <v/>
      </c>
      <c r="B1178" s="10" t="n"/>
      <c r="C1178" s="11">
        <f>IF(B1178="","",PERCENTRANK.INC($B$2:$B$2501,B1178)*100)</f>
        <v/>
      </c>
      <c r="D1178" s="10" t="n"/>
      <c r="E1178" s="10">
        <f>IF(D1178="","",MIN(D1178,100))</f>
        <v/>
      </c>
      <c r="F1178" s="10" t="n"/>
      <c r="G1178" s="10">
        <f>IF(F1178="","",MIN(F1178,100))</f>
        <v/>
      </c>
      <c r="H1178" s="11">
        <f>IF(A1178="","",Universe!E1178/BDP(A1178&amp;" US Equity","HIGH_52WEEK")*100)</f>
        <v/>
      </c>
      <c r="I1178">
        <f>IF(D1178="","",D1178&gt;=5)</f>
        <v/>
      </c>
      <c r="J1178">
        <f>IF(F1178="","",F1178&gt;=5)</f>
        <v/>
      </c>
      <c r="K1178">
        <f>IF(H1178="","",H1178&gt;=75)</f>
        <v/>
      </c>
      <c r="L1178">
        <f>IF(OR(I1178="",J1178="",K1178=""),FALSE,AND(I1178,J1178,K1178))</f>
        <v/>
      </c>
    </row>
    <row r="1179">
      <c r="A1179">
        <f>Universe!A1179</f>
        <v/>
      </c>
      <c r="B1179" s="10" t="n"/>
      <c r="C1179" s="11">
        <f>IF(B1179="","",PERCENTRANK.INC($B$2:$B$2501,B1179)*100)</f>
        <v/>
      </c>
      <c r="D1179" s="10" t="n"/>
      <c r="E1179" s="10">
        <f>IF(D1179="","",MIN(D1179,100))</f>
        <v/>
      </c>
      <c r="F1179" s="10" t="n"/>
      <c r="G1179" s="10">
        <f>IF(F1179="","",MIN(F1179,100))</f>
        <v/>
      </c>
      <c r="H1179" s="11">
        <f>IF(A1179="","",Universe!E1179/BDP(A1179&amp;" US Equity","HIGH_52WEEK")*100)</f>
        <v/>
      </c>
      <c r="I1179">
        <f>IF(D1179="","",D1179&gt;=5)</f>
        <v/>
      </c>
      <c r="J1179">
        <f>IF(F1179="","",F1179&gt;=5)</f>
        <v/>
      </c>
      <c r="K1179">
        <f>IF(H1179="","",H1179&gt;=75)</f>
        <v/>
      </c>
      <c r="L1179">
        <f>IF(OR(I1179="",J1179="",K1179=""),FALSE,AND(I1179,J1179,K1179))</f>
        <v/>
      </c>
    </row>
    <row r="1180">
      <c r="A1180">
        <f>Universe!A1180</f>
        <v/>
      </c>
      <c r="B1180" s="10" t="n"/>
      <c r="C1180" s="11">
        <f>IF(B1180="","",PERCENTRANK.INC($B$2:$B$2501,B1180)*100)</f>
        <v/>
      </c>
      <c r="D1180" s="10" t="n"/>
      <c r="E1180" s="10">
        <f>IF(D1180="","",MIN(D1180,100))</f>
        <v/>
      </c>
      <c r="F1180" s="10" t="n"/>
      <c r="G1180" s="10">
        <f>IF(F1180="","",MIN(F1180,100))</f>
        <v/>
      </c>
      <c r="H1180" s="11">
        <f>IF(A1180="","",Universe!E1180/BDP(A1180&amp;" US Equity","HIGH_52WEEK")*100)</f>
        <v/>
      </c>
      <c r="I1180">
        <f>IF(D1180="","",D1180&gt;=5)</f>
        <v/>
      </c>
      <c r="J1180">
        <f>IF(F1180="","",F1180&gt;=5)</f>
        <v/>
      </c>
      <c r="K1180">
        <f>IF(H1180="","",H1180&gt;=75)</f>
        <v/>
      </c>
      <c r="L1180">
        <f>IF(OR(I1180="",J1180="",K1180=""),FALSE,AND(I1180,J1180,K1180))</f>
        <v/>
      </c>
    </row>
    <row r="1181">
      <c r="A1181">
        <f>Universe!A1181</f>
        <v/>
      </c>
      <c r="B1181" s="10" t="n"/>
      <c r="C1181" s="11">
        <f>IF(B1181="","",PERCENTRANK.INC($B$2:$B$2501,B1181)*100)</f>
        <v/>
      </c>
      <c r="D1181" s="10" t="n"/>
      <c r="E1181" s="10">
        <f>IF(D1181="","",MIN(D1181,100))</f>
        <v/>
      </c>
      <c r="F1181" s="10" t="n"/>
      <c r="G1181" s="10">
        <f>IF(F1181="","",MIN(F1181,100))</f>
        <v/>
      </c>
      <c r="H1181" s="11">
        <f>IF(A1181="","",Universe!E1181/BDP(A1181&amp;" US Equity","HIGH_52WEEK")*100)</f>
        <v/>
      </c>
      <c r="I1181">
        <f>IF(D1181="","",D1181&gt;=5)</f>
        <v/>
      </c>
      <c r="J1181">
        <f>IF(F1181="","",F1181&gt;=5)</f>
        <v/>
      </c>
      <c r="K1181">
        <f>IF(H1181="","",H1181&gt;=75)</f>
        <v/>
      </c>
      <c r="L1181">
        <f>IF(OR(I1181="",J1181="",K1181=""),FALSE,AND(I1181,J1181,K1181))</f>
        <v/>
      </c>
    </row>
    <row r="1182">
      <c r="A1182">
        <f>Universe!A1182</f>
        <v/>
      </c>
      <c r="B1182" s="10" t="n"/>
      <c r="C1182" s="11">
        <f>IF(B1182="","",PERCENTRANK.INC($B$2:$B$2501,B1182)*100)</f>
        <v/>
      </c>
      <c r="D1182" s="10" t="n"/>
      <c r="E1182" s="10">
        <f>IF(D1182="","",MIN(D1182,100))</f>
        <v/>
      </c>
      <c r="F1182" s="10" t="n"/>
      <c r="G1182" s="10">
        <f>IF(F1182="","",MIN(F1182,100))</f>
        <v/>
      </c>
      <c r="H1182" s="11">
        <f>IF(A1182="","",Universe!E1182/BDP(A1182&amp;" US Equity","HIGH_52WEEK")*100)</f>
        <v/>
      </c>
      <c r="I1182">
        <f>IF(D1182="","",D1182&gt;=5)</f>
        <v/>
      </c>
      <c r="J1182">
        <f>IF(F1182="","",F1182&gt;=5)</f>
        <v/>
      </c>
      <c r="K1182">
        <f>IF(H1182="","",H1182&gt;=75)</f>
        <v/>
      </c>
      <c r="L1182">
        <f>IF(OR(I1182="",J1182="",K1182=""),FALSE,AND(I1182,J1182,K1182))</f>
        <v/>
      </c>
    </row>
    <row r="1183">
      <c r="A1183">
        <f>Universe!A1183</f>
        <v/>
      </c>
      <c r="B1183" s="10" t="n"/>
      <c r="C1183" s="11">
        <f>IF(B1183="","",PERCENTRANK.INC($B$2:$B$2501,B1183)*100)</f>
        <v/>
      </c>
      <c r="D1183" s="10" t="n"/>
      <c r="E1183" s="10">
        <f>IF(D1183="","",MIN(D1183,100))</f>
        <v/>
      </c>
      <c r="F1183" s="10" t="n"/>
      <c r="G1183" s="10">
        <f>IF(F1183="","",MIN(F1183,100))</f>
        <v/>
      </c>
      <c r="H1183" s="11">
        <f>IF(A1183="","",Universe!E1183/BDP(A1183&amp;" US Equity","HIGH_52WEEK")*100)</f>
        <v/>
      </c>
      <c r="I1183">
        <f>IF(D1183="","",D1183&gt;=5)</f>
        <v/>
      </c>
      <c r="J1183">
        <f>IF(F1183="","",F1183&gt;=5)</f>
        <v/>
      </c>
      <c r="K1183">
        <f>IF(H1183="","",H1183&gt;=75)</f>
        <v/>
      </c>
      <c r="L1183">
        <f>IF(OR(I1183="",J1183="",K1183=""),FALSE,AND(I1183,J1183,K1183))</f>
        <v/>
      </c>
    </row>
    <row r="1184">
      <c r="A1184">
        <f>Universe!A1184</f>
        <v/>
      </c>
      <c r="B1184" s="10" t="n"/>
      <c r="C1184" s="11">
        <f>IF(B1184="","",PERCENTRANK.INC($B$2:$B$2501,B1184)*100)</f>
        <v/>
      </c>
      <c r="D1184" s="10" t="n"/>
      <c r="E1184" s="10">
        <f>IF(D1184="","",MIN(D1184,100))</f>
        <v/>
      </c>
      <c r="F1184" s="10" t="n"/>
      <c r="G1184" s="10">
        <f>IF(F1184="","",MIN(F1184,100))</f>
        <v/>
      </c>
      <c r="H1184" s="11">
        <f>IF(A1184="","",Universe!E1184/BDP(A1184&amp;" US Equity","HIGH_52WEEK")*100)</f>
        <v/>
      </c>
      <c r="I1184">
        <f>IF(D1184="","",D1184&gt;=5)</f>
        <v/>
      </c>
      <c r="J1184">
        <f>IF(F1184="","",F1184&gt;=5)</f>
        <v/>
      </c>
      <c r="K1184">
        <f>IF(H1184="","",H1184&gt;=75)</f>
        <v/>
      </c>
      <c r="L1184">
        <f>IF(OR(I1184="",J1184="",K1184=""),FALSE,AND(I1184,J1184,K1184))</f>
        <v/>
      </c>
    </row>
    <row r="1185">
      <c r="A1185">
        <f>Universe!A1185</f>
        <v/>
      </c>
      <c r="B1185" s="10" t="n"/>
      <c r="C1185" s="11">
        <f>IF(B1185="","",PERCENTRANK.INC($B$2:$B$2501,B1185)*100)</f>
        <v/>
      </c>
      <c r="D1185" s="10" t="n"/>
      <c r="E1185" s="10">
        <f>IF(D1185="","",MIN(D1185,100))</f>
        <v/>
      </c>
      <c r="F1185" s="10" t="n"/>
      <c r="G1185" s="10">
        <f>IF(F1185="","",MIN(F1185,100))</f>
        <v/>
      </c>
      <c r="H1185" s="11">
        <f>IF(A1185="","",Universe!E1185/BDP(A1185&amp;" US Equity","HIGH_52WEEK")*100)</f>
        <v/>
      </c>
      <c r="I1185">
        <f>IF(D1185="","",D1185&gt;=5)</f>
        <v/>
      </c>
      <c r="J1185">
        <f>IF(F1185="","",F1185&gt;=5)</f>
        <v/>
      </c>
      <c r="K1185">
        <f>IF(H1185="","",H1185&gt;=75)</f>
        <v/>
      </c>
      <c r="L1185">
        <f>IF(OR(I1185="",J1185="",K1185=""),FALSE,AND(I1185,J1185,K1185))</f>
        <v/>
      </c>
    </row>
    <row r="1186">
      <c r="A1186">
        <f>Universe!A1186</f>
        <v/>
      </c>
      <c r="B1186" s="10" t="n"/>
      <c r="C1186" s="11">
        <f>IF(B1186="","",PERCENTRANK.INC($B$2:$B$2501,B1186)*100)</f>
        <v/>
      </c>
      <c r="D1186" s="10" t="n"/>
      <c r="E1186" s="10">
        <f>IF(D1186="","",MIN(D1186,100))</f>
        <v/>
      </c>
      <c r="F1186" s="10" t="n"/>
      <c r="G1186" s="10">
        <f>IF(F1186="","",MIN(F1186,100))</f>
        <v/>
      </c>
      <c r="H1186" s="11">
        <f>IF(A1186="","",Universe!E1186/BDP(A1186&amp;" US Equity","HIGH_52WEEK")*100)</f>
        <v/>
      </c>
      <c r="I1186">
        <f>IF(D1186="","",D1186&gt;=5)</f>
        <v/>
      </c>
      <c r="J1186">
        <f>IF(F1186="","",F1186&gt;=5)</f>
        <v/>
      </c>
      <c r="K1186">
        <f>IF(H1186="","",H1186&gt;=75)</f>
        <v/>
      </c>
      <c r="L1186">
        <f>IF(OR(I1186="",J1186="",K1186=""),FALSE,AND(I1186,J1186,K1186))</f>
        <v/>
      </c>
    </row>
    <row r="1187">
      <c r="A1187">
        <f>Universe!A1187</f>
        <v/>
      </c>
      <c r="B1187" s="10" t="n"/>
      <c r="C1187" s="11">
        <f>IF(B1187="","",PERCENTRANK.INC($B$2:$B$2501,B1187)*100)</f>
        <v/>
      </c>
      <c r="D1187" s="10" t="n"/>
      <c r="E1187" s="10">
        <f>IF(D1187="","",MIN(D1187,100))</f>
        <v/>
      </c>
      <c r="F1187" s="10" t="n"/>
      <c r="G1187" s="10">
        <f>IF(F1187="","",MIN(F1187,100))</f>
        <v/>
      </c>
      <c r="H1187" s="11">
        <f>IF(A1187="","",Universe!E1187/BDP(A1187&amp;" US Equity","HIGH_52WEEK")*100)</f>
        <v/>
      </c>
      <c r="I1187">
        <f>IF(D1187="","",D1187&gt;=5)</f>
        <v/>
      </c>
      <c r="J1187">
        <f>IF(F1187="","",F1187&gt;=5)</f>
        <v/>
      </c>
      <c r="K1187">
        <f>IF(H1187="","",H1187&gt;=75)</f>
        <v/>
      </c>
      <c r="L1187">
        <f>IF(OR(I1187="",J1187="",K1187=""),FALSE,AND(I1187,J1187,K1187))</f>
        <v/>
      </c>
    </row>
    <row r="1188">
      <c r="A1188">
        <f>Universe!A1188</f>
        <v/>
      </c>
      <c r="B1188" s="10" t="n"/>
      <c r="C1188" s="11">
        <f>IF(B1188="","",PERCENTRANK.INC($B$2:$B$2501,B1188)*100)</f>
        <v/>
      </c>
      <c r="D1188" s="10" t="n"/>
      <c r="E1188" s="10">
        <f>IF(D1188="","",MIN(D1188,100))</f>
        <v/>
      </c>
      <c r="F1188" s="10" t="n"/>
      <c r="G1188" s="10">
        <f>IF(F1188="","",MIN(F1188,100))</f>
        <v/>
      </c>
      <c r="H1188" s="11">
        <f>IF(A1188="","",Universe!E1188/BDP(A1188&amp;" US Equity","HIGH_52WEEK")*100)</f>
        <v/>
      </c>
      <c r="I1188">
        <f>IF(D1188="","",D1188&gt;=5)</f>
        <v/>
      </c>
      <c r="J1188">
        <f>IF(F1188="","",F1188&gt;=5)</f>
        <v/>
      </c>
      <c r="K1188">
        <f>IF(H1188="","",H1188&gt;=75)</f>
        <v/>
      </c>
      <c r="L1188">
        <f>IF(OR(I1188="",J1188="",K1188=""),FALSE,AND(I1188,J1188,K1188))</f>
        <v/>
      </c>
    </row>
    <row r="1189">
      <c r="A1189">
        <f>Universe!A1189</f>
        <v/>
      </c>
      <c r="B1189" s="10" t="n"/>
      <c r="C1189" s="11">
        <f>IF(B1189="","",PERCENTRANK.INC($B$2:$B$2501,B1189)*100)</f>
        <v/>
      </c>
      <c r="D1189" s="10" t="n"/>
      <c r="E1189" s="10">
        <f>IF(D1189="","",MIN(D1189,100))</f>
        <v/>
      </c>
      <c r="F1189" s="10" t="n"/>
      <c r="G1189" s="10">
        <f>IF(F1189="","",MIN(F1189,100))</f>
        <v/>
      </c>
      <c r="H1189" s="11">
        <f>IF(A1189="","",Universe!E1189/BDP(A1189&amp;" US Equity","HIGH_52WEEK")*100)</f>
        <v/>
      </c>
      <c r="I1189">
        <f>IF(D1189="","",D1189&gt;=5)</f>
        <v/>
      </c>
      <c r="J1189">
        <f>IF(F1189="","",F1189&gt;=5)</f>
        <v/>
      </c>
      <c r="K1189">
        <f>IF(H1189="","",H1189&gt;=75)</f>
        <v/>
      </c>
      <c r="L1189">
        <f>IF(OR(I1189="",J1189="",K1189=""),FALSE,AND(I1189,J1189,K1189))</f>
        <v/>
      </c>
    </row>
    <row r="1190">
      <c r="A1190">
        <f>Universe!A1190</f>
        <v/>
      </c>
      <c r="B1190" s="10" t="n"/>
      <c r="C1190" s="11">
        <f>IF(B1190="","",PERCENTRANK.INC($B$2:$B$2501,B1190)*100)</f>
        <v/>
      </c>
      <c r="D1190" s="10" t="n"/>
      <c r="E1190" s="10">
        <f>IF(D1190="","",MIN(D1190,100))</f>
        <v/>
      </c>
      <c r="F1190" s="10" t="n"/>
      <c r="G1190" s="10">
        <f>IF(F1190="","",MIN(F1190,100))</f>
        <v/>
      </c>
      <c r="H1190" s="11">
        <f>IF(A1190="","",Universe!E1190/BDP(A1190&amp;" US Equity","HIGH_52WEEK")*100)</f>
        <v/>
      </c>
      <c r="I1190">
        <f>IF(D1190="","",D1190&gt;=5)</f>
        <v/>
      </c>
      <c r="J1190">
        <f>IF(F1190="","",F1190&gt;=5)</f>
        <v/>
      </c>
      <c r="K1190">
        <f>IF(H1190="","",H1190&gt;=75)</f>
        <v/>
      </c>
      <c r="L1190">
        <f>IF(OR(I1190="",J1190="",K1190=""),FALSE,AND(I1190,J1190,K1190))</f>
        <v/>
      </c>
    </row>
    <row r="1191">
      <c r="A1191">
        <f>Universe!A1191</f>
        <v/>
      </c>
      <c r="B1191" s="10" t="n"/>
      <c r="C1191" s="11">
        <f>IF(B1191="","",PERCENTRANK.INC($B$2:$B$2501,B1191)*100)</f>
        <v/>
      </c>
      <c r="D1191" s="10" t="n"/>
      <c r="E1191" s="10">
        <f>IF(D1191="","",MIN(D1191,100))</f>
        <v/>
      </c>
      <c r="F1191" s="10" t="n"/>
      <c r="G1191" s="10">
        <f>IF(F1191="","",MIN(F1191,100))</f>
        <v/>
      </c>
      <c r="H1191" s="11">
        <f>IF(A1191="","",Universe!E1191/BDP(A1191&amp;" US Equity","HIGH_52WEEK")*100)</f>
        <v/>
      </c>
      <c r="I1191">
        <f>IF(D1191="","",D1191&gt;=5)</f>
        <v/>
      </c>
      <c r="J1191">
        <f>IF(F1191="","",F1191&gt;=5)</f>
        <v/>
      </c>
      <c r="K1191">
        <f>IF(H1191="","",H1191&gt;=75)</f>
        <v/>
      </c>
      <c r="L1191">
        <f>IF(OR(I1191="",J1191="",K1191=""),FALSE,AND(I1191,J1191,K1191))</f>
        <v/>
      </c>
    </row>
    <row r="1192">
      <c r="A1192">
        <f>Universe!A1192</f>
        <v/>
      </c>
      <c r="B1192" s="10" t="n"/>
      <c r="C1192" s="11">
        <f>IF(B1192="","",PERCENTRANK.INC($B$2:$B$2501,B1192)*100)</f>
        <v/>
      </c>
      <c r="D1192" s="10" t="n"/>
      <c r="E1192" s="10">
        <f>IF(D1192="","",MIN(D1192,100))</f>
        <v/>
      </c>
      <c r="F1192" s="10" t="n"/>
      <c r="G1192" s="10">
        <f>IF(F1192="","",MIN(F1192,100))</f>
        <v/>
      </c>
      <c r="H1192" s="11">
        <f>IF(A1192="","",Universe!E1192/BDP(A1192&amp;" US Equity","HIGH_52WEEK")*100)</f>
        <v/>
      </c>
      <c r="I1192">
        <f>IF(D1192="","",D1192&gt;=5)</f>
        <v/>
      </c>
      <c r="J1192">
        <f>IF(F1192="","",F1192&gt;=5)</f>
        <v/>
      </c>
      <c r="K1192">
        <f>IF(H1192="","",H1192&gt;=75)</f>
        <v/>
      </c>
      <c r="L1192">
        <f>IF(OR(I1192="",J1192="",K1192=""),FALSE,AND(I1192,J1192,K1192))</f>
        <v/>
      </c>
    </row>
    <row r="1193">
      <c r="A1193">
        <f>Universe!A1193</f>
        <v/>
      </c>
      <c r="B1193" s="10" t="n"/>
      <c r="C1193" s="11">
        <f>IF(B1193="","",PERCENTRANK.INC($B$2:$B$2501,B1193)*100)</f>
        <v/>
      </c>
      <c r="D1193" s="10" t="n"/>
      <c r="E1193" s="10">
        <f>IF(D1193="","",MIN(D1193,100))</f>
        <v/>
      </c>
      <c r="F1193" s="10" t="n"/>
      <c r="G1193" s="10">
        <f>IF(F1193="","",MIN(F1193,100))</f>
        <v/>
      </c>
      <c r="H1193" s="11">
        <f>IF(A1193="","",Universe!E1193/BDP(A1193&amp;" US Equity","HIGH_52WEEK")*100)</f>
        <v/>
      </c>
      <c r="I1193">
        <f>IF(D1193="","",D1193&gt;=5)</f>
        <v/>
      </c>
      <c r="J1193">
        <f>IF(F1193="","",F1193&gt;=5)</f>
        <v/>
      </c>
      <c r="K1193">
        <f>IF(H1193="","",H1193&gt;=75)</f>
        <v/>
      </c>
      <c r="L1193">
        <f>IF(OR(I1193="",J1193="",K1193=""),FALSE,AND(I1193,J1193,K1193))</f>
        <v/>
      </c>
    </row>
    <row r="1194">
      <c r="A1194">
        <f>Universe!A1194</f>
        <v/>
      </c>
      <c r="B1194" s="10" t="n"/>
      <c r="C1194" s="11">
        <f>IF(B1194="","",PERCENTRANK.INC($B$2:$B$2501,B1194)*100)</f>
        <v/>
      </c>
      <c r="D1194" s="10" t="n"/>
      <c r="E1194" s="10">
        <f>IF(D1194="","",MIN(D1194,100))</f>
        <v/>
      </c>
      <c r="F1194" s="10" t="n"/>
      <c r="G1194" s="10">
        <f>IF(F1194="","",MIN(F1194,100))</f>
        <v/>
      </c>
      <c r="H1194" s="11">
        <f>IF(A1194="","",Universe!E1194/BDP(A1194&amp;" US Equity","HIGH_52WEEK")*100)</f>
        <v/>
      </c>
      <c r="I1194">
        <f>IF(D1194="","",D1194&gt;=5)</f>
        <v/>
      </c>
      <c r="J1194">
        <f>IF(F1194="","",F1194&gt;=5)</f>
        <v/>
      </c>
      <c r="K1194">
        <f>IF(H1194="","",H1194&gt;=75)</f>
        <v/>
      </c>
      <c r="L1194">
        <f>IF(OR(I1194="",J1194="",K1194=""),FALSE,AND(I1194,J1194,K1194))</f>
        <v/>
      </c>
    </row>
    <row r="1195">
      <c r="A1195">
        <f>Universe!A1195</f>
        <v/>
      </c>
      <c r="B1195" s="10" t="n"/>
      <c r="C1195" s="11">
        <f>IF(B1195="","",PERCENTRANK.INC($B$2:$B$2501,B1195)*100)</f>
        <v/>
      </c>
      <c r="D1195" s="10" t="n"/>
      <c r="E1195" s="10">
        <f>IF(D1195="","",MIN(D1195,100))</f>
        <v/>
      </c>
      <c r="F1195" s="10" t="n"/>
      <c r="G1195" s="10">
        <f>IF(F1195="","",MIN(F1195,100))</f>
        <v/>
      </c>
      <c r="H1195" s="11">
        <f>IF(A1195="","",Universe!E1195/BDP(A1195&amp;" US Equity","HIGH_52WEEK")*100)</f>
        <v/>
      </c>
      <c r="I1195">
        <f>IF(D1195="","",D1195&gt;=5)</f>
        <v/>
      </c>
      <c r="J1195">
        <f>IF(F1195="","",F1195&gt;=5)</f>
        <v/>
      </c>
      <c r="K1195">
        <f>IF(H1195="","",H1195&gt;=75)</f>
        <v/>
      </c>
      <c r="L1195">
        <f>IF(OR(I1195="",J1195="",K1195=""),FALSE,AND(I1195,J1195,K1195))</f>
        <v/>
      </c>
    </row>
    <row r="1196">
      <c r="A1196">
        <f>Universe!A1196</f>
        <v/>
      </c>
      <c r="B1196" s="10" t="n"/>
      <c r="C1196" s="11">
        <f>IF(B1196="","",PERCENTRANK.INC($B$2:$B$2501,B1196)*100)</f>
        <v/>
      </c>
      <c r="D1196" s="10" t="n"/>
      <c r="E1196" s="10">
        <f>IF(D1196="","",MIN(D1196,100))</f>
        <v/>
      </c>
      <c r="F1196" s="10" t="n"/>
      <c r="G1196" s="10">
        <f>IF(F1196="","",MIN(F1196,100))</f>
        <v/>
      </c>
      <c r="H1196" s="11">
        <f>IF(A1196="","",Universe!E1196/BDP(A1196&amp;" US Equity","HIGH_52WEEK")*100)</f>
        <v/>
      </c>
      <c r="I1196">
        <f>IF(D1196="","",D1196&gt;=5)</f>
        <v/>
      </c>
      <c r="J1196">
        <f>IF(F1196="","",F1196&gt;=5)</f>
        <v/>
      </c>
      <c r="K1196">
        <f>IF(H1196="","",H1196&gt;=75)</f>
        <v/>
      </c>
      <c r="L1196">
        <f>IF(OR(I1196="",J1196="",K1196=""),FALSE,AND(I1196,J1196,K1196))</f>
        <v/>
      </c>
    </row>
    <row r="1197">
      <c r="A1197">
        <f>Universe!A1197</f>
        <v/>
      </c>
      <c r="B1197" s="10" t="n"/>
      <c r="C1197" s="11">
        <f>IF(B1197="","",PERCENTRANK.INC($B$2:$B$2501,B1197)*100)</f>
        <v/>
      </c>
      <c r="D1197" s="10" t="n"/>
      <c r="E1197" s="10">
        <f>IF(D1197="","",MIN(D1197,100))</f>
        <v/>
      </c>
      <c r="F1197" s="10" t="n"/>
      <c r="G1197" s="10">
        <f>IF(F1197="","",MIN(F1197,100))</f>
        <v/>
      </c>
      <c r="H1197" s="11">
        <f>IF(A1197="","",Universe!E1197/BDP(A1197&amp;" US Equity","HIGH_52WEEK")*100)</f>
        <v/>
      </c>
      <c r="I1197">
        <f>IF(D1197="","",D1197&gt;=5)</f>
        <v/>
      </c>
      <c r="J1197">
        <f>IF(F1197="","",F1197&gt;=5)</f>
        <v/>
      </c>
      <c r="K1197">
        <f>IF(H1197="","",H1197&gt;=75)</f>
        <v/>
      </c>
      <c r="L1197">
        <f>IF(OR(I1197="",J1197="",K1197=""),FALSE,AND(I1197,J1197,K1197))</f>
        <v/>
      </c>
    </row>
    <row r="1198">
      <c r="A1198">
        <f>Universe!A1198</f>
        <v/>
      </c>
      <c r="B1198" s="10" t="n"/>
      <c r="C1198" s="11">
        <f>IF(B1198="","",PERCENTRANK.INC($B$2:$B$2501,B1198)*100)</f>
        <v/>
      </c>
      <c r="D1198" s="10" t="n"/>
      <c r="E1198" s="10">
        <f>IF(D1198="","",MIN(D1198,100))</f>
        <v/>
      </c>
      <c r="F1198" s="10" t="n"/>
      <c r="G1198" s="10">
        <f>IF(F1198="","",MIN(F1198,100))</f>
        <v/>
      </c>
      <c r="H1198" s="11">
        <f>IF(A1198="","",Universe!E1198/BDP(A1198&amp;" US Equity","HIGH_52WEEK")*100)</f>
        <v/>
      </c>
      <c r="I1198">
        <f>IF(D1198="","",D1198&gt;=5)</f>
        <v/>
      </c>
      <c r="J1198">
        <f>IF(F1198="","",F1198&gt;=5)</f>
        <v/>
      </c>
      <c r="K1198">
        <f>IF(H1198="","",H1198&gt;=75)</f>
        <v/>
      </c>
      <c r="L1198">
        <f>IF(OR(I1198="",J1198="",K1198=""),FALSE,AND(I1198,J1198,K1198))</f>
        <v/>
      </c>
    </row>
    <row r="1199">
      <c r="A1199">
        <f>Universe!A1199</f>
        <v/>
      </c>
      <c r="B1199" s="10" t="n"/>
      <c r="C1199" s="11">
        <f>IF(B1199="","",PERCENTRANK.INC($B$2:$B$2501,B1199)*100)</f>
        <v/>
      </c>
      <c r="D1199" s="10" t="n"/>
      <c r="E1199" s="10">
        <f>IF(D1199="","",MIN(D1199,100))</f>
        <v/>
      </c>
      <c r="F1199" s="10" t="n"/>
      <c r="G1199" s="10">
        <f>IF(F1199="","",MIN(F1199,100))</f>
        <v/>
      </c>
      <c r="H1199" s="11">
        <f>IF(A1199="","",Universe!E1199/BDP(A1199&amp;" US Equity","HIGH_52WEEK")*100)</f>
        <v/>
      </c>
      <c r="I1199">
        <f>IF(D1199="","",D1199&gt;=5)</f>
        <v/>
      </c>
      <c r="J1199">
        <f>IF(F1199="","",F1199&gt;=5)</f>
        <v/>
      </c>
      <c r="K1199">
        <f>IF(H1199="","",H1199&gt;=75)</f>
        <v/>
      </c>
      <c r="L1199">
        <f>IF(OR(I1199="",J1199="",K1199=""),FALSE,AND(I1199,J1199,K1199))</f>
        <v/>
      </c>
    </row>
    <row r="1200">
      <c r="A1200">
        <f>Universe!A1200</f>
        <v/>
      </c>
      <c r="B1200" s="10" t="n"/>
      <c r="C1200" s="11">
        <f>IF(B1200="","",PERCENTRANK.INC($B$2:$B$2501,B1200)*100)</f>
        <v/>
      </c>
      <c r="D1200" s="10" t="n"/>
      <c r="E1200" s="10">
        <f>IF(D1200="","",MIN(D1200,100))</f>
        <v/>
      </c>
      <c r="F1200" s="10" t="n"/>
      <c r="G1200" s="10">
        <f>IF(F1200="","",MIN(F1200,100))</f>
        <v/>
      </c>
      <c r="H1200" s="11">
        <f>IF(A1200="","",Universe!E1200/BDP(A1200&amp;" US Equity","HIGH_52WEEK")*100)</f>
        <v/>
      </c>
      <c r="I1200">
        <f>IF(D1200="","",D1200&gt;=5)</f>
        <v/>
      </c>
      <c r="J1200">
        <f>IF(F1200="","",F1200&gt;=5)</f>
        <v/>
      </c>
      <c r="K1200">
        <f>IF(H1200="","",H1200&gt;=75)</f>
        <v/>
      </c>
      <c r="L1200">
        <f>IF(OR(I1200="",J1200="",K1200=""),FALSE,AND(I1200,J1200,K1200))</f>
        <v/>
      </c>
    </row>
    <row r="1201">
      <c r="A1201">
        <f>Universe!A1201</f>
        <v/>
      </c>
      <c r="B1201" s="10" t="n"/>
      <c r="C1201" s="11">
        <f>IF(B1201="","",PERCENTRANK.INC($B$2:$B$2501,B1201)*100)</f>
        <v/>
      </c>
      <c r="D1201" s="10" t="n"/>
      <c r="E1201" s="10">
        <f>IF(D1201="","",MIN(D1201,100))</f>
        <v/>
      </c>
      <c r="F1201" s="10" t="n"/>
      <c r="G1201" s="10">
        <f>IF(F1201="","",MIN(F1201,100))</f>
        <v/>
      </c>
      <c r="H1201" s="11">
        <f>IF(A1201="","",Universe!E1201/BDP(A1201&amp;" US Equity","HIGH_52WEEK")*100)</f>
        <v/>
      </c>
      <c r="I1201">
        <f>IF(D1201="","",D1201&gt;=5)</f>
        <v/>
      </c>
      <c r="J1201">
        <f>IF(F1201="","",F1201&gt;=5)</f>
        <v/>
      </c>
      <c r="K1201">
        <f>IF(H1201="","",H1201&gt;=75)</f>
        <v/>
      </c>
      <c r="L1201">
        <f>IF(OR(I1201="",J1201="",K1201=""),FALSE,AND(I1201,J1201,K1201))</f>
        <v/>
      </c>
    </row>
    <row r="1202">
      <c r="A1202">
        <f>Universe!A1202</f>
        <v/>
      </c>
      <c r="B1202" s="10" t="n"/>
      <c r="C1202" s="11">
        <f>IF(B1202="","",PERCENTRANK.INC($B$2:$B$2501,B1202)*100)</f>
        <v/>
      </c>
      <c r="D1202" s="10" t="n"/>
      <c r="E1202" s="10">
        <f>IF(D1202="","",MIN(D1202,100))</f>
        <v/>
      </c>
      <c r="F1202" s="10" t="n"/>
      <c r="G1202" s="10">
        <f>IF(F1202="","",MIN(F1202,100))</f>
        <v/>
      </c>
      <c r="H1202" s="11">
        <f>IF(A1202="","",Universe!E1202/BDP(A1202&amp;" US Equity","HIGH_52WEEK")*100)</f>
        <v/>
      </c>
      <c r="I1202">
        <f>IF(D1202="","",D1202&gt;=5)</f>
        <v/>
      </c>
      <c r="J1202">
        <f>IF(F1202="","",F1202&gt;=5)</f>
        <v/>
      </c>
      <c r="K1202">
        <f>IF(H1202="","",H1202&gt;=75)</f>
        <v/>
      </c>
      <c r="L1202">
        <f>IF(OR(I1202="",J1202="",K1202=""),FALSE,AND(I1202,J1202,K1202))</f>
        <v/>
      </c>
    </row>
    <row r="1203">
      <c r="A1203">
        <f>Universe!A1203</f>
        <v/>
      </c>
      <c r="B1203" s="10" t="n"/>
      <c r="C1203" s="11">
        <f>IF(B1203="","",PERCENTRANK.INC($B$2:$B$2501,B1203)*100)</f>
        <v/>
      </c>
      <c r="D1203" s="10" t="n"/>
      <c r="E1203" s="10">
        <f>IF(D1203="","",MIN(D1203,100))</f>
        <v/>
      </c>
      <c r="F1203" s="10" t="n"/>
      <c r="G1203" s="10">
        <f>IF(F1203="","",MIN(F1203,100))</f>
        <v/>
      </c>
      <c r="H1203" s="11">
        <f>IF(A1203="","",Universe!E1203/BDP(A1203&amp;" US Equity","HIGH_52WEEK")*100)</f>
        <v/>
      </c>
      <c r="I1203">
        <f>IF(D1203="","",D1203&gt;=5)</f>
        <v/>
      </c>
      <c r="J1203">
        <f>IF(F1203="","",F1203&gt;=5)</f>
        <v/>
      </c>
      <c r="K1203">
        <f>IF(H1203="","",H1203&gt;=75)</f>
        <v/>
      </c>
      <c r="L1203">
        <f>IF(OR(I1203="",J1203="",K1203=""),FALSE,AND(I1203,J1203,K1203))</f>
        <v/>
      </c>
    </row>
    <row r="1204">
      <c r="A1204">
        <f>Universe!A1204</f>
        <v/>
      </c>
      <c r="B1204" s="10" t="n"/>
      <c r="C1204" s="11">
        <f>IF(B1204="","",PERCENTRANK.INC($B$2:$B$2501,B1204)*100)</f>
        <v/>
      </c>
      <c r="D1204" s="10" t="n"/>
      <c r="E1204" s="10">
        <f>IF(D1204="","",MIN(D1204,100))</f>
        <v/>
      </c>
      <c r="F1204" s="10" t="n"/>
      <c r="G1204" s="10">
        <f>IF(F1204="","",MIN(F1204,100))</f>
        <v/>
      </c>
      <c r="H1204" s="11">
        <f>IF(A1204="","",Universe!E1204/BDP(A1204&amp;" US Equity","HIGH_52WEEK")*100)</f>
        <v/>
      </c>
      <c r="I1204">
        <f>IF(D1204="","",D1204&gt;=5)</f>
        <v/>
      </c>
      <c r="J1204">
        <f>IF(F1204="","",F1204&gt;=5)</f>
        <v/>
      </c>
      <c r="K1204">
        <f>IF(H1204="","",H1204&gt;=75)</f>
        <v/>
      </c>
      <c r="L1204">
        <f>IF(OR(I1204="",J1204="",K1204=""),FALSE,AND(I1204,J1204,K1204))</f>
        <v/>
      </c>
    </row>
    <row r="1205">
      <c r="A1205">
        <f>Universe!A1205</f>
        <v/>
      </c>
      <c r="B1205" s="10" t="n"/>
      <c r="C1205" s="11">
        <f>IF(B1205="","",PERCENTRANK.INC($B$2:$B$2501,B1205)*100)</f>
        <v/>
      </c>
      <c r="D1205" s="10" t="n"/>
      <c r="E1205" s="10">
        <f>IF(D1205="","",MIN(D1205,100))</f>
        <v/>
      </c>
      <c r="F1205" s="10" t="n"/>
      <c r="G1205" s="10">
        <f>IF(F1205="","",MIN(F1205,100))</f>
        <v/>
      </c>
      <c r="H1205" s="11">
        <f>IF(A1205="","",Universe!E1205/BDP(A1205&amp;" US Equity","HIGH_52WEEK")*100)</f>
        <v/>
      </c>
      <c r="I1205">
        <f>IF(D1205="","",D1205&gt;=5)</f>
        <v/>
      </c>
      <c r="J1205">
        <f>IF(F1205="","",F1205&gt;=5)</f>
        <v/>
      </c>
      <c r="K1205">
        <f>IF(H1205="","",H1205&gt;=75)</f>
        <v/>
      </c>
      <c r="L1205">
        <f>IF(OR(I1205="",J1205="",K1205=""),FALSE,AND(I1205,J1205,K1205))</f>
        <v/>
      </c>
    </row>
    <row r="1206">
      <c r="A1206">
        <f>Universe!A1206</f>
        <v/>
      </c>
      <c r="B1206" s="10" t="n"/>
      <c r="C1206" s="11">
        <f>IF(B1206="","",PERCENTRANK.INC($B$2:$B$2501,B1206)*100)</f>
        <v/>
      </c>
      <c r="D1206" s="10" t="n"/>
      <c r="E1206" s="10">
        <f>IF(D1206="","",MIN(D1206,100))</f>
        <v/>
      </c>
      <c r="F1206" s="10" t="n"/>
      <c r="G1206" s="10">
        <f>IF(F1206="","",MIN(F1206,100))</f>
        <v/>
      </c>
      <c r="H1206" s="11">
        <f>IF(A1206="","",Universe!E1206/BDP(A1206&amp;" US Equity","HIGH_52WEEK")*100)</f>
        <v/>
      </c>
      <c r="I1206">
        <f>IF(D1206="","",D1206&gt;=5)</f>
        <v/>
      </c>
      <c r="J1206">
        <f>IF(F1206="","",F1206&gt;=5)</f>
        <v/>
      </c>
      <c r="K1206">
        <f>IF(H1206="","",H1206&gt;=75)</f>
        <v/>
      </c>
      <c r="L1206">
        <f>IF(OR(I1206="",J1206="",K1206=""),FALSE,AND(I1206,J1206,K1206))</f>
        <v/>
      </c>
    </row>
    <row r="1207">
      <c r="A1207">
        <f>Universe!A1207</f>
        <v/>
      </c>
      <c r="B1207" s="10" t="n"/>
      <c r="C1207" s="11">
        <f>IF(B1207="","",PERCENTRANK.INC($B$2:$B$2501,B1207)*100)</f>
        <v/>
      </c>
      <c r="D1207" s="10" t="n"/>
      <c r="E1207" s="10">
        <f>IF(D1207="","",MIN(D1207,100))</f>
        <v/>
      </c>
      <c r="F1207" s="10" t="n"/>
      <c r="G1207" s="10">
        <f>IF(F1207="","",MIN(F1207,100))</f>
        <v/>
      </c>
      <c r="H1207" s="11">
        <f>IF(A1207="","",Universe!E1207/BDP(A1207&amp;" US Equity","HIGH_52WEEK")*100)</f>
        <v/>
      </c>
      <c r="I1207">
        <f>IF(D1207="","",D1207&gt;=5)</f>
        <v/>
      </c>
      <c r="J1207">
        <f>IF(F1207="","",F1207&gt;=5)</f>
        <v/>
      </c>
      <c r="K1207">
        <f>IF(H1207="","",H1207&gt;=75)</f>
        <v/>
      </c>
      <c r="L1207">
        <f>IF(OR(I1207="",J1207="",K1207=""),FALSE,AND(I1207,J1207,K1207))</f>
        <v/>
      </c>
    </row>
    <row r="1208">
      <c r="A1208">
        <f>Universe!A1208</f>
        <v/>
      </c>
      <c r="B1208" s="10" t="n"/>
      <c r="C1208" s="11">
        <f>IF(B1208="","",PERCENTRANK.INC($B$2:$B$2501,B1208)*100)</f>
        <v/>
      </c>
      <c r="D1208" s="10" t="n"/>
      <c r="E1208" s="10">
        <f>IF(D1208="","",MIN(D1208,100))</f>
        <v/>
      </c>
      <c r="F1208" s="10" t="n"/>
      <c r="G1208" s="10">
        <f>IF(F1208="","",MIN(F1208,100))</f>
        <v/>
      </c>
      <c r="H1208" s="11">
        <f>IF(A1208="","",Universe!E1208/BDP(A1208&amp;" US Equity","HIGH_52WEEK")*100)</f>
        <v/>
      </c>
      <c r="I1208">
        <f>IF(D1208="","",D1208&gt;=5)</f>
        <v/>
      </c>
      <c r="J1208">
        <f>IF(F1208="","",F1208&gt;=5)</f>
        <v/>
      </c>
      <c r="K1208">
        <f>IF(H1208="","",H1208&gt;=75)</f>
        <v/>
      </c>
      <c r="L1208">
        <f>IF(OR(I1208="",J1208="",K1208=""),FALSE,AND(I1208,J1208,K1208))</f>
        <v/>
      </c>
    </row>
    <row r="1209">
      <c r="A1209">
        <f>Universe!A1209</f>
        <v/>
      </c>
      <c r="B1209" s="10" t="n"/>
      <c r="C1209" s="11">
        <f>IF(B1209="","",PERCENTRANK.INC($B$2:$B$2501,B1209)*100)</f>
        <v/>
      </c>
      <c r="D1209" s="10" t="n"/>
      <c r="E1209" s="10">
        <f>IF(D1209="","",MIN(D1209,100))</f>
        <v/>
      </c>
      <c r="F1209" s="10" t="n"/>
      <c r="G1209" s="10">
        <f>IF(F1209="","",MIN(F1209,100))</f>
        <v/>
      </c>
      <c r="H1209" s="11">
        <f>IF(A1209="","",Universe!E1209/BDP(A1209&amp;" US Equity","HIGH_52WEEK")*100)</f>
        <v/>
      </c>
      <c r="I1209">
        <f>IF(D1209="","",D1209&gt;=5)</f>
        <v/>
      </c>
      <c r="J1209">
        <f>IF(F1209="","",F1209&gt;=5)</f>
        <v/>
      </c>
      <c r="K1209">
        <f>IF(H1209="","",H1209&gt;=75)</f>
        <v/>
      </c>
      <c r="L1209">
        <f>IF(OR(I1209="",J1209="",K1209=""),FALSE,AND(I1209,J1209,K1209))</f>
        <v/>
      </c>
    </row>
    <row r="1210">
      <c r="A1210">
        <f>Universe!A1210</f>
        <v/>
      </c>
      <c r="B1210" s="10" t="n"/>
      <c r="C1210" s="11">
        <f>IF(B1210="","",PERCENTRANK.INC($B$2:$B$2501,B1210)*100)</f>
        <v/>
      </c>
      <c r="D1210" s="10" t="n"/>
      <c r="E1210" s="10">
        <f>IF(D1210="","",MIN(D1210,100))</f>
        <v/>
      </c>
      <c r="F1210" s="10" t="n"/>
      <c r="G1210" s="10">
        <f>IF(F1210="","",MIN(F1210,100))</f>
        <v/>
      </c>
      <c r="H1210" s="11">
        <f>IF(A1210="","",Universe!E1210/BDP(A1210&amp;" US Equity","HIGH_52WEEK")*100)</f>
        <v/>
      </c>
      <c r="I1210">
        <f>IF(D1210="","",D1210&gt;=5)</f>
        <v/>
      </c>
      <c r="J1210">
        <f>IF(F1210="","",F1210&gt;=5)</f>
        <v/>
      </c>
      <c r="K1210">
        <f>IF(H1210="","",H1210&gt;=75)</f>
        <v/>
      </c>
      <c r="L1210">
        <f>IF(OR(I1210="",J1210="",K1210=""),FALSE,AND(I1210,J1210,K1210))</f>
        <v/>
      </c>
    </row>
    <row r="1211">
      <c r="A1211">
        <f>Universe!A1211</f>
        <v/>
      </c>
      <c r="B1211" s="10" t="n"/>
      <c r="C1211" s="11">
        <f>IF(B1211="","",PERCENTRANK.INC($B$2:$B$2501,B1211)*100)</f>
        <v/>
      </c>
      <c r="D1211" s="10" t="n"/>
      <c r="E1211" s="10">
        <f>IF(D1211="","",MIN(D1211,100))</f>
        <v/>
      </c>
      <c r="F1211" s="10" t="n"/>
      <c r="G1211" s="10">
        <f>IF(F1211="","",MIN(F1211,100))</f>
        <v/>
      </c>
      <c r="H1211" s="11">
        <f>IF(A1211="","",Universe!E1211/BDP(A1211&amp;" US Equity","HIGH_52WEEK")*100)</f>
        <v/>
      </c>
      <c r="I1211">
        <f>IF(D1211="","",D1211&gt;=5)</f>
        <v/>
      </c>
      <c r="J1211">
        <f>IF(F1211="","",F1211&gt;=5)</f>
        <v/>
      </c>
      <c r="K1211">
        <f>IF(H1211="","",H1211&gt;=75)</f>
        <v/>
      </c>
      <c r="L1211">
        <f>IF(OR(I1211="",J1211="",K1211=""),FALSE,AND(I1211,J1211,K1211))</f>
        <v/>
      </c>
    </row>
    <row r="1212">
      <c r="A1212">
        <f>Universe!A1212</f>
        <v/>
      </c>
      <c r="B1212" s="10" t="n"/>
      <c r="C1212" s="11">
        <f>IF(B1212="","",PERCENTRANK.INC($B$2:$B$2501,B1212)*100)</f>
        <v/>
      </c>
      <c r="D1212" s="10" t="n"/>
      <c r="E1212" s="10">
        <f>IF(D1212="","",MIN(D1212,100))</f>
        <v/>
      </c>
      <c r="F1212" s="10" t="n"/>
      <c r="G1212" s="10">
        <f>IF(F1212="","",MIN(F1212,100))</f>
        <v/>
      </c>
      <c r="H1212" s="11">
        <f>IF(A1212="","",Universe!E1212/BDP(A1212&amp;" US Equity","HIGH_52WEEK")*100)</f>
        <v/>
      </c>
      <c r="I1212">
        <f>IF(D1212="","",D1212&gt;=5)</f>
        <v/>
      </c>
      <c r="J1212">
        <f>IF(F1212="","",F1212&gt;=5)</f>
        <v/>
      </c>
      <c r="K1212">
        <f>IF(H1212="","",H1212&gt;=75)</f>
        <v/>
      </c>
      <c r="L1212">
        <f>IF(OR(I1212="",J1212="",K1212=""),FALSE,AND(I1212,J1212,K1212))</f>
        <v/>
      </c>
    </row>
    <row r="1213">
      <c r="A1213">
        <f>Universe!A1213</f>
        <v/>
      </c>
      <c r="B1213" s="10" t="n"/>
      <c r="C1213" s="11">
        <f>IF(B1213="","",PERCENTRANK.INC($B$2:$B$2501,B1213)*100)</f>
        <v/>
      </c>
      <c r="D1213" s="10" t="n"/>
      <c r="E1213" s="10">
        <f>IF(D1213="","",MIN(D1213,100))</f>
        <v/>
      </c>
      <c r="F1213" s="10" t="n"/>
      <c r="G1213" s="10">
        <f>IF(F1213="","",MIN(F1213,100))</f>
        <v/>
      </c>
      <c r="H1213" s="11">
        <f>IF(A1213="","",Universe!E1213/BDP(A1213&amp;" US Equity","HIGH_52WEEK")*100)</f>
        <v/>
      </c>
      <c r="I1213">
        <f>IF(D1213="","",D1213&gt;=5)</f>
        <v/>
      </c>
      <c r="J1213">
        <f>IF(F1213="","",F1213&gt;=5)</f>
        <v/>
      </c>
      <c r="K1213">
        <f>IF(H1213="","",H1213&gt;=75)</f>
        <v/>
      </c>
      <c r="L1213">
        <f>IF(OR(I1213="",J1213="",K1213=""),FALSE,AND(I1213,J1213,K1213))</f>
        <v/>
      </c>
    </row>
    <row r="1214">
      <c r="A1214">
        <f>Universe!A1214</f>
        <v/>
      </c>
      <c r="B1214" s="10" t="n"/>
      <c r="C1214" s="11">
        <f>IF(B1214="","",PERCENTRANK.INC($B$2:$B$2501,B1214)*100)</f>
        <v/>
      </c>
      <c r="D1214" s="10" t="n"/>
      <c r="E1214" s="10">
        <f>IF(D1214="","",MIN(D1214,100))</f>
        <v/>
      </c>
      <c r="F1214" s="10" t="n"/>
      <c r="G1214" s="10">
        <f>IF(F1214="","",MIN(F1214,100))</f>
        <v/>
      </c>
      <c r="H1214" s="11">
        <f>IF(A1214="","",Universe!E1214/BDP(A1214&amp;" US Equity","HIGH_52WEEK")*100)</f>
        <v/>
      </c>
      <c r="I1214">
        <f>IF(D1214="","",D1214&gt;=5)</f>
        <v/>
      </c>
      <c r="J1214">
        <f>IF(F1214="","",F1214&gt;=5)</f>
        <v/>
      </c>
      <c r="K1214">
        <f>IF(H1214="","",H1214&gt;=75)</f>
        <v/>
      </c>
      <c r="L1214">
        <f>IF(OR(I1214="",J1214="",K1214=""),FALSE,AND(I1214,J1214,K1214))</f>
        <v/>
      </c>
    </row>
    <row r="1215">
      <c r="A1215">
        <f>Universe!A1215</f>
        <v/>
      </c>
      <c r="B1215" s="10" t="n"/>
      <c r="C1215" s="11">
        <f>IF(B1215="","",PERCENTRANK.INC($B$2:$B$2501,B1215)*100)</f>
        <v/>
      </c>
      <c r="D1215" s="10" t="n"/>
      <c r="E1215" s="10">
        <f>IF(D1215="","",MIN(D1215,100))</f>
        <v/>
      </c>
      <c r="F1215" s="10" t="n"/>
      <c r="G1215" s="10">
        <f>IF(F1215="","",MIN(F1215,100))</f>
        <v/>
      </c>
      <c r="H1215" s="11">
        <f>IF(A1215="","",Universe!E1215/BDP(A1215&amp;" US Equity","HIGH_52WEEK")*100)</f>
        <v/>
      </c>
      <c r="I1215">
        <f>IF(D1215="","",D1215&gt;=5)</f>
        <v/>
      </c>
      <c r="J1215">
        <f>IF(F1215="","",F1215&gt;=5)</f>
        <v/>
      </c>
      <c r="K1215">
        <f>IF(H1215="","",H1215&gt;=75)</f>
        <v/>
      </c>
      <c r="L1215">
        <f>IF(OR(I1215="",J1215="",K1215=""),FALSE,AND(I1215,J1215,K1215))</f>
        <v/>
      </c>
    </row>
    <row r="1216">
      <c r="A1216">
        <f>Universe!A1216</f>
        <v/>
      </c>
      <c r="B1216" s="10" t="n"/>
      <c r="C1216" s="11">
        <f>IF(B1216="","",PERCENTRANK.INC($B$2:$B$2501,B1216)*100)</f>
        <v/>
      </c>
      <c r="D1216" s="10" t="n"/>
      <c r="E1216" s="10">
        <f>IF(D1216="","",MIN(D1216,100))</f>
        <v/>
      </c>
      <c r="F1216" s="10" t="n"/>
      <c r="G1216" s="10">
        <f>IF(F1216="","",MIN(F1216,100))</f>
        <v/>
      </c>
      <c r="H1216" s="11">
        <f>IF(A1216="","",Universe!E1216/BDP(A1216&amp;" US Equity","HIGH_52WEEK")*100)</f>
        <v/>
      </c>
      <c r="I1216">
        <f>IF(D1216="","",D1216&gt;=5)</f>
        <v/>
      </c>
      <c r="J1216">
        <f>IF(F1216="","",F1216&gt;=5)</f>
        <v/>
      </c>
      <c r="K1216">
        <f>IF(H1216="","",H1216&gt;=75)</f>
        <v/>
      </c>
      <c r="L1216">
        <f>IF(OR(I1216="",J1216="",K1216=""),FALSE,AND(I1216,J1216,K1216))</f>
        <v/>
      </c>
    </row>
    <row r="1217">
      <c r="A1217">
        <f>Universe!A1217</f>
        <v/>
      </c>
      <c r="B1217" s="10" t="n"/>
      <c r="C1217" s="11">
        <f>IF(B1217="","",PERCENTRANK.INC($B$2:$B$2501,B1217)*100)</f>
        <v/>
      </c>
      <c r="D1217" s="10" t="n"/>
      <c r="E1217" s="10">
        <f>IF(D1217="","",MIN(D1217,100))</f>
        <v/>
      </c>
      <c r="F1217" s="10" t="n"/>
      <c r="G1217" s="10">
        <f>IF(F1217="","",MIN(F1217,100))</f>
        <v/>
      </c>
      <c r="H1217" s="11">
        <f>IF(A1217="","",Universe!E1217/BDP(A1217&amp;" US Equity","HIGH_52WEEK")*100)</f>
        <v/>
      </c>
      <c r="I1217">
        <f>IF(D1217="","",D1217&gt;=5)</f>
        <v/>
      </c>
      <c r="J1217">
        <f>IF(F1217="","",F1217&gt;=5)</f>
        <v/>
      </c>
      <c r="K1217">
        <f>IF(H1217="","",H1217&gt;=75)</f>
        <v/>
      </c>
      <c r="L1217">
        <f>IF(OR(I1217="",J1217="",K1217=""),FALSE,AND(I1217,J1217,K1217))</f>
        <v/>
      </c>
    </row>
    <row r="1218">
      <c r="A1218">
        <f>Universe!A1218</f>
        <v/>
      </c>
      <c r="B1218" s="10" t="n"/>
      <c r="C1218" s="11">
        <f>IF(B1218="","",PERCENTRANK.INC($B$2:$B$2501,B1218)*100)</f>
        <v/>
      </c>
      <c r="D1218" s="10" t="n"/>
      <c r="E1218" s="10">
        <f>IF(D1218="","",MIN(D1218,100))</f>
        <v/>
      </c>
      <c r="F1218" s="10" t="n"/>
      <c r="G1218" s="10">
        <f>IF(F1218="","",MIN(F1218,100))</f>
        <v/>
      </c>
      <c r="H1218" s="11">
        <f>IF(A1218="","",Universe!E1218/BDP(A1218&amp;" US Equity","HIGH_52WEEK")*100)</f>
        <v/>
      </c>
      <c r="I1218">
        <f>IF(D1218="","",D1218&gt;=5)</f>
        <v/>
      </c>
      <c r="J1218">
        <f>IF(F1218="","",F1218&gt;=5)</f>
        <v/>
      </c>
      <c r="K1218">
        <f>IF(H1218="","",H1218&gt;=75)</f>
        <v/>
      </c>
      <c r="L1218">
        <f>IF(OR(I1218="",J1218="",K1218=""),FALSE,AND(I1218,J1218,K1218))</f>
        <v/>
      </c>
    </row>
    <row r="1219">
      <c r="A1219">
        <f>Universe!A1219</f>
        <v/>
      </c>
      <c r="B1219" s="10" t="n"/>
      <c r="C1219" s="11">
        <f>IF(B1219="","",PERCENTRANK.INC($B$2:$B$2501,B1219)*100)</f>
        <v/>
      </c>
      <c r="D1219" s="10" t="n"/>
      <c r="E1219" s="10">
        <f>IF(D1219="","",MIN(D1219,100))</f>
        <v/>
      </c>
      <c r="F1219" s="10" t="n"/>
      <c r="G1219" s="10">
        <f>IF(F1219="","",MIN(F1219,100))</f>
        <v/>
      </c>
      <c r="H1219" s="11">
        <f>IF(A1219="","",Universe!E1219/BDP(A1219&amp;" US Equity","HIGH_52WEEK")*100)</f>
        <v/>
      </c>
      <c r="I1219">
        <f>IF(D1219="","",D1219&gt;=5)</f>
        <v/>
      </c>
      <c r="J1219">
        <f>IF(F1219="","",F1219&gt;=5)</f>
        <v/>
      </c>
      <c r="K1219">
        <f>IF(H1219="","",H1219&gt;=75)</f>
        <v/>
      </c>
      <c r="L1219">
        <f>IF(OR(I1219="",J1219="",K1219=""),FALSE,AND(I1219,J1219,K1219))</f>
        <v/>
      </c>
    </row>
    <row r="1220">
      <c r="A1220">
        <f>Universe!A1220</f>
        <v/>
      </c>
      <c r="B1220" s="10" t="n"/>
      <c r="C1220" s="11">
        <f>IF(B1220="","",PERCENTRANK.INC($B$2:$B$2501,B1220)*100)</f>
        <v/>
      </c>
      <c r="D1220" s="10" t="n"/>
      <c r="E1220" s="10">
        <f>IF(D1220="","",MIN(D1220,100))</f>
        <v/>
      </c>
      <c r="F1220" s="10" t="n"/>
      <c r="G1220" s="10">
        <f>IF(F1220="","",MIN(F1220,100))</f>
        <v/>
      </c>
      <c r="H1220" s="11">
        <f>IF(A1220="","",Universe!E1220/BDP(A1220&amp;" US Equity","HIGH_52WEEK")*100)</f>
        <v/>
      </c>
      <c r="I1220">
        <f>IF(D1220="","",D1220&gt;=5)</f>
        <v/>
      </c>
      <c r="J1220">
        <f>IF(F1220="","",F1220&gt;=5)</f>
        <v/>
      </c>
      <c r="K1220">
        <f>IF(H1220="","",H1220&gt;=75)</f>
        <v/>
      </c>
      <c r="L1220">
        <f>IF(OR(I1220="",J1220="",K1220=""),FALSE,AND(I1220,J1220,K1220))</f>
        <v/>
      </c>
    </row>
    <row r="1221">
      <c r="A1221">
        <f>Universe!A1221</f>
        <v/>
      </c>
      <c r="B1221" s="10" t="n"/>
      <c r="C1221" s="11">
        <f>IF(B1221="","",PERCENTRANK.INC($B$2:$B$2501,B1221)*100)</f>
        <v/>
      </c>
      <c r="D1221" s="10" t="n"/>
      <c r="E1221" s="10">
        <f>IF(D1221="","",MIN(D1221,100))</f>
        <v/>
      </c>
      <c r="F1221" s="10" t="n"/>
      <c r="G1221" s="10">
        <f>IF(F1221="","",MIN(F1221,100))</f>
        <v/>
      </c>
      <c r="H1221" s="11">
        <f>IF(A1221="","",Universe!E1221/BDP(A1221&amp;" US Equity","HIGH_52WEEK")*100)</f>
        <v/>
      </c>
      <c r="I1221">
        <f>IF(D1221="","",D1221&gt;=5)</f>
        <v/>
      </c>
      <c r="J1221">
        <f>IF(F1221="","",F1221&gt;=5)</f>
        <v/>
      </c>
      <c r="K1221">
        <f>IF(H1221="","",H1221&gt;=75)</f>
        <v/>
      </c>
      <c r="L1221">
        <f>IF(OR(I1221="",J1221="",K1221=""),FALSE,AND(I1221,J1221,K1221))</f>
        <v/>
      </c>
    </row>
    <row r="1222">
      <c r="A1222">
        <f>Universe!A1222</f>
        <v/>
      </c>
      <c r="B1222" s="10" t="n"/>
      <c r="C1222" s="11">
        <f>IF(B1222="","",PERCENTRANK.INC($B$2:$B$2501,B1222)*100)</f>
        <v/>
      </c>
      <c r="D1222" s="10" t="n"/>
      <c r="E1222" s="10">
        <f>IF(D1222="","",MIN(D1222,100))</f>
        <v/>
      </c>
      <c r="F1222" s="10" t="n"/>
      <c r="G1222" s="10">
        <f>IF(F1222="","",MIN(F1222,100))</f>
        <v/>
      </c>
      <c r="H1222" s="11">
        <f>IF(A1222="","",Universe!E1222/BDP(A1222&amp;" US Equity","HIGH_52WEEK")*100)</f>
        <v/>
      </c>
      <c r="I1222">
        <f>IF(D1222="","",D1222&gt;=5)</f>
        <v/>
      </c>
      <c r="J1222">
        <f>IF(F1222="","",F1222&gt;=5)</f>
        <v/>
      </c>
      <c r="K1222">
        <f>IF(H1222="","",H1222&gt;=75)</f>
        <v/>
      </c>
      <c r="L1222">
        <f>IF(OR(I1222="",J1222="",K1222=""),FALSE,AND(I1222,J1222,K1222))</f>
        <v/>
      </c>
    </row>
    <row r="1223">
      <c r="A1223">
        <f>Universe!A1223</f>
        <v/>
      </c>
      <c r="B1223" s="10" t="n"/>
      <c r="C1223" s="11">
        <f>IF(B1223="","",PERCENTRANK.INC($B$2:$B$2501,B1223)*100)</f>
        <v/>
      </c>
      <c r="D1223" s="10" t="n"/>
      <c r="E1223" s="10">
        <f>IF(D1223="","",MIN(D1223,100))</f>
        <v/>
      </c>
      <c r="F1223" s="10" t="n"/>
      <c r="G1223" s="10">
        <f>IF(F1223="","",MIN(F1223,100))</f>
        <v/>
      </c>
      <c r="H1223" s="11">
        <f>IF(A1223="","",Universe!E1223/BDP(A1223&amp;" US Equity","HIGH_52WEEK")*100)</f>
        <v/>
      </c>
      <c r="I1223">
        <f>IF(D1223="","",D1223&gt;=5)</f>
        <v/>
      </c>
      <c r="J1223">
        <f>IF(F1223="","",F1223&gt;=5)</f>
        <v/>
      </c>
      <c r="K1223">
        <f>IF(H1223="","",H1223&gt;=75)</f>
        <v/>
      </c>
      <c r="L1223">
        <f>IF(OR(I1223="",J1223="",K1223=""),FALSE,AND(I1223,J1223,K1223))</f>
        <v/>
      </c>
    </row>
    <row r="1224">
      <c r="A1224">
        <f>Universe!A1224</f>
        <v/>
      </c>
      <c r="B1224" s="10" t="n"/>
      <c r="C1224" s="11">
        <f>IF(B1224="","",PERCENTRANK.INC($B$2:$B$2501,B1224)*100)</f>
        <v/>
      </c>
      <c r="D1224" s="10" t="n"/>
      <c r="E1224" s="10">
        <f>IF(D1224="","",MIN(D1224,100))</f>
        <v/>
      </c>
      <c r="F1224" s="10" t="n"/>
      <c r="G1224" s="10">
        <f>IF(F1224="","",MIN(F1224,100))</f>
        <v/>
      </c>
      <c r="H1224" s="11">
        <f>IF(A1224="","",Universe!E1224/BDP(A1224&amp;" US Equity","HIGH_52WEEK")*100)</f>
        <v/>
      </c>
      <c r="I1224">
        <f>IF(D1224="","",D1224&gt;=5)</f>
        <v/>
      </c>
      <c r="J1224">
        <f>IF(F1224="","",F1224&gt;=5)</f>
        <v/>
      </c>
      <c r="K1224">
        <f>IF(H1224="","",H1224&gt;=75)</f>
        <v/>
      </c>
      <c r="L1224">
        <f>IF(OR(I1224="",J1224="",K1224=""),FALSE,AND(I1224,J1224,K1224))</f>
        <v/>
      </c>
    </row>
    <row r="1225">
      <c r="A1225">
        <f>Universe!A1225</f>
        <v/>
      </c>
      <c r="B1225" s="10" t="n"/>
      <c r="C1225" s="11">
        <f>IF(B1225="","",PERCENTRANK.INC($B$2:$B$2501,B1225)*100)</f>
        <v/>
      </c>
      <c r="D1225" s="10" t="n"/>
      <c r="E1225" s="10">
        <f>IF(D1225="","",MIN(D1225,100))</f>
        <v/>
      </c>
      <c r="F1225" s="10" t="n"/>
      <c r="G1225" s="10">
        <f>IF(F1225="","",MIN(F1225,100))</f>
        <v/>
      </c>
      <c r="H1225" s="11">
        <f>IF(A1225="","",Universe!E1225/BDP(A1225&amp;" US Equity","HIGH_52WEEK")*100)</f>
        <v/>
      </c>
      <c r="I1225">
        <f>IF(D1225="","",D1225&gt;=5)</f>
        <v/>
      </c>
      <c r="J1225">
        <f>IF(F1225="","",F1225&gt;=5)</f>
        <v/>
      </c>
      <c r="K1225">
        <f>IF(H1225="","",H1225&gt;=75)</f>
        <v/>
      </c>
      <c r="L1225">
        <f>IF(OR(I1225="",J1225="",K1225=""),FALSE,AND(I1225,J1225,K1225))</f>
        <v/>
      </c>
    </row>
    <row r="1226">
      <c r="A1226">
        <f>Universe!A1226</f>
        <v/>
      </c>
      <c r="B1226" s="10" t="n"/>
      <c r="C1226" s="11">
        <f>IF(B1226="","",PERCENTRANK.INC($B$2:$B$2501,B1226)*100)</f>
        <v/>
      </c>
      <c r="D1226" s="10" t="n"/>
      <c r="E1226" s="10">
        <f>IF(D1226="","",MIN(D1226,100))</f>
        <v/>
      </c>
      <c r="F1226" s="10" t="n"/>
      <c r="G1226" s="10">
        <f>IF(F1226="","",MIN(F1226,100))</f>
        <v/>
      </c>
      <c r="H1226" s="11">
        <f>IF(A1226="","",Universe!E1226/BDP(A1226&amp;" US Equity","HIGH_52WEEK")*100)</f>
        <v/>
      </c>
      <c r="I1226">
        <f>IF(D1226="","",D1226&gt;=5)</f>
        <v/>
      </c>
      <c r="J1226">
        <f>IF(F1226="","",F1226&gt;=5)</f>
        <v/>
      </c>
      <c r="K1226">
        <f>IF(H1226="","",H1226&gt;=75)</f>
        <v/>
      </c>
      <c r="L1226">
        <f>IF(OR(I1226="",J1226="",K1226=""),FALSE,AND(I1226,J1226,K1226))</f>
        <v/>
      </c>
    </row>
    <row r="1227">
      <c r="A1227">
        <f>Universe!A1227</f>
        <v/>
      </c>
      <c r="B1227" s="10" t="n"/>
      <c r="C1227" s="11">
        <f>IF(B1227="","",PERCENTRANK.INC($B$2:$B$2501,B1227)*100)</f>
        <v/>
      </c>
      <c r="D1227" s="10" t="n"/>
      <c r="E1227" s="10">
        <f>IF(D1227="","",MIN(D1227,100))</f>
        <v/>
      </c>
      <c r="F1227" s="10" t="n"/>
      <c r="G1227" s="10">
        <f>IF(F1227="","",MIN(F1227,100))</f>
        <v/>
      </c>
      <c r="H1227" s="11">
        <f>IF(A1227="","",Universe!E1227/BDP(A1227&amp;" US Equity","HIGH_52WEEK")*100)</f>
        <v/>
      </c>
      <c r="I1227">
        <f>IF(D1227="","",D1227&gt;=5)</f>
        <v/>
      </c>
      <c r="J1227">
        <f>IF(F1227="","",F1227&gt;=5)</f>
        <v/>
      </c>
      <c r="K1227">
        <f>IF(H1227="","",H1227&gt;=75)</f>
        <v/>
      </c>
      <c r="L1227">
        <f>IF(OR(I1227="",J1227="",K1227=""),FALSE,AND(I1227,J1227,K1227))</f>
        <v/>
      </c>
    </row>
    <row r="1228">
      <c r="A1228">
        <f>Universe!A1228</f>
        <v/>
      </c>
      <c r="B1228" s="10" t="n"/>
      <c r="C1228" s="11">
        <f>IF(B1228="","",PERCENTRANK.INC($B$2:$B$2501,B1228)*100)</f>
        <v/>
      </c>
      <c r="D1228" s="10" t="n"/>
      <c r="E1228" s="10">
        <f>IF(D1228="","",MIN(D1228,100))</f>
        <v/>
      </c>
      <c r="F1228" s="10" t="n"/>
      <c r="G1228" s="10">
        <f>IF(F1228="","",MIN(F1228,100))</f>
        <v/>
      </c>
      <c r="H1228" s="11">
        <f>IF(A1228="","",Universe!E1228/BDP(A1228&amp;" US Equity","HIGH_52WEEK")*100)</f>
        <v/>
      </c>
      <c r="I1228">
        <f>IF(D1228="","",D1228&gt;=5)</f>
        <v/>
      </c>
      <c r="J1228">
        <f>IF(F1228="","",F1228&gt;=5)</f>
        <v/>
      </c>
      <c r="K1228">
        <f>IF(H1228="","",H1228&gt;=75)</f>
        <v/>
      </c>
      <c r="L1228">
        <f>IF(OR(I1228="",J1228="",K1228=""),FALSE,AND(I1228,J1228,K1228))</f>
        <v/>
      </c>
    </row>
    <row r="1229">
      <c r="A1229">
        <f>Universe!A1229</f>
        <v/>
      </c>
      <c r="B1229" s="10" t="n"/>
      <c r="C1229" s="11">
        <f>IF(B1229="","",PERCENTRANK.INC($B$2:$B$2501,B1229)*100)</f>
        <v/>
      </c>
      <c r="D1229" s="10" t="n"/>
      <c r="E1229" s="10">
        <f>IF(D1229="","",MIN(D1229,100))</f>
        <v/>
      </c>
      <c r="F1229" s="10" t="n"/>
      <c r="G1229" s="10">
        <f>IF(F1229="","",MIN(F1229,100))</f>
        <v/>
      </c>
      <c r="H1229" s="11">
        <f>IF(A1229="","",Universe!E1229/BDP(A1229&amp;" US Equity","HIGH_52WEEK")*100)</f>
        <v/>
      </c>
      <c r="I1229">
        <f>IF(D1229="","",D1229&gt;=5)</f>
        <v/>
      </c>
      <c r="J1229">
        <f>IF(F1229="","",F1229&gt;=5)</f>
        <v/>
      </c>
      <c r="K1229">
        <f>IF(H1229="","",H1229&gt;=75)</f>
        <v/>
      </c>
      <c r="L1229">
        <f>IF(OR(I1229="",J1229="",K1229=""),FALSE,AND(I1229,J1229,K1229))</f>
        <v/>
      </c>
    </row>
    <row r="1230">
      <c r="A1230">
        <f>Universe!A1230</f>
        <v/>
      </c>
      <c r="B1230" s="10" t="n"/>
      <c r="C1230" s="11">
        <f>IF(B1230="","",PERCENTRANK.INC($B$2:$B$2501,B1230)*100)</f>
        <v/>
      </c>
      <c r="D1230" s="10" t="n"/>
      <c r="E1230" s="10">
        <f>IF(D1230="","",MIN(D1230,100))</f>
        <v/>
      </c>
      <c r="F1230" s="10" t="n"/>
      <c r="G1230" s="10">
        <f>IF(F1230="","",MIN(F1230,100))</f>
        <v/>
      </c>
      <c r="H1230" s="11">
        <f>IF(A1230="","",Universe!E1230/BDP(A1230&amp;" US Equity","HIGH_52WEEK")*100)</f>
        <v/>
      </c>
      <c r="I1230">
        <f>IF(D1230="","",D1230&gt;=5)</f>
        <v/>
      </c>
      <c r="J1230">
        <f>IF(F1230="","",F1230&gt;=5)</f>
        <v/>
      </c>
      <c r="K1230">
        <f>IF(H1230="","",H1230&gt;=75)</f>
        <v/>
      </c>
      <c r="L1230">
        <f>IF(OR(I1230="",J1230="",K1230=""),FALSE,AND(I1230,J1230,K1230))</f>
        <v/>
      </c>
    </row>
    <row r="1231">
      <c r="A1231">
        <f>Universe!A1231</f>
        <v/>
      </c>
      <c r="B1231" s="10" t="n"/>
      <c r="C1231" s="11">
        <f>IF(B1231="","",PERCENTRANK.INC($B$2:$B$2501,B1231)*100)</f>
        <v/>
      </c>
      <c r="D1231" s="10" t="n"/>
      <c r="E1231" s="10">
        <f>IF(D1231="","",MIN(D1231,100))</f>
        <v/>
      </c>
      <c r="F1231" s="10" t="n"/>
      <c r="G1231" s="10">
        <f>IF(F1231="","",MIN(F1231,100))</f>
        <v/>
      </c>
      <c r="H1231" s="11">
        <f>IF(A1231="","",Universe!E1231/BDP(A1231&amp;" US Equity","HIGH_52WEEK")*100)</f>
        <v/>
      </c>
      <c r="I1231">
        <f>IF(D1231="","",D1231&gt;=5)</f>
        <v/>
      </c>
      <c r="J1231">
        <f>IF(F1231="","",F1231&gt;=5)</f>
        <v/>
      </c>
      <c r="K1231">
        <f>IF(H1231="","",H1231&gt;=75)</f>
        <v/>
      </c>
      <c r="L1231">
        <f>IF(OR(I1231="",J1231="",K1231=""),FALSE,AND(I1231,J1231,K1231))</f>
        <v/>
      </c>
    </row>
    <row r="1232">
      <c r="A1232">
        <f>Universe!A1232</f>
        <v/>
      </c>
      <c r="B1232" s="10" t="n"/>
      <c r="C1232" s="11">
        <f>IF(B1232="","",PERCENTRANK.INC($B$2:$B$2501,B1232)*100)</f>
        <v/>
      </c>
      <c r="D1232" s="10" t="n"/>
      <c r="E1232" s="10">
        <f>IF(D1232="","",MIN(D1232,100))</f>
        <v/>
      </c>
      <c r="F1232" s="10" t="n"/>
      <c r="G1232" s="10">
        <f>IF(F1232="","",MIN(F1232,100))</f>
        <v/>
      </c>
      <c r="H1232" s="11">
        <f>IF(A1232="","",Universe!E1232/BDP(A1232&amp;" US Equity","HIGH_52WEEK")*100)</f>
        <v/>
      </c>
      <c r="I1232">
        <f>IF(D1232="","",D1232&gt;=5)</f>
        <v/>
      </c>
      <c r="J1232">
        <f>IF(F1232="","",F1232&gt;=5)</f>
        <v/>
      </c>
      <c r="K1232">
        <f>IF(H1232="","",H1232&gt;=75)</f>
        <v/>
      </c>
      <c r="L1232">
        <f>IF(OR(I1232="",J1232="",K1232=""),FALSE,AND(I1232,J1232,K1232))</f>
        <v/>
      </c>
    </row>
    <row r="1233">
      <c r="A1233">
        <f>Universe!A1233</f>
        <v/>
      </c>
      <c r="B1233" s="10" t="n"/>
      <c r="C1233" s="11">
        <f>IF(B1233="","",PERCENTRANK.INC($B$2:$B$2501,B1233)*100)</f>
        <v/>
      </c>
      <c r="D1233" s="10" t="n"/>
      <c r="E1233" s="10">
        <f>IF(D1233="","",MIN(D1233,100))</f>
        <v/>
      </c>
      <c r="F1233" s="10" t="n"/>
      <c r="G1233" s="10">
        <f>IF(F1233="","",MIN(F1233,100))</f>
        <v/>
      </c>
      <c r="H1233" s="11">
        <f>IF(A1233="","",Universe!E1233/BDP(A1233&amp;" US Equity","HIGH_52WEEK")*100)</f>
        <v/>
      </c>
      <c r="I1233">
        <f>IF(D1233="","",D1233&gt;=5)</f>
        <v/>
      </c>
      <c r="J1233">
        <f>IF(F1233="","",F1233&gt;=5)</f>
        <v/>
      </c>
      <c r="K1233">
        <f>IF(H1233="","",H1233&gt;=75)</f>
        <v/>
      </c>
      <c r="L1233">
        <f>IF(OR(I1233="",J1233="",K1233=""),FALSE,AND(I1233,J1233,K1233))</f>
        <v/>
      </c>
    </row>
    <row r="1234">
      <c r="A1234">
        <f>Universe!A1234</f>
        <v/>
      </c>
      <c r="B1234" s="10" t="n"/>
      <c r="C1234" s="11">
        <f>IF(B1234="","",PERCENTRANK.INC($B$2:$B$2501,B1234)*100)</f>
        <v/>
      </c>
      <c r="D1234" s="10" t="n"/>
      <c r="E1234" s="10">
        <f>IF(D1234="","",MIN(D1234,100))</f>
        <v/>
      </c>
      <c r="F1234" s="10" t="n"/>
      <c r="G1234" s="10">
        <f>IF(F1234="","",MIN(F1234,100))</f>
        <v/>
      </c>
      <c r="H1234" s="11">
        <f>IF(A1234="","",Universe!E1234/BDP(A1234&amp;" US Equity","HIGH_52WEEK")*100)</f>
        <v/>
      </c>
      <c r="I1234">
        <f>IF(D1234="","",D1234&gt;=5)</f>
        <v/>
      </c>
      <c r="J1234">
        <f>IF(F1234="","",F1234&gt;=5)</f>
        <v/>
      </c>
      <c r="K1234">
        <f>IF(H1234="","",H1234&gt;=75)</f>
        <v/>
      </c>
      <c r="L1234">
        <f>IF(OR(I1234="",J1234="",K1234=""),FALSE,AND(I1234,J1234,K1234))</f>
        <v/>
      </c>
    </row>
    <row r="1235">
      <c r="A1235">
        <f>Universe!A1235</f>
        <v/>
      </c>
      <c r="B1235" s="10" t="n"/>
      <c r="C1235" s="11">
        <f>IF(B1235="","",PERCENTRANK.INC($B$2:$B$2501,B1235)*100)</f>
        <v/>
      </c>
      <c r="D1235" s="10" t="n"/>
      <c r="E1235" s="10">
        <f>IF(D1235="","",MIN(D1235,100))</f>
        <v/>
      </c>
      <c r="F1235" s="10" t="n"/>
      <c r="G1235" s="10">
        <f>IF(F1235="","",MIN(F1235,100))</f>
        <v/>
      </c>
      <c r="H1235" s="11">
        <f>IF(A1235="","",Universe!E1235/BDP(A1235&amp;" US Equity","HIGH_52WEEK")*100)</f>
        <v/>
      </c>
      <c r="I1235">
        <f>IF(D1235="","",D1235&gt;=5)</f>
        <v/>
      </c>
      <c r="J1235">
        <f>IF(F1235="","",F1235&gt;=5)</f>
        <v/>
      </c>
      <c r="K1235">
        <f>IF(H1235="","",H1235&gt;=75)</f>
        <v/>
      </c>
      <c r="L1235">
        <f>IF(OR(I1235="",J1235="",K1235=""),FALSE,AND(I1235,J1235,K1235))</f>
        <v/>
      </c>
    </row>
    <row r="1236">
      <c r="A1236">
        <f>Universe!A1236</f>
        <v/>
      </c>
      <c r="B1236" s="10" t="n"/>
      <c r="C1236" s="11">
        <f>IF(B1236="","",PERCENTRANK.INC($B$2:$B$2501,B1236)*100)</f>
        <v/>
      </c>
      <c r="D1236" s="10" t="n"/>
      <c r="E1236" s="10">
        <f>IF(D1236="","",MIN(D1236,100))</f>
        <v/>
      </c>
      <c r="F1236" s="10" t="n"/>
      <c r="G1236" s="10">
        <f>IF(F1236="","",MIN(F1236,100))</f>
        <v/>
      </c>
      <c r="H1236" s="11">
        <f>IF(A1236="","",Universe!E1236/BDP(A1236&amp;" US Equity","HIGH_52WEEK")*100)</f>
        <v/>
      </c>
      <c r="I1236">
        <f>IF(D1236="","",D1236&gt;=5)</f>
        <v/>
      </c>
      <c r="J1236">
        <f>IF(F1236="","",F1236&gt;=5)</f>
        <v/>
      </c>
      <c r="K1236">
        <f>IF(H1236="","",H1236&gt;=75)</f>
        <v/>
      </c>
      <c r="L1236">
        <f>IF(OR(I1236="",J1236="",K1236=""),FALSE,AND(I1236,J1236,K1236))</f>
        <v/>
      </c>
    </row>
    <row r="1237">
      <c r="A1237">
        <f>Universe!A1237</f>
        <v/>
      </c>
      <c r="B1237" s="10" t="n"/>
      <c r="C1237" s="11">
        <f>IF(B1237="","",PERCENTRANK.INC($B$2:$B$2501,B1237)*100)</f>
        <v/>
      </c>
      <c r="D1237" s="10" t="n"/>
      <c r="E1237" s="10">
        <f>IF(D1237="","",MIN(D1237,100))</f>
        <v/>
      </c>
      <c r="F1237" s="10" t="n"/>
      <c r="G1237" s="10">
        <f>IF(F1237="","",MIN(F1237,100))</f>
        <v/>
      </c>
      <c r="H1237" s="11">
        <f>IF(A1237="","",Universe!E1237/BDP(A1237&amp;" US Equity","HIGH_52WEEK")*100)</f>
        <v/>
      </c>
      <c r="I1237">
        <f>IF(D1237="","",D1237&gt;=5)</f>
        <v/>
      </c>
      <c r="J1237">
        <f>IF(F1237="","",F1237&gt;=5)</f>
        <v/>
      </c>
      <c r="K1237">
        <f>IF(H1237="","",H1237&gt;=75)</f>
        <v/>
      </c>
      <c r="L1237">
        <f>IF(OR(I1237="",J1237="",K1237=""),FALSE,AND(I1237,J1237,K1237))</f>
        <v/>
      </c>
    </row>
    <row r="1238">
      <c r="A1238">
        <f>Universe!A1238</f>
        <v/>
      </c>
      <c r="B1238" s="10" t="n"/>
      <c r="C1238" s="11">
        <f>IF(B1238="","",PERCENTRANK.INC($B$2:$B$2501,B1238)*100)</f>
        <v/>
      </c>
      <c r="D1238" s="10" t="n"/>
      <c r="E1238" s="10">
        <f>IF(D1238="","",MIN(D1238,100))</f>
        <v/>
      </c>
      <c r="F1238" s="10" t="n"/>
      <c r="G1238" s="10">
        <f>IF(F1238="","",MIN(F1238,100))</f>
        <v/>
      </c>
      <c r="H1238" s="11">
        <f>IF(A1238="","",Universe!E1238/BDP(A1238&amp;" US Equity","HIGH_52WEEK")*100)</f>
        <v/>
      </c>
      <c r="I1238">
        <f>IF(D1238="","",D1238&gt;=5)</f>
        <v/>
      </c>
      <c r="J1238">
        <f>IF(F1238="","",F1238&gt;=5)</f>
        <v/>
      </c>
      <c r="K1238">
        <f>IF(H1238="","",H1238&gt;=75)</f>
        <v/>
      </c>
      <c r="L1238">
        <f>IF(OR(I1238="",J1238="",K1238=""),FALSE,AND(I1238,J1238,K1238))</f>
        <v/>
      </c>
    </row>
    <row r="1239">
      <c r="A1239">
        <f>Universe!A1239</f>
        <v/>
      </c>
      <c r="B1239" s="10" t="n"/>
      <c r="C1239" s="11">
        <f>IF(B1239="","",PERCENTRANK.INC($B$2:$B$2501,B1239)*100)</f>
        <v/>
      </c>
      <c r="D1239" s="10" t="n"/>
      <c r="E1239" s="10">
        <f>IF(D1239="","",MIN(D1239,100))</f>
        <v/>
      </c>
      <c r="F1239" s="10" t="n"/>
      <c r="G1239" s="10">
        <f>IF(F1239="","",MIN(F1239,100))</f>
        <v/>
      </c>
      <c r="H1239" s="11">
        <f>IF(A1239="","",Universe!E1239/BDP(A1239&amp;" US Equity","HIGH_52WEEK")*100)</f>
        <v/>
      </c>
      <c r="I1239">
        <f>IF(D1239="","",D1239&gt;=5)</f>
        <v/>
      </c>
      <c r="J1239">
        <f>IF(F1239="","",F1239&gt;=5)</f>
        <v/>
      </c>
      <c r="K1239">
        <f>IF(H1239="","",H1239&gt;=75)</f>
        <v/>
      </c>
      <c r="L1239">
        <f>IF(OR(I1239="",J1239="",K1239=""),FALSE,AND(I1239,J1239,K1239))</f>
        <v/>
      </c>
    </row>
    <row r="1240">
      <c r="A1240">
        <f>Universe!A1240</f>
        <v/>
      </c>
      <c r="B1240" s="10" t="n"/>
      <c r="C1240" s="11">
        <f>IF(B1240="","",PERCENTRANK.INC($B$2:$B$2501,B1240)*100)</f>
        <v/>
      </c>
      <c r="D1240" s="10" t="n"/>
      <c r="E1240" s="10">
        <f>IF(D1240="","",MIN(D1240,100))</f>
        <v/>
      </c>
      <c r="F1240" s="10" t="n"/>
      <c r="G1240" s="10">
        <f>IF(F1240="","",MIN(F1240,100))</f>
        <v/>
      </c>
      <c r="H1240" s="11">
        <f>IF(A1240="","",Universe!E1240/BDP(A1240&amp;" US Equity","HIGH_52WEEK")*100)</f>
        <v/>
      </c>
      <c r="I1240">
        <f>IF(D1240="","",D1240&gt;=5)</f>
        <v/>
      </c>
      <c r="J1240">
        <f>IF(F1240="","",F1240&gt;=5)</f>
        <v/>
      </c>
      <c r="K1240">
        <f>IF(H1240="","",H1240&gt;=75)</f>
        <v/>
      </c>
      <c r="L1240">
        <f>IF(OR(I1240="",J1240="",K1240=""),FALSE,AND(I1240,J1240,K1240))</f>
        <v/>
      </c>
    </row>
    <row r="1241">
      <c r="A1241">
        <f>Universe!A1241</f>
        <v/>
      </c>
      <c r="B1241" s="10" t="n"/>
      <c r="C1241" s="11">
        <f>IF(B1241="","",PERCENTRANK.INC($B$2:$B$2501,B1241)*100)</f>
        <v/>
      </c>
      <c r="D1241" s="10" t="n"/>
      <c r="E1241" s="10">
        <f>IF(D1241="","",MIN(D1241,100))</f>
        <v/>
      </c>
      <c r="F1241" s="10" t="n"/>
      <c r="G1241" s="10">
        <f>IF(F1241="","",MIN(F1241,100))</f>
        <v/>
      </c>
      <c r="H1241" s="11">
        <f>IF(A1241="","",Universe!E1241/BDP(A1241&amp;" US Equity","HIGH_52WEEK")*100)</f>
        <v/>
      </c>
      <c r="I1241">
        <f>IF(D1241="","",D1241&gt;=5)</f>
        <v/>
      </c>
      <c r="J1241">
        <f>IF(F1241="","",F1241&gt;=5)</f>
        <v/>
      </c>
      <c r="K1241">
        <f>IF(H1241="","",H1241&gt;=75)</f>
        <v/>
      </c>
      <c r="L1241">
        <f>IF(OR(I1241="",J1241="",K1241=""),FALSE,AND(I1241,J1241,K1241))</f>
        <v/>
      </c>
    </row>
    <row r="1242">
      <c r="A1242">
        <f>Universe!A1242</f>
        <v/>
      </c>
      <c r="B1242" s="10" t="n"/>
      <c r="C1242" s="11">
        <f>IF(B1242="","",PERCENTRANK.INC($B$2:$B$2501,B1242)*100)</f>
        <v/>
      </c>
      <c r="D1242" s="10" t="n"/>
      <c r="E1242" s="10">
        <f>IF(D1242="","",MIN(D1242,100))</f>
        <v/>
      </c>
      <c r="F1242" s="10" t="n"/>
      <c r="G1242" s="10">
        <f>IF(F1242="","",MIN(F1242,100))</f>
        <v/>
      </c>
      <c r="H1242" s="11">
        <f>IF(A1242="","",Universe!E1242/BDP(A1242&amp;" US Equity","HIGH_52WEEK")*100)</f>
        <v/>
      </c>
      <c r="I1242">
        <f>IF(D1242="","",D1242&gt;=5)</f>
        <v/>
      </c>
      <c r="J1242">
        <f>IF(F1242="","",F1242&gt;=5)</f>
        <v/>
      </c>
      <c r="K1242">
        <f>IF(H1242="","",H1242&gt;=75)</f>
        <v/>
      </c>
      <c r="L1242">
        <f>IF(OR(I1242="",J1242="",K1242=""),FALSE,AND(I1242,J1242,K1242))</f>
        <v/>
      </c>
    </row>
    <row r="1243">
      <c r="A1243">
        <f>Universe!A1243</f>
        <v/>
      </c>
      <c r="B1243" s="10" t="n"/>
      <c r="C1243" s="11">
        <f>IF(B1243="","",PERCENTRANK.INC($B$2:$B$2501,B1243)*100)</f>
        <v/>
      </c>
      <c r="D1243" s="10" t="n"/>
      <c r="E1243" s="10">
        <f>IF(D1243="","",MIN(D1243,100))</f>
        <v/>
      </c>
      <c r="F1243" s="10" t="n"/>
      <c r="G1243" s="10">
        <f>IF(F1243="","",MIN(F1243,100))</f>
        <v/>
      </c>
      <c r="H1243" s="11">
        <f>IF(A1243="","",Universe!E1243/BDP(A1243&amp;" US Equity","HIGH_52WEEK")*100)</f>
        <v/>
      </c>
      <c r="I1243">
        <f>IF(D1243="","",D1243&gt;=5)</f>
        <v/>
      </c>
      <c r="J1243">
        <f>IF(F1243="","",F1243&gt;=5)</f>
        <v/>
      </c>
      <c r="K1243">
        <f>IF(H1243="","",H1243&gt;=75)</f>
        <v/>
      </c>
      <c r="L1243">
        <f>IF(OR(I1243="",J1243="",K1243=""),FALSE,AND(I1243,J1243,K1243))</f>
        <v/>
      </c>
    </row>
    <row r="1244">
      <c r="A1244">
        <f>Universe!A1244</f>
        <v/>
      </c>
      <c r="B1244" s="10" t="n"/>
      <c r="C1244" s="11">
        <f>IF(B1244="","",PERCENTRANK.INC($B$2:$B$2501,B1244)*100)</f>
        <v/>
      </c>
      <c r="D1244" s="10" t="n"/>
      <c r="E1244" s="10">
        <f>IF(D1244="","",MIN(D1244,100))</f>
        <v/>
      </c>
      <c r="F1244" s="10" t="n"/>
      <c r="G1244" s="10">
        <f>IF(F1244="","",MIN(F1244,100))</f>
        <v/>
      </c>
      <c r="H1244" s="11">
        <f>IF(A1244="","",Universe!E1244/BDP(A1244&amp;" US Equity","HIGH_52WEEK")*100)</f>
        <v/>
      </c>
      <c r="I1244">
        <f>IF(D1244="","",D1244&gt;=5)</f>
        <v/>
      </c>
      <c r="J1244">
        <f>IF(F1244="","",F1244&gt;=5)</f>
        <v/>
      </c>
      <c r="K1244">
        <f>IF(H1244="","",H1244&gt;=75)</f>
        <v/>
      </c>
      <c r="L1244">
        <f>IF(OR(I1244="",J1244="",K1244=""),FALSE,AND(I1244,J1244,K1244))</f>
        <v/>
      </c>
    </row>
    <row r="1245">
      <c r="A1245">
        <f>Universe!A1245</f>
        <v/>
      </c>
      <c r="B1245" s="10" t="n"/>
      <c r="C1245" s="11">
        <f>IF(B1245="","",PERCENTRANK.INC($B$2:$B$2501,B1245)*100)</f>
        <v/>
      </c>
      <c r="D1245" s="10" t="n"/>
      <c r="E1245" s="10">
        <f>IF(D1245="","",MIN(D1245,100))</f>
        <v/>
      </c>
      <c r="F1245" s="10" t="n"/>
      <c r="G1245" s="10">
        <f>IF(F1245="","",MIN(F1245,100))</f>
        <v/>
      </c>
      <c r="H1245" s="11">
        <f>IF(A1245="","",Universe!E1245/BDP(A1245&amp;" US Equity","HIGH_52WEEK")*100)</f>
        <v/>
      </c>
      <c r="I1245">
        <f>IF(D1245="","",D1245&gt;=5)</f>
        <v/>
      </c>
      <c r="J1245">
        <f>IF(F1245="","",F1245&gt;=5)</f>
        <v/>
      </c>
      <c r="K1245">
        <f>IF(H1245="","",H1245&gt;=75)</f>
        <v/>
      </c>
      <c r="L1245">
        <f>IF(OR(I1245="",J1245="",K1245=""),FALSE,AND(I1245,J1245,K1245))</f>
        <v/>
      </c>
    </row>
    <row r="1246">
      <c r="A1246">
        <f>Universe!A1246</f>
        <v/>
      </c>
      <c r="B1246" s="10" t="n"/>
      <c r="C1246" s="11">
        <f>IF(B1246="","",PERCENTRANK.INC($B$2:$B$2501,B1246)*100)</f>
        <v/>
      </c>
      <c r="D1246" s="10" t="n"/>
      <c r="E1246" s="10">
        <f>IF(D1246="","",MIN(D1246,100))</f>
        <v/>
      </c>
      <c r="F1246" s="10" t="n"/>
      <c r="G1246" s="10">
        <f>IF(F1246="","",MIN(F1246,100))</f>
        <v/>
      </c>
      <c r="H1246" s="11">
        <f>IF(A1246="","",Universe!E1246/BDP(A1246&amp;" US Equity","HIGH_52WEEK")*100)</f>
        <v/>
      </c>
      <c r="I1246">
        <f>IF(D1246="","",D1246&gt;=5)</f>
        <v/>
      </c>
      <c r="J1246">
        <f>IF(F1246="","",F1246&gt;=5)</f>
        <v/>
      </c>
      <c r="K1246">
        <f>IF(H1246="","",H1246&gt;=75)</f>
        <v/>
      </c>
      <c r="L1246">
        <f>IF(OR(I1246="",J1246="",K1246=""),FALSE,AND(I1246,J1246,K1246))</f>
        <v/>
      </c>
    </row>
    <row r="1247">
      <c r="A1247">
        <f>Universe!A1247</f>
        <v/>
      </c>
      <c r="B1247" s="10" t="n"/>
      <c r="C1247" s="11">
        <f>IF(B1247="","",PERCENTRANK.INC($B$2:$B$2501,B1247)*100)</f>
        <v/>
      </c>
      <c r="D1247" s="10" t="n"/>
      <c r="E1247" s="10">
        <f>IF(D1247="","",MIN(D1247,100))</f>
        <v/>
      </c>
      <c r="F1247" s="10" t="n"/>
      <c r="G1247" s="10">
        <f>IF(F1247="","",MIN(F1247,100))</f>
        <v/>
      </c>
      <c r="H1247" s="11">
        <f>IF(A1247="","",Universe!E1247/BDP(A1247&amp;" US Equity","HIGH_52WEEK")*100)</f>
        <v/>
      </c>
      <c r="I1247">
        <f>IF(D1247="","",D1247&gt;=5)</f>
        <v/>
      </c>
      <c r="J1247">
        <f>IF(F1247="","",F1247&gt;=5)</f>
        <v/>
      </c>
      <c r="K1247">
        <f>IF(H1247="","",H1247&gt;=75)</f>
        <v/>
      </c>
      <c r="L1247">
        <f>IF(OR(I1247="",J1247="",K1247=""),FALSE,AND(I1247,J1247,K1247))</f>
        <v/>
      </c>
    </row>
    <row r="1248">
      <c r="A1248">
        <f>Universe!A1248</f>
        <v/>
      </c>
      <c r="B1248" s="10" t="n"/>
      <c r="C1248" s="11">
        <f>IF(B1248="","",PERCENTRANK.INC($B$2:$B$2501,B1248)*100)</f>
        <v/>
      </c>
      <c r="D1248" s="10" t="n"/>
      <c r="E1248" s="10">
        <f>IF(D1248="","",MIN(D1248,100))</f>
        <v/>
      </c>
      <c r="F1248" s="10" t="n"/>
      <c r="G1248" s="10">
        <f>IF(F1248="","",MIN(F1248,100))</f>
        <v/>
      </c>
      <c r="H1248" s="11">
        <f>IF(A1248="","",Universe!E1248/BDP(A1248&amp;" US Equity","HIGH_52WEEK")*100)</f>
        <v/>
      </c>
      <c r="I1248">
        <f>IF(D1248="","",D1248&gt;=5)</f>
        <v/>
      </c>
      <c r="J1248">
        <f>IF(F1248="","",F1248&gt;=5)</f>
        <v/>
      </c>
      <c r="K1248">
        <f>IF(H1248="","",H1248&gt;=75)</f>
        <v/>
      </c>
      <c r="L1248">
        <f>IF(OR(I1248="",J1248="",K1248=""),FALSE,AND(I1248,J1248,K1248))</f>
        <v/>
      </c>
    </row>
    <row r="1249">
      <c r="A1249">
        <f>Universe!A1249</f>
        <v/>
      </c>
      <c r="B1249" s="10" t="n"/>
      <c r="C1249" s="11">
        <f>IF(B1249="","",PERCENTRANK.INC($B$2:$B$2501,B1249)*100)</f>
        <v/>
      </c>
      <c r="D1249" s="10" t="n"/>
      <c r="E1249" s="10">
        <f>IF(D1249="","",MIN(D1249,100))</f>
        <v/>
      </c>
      <c r="F1249" s="10" t="n"/>
      <c r="G1249" s="10">
        <f>IF(F1249="","",MIN(F1249,100))</f>
        <v/>
      </c>
      <c r="H1249" s="11">
        <f>IF(A1249="","",Universe!E1249/BDP(A1249&amp;" US Equity","HIGH_52WEEK")*100)</f>
        <v/>
      </c>
      <c r="I1249">
        <f>IF(D1249="","",D1249&gt;=5)</f>
        <v/>
      </c>
      <c r="J1249">
        <f>IF(F1249="","",F1249&gt;=5)</f>
        <v/>
      </c>
      <c r="K1249">
        <f>IF(H1249="","",H1249&gt;=75)</f>
        <v/>
      </c>
      <c r="L1249">
        <f>IF(OR(I1249="",J1249="",K1249=""),FALSE,AND(I1249,J1249,K1249))</f>
        <v/>
      </c>
    </row>
    <row r="1250">
      <c r="A1250">
        <f>Universe!A1250</f>
        <v/>
      </c>
      <c r="B1250" s="10" t="n"/>
      <c r="C1250" s="11">
        <f>IF(B1250="","",PERCENTRANK.INC($B$2:$B$2501,B1250)*100)</f>
        <v/>
      </c>
      <c r="D1250" s="10" t="n"/>
      <c r="E1250" s="10">
        <f>IF(D1250="","",MIN(D1250,100))</f>
        <v/>
      </c>
      <c r="F1250" s="10" t="n"/>
      <c r="G1250" s="10">
        <f>IF(F1250="","",MIN(F1250,100))</f>
        <v/>
      </c>
      <c r="H1250" s="11">
        <f>IF(A1250="","",Universe!E1250/BDP(A1250&amp;" US Equity","HIGH_52WEEK")*100)</f>
        <v/>
      </c>
      <c r="I1250">
        <f>IF(D1250="","",D1250&gt;=5)</f>
        <v/>
      </c>
      <c r="J1250">
        <f>IF(F1250="","",F1250&gt;=5)</f>
        <v/>
      </c>
      <c r="K1250">
        <f>IF(H1250="","",H1250&gt;=75)</f>
        <v/>
      </c>
      <c r="L1250">
        <f>IF(OR(I1250="",J1250="",K1250=""),FALSE,AND(I1250,J1250,K1250))</f>
        <v/>
      </c>
    </row>
    <row r="1251">
      <c r="A1251">
        <f>Universe!A1251</f>
        <v/>
      </c>
      <c r="B1251" s="10" t="n"/>
      <c r="C1251" s="11">
        <f>IF(B1251="","",PERCENTRANK.INC($B$2:$B$2501,B1251)*100)</f>
        <v/>
      </c>
      <c r="D1251" s="10" t="n"/>
      <c r="E1251" s="10">
        <f>IF(D1251="","",MIN(D1251,100))</f>
        <v/>
      </c>
      <c r="F1251" s="10" t="n"/>
      <c r="G1251" s="10">
        <f>IF(F1251="","",MIN(F1251,100))</f>
        <v/>
      </c>
      <c r="H1251" s="11">
        <f>IF(A1251="","",Universe!E1251/BDP(A1251&amp;" US Equity","HIGH_52WEEK")*100)</f>
        <v/>
      </c>
      <c r="I1251">
        <f>IF(D1251="","",D1251&gt;=5)</f>
        <v/>
      </c>
      <c r="J1251">
        <f>IF(F1251="","",F1251&gt;=5)</f>
        <v/>
      </c>
      <c r="K1251">
        <f>IF(H1251="","",H1251&gt;=75)</f>
        <v/>
      </c>
      <c r="L1251">
        <f>IF(OR(I1251="",J1251="",K1251=""),FALSE,AND(I1251,J1251,K1251))</f>
        <v/>
      </c>
    </row>
    <row r="1252">
      <c r="A1252">
        <f>Universe!A1252</f>
        <v/>
      </c>
      <c r="B1252" s="10" t="n"/>
      <c r="C1252" s="11">
        <f>IF(B1252="","",PERCENTRANK.INC($B$2:$B$2501,B1252)*100)</f>
        <v/>
      </c>
      <c r="D1252" s="10" t="n"/>
      <c r="E1252" s="10">
        <f>IF(D1252="","",MIN(D1252,100))</f>
        <v/>
      </c>
      <c r="F1252" s="10" t="n"/>
      <c r="G1252" s="10">
        <f>IF(F1252="","",MIN(F1252,100))</f>
        <v/>
      </c>
      <c r="H1252" s="11">
        <f>IF(A1252="","",Universe!E1252/BDP(A1252&amp;" US Equity","HIGH_52WEEK")*100)</f>
        <v/>
      </c>
      <c r="I1252">
        <f>IF(D1252="","",D1252&gt;=5)</f>
        <v/>
      </c>
      <c r="J1252">
        <f>IF(F1252="","",F1252&gt;=5)</f>
        <v/>
      </c>
      <c r="K1252">
        <f>IF(H1252="","",H1252&gt;=75)</f>
        <v/>
      </c>
      <c r="L1252">
        <f>IF(OR(I1252="",J1252="",K1252=""),FALSE,AND(I1252,J1252,K1252))</f>
        <v/>
      </c>
    </row>
    <row r="1253">
      <c r="A1253">
        <f>Universe!A1253</f>
        <v/>
      </c>
      <c r="B1253" s="10" t="n"/>
      <c r="C1253" s="11">
        <f>IF(B1253="","",PERCENTRANK.INC($B$2:$B$2501,B1253)*100)</f>
        <v/>
      </c>
      <c r="D1253" s="10" t="n"/>
      <c r="E1253" s="10">
        <f>IF(D1253="","",MIN(D1253,100))</f>
        <v/>
      </c>
      <c r="F1253" s="10" t="n"/>
      <c r="G1253" s="10">
        <f>IF(F1253="","",MIN(F1253,100))</f>
        <v/>
      </c>
      <c r="H1253" s="11">
        <f>IF(A1253="","",Universe!E1253/BDP(A1253&amp;" US Equity","HIGH_52WEEK")*100)</f>
        <v/>
      </c>
      <c r="I1253">
        <f>IF(D1253="","",D1253&gt;=5)</f>
        <v/>
      </c>
      <c r="J1253">
        <f>IF(F1253="","",F1253&gt;=5)</f>
        <v/>
      </c>
      <c r="K1253">
        <f>IF(H1253="","",H1253&gt;=75)</f>
        <v/>
      </c>
      <c r="L1253">
        <f>IF(OR(I1253="",J1253="",K1253=""),FALSE,AND(I1253,J1253,K1253))</f>
        <v/>
      </c>
    </row>
    <row r="1254">
      <c r="A1254">
        <f>Universe!A1254</f>
        <v/>
      </c>
      <c r="B1254" s="10" t="n"/>
      <c r="C1254" s="11">
        <f>IF(B1254="","",PERCENTRANK.INC($B$2:$B$2501,B1254)*100)</f>
        <v/>
      </c>
      <c r="D1254" s="10" t="n"/>
      <c r="E1254" s="10">
        <f>IF(D1254="","",MIN(D1254,100))</f>
        <v/>
      </c>
      <c r="F1254" s="10" t="n"/>
      <c r="G1254" s="10">
        <f>IF(F1254="","",MIN(F1254,100))</f>
        <v/>
      </c>
      <c r="H1254" s="11">
        <f>IF(A1254="","",Universe!E1254/BDP(A1254&amp;" US Equity","HIGH_52WEEK")*100)</f>
        <v/>
      </c>
      <c r="I1254">
        <f>IF(D1254="","",D1254&gt;=5)</f>
        <v/>
      </c>
      <c r="J1254">
        <f>IF(F1254="","",F1254&gt;=5)</f>
        <v/>
      </c>
      <c r="K1254">
        <f>IF(H1254="","",H1254&gt;=75)</f>
        <v/>
      </c>
      <c r="L1254">
        <f>IF(OR(I1254="",J1254="",K1254=""),FALSE,AND(I1254,J1254,K1254))</f>
        <v/>
      </c>
    </row>
    <row r="1255">
      <c r="A1255">
        <f>Universe!A1255</f>
        <v/>
      </c>
      <c r="B1255" s="10" t="n"/>
      <c r="C1255" s="11">
        <f>IF(B1255="","",PERCENTRANK.INC($B$2:$B$2501,B1255)*100)</f>
        <v/>
      </c>
      <c r="D1255" s="10" t="n"/>
      <c r="E1255" s="10">
        <f>IF(D1255="","",MIN(D1255,100))</f>
        <v/>
      </c>
      <c r="F1255" s="10" t="n"/>
      <c r="G1255" s="10">
        <f>IF(F1255="","",MIN(F1255,100))</f>
        <v/>
      </c>
      <c r="H1255" s="11">
        <f>IF(A1255="","",Universe!E1255/BDP(A1255&amp;" US Equity","HIGH_52WEEK")*100)</f>
        <v/>
      </c>
      <c r="I1255">
        <f>IF(D1255="","",D1255&gt;=5)</f>
        <v/>
      </c>
      <c r="J1255">
        <f>IF(F1255="","",F1255&gt;=5)</f>
        <v/>
      </c>
      <c r="K1255">
        <f>IF(H1255="","",H1255&gt;=75)</f>
        <v/>
      </c>
      <c r="L1255">
        <f>IF(OR(I1255="",J1255="",K1255=""),FALSE,AND(I1255,J1255,K1255))</f>
        <v/>
      </c>
    </row>
    <row r="1256">
      <c r="A1256">
        <f>Universe!A1256</f>
        <v/>
      </c>
      <c r="B1256" s="10" t="n"/>
      <c r="C1256" s="11">
        <f>IF(B1256="","",PERCENTRANK.INC($B$2:$B$2501,B1256)*100)</f>
        <v/>
      </c>
      <c r="D1256" s="10" t="n"/>
      <c r="E1256" s="10">
        <f>IF(D1256="","",MIN(D1256,100))</f>
        <v/>
      </c>
      <c r="F1256" s="10" t="n"/>
      <c r="G1256" s="10">
        <f>IF(F1256="","",MIN(F1256,100))</f>
        <v/>
      </c>
      <c r="H1256" s="11">
        <f>IF(A1256="","",Universe!E1256/BDP(A1256&amp;" US Equity","HIGH_52WEEK")*100)</f>
        <v/>
      </c>
      <c r="I1256">
        <f>IF(D1256="","",D1256&gt;=5)</f>
        <v/>
      </c>
      <c r="J1256">
        <f>IF(F1256="","",F1256&gt;=5)</f>
        <v/>
      </c>
      <c r="K1256">
        <f>IF(H1256="","",H1256&gt;=75)</f>
        <v/>
      </c>
      <c r="L1256">
        <f>IF(OR(I1256="",J1256="",K1256=""),FALSE,AND(I1256,J1256,K1256))</f>
        <v/>
      </c>
    </row>
    <row r="1257">
      <c r="A1257">
        <f>Universe!A1257</f>
        <v/>
      </c>
      <c r="B1257" s="10" t="n"/>
      <c r="C1257" s="11">
        <f>IF(B1257="","",PERCENTRANK.INC($B$2:$B$2501,B1257)*100)</f>
        <v/>
      </c>
      <c r="D1257" s="10" t="n"/>
      <c r="E1257" s="10">
        <f>IF(D1257="","",MIN(D1257,100))</f>
        <v/>
      </c>
      <c r="F1257" s="10" t="n"/>
      <c r="G1257" s="10">
        <f>IF(F1257="","",MIN(F1257,100))</f>
        <v/>
      </c>
      <c r="H1257" s="11">
        <f>IF(A1257="","",Universe!E1257/BDP(A1257&amp;" US Equity","HIGH_52WEEK")*100)</f>
        <v/>
      </c>
      <c r="I1257">
        <f>IF(D1257="","",D1257&gt;=5)</f>
        <v/>
      </c>
      <c r="J1257">
        <f>IF(F1257="","",F1257&gt;=5)</f>
        <v/>
      </c>
      <c r="K1257">
        <f>IF(H1257="","",H1257&gt;=75)</f>
        <v/>
      </c>
      <c r="L1257">
        <f>IF(OR(I1257="",J1257="",K1257=""),FALSE,AND(I1257,J1257,K1257))</f>
        <v/>
      </c>
    </row>
    <row r="1258">
      <c r="A1258">
        <f>Universe!A1258</f>
        <v/>
      </c>
      <c r="B1258" s="10" t="n"/>
      <c r="C1258" s="11">
        <f>IF(B1258="","",PERCENTRANK.INC($B$2:$B$2501,B1258)*100)</f>
        <v/>
      </c>
      <c r="D1258" s="10" t="n"/>
      <c r="E1258" s="10">
        <f>IF(D1258="","",MIN(D1258,100))</f>
        <v/>
      </c>
      <c r="F1258" s="10" t="n"/>
      <c r="G1258" s="10">
        <f>IF(F1258="","",MIN(F1258,100))</f>
        <v/>
      </c>
      <c r="H1258" s="11">
        <f>IF(A1258="","",Universe!E1258/BDP(A1258&amp;" US Equity","HIGH_52WEEK")*100)</f>
        <v/>
      </c>
      <c r="I1258">
        <f>IF(D1258="","",D1258&gt;=5)</f>
        <v/>
      </c>
      <c r="J1258">
        <f>IF(F1258="","",F1258&gt;=5)</f>
        <v/>
      </c>
      <c r="K1258">
        <f>IF(H1258="","",H1258&gt;=75)</f>
        <v/>
      </c>
      <c r="L1258">
        <f>IF(OR(I1258="",J1258="",K1258=""),FALSE,AND(I1258,J1258,K1258))</f>
        <v/>
      </c>
    </row>
    <row r="1259">
      <c r="A1259">
        <f>Universe!A1259</f>
        <v/>
      </c>
      <c r="B1259" s="10" t="n"/>
      <c r="C1259" s="11">
        <f>IF(B1259="","",PERCENTRANK.INC($B$2:$B$2501,B1259)*100)</f>
        <v/>
      </c>
      <c r="D1259" s="10" t="n"/>
      <c r="E1259" s="10">
        <f>IF(D1259="","",MIN(D1259,100))</f>
        <v/>
      </c>
      <c r="F1259" s="10" t="n"/>
      <c r="G1259" s="10">
        <f>IF(F1259="","",MIN(F1259,100))</f>
        <v/>
      </c>
      <c r="H1259" s="11">
        <f>IF(A1259="","",Universe!E1259/BDP(A1259&amp;" US Equity","HIGH_52WEEK")*100)</f>
        <v/>
      </c>
      <c r="I1259">
        <f>IF(D1259="","",D1259&gt;=5)</f>
        <v/>
      </c>
      <c r="J1259">
        <f>IF(F1259="","",F1259&gt;=5)</f>
        <v/>
      </c>
      <c r="K1259">
        <f>IF(H1259="","",H1259&gt;=75)</f>
        <v/>
      </c>
      <c r="L1259">
        <f>IF(OR(I1259="",J1259="",K1259=""),FALSE,AND(I1259,J1259,K1259))</f>
        <v/>
      </c>
    </row>
    <row r="1260">
      <c r="A1260">
        <f>Universe!A1260</f>
        <v/>
      </c>
      <c r="B1260" s="10" t="n"/>
      <c r="C1260" s="11">
        <f>IF(B1260="","",PERCENTRANK.INC($B$2:$B$2501,B1260)*100)</f>
        <v/>
      </c>
      <c r="D1260" s="10" t="n"/>
      <c r="E1260" s="10">
        <f>IF(D1260="","",MIN(D1260,100))</f>
        <v/>
      </c>
      <c r="F1260" s="10" t="n"/>
      <c r="G1260" s="10">
        <f>IF(F1260="","",MIN(F1260,100))</f>
        <v/>
      </c>
      <c r="H1260" s="11">
        <f>IF(A1260="","",Universe!E1260/BDP(A1260&amp;" US Equity","HIGH_52WEEK")*100)</f>
        <v/>
      </c>
      <c r="I1260">
        <f>IF(D1260="","",D1260&gt;=5)</f>
        <v/>
      </c>
      <c r="J1260">
        <f>IF(F1260="","",F1260&gt;=5)</f>
        <v/>
      </c>
      <c r="K1260">
        <f>IF(H1260="","",H1260&gt;=75)</f>
        <v/>
      </c>
      <c r="L1260">
        <f>IF(OR(I1260="",J1260="",K1260=""),FALSE,AND(I1260,J1260,K1260))</f>
        <v/>
      </c>
    </row>
    <row r="1261">
      <c r="A1261">
        <f>Universe!A1261</f>
        <v/>
      </c>
      <c r="B1261" s="10" t="n"/>
      <c r="C1261" s="11">
        <f>IF(B1261="","",PERCENTRANK.INC($B$2:$B$2501,B1261)*100)</f>
        <v/>
      </c>
      <c r="D1261" s="10" t="n"/>
      <c r="E1261" s="10">
        <f>IF(D1261="","",MIN(D1261,100))</f>
        <v/>
      </c>
      <c r="F1261" s="10" t="n"/>
      <c r="G1261" s="10">
        <f>IF(F1261="","",MIN(F1261,100))</f>
        <v/>
      </c>
      <c r="H1261" s="11">
        <f>IF(A1261="","",Universe!E1261/BDP(A1261&amp;" US Equity","HIGH_52WEEK")*100)</f>
        <v/>
      </c>
      <c r="I1261">
        <f>IF(D1261="","",D1261&gt;=5)</f>
        <v/>
      </c>
      <c r="J1261">
        <f>IF(F1261="","",F1261&gt;=5)</f>
        <v/>
      </c>
      <c r="K1261">
        <f>IF(H1261="","",H1261&gt;=75)</f>
        <v/>
      </c>
      <c r="L1261">
        <f>IF(OR(I1261="",J1261="",K1261=""),FALSE,AND(I1261,J1261,K1261))</f>
        <v/>
      </c>
    </row>
    <row r="1262">
      <c r="A1262">
        <f>Universe!A1262</f>
        <v/>
      </c>
      <c r="B1262" s="10" t="n"/>
      <c r="C1262" s="11">
        <f>IF(B1262="","",PERCENTRANK.INC($B$2:$B$2501,B1262)*100)</f>
        <v/>
      </c>
      <c r="D1262" s="10" t="n"/>
      <c r="E1262" s="10">
        <f>IF(D1262="","",MIN(D1262,100))</f>
        <v/>
      </c>
      <c r="F1262" s="10" t="n"/>
      <c r="G1262" s="10">
        <f>IF(F1262="","",MIN(F1262,100))</f>
        <v/>
      </c>
      <c r="H1262" s="11">
        <f>IF(A1262="","",Universe!E1262/BDP(A1262&amp;" US Equity","HIGH_52WEEK")*100)</f>
        <v/>
      </c>
      <c r="I1262">
        <f>IF(D1262="","",D1262&gt;=5)</f>
        <v/>
      </c>
      <c r="J1262">
        <f>IF(F1262="","",F1262&gt;=5)</f>
        <v/>
      </c>
      <c r="K1262">
        <f>IF(H1262="","",H1262&gt;=75)</f>
        <v/>
      </c>
      <c r="L1262">
        <f>IF(OR(I1262="",J1262="",K1262=""),FALSE,AND(I1262,J1262,K1262))</f>
        <v/>
      </c>
    </row>
    <row r="1263">
      <c r="A1263">
        <f>Universe!A1263</f>
        <v/>
      </c>
      <c r="B1263" s="10" t="n"/>
      <c r="C1263" s="11">
        <f>IF(B1263="","",PERCENTRANK.INC($B$2:$B$2501,B1263)*100)</f>
        <v/>
      </c>
      <c r="D1263" s="10" t="n"/>
      <c r="E1263" s="10">
        <f>IF(D1263="","",MIN(D1263,100))</f>
        <v/>
      </c>
      <c r="F1263" s="10" t="n"/>
      <c r="G1263" s="10">
        <f>IF(F1263="","",MIN(F1263,100))</f>
        <v/>
      </c>
      <c r="H1263" s="11">
        <f>IF(A1263="","",Universe!E1263/BDP(A1263&amp;" US Equity","HIGH_52WEEK")*100)</f>
        <v/>
      </c>
      <c r="I1263">
        <f>IF(D1263="","",D1263&gt;=5)</f>
        <v/>
      </c>
      <c r="J1263">
        <f>IF(F1263="","",F1263&gt;=5)</f>
        <v/>
      </c>
      <c r="K1263">
        <f>IF(H1263="","",H1263&gt;=75)</f>
        <v/>
      </c>
      <c r="L1263">
        <f>IF(OR(I1263="",J1263="",K1263=""),FALSE,AND(I1263,J1263,K1263))</f>
        <v/>
      </c>
    </row>
    <row r="1264">
      <c r="A1264">
        <f>Universe!A1264</f>
        <v/>
      </c>
      <c r="B1264" s="10" t="n"/>
      <c r="C1264" s="11">
        <f>IF(B1264="","",PERCENTRANK.INC($B$2:$B$2501,B1264)*100)</f>
        <v/>
      </c>
      <c r="D1264" s="10" t="n"/>
      <c r="E1264" s="10">
        <f>IF(D1264="","",MIN(D1264,100))</f>
        <v/>
      </c>
      <c r="F1264" s="10" t="n"/>
      <c r="G1264" s="10">
        <f>IF(F1264="","",MIN(F1264,100))</f>
        <v/>
      </c>
      <c r="H1264" s="11">
        <f>IF(A1264="","",Universe!E1264/BDP(A1264&amp;" US Equity","HIGH_52WEEK")*100)</f>
        <v/>
      </c>
      <c r="I1264">
        <f>IF(D1264="","",D1264&gt;=5)</f>
        <v/>
      </c>
      <c r="J1264">
        <f>IF(F1264="","",F1264&gt;=5)</f>
        <v/>
      </c>
      <c r="K1264">
        <f>IF(H1264="","",H1264&gt;=75)</f>
        <v/>
      </c>
      <c r="L1264">
        <f>IF(OR(I1264="",J1264="",K1264=""),FALSE,AND(I1264,J1264,K1264))</f>
        <v/>
      </c>
    </row>
    <row r="1265">
      <c r="A1265">
        <f>Universe!A1265</f>
        <v/>
      </c>
      <c r="B1265" s="10" t="n"/>
      <c r="C1265" s="11">
        <f>IF(B1265="","",PERCENTRANK.INC($B$2:$B$2501,B1265)*100)</f>
        <v/>
      </c>
      <c r="D1265" s="10" t="n"/>
      <c r="E1265" s="10">
        <f>IF(D1265="","",MIN(D1265,100))</f>
        <v/>
      </c>
      <c r="F1265" s="10" t="n"/>
      <c r="G1265" s="10">
        <f>IF(F1265="","",MIN(F1265,100))</f>
        <v/>
      </c>
      <c r="H1265" s="11">
        <f>IF(A1265="","",Universe!E1265/BDP(A1265&amp;" US Equity","HIGH_52WEEK")*100)</f>
        <v/>
      </c>
      <c r="I1265">
        <f>IF(D1265="","",D1265&gt;=5)</f>
        <v/>
      </c>
      <c r="J1265">
        <f>IF(F1265="","",F1265&gt;=5)</f>
        <v/>
      </c>
      <c r="K1265">
        <f>IF(H1265="","",H1265&gt;=75)</f>
        <v/>
      </c>
      <c r="L1265">
        <f>IF(OR(I1265="",J1265="",K1265=""),FALSE,AND(I1265,J1265,K1265))</f>
        <v/>
      </c>
    </row>
    <row r="1266">
      <c r="A1266">
        <f>Universe!A1266</f>
        <v/>
      </c>
      <c r="B1266" s="10" t="n"/>
      <c r="C1266" s="11">
        <f>IF(B1266="","",PERCENTRANK.INC($B$2:$B$2501,B1266)*100)</f>
        <v/>
      </c>
      <c r="D1266" s="10" t="n"/>
      <c r="E1266" s="10">
        <f>IF(D1266="","",MIN(D1266,100))</f>
        <v/>
      </c>
      <c r="F1266" s="10" t="n"/>
      <c r="G1266" s="10">
        <f>IF(F1266="","",MIN(F1266,100))</f>
        <v/>
      </c>
      <c r="H1266" s="11">
        <f>IF(A1266="","",Universe!E1266/BDP(A1266&amp;" US Equity","HIGH_52WEEK")*100)</f>
        <v/>
      </c>
      <c r="I1266">
        <f>IF(D1266="","",D1266&gt;=5)</f>
        <v/>
      </c>
      <c r="J1266">
        <f>IF(F1266="","",F1266&gt;=5)</f>
        <v/>
      </c>
      <c r="K1266">
        <f>IF(H1266="","",H1266&gt;=75)</f>
        <v/>
      </c>
      <c r="L1266">
        <f>IF(OR(I1266="",J1266="",K1266=""),FALSE,AND(I1266,J1266,K1266))</f>
        <v/>
      </c>
    </row>
    <row r="1267">
      <c r="A1267">
        <f>Universe!A1267</f>
        <v/>
      </c>
      <c r="B1267" s="10" t="n"/>
      <c r="C1267" s="11">
        <f>IF(B1267="","",PERCENTRANK.INC($B$2:$B$2501,B1267)*100)</f>
        <v/>
      </c>
      <c r="D1267" s="10" t="n"/>
      <c r="E1267" s="10">
        <f>IF(D1267="","",MIN(D1267,100))</f>
        <v/>
      </c>
      <c r="F1267" s="10" t="n"/>
      <c r="G1267" s="10">
        <f>IF(F1267="","",MIN(F1267,100))</f>
        <v/>
      </c>
      <c r="H1267" s="11">
        <f>IF(A1267="","",Universe!E1267/BDP(A1267&amp;" US Equity","HIGH_52WEEK")*100)</f>
        <v/>
      </c>
      <c r="I1267">
        <f>IF(D1267="","",D1267&gt;=5)</f>
        <v/>
      </c>
      <c r="J1267">
        <f>IF(F1267="","",F1267&gt;=5)</f>
        <v/>
      </c>
      <c r="K1267">
        <f>IF(H1267="","",H1267&gt;=75)</f>
        <v/>
      </c>
      <c r="L1267">
        <f>IF(OR(I1267="",J1267="",K1267=""),FALSE,AND(I1267,J1267,K1267))</f>
        <v/>
      </c>
    </row>
    <row r="1268">
      <c r="A1268">
        <f>Universe!A1268</f>
        <v/>
      </c>
      <c r="B1268" s="10" t="n"/>
      <c r="C1268" s="11">
        <f>IF(B1268="","",PERCENTRANK.INC($B$2:$B$2501,B1268)*100)</f>
        <v/>
      </c>
      <c r="D1268" s="10" t="n"/>
      <c r="E1268" s="10">
        <f>IF(D1268="","",MIN(D1268,100))</f>
        <v/>
      </c>
      <c r="F1268" s="10" t="n"/>
      <c r="G1268" s="10">
        <f>IF(F1268="","",MIN(F1268,100))</f>
        <v/>
      </c>
      <c r="H1268" s="11">
        <f>IF(A1268="","",Universe!E1268/BDP(A1268&amp;" US Equity","HIGH_52WEEK")*100)</f>
        <v/>
      </c>
      <c r="I1268">
        <f>IF(D1268="","",D1268&gt;=5)</f>
        <v/>
      </c>
      <c r="J1268">
        <f>IF(F1268="","",F1268&gt;=5)</f>
        <v/>
      </c>
      <c r="K1268">
        <f>IF(H1268="","",H1268&gt;=75)</f>
        <v/>
      </c>
      <c r="L1268">
        <f>IF(OR(I1268="",J1268="",K1268=""),FALSE,AND(I1268,J1268,K1268))</f>
        <v/>
      </c>
    </row>
    <row r="1269">
      <c r="A1269">
        <f>Universe!A1269</f>
        <v/>
      </c>
      <c r="B1269" s="10" t="n"/>
      <c r="C1269" s="11">
        <f>IF(B1269="","",PERCENTRANK.INC($B$2:$B$2501,B1269)*100)</f>
        <v/>
      </c>
      <c r="D1269" s="10" t="n"/>
      <c r="E1269" s="10">
        <f>IF(D1269="","",MIN(D1269,100))</f>
        <v/>
      </c>
      <c r="F1269" s="10" t="n"/>
      <c r="G1269" s="10">
        <f>IF(F1269="","",MIN(F1269,100))</f>
        <v/>
      </c>
      <c r="H1269" s="11">
        <f>IF(A1269="","",Universe!E1269/BDP(A1269&amp;" US Equity","HIGH_52WEEK")*100)</f>
        <v/>
      </c>
      <c r="I1269">
        <f>IF(D1269="","",D1269&gt;=5)</f>
        <v/>
      </c>
      <c r="J1269">
        <f>IF(F1269="","",F1269&gt;=5)</f>
        <v/>
      </c>
      <c r="K1269">
        <f>IF(H1269="","",H1269&gt;=75)</f>
        <v/>
      </c>
      <c r="L1269">
        <f>IF(OR(I1269="",J1269="",K1269=""),FALSE,AND(I1269,J1269,K1269))</f>
        <v/>
      </c>
    </row>
    <row r="1270">
      <c r="A1270">
        <f>Universe!A1270</f>
        <v/>
      </c>
      <c r="B1270" s="10" t="n"/>
      <c r="C1270" s="11">
        <f>IF(B1270="","",PERCENTRANK.INC($B$2:$B$2501,B1270)*100)</f>
        <v/>
      </c>
      <c r="D1270" s="10" t="n"/>
      <c r="E1270" s="10">
        <f>IF(D1270="","",MIN(D1270,100))</f>
        <v/>
      </c>
      <c r="F1270" s="10" t="n"/>
      <c r="G1270" s="10">
        <f>IF(F1270="","",MIN(F1270,100))</f>
        <v/>
      </c>
      <c r="H1270" s="11">
        <f>IF(A1270="","",Universe!E1270/BDP(A1270&amp;" US Equity","HIGH_52WEEK")*100)</f>
        <v/>
      </c>
      <c r="I1270">
        <f>IF(D1270="","",D1270&gt;=5)</f>
        <v/>
      </c>
      <c r="J1270">
        <f>IF(F1270="","",F1270&gt;=5)</f>
        <v/>
      </c>
      <c r="K1270">
        <f>IF(H1270="","",H1270&gt;=75)</f>
        <v/>
      </c>
      <c r="L1270">
        <f>IF(OR(I1270="",J1270="",K1270=""),FALSE,AND(I1270,J1270,K1270))</f>
        <v/>
      </c>
    </row>
    <row r="1271">
      <c r="A1271">
        <f>Universe!A1271</f>
        <v/>
      </c>
      <c r="B1271" s="10" t="n"/>
      <c r="C1271" s="11">
        <f>IF(B1271="","",PERCENTRANK.INC($B$2:$B$2501,B1271)*100)</f>
        <v/>
      </c>
      <c r="D1271" s="10" t="n"/>
      <c r="E1271" s="10">
        <f>IF(D1271="","",MIN(D1271,100))</f>
        <v/>
      </c>
      <c r="F1271" s="10" t="n"/>
      <c r="G1271" s="10">
        <f>IF(F1271="","",MIN(F1271,100))</f>
        <v/>
      </c>
      <c r="H1271" s="11">
        <f>IF(A1271="","",Universe!E1271/BDP(A1271&amp;" US Equity","HIGH_52WEEK")*100)</f>
        <v/>
      </c>
      <c r="I1271">
        <f>IF(D1271="","",D1271&gt;=5)</f>
        <v/>
      </c>
      <c r="J1271">
        <f>IF(F1271="","",F1271&gt;=5)</f>
        <v/>
      </c>
      <c r="K1271">
        <f>IF(H1271="","",H1271&gt;=75)</f>
        <v/>
      </c>
      <c r="L1271">
        <f>IF(OR(I1271="",J1271="",K1271=""),FALSE,AND(I1271,J1271,K1271))</f>
        <v/>
      </c>
    </row>
    <row r="1272">
      <c r="A1272">
        <f>Universe!A1272</f>
        <v/>
      </c>
      <c r="B1272" s="10" t="n"/>
      <c r="C1272" s="11">
        <f>IF(B1272="","",PERCENTRANK.INC($B$2:$B$2501,B1272)*100)</f>
        <v/>
      </c>
      <c r="D1272" s="10" t="n"/>
      <c r="E1272" s="10">
        <f>IF(D1272="","",MIN(D1272,100))</f>
        <v/>
      </c>
      <c r="F1272" s="10" t="n"/>
      <c r="G1272" s="10">
        <f>IF(F1272="","",MIN(F1272,100))</f>
        <v/>
      </c>
      <c r="H1272" s="11">
        <f>IF(A1272="","",Universe!E1272/BDP(A1272&amp;" US Equity","HIGH_52WEEK")*100)</f>
        <v/>
      </c>
      <c r="I1272">
        <f>IF(D1272="","",D1272&gt;=5)</f>
        <v/>
      </c>
      <c r="J1272">
        <f>IF(F1272="","",F1272&gt;=5)</f>
        <v/>
      </c>
      <c r="K1272">
        <f>IF(H1272="","",H1272&gt;=75)</f>
        <v/>
      </c>
      <c r="L1272">
        <f>IF(OR(I1272="",J1272="",K1272=""),FALSE,AND(I1272,J1272,K1272))</f>
        <v/>
      </c>
    </row>
    <row r="1273">
      <c r="A1273">
        <f>Universe!A1273</f>
        <v/>
      </c>
      <c r="B1273" s="10" t="n"/>
      <c r="C1273" s="11">
        <f>IF(B1273="","",PERCENTRANK.INC($B$2:$B$2501,B1273)*100)</f>
        <v/>
      </c>
      <c r="D1273" s="10" t="n"/>
      <c r="E1273" s="10">
        <f>IF(D1273="","",MIN(D1273,100))</f>
        <v/>
      </c>
      <c r="F1273" s="10" t="n"/>
      <c r="G1273" s="10">
        <f>IF(F1273="","",MIN(F1273,100))</f>
        <v/>
      </c>
      <c r="H1273" s="11">
        <f>IF(A1273="","",Universe!E1273/BDP(A1273&amp;" US Equity","HIGH_52WEEK")*100)</f>
        <v/>
      </c>
      <c r="I1273">
        <f>IF(D1273="","",D1273&gt;=5)</f>
        <v/>
      </c>
      <c r="J1273">
        <f>IF(F1273="","",F1273&gt;=5)</f>
        <v/>
      </c>
      <c r="K1273">
        <f>IF(H1273="","",H1273&gt;=75)</f>
        <v/>
      </c>
      <c r="L1273">
        <f>IF(OR(I1273="",J1273="",K1273=""),FALSE,AND(I1273,J1273,K1273))</f>
        <v/>
      </c>
    </row>
    <row r="1274">
      <c r="A1274">
        <f>Universe!A1274</f>
        <v/>
      </c>
      <c r="B1274" s="10" t="n"/>
      <c r="C1274" s="11">
        <f>IF(B1274="","",PERCENTRANK.INC($B$2:$B$2501,B1274)*100)</f>
        <v/>
      </c>
      <c r="D1274" s="10" t="n"/>
      <c r="E1274" s="10">
        <f>IF(D1274="","",MIN(D1274,100))</f>
        <v/>
      </c>
      <c r="F1274" s="10" t="n"/>
      <c r="G1274" s="10">
        <f>IF(F1274="","",MIN(F1274,100))</f>
        <v/>
      </c>
      <c r="H1274" s="11">
        <f>IF(A1274="","",Universe!E1274/BDP(A1274&amp;" US Equity","HIGH_52WEEK")*100)</f>
        <v/>
      </c>
      <c r="I1274">
        <f>IF(D1274="","",D1274&gt;=5)</f>
        <v/>
      </c>
      <c r="J1274">
        <f>IF(F1274="","",F1274&gt;=5)</f>
        <v/>
      </c>
      <c r="K1274">
        <f>IF(H1274="","",H1274&gt;=75)</f>
        <v/>
      </c>
      <c r="L1274">
        <f>IF(OR(I1274="",J1274="",K1274=""),FALSE,AND(I1274,J1274,K1274))</f>
        <v/>
      </c>
    </row>
    <row r="1275">
      <c r="A1275">
        <f>Universe!A1275</f>
        <v/>
      </c>
      <c r="B1275" s="10" t="n"/>
      <c r="C1275" s="11">
        <f>IF(B1275="","",PERCENTRANK.INC($B$2:$B$2501,B1275)*100)</f>
        <v/>
      </c>
      <c r="D1275" s="10" t="n"/>
      <c r="E1275" s="10">
        <f>IF(D1275="","",MIN(D1275,100))</f>
        <v/>
      </c>
      <c r="F1275" s="10" t="n"/>
      <c r="G1275" s="10">
        <f>IF(F1275="","",MIN(F1275,100))</f>
        <v/>
      </c>
      <c r="H1275" s="11">
        <f>IF(A1275="","",Universe!E1275/BDP(A1275&amp;" US Equity","HIGH_52WEEK")*100)</f>
        <v/>
      </c>
      <c r="I1275">
        <f>IF(D1275="","",D1275&gt;=5)</f>
        <v/>
      </c>
      <c r="J1275">
        <f>IF(F1275="","",F1275&gt;=5)</f>
        <v/>
      </c>
      <c r="K1275">
        <f>IF(H1275="","",H1275&gt;=75)</f>
        <v/>
      </c>
      <c r="L1275">
        <f>IF(OR(I1275="",J1275="",K1275=""),FALSE,AND(I1275,J1275,K1275))</f>
        <v/>
      </c>
    </row>
    <row r="1276">
      <c r="A1276">
        <f>Universe!A1276</f>
        <v/>
      </c>
      <c r="B1276" s="10" t="n"/>
      <c r="C1276" s="11">
        <f>IF(B1276="","",PERCENTRANK.INC($B$2:$B$2501,B1276)*100)</f>
        <v/>
      </c>
      <c r="D1276" s="10" t="n"/>
      <c r="E1276" s="10">
        <f>IF(D1276="","",MIN(D1276,100))</f>
        <v/>
      </c>
      <c r="F1276" s="10" t="n"/>
      <c r="G1276" s="10">
        <f>IF(F1276="","",MIN(F1276,100))</f>
        <v/>
      </c>
      <c r="H1276" s="11">
        <f>IF(A1276="","",Universe!E1276/BDP(A1276&amp;" US Equity","HIGH_52WEEK")*100)</f>
        <v/>
      </c>
      <c r="I1276">
        <f>IF(D1276="","",D1276&gt;=5)</f>
        <v/>
      </c>
      <c r="J1276">
        <f>IF(F1276="","",F1276&gt;=5)</f>
        <v/>
      </c>
      <c r="K1276">
        <f>IF(H1276="","",H1276&gt;=75)</f>
        <v/>
      </c>
      <c r="L1276">
        <f>IF(OR(I1276="",J1276="",K1276=""),FALSE,AND(I1276,J1276,K1276))</f>
        <v/>
      </c>
    </row>
    <row r="1277">
      <c r="A1277">
        <f>Universe!A1277</f>
        <v/>
      </c>
      <c r="B1277" s="10" t="n"/>
      <c r="C1277" s="11">
        <f>IF(B1277="","",PERCENTRANK.INC($B$2:$B$2501,B1277)*100)</f>
        <v/>
      </c>
      <c r="D1277" s="10" t="n"/>
      <c r="E1277" s="10">
        <f>IF(D1277="","",MIN(D1277,100))</f>
        <v/>
      </c>
      <c r="F1277" s="10" t="n"/>
      <c r="G1277" s="10">
        <f>IF(F1277="","",MIN(F1277,100))</f>
        <v/>
      </c>
      <c r="H1277" s="11">
        <f>IF(A1277="","",Universe!E1277/BDP(A1277&amp;" US Equity","HIGH_52WEEK")*100)</f>
        <v/>
      </c>
      <c r="I1277">
        <f>IF(D1277="","",D1277&gt;=5)</f>
        <v/>
      </c>
      <c r="J1277">
        <f>IF(F1277="","",F1277&gt;=5)</f>
        <v/>
      </c>
      <c r="K1277">
        <f>IF(H1277="","",H1277&gt;=75)</f>
        <v/>
      </c>
      <c r="L1277">
        <f>IF(OR(I1277="",J1277="",K1277=""),FALSE,AND(I1277,J1277,K1277))</f>
        <v/>
      </c>
    </row>
    <row r="1278">
      <c r="A1278">
        <f>Universe!A1278</f>
        <v/>
      </c>
      <c r="B1278" s="10" t="n"/>
      <c r="C1278" s="11">
        <f>IF(B1278="","",PERCENTRANK.INC($B$2:$B$2501,B1278)*100)</f>
        <v/>
      </c>
      <c r="D1278" s="10" t="n"/>
      <c r="E1278" s="10">
        <f>IF(D1278="","",MIN(D1278,100))</f>
        <v/>
      </c>
      <c r="F1278" s="10" t="n"/>
      <c r="G1278" s="10">
        <f>IF(F1278="","",MIN(F1278,100))</f>
        <v/>
      </c>
      <c r="H1278" s="11">
        <f>IF(A1278="","",Universe!E1278/BDP(A1278&amp;" US Equity","HIGH_52WEEK")*100)</f>
        <v/>
      </c>
      <c r="I1278">
        <f>IF(D1278="","",D1278&gt;=5)</f>
        <v/>
      </c>
      <c r="J1278">
        <f>IF(F1278="","",F1278&gt;=5)</f>
        <v/>
      </c>
      <c r="K1278">
        <f>IF(H1278="","",H1278&gt;=75)</f>
        <v/>
      </c>
      <c r="L1278">
        <f>IF(OR(I1278="",J1278="",K1278=""),FALSE,AND(I1278,J1278,K1278))</f>
        <v/>
      </c>
    </row>
    <row r="1279">
      <c r="A1279">
        <f>Universe!A1279</f>
        <v/>
      </c>
      <c r="B1279" s="10" t="n"/>
      <c r="C1279" s="11">
        <f>IF(B1279="","",PERCENTRANK.INC($B$2:$B$2501,B1279)*100)</f>
        <v/>
      </c>
      <c r="D1279" s="10" t="n"/>
      <c r="E1279" s="10">
        <f>IF(D1279="","",MIN(D1279,100))</f>
        <v/>
      </c>
      <c r="F1279" s="10" t="n"/>
      <c r="G1279" s="10">
        <f>IF(F1279="","",MIN(F1279,100))</f>
        <v/>
      </c>
      <c r="H1279" s="11">
        <f>IF(A1279="","",Universe!E1279/BDP(A1279&amp;" US Equity","HIGH_52WEEK")*100)</f>
        <v/>
      </c>
      <c r="I1279">
        <f>IF(D1279="","",D1279&gt;=5)</f>
        <v/>
      </c>
      <c r="J1279">
        <f>IF(F1279="","",F1279&gt;=5)</f>
        <v/>
      </c>
      <c r="K1279">
        <f>IF(H1279="","",H1279&gt;=75)</f>
        <v/>
      </c>
      <c r="L1279">
        <f>IF(OR(I1279="",J1279="",K1279=""),FALSE,AND(I1279,J1279,K1279))</f>
        <v/>
      </c>
    </row>
    <row r="1280">
      <c r="A1280">
        <f>Universe!A1280</f>
        <v/>
      </c>
      <c r="B1280" s="10" t="n"/>
      <c r="C1280" s="11">
        <f>IF(B1280="","",PERCENTRANK.INC($B$2:$B$2501,B1280)*100)</f>
        <v/>
      </c>
      <c r="D1280" s="10" t="n"/>
      <c r="E1280" s="10">
        <f>IF(D1280="","",MIN(D1280,100))</f>
        <v/>
      </c>
      <c r="F1280" s="10" t="n"/>
      <c r="G1280" s="10">
        <f>IF(F1280="","",MIN(F1280,100))</f>
        <v/>
      </c>
      <c r="H1280" s="11">
        <f>IF(A1280="","",Universe!E1280/BDP(A1280&amp;" US Equity","HIGH_52WEEK")*100)</f>
        <v/>
      </c>
      <c r="I1280">
        <f>IF(D1280="","",D1280&gt;=5)</f>
        <v/>
      </c>
      <c r="J1280">
        <f>IF(F1280="","",F1280&gt;=5)</f>
        <v/>
      </c>
      <c r="K1280">
        <f>IF(H1280="","",H1280&gt;=75)</f>
        <v/>
      </c>
      <c r="L1280">
        <f>IF(OR(I1280="",J1280="",K1280=""),FALSE,AND(I1280,J1280,K1280))</f>
        <v/>
      </c>
    </row>
    <row r="1281">
      <c r="A1281">
        <f>Universe!A1281</f>
        <v/>
      </c>
      <c r="B1281" s="10" t="n"/>
      <c r="C1281" s="11">
        <f>IF(B1281="","",PERCENTRANK.INC($B$2:$B$2501,B1281)*100)</f>
        <v/>
      </c>
      <c r="D1281" s="10" t="n"/>
      <c r="E1281" s="10">
        <f>IF(D1281="","",MIN(D1281,100))</f>
        <v/>
      </c>
      <c r="F1281" s="10" t="n"/>
      <c r="G1281" s="10">
        <f>IF(F1281="","",MIN(F1281,100))</f>
        <v/>
      </c>
      <c r="H1281" s="11">
        <f>IF(A1281="","",Universe!E1281/BDP(A1281&amp;" US Equity","HIGH_52WEEK")*100)</f>
        <v/>
      </c>
      <c r="I1281">
        <f>IF(D1281="","",D1281&gt;=5)</f>
        <v/>
      </c>
      <c r="J1281">
        <f>IF(F1281="","",F1281&gt;=5)</f>
        <v/>
      </c>
      <c r="K1281">
        <f>IF(H1281="","",H1281&gt;=75)</f>
        <v/>
      </c>
      <c r="L1281">
        <f>IF(OR(I1281="",J1281="",K1281=""),FALSE,AND(I1281,J1281,K1281))</f>
        <v/>
      </c>
    </row>
    <row r="1282">
      <c r="A1282">
        <f>Universe!A1282</f>
        <v/>
      </c>
      <c r="B1282" s="10" t="n"/>
      <c r="C1282" s="11">
        <f>IF(B1282="","",PERCENTRANK.INC($B$2:$B$2501,B1282)*100)</f>
        <v/>
      </c>
      <c r="D1282" s="10" t="n"/>
      <c r="E1282" s="10">
        <f>IF(D1282="","",MIN(D1282,100))</f>
        <v/>
      </c>
      <c r="F1282" s="10" t="n"/>
      <c r="G1282" s="10">
        <f>IF(F1282="","",MIN(F1282,100))</f>
        <v/>
      </c>
      <c r="H1282" s="11">
        <f>IF(A1282="","",Universe!E1282/BDP(A1282&amp;" US Equity","HIGH_52WEEK")*100)</f>
        <v/>
      </c>
      <c r="I1282">
        <f>IF(D1282="","",D1282&gt;=5)</f>
        <v/>
      </c>
      <c r="J1282">
        <f>IF(F1282="","",F1282&gt;=5)</f>
        <v/>
      </c>
      <c r="K1282">
        <f>IF(H1282="","",H1282&gt;=75)</f>
        <v/>
      </c>
      <c r="L1282">
        <f>IF(OR(I1282="",J1282="",K1282=""),FALSE,AND(I1282,J1282,K1282))</f>
        <v/>
      </c>
    </row>
    <row r="1283">
      <c r="A1283">
        <f>Universe!A1283</f>
        <v/>
      </c>
      <c r="B1283" s="10" t="n"/>
      <c r="C1283" s="11">
        <f>IF(B1283="","",PERCENTRANK.INC($B$2:$B$2501,B1283)*100)</f>
        <v/>
      </c>
      <c r="D1283" s="10" t="n"/>
      <c r="E1283" s="10">
        <f>IF(D1283="","",MIN(D1283,100))</f>
        <v/>
      </c>
      <c r="F1283" s="10" t="n"/>
      <c r="G1283" s="10">
        <f>IF(F1283="","",MIN(F1283,100))</f>
        <v/>
      </c>
      <c r="H1283" s="11">
        <f>IF(A1283="","",Universe!E1283/BDP(A1283&amp;" US Equity","HIGH_52WEEK")*100)</f>
        <v/>
      </c>
      <c r="I1283">
        <f>IF(D1283="","",D1283&gt;=5)</f>
        <v/>
      </c>
      <c r="J1283">
        <f>IF(F1283="","",F1283&gt;=5)</f>
        <v/>
      </c>
      <c r="K1283">
        <f>IF(H1283="","",H1283&gt;=75)</f>
        <v/>
      </c>
      <c r="L1283">
        <f>IF(OR(I1283="",J1283="",K1283=""),FALSE,AND(I1283,J1283,K1283))</f>
        <v/>
      </c>
    </row>
    <row r="1284">
      <c r="A1284">
        <f>Universe!A1284</f>
        <v/>
      </c>
      <c r="B1284" s="10" t="n"/>
      <c r="C1284" s="11">
        <f>IF(B1284="","",PERCENTRANK.INC($B$2:$B$2501,B1284)*100)</f>
        <v/>
      </c>
      <c r="D1284" s="10" t="n"/>
      <c r="E1284" s="10">
        <f>IF(D1284="","",MIN(D1284,100))</f>
        <v/>
      </c>
      <c r="F1284" s="10" t="n"/>
      <c r="G1284" s="10">
        <f>IF(F1284="","",MIN(F1284,100))</f>
        <v/>
      </c>
      <c r="H1284" s="11">
        <f>IF(A1284="","",Universe!E1284/BDP(A1284&amp;" US Equity","HIGH_52WEEK")*100)</f>
        <v/>
      </c>
      <c r="I1284">
        <f>IF(D1284="","",D1284&gt;=5)</f>
        <v/>
      </c>
      <c r="J1284">
        <f>IF(F1284="","",F1284&gt;=5)</f>
        <v/>
      </c>
      <c r="K1284">
        <f>IF(H1284="","",H1284&gt;=75)</f>
        <v/>
      </c>
      <c r="L1284">
        <f>IF(OR(I1284="",J1284="",K1284=""),FALSE,AND(I1284,J1284,K1284))</f>
        <v/>
      </c>
    </row>
    <row r="1285">
      <c r="A1285">
        <f>Universe!A1285</f>
        <v/>
      </c>
      <c r="B1285" s="10" t="n"/>
      <c r="C1285" s="11">
        <f>IF(B1285="","",PERCENTRANK.INC($B$2:$B$2501,B1285)*100)</f>
        <v/>
      </c>
      <c r="D1285" s="10" t="n"/>
      <c r="E1285" s="10">
        <f>IF(D1285="","",MIN(D1285,100))</f>
        <v/>
      </c>
      <c r="F1285" s="10" t="n"/>
      <c r="G1285" s="10">
        <f>IF(F1285="","",MIN(F1285,100))</f>
        <v/>
      </c>
      <c r="H1285" s="11">
        <f>IF(A1285="","",Universe!E1285/BDP(A1285&amp;" US Equity","HIGH_52WEEK")*100)</f>
        <v/>
      </c>
      <c r="I1285">
        <f>IF(D1285="","",D1285&gt;=5)</f>
        <v/>
      </c>
      <c r="J1285">
        <f>IF(F1285="","",F1285&gt;=5)</f>
        <v/>
      </c>
      <c r="K1285">
        <f>IF(H1285="","",H1285&gt;=75)</f>
        <v/>
      </c>
      <c r="L1285">
        <f>IF(OR(I1285="",J1285="",K1285=""),FALSE,AND(I1285,J1285,K1285))</f>
        <v/>
      </c>
    </row>
    <row r="1286">
      <c r="A1286">
        <f>Universe!A1286</f>
        <v/>
      </c>
      <c r="B1286" s="10" t="n"/>
      <c r="C1286" s="11">
        <f>IF(B1286="","",PERCENTRANK.INC($B$2:$B$2501,B1286)*100)</f>
        <v/>
      </c>
      <c r="D1286" s="10" t="n"/>
      <c r="E1286" s="10">
        <f>IF(D1286="","",MIN(D1286,100))</f>
        <v/>
      </c>
      <c r="F1286" s="10" t="n"/>
      <c r="G1286" s="10">
        <f>IF(F1286="","",MIN(F1286,100))</f>
        <v/>
      </c>
      <c r="H1286" s="11">
        <f>IF(A1286="","",Universe!E1286/BDP(A1286&amp;" US Equity","HIGH_52WEEK")*100)</f>
        <v/>
      </c>
      <c r="I1286">
        <f>IF(D1286="","",D1286&gt;=5)</f>
        <v/>
      </c>
      <c r="J1286">
        <f>IF(F1286="","",F1286&gt;=5)</f>
        <v/>
      </c>
      <c r="K1286">
        <f>IF(H1286="","",H1286&gt;=75)</f>
        <v/>
      </c>
      <c r="L1286">
        <f>IF(OR(I1286="",J1286="",K1286=""),FALSE,AND(I1286,J1286,K1286))</f>
        <v/>
      </c>
    </row>
    <row r="1287">
      <c r="A1287">
        <f>Universe!A1287</f>
        <v/>
      </c>
      <c r="B1287" s="10" t="n"/>
      <c r="C1287" s="11">
        <f>IF(B1287="","",PERCENTRANK.INC($B$2:$B$2501,B1287)*100)</f>
        <v/>
      </c>
      <c r="D1287" s="10" t="n"/>
      <c r="E1287" s="10">
        <f>IF(D1287="","",MIN(D1287,100))</f>
        <v/>
      </c>
      <c r="F1287" s="10" t="n"/>
      <c r="G1287" s="10">
        <f>IF(F1287="","",MIN(F1287,100))</f>
        <v/>
      </c>
      <c r="H1287" s="11">
        <f>IF(A1287="","",Universe!E1287/BDP(A1287&amp;" US Equity","HIGH_52WEEK")*100)</f>
        <v/>
      </c>
      <c r="I1287">
        <f>IF(D1287="","",D1287&gt;=5)</f>
        <v/>
      </c>
      <c r="J1287">
        <f>IF(F1287="","",F1287&gt;=5)</f>
        <v/>
      </c>
      <c r="K1287">
        <f>IF(H1287="","",H1287&gt;=75)</f>
        <v/>
      </c>
      <c r="L1287">
        <f>IF(OR(I1287="",J1287="",K1287=""),FALSE,AND(I1287,J1287,K1287))</f>
        <v/>
      </c>
    </row>
    <row r="1288">
      <c r="A1288">
        <f>Universe!A1288</f>
        <v/>
      </c>
      <c r="B1288" s="10" t="n"/>
      <c r="C1288" s="11">
        <f>IF(B1288="","",PERCENTRANK.INC($B$2:$B$2501,B1288)*100)</f>
        <v/>
      </c>
      <c r="D1288" s="10" t="n"/>
      <c r="E1288" s="10">
        <f>IF(D1288="","",MIN(D1288,100))</f>
        <v/>
      </c>
      <c r="F1288" s="10" t="n"/>
      <c r="G1288" s="10">
        <f>IF(F1288="","",MIN(F1288,100))</f>
        <v/>
      </c>
      <c r="H1288" s="11">
        <f>IF(A1288="","",Universe!E1288/BDP(A1288&amp;" US Equity","HIGH_52WEEK")*100)</f>
        <v/>
      </c>
      <c r="I1288">
        <f>IF(D1288="","",D1288&gt;=5)</f>
        <v/>
      </c>
      <c r="J1288">
        <f>IF(F1288="","",F1288&gt;=5)</f>
        <v/>
      </c>
      <c r="K1288">
        <f>IF(H1288="","",H1288&gt;=75)</f>
        <v/>
      </c>
      <c r="L1288">
        <f>IF(OR(I1288="",J1288="",K1288=""),FALSE,AND(I1288,J1288,K1288))</f>
        <v/>
      </c>
    </row>
    <row r="1289">
      <c r="A1289">
        <f>Universe!A1289</f>
        <v/>
      </c>
      <c r="B1289" s="10" t="n"/>
      <c r="C1289" s="11">
        <f>IF(B1289="","",PERCENTRANK.INC($B$2:$B$2501,B1289)*100)</f>
        <v/>
      </c>
      <c r="D1289" s="10" t="n"/>
      <c r="E1289" s="10">
        <f>IF(D1289="","",MIN(D1289,100))</f>
        <v/>
      </c>
      <c r="F1289" s="10" t="n"/>
      <c r="G1289" s="10">
        <f>IF(F1289="","",MIN(F1289,100))</f>
        <v/>
      </c>
      <c r="H1289" s="11">
        <f>IF(A1289="","",Universe!E1289/BDP(A1289&amp;" US Equity","HIGH_52WEEK")*100)</f>
        <v/>
      </c>
      <c r="I1289">
        <f>IF(D1289="","",D1289&gt;=5)</f>
        <v/>
      </c>
      <c r="J1289">
        <f>IF(F1289="","",F1289&gt;=5)</f>
        <v/>
      </c>
      <c r="K1289">
        <f>IF(H1289="","",H1289&gt;=75)</f>
        <v/>
      </c>
      <c r="L1289">
        <f>IF(OR(I1289="",J1289="",K1289=""),FALSE,AND(I1289,J1289,K1289))</f>
        <v/>
      </c>
    </row>
    <row r="1290">
      <c r="A1290">
        <f>Universe!A1290</f>
        <v/>
      </c>
      <c r="B1290" s="10" t="n"/>
      <c r="C1290" s="11">
        <f>IF(B1290="","",PERCENTRANK.INC($B$2:$B$2501,B1290)*100)</f>
        <v/>
      </c>
      <c r="D1290" s="10" t="n"/>
      <c r="E1290" s="10">
        <f>IF(D1290="","",MIN(D1290,100))</f>
        <v/>
      </c>
      <c r="F1290" s="10" t="n"/>
      <c r="G1290" s="10">
        <f>IF(F1290="","",MIN(F1290,100))</f>
        <v/>
      </c>
      <c r="H1290" s="11">
        <f>IF(A1290="","",Universe!E1290/BDP(A1290&amp;" US Equity","HIGH_52WEEK")*100)</f>
        <v/>
      </c>
      <c r="I1290">
        <f>IF(D1290="","",D1290&gt;=5)</f>
        <v/>
      </c>
      <c r="J1290">
        <f>IF(F1290="","",F1290&gt;=5)</f>
        <v/>
      </c>
      <c r="K1290">
        <f>IF(H1290="","",H1290&gt;=75)</f>
        <v/>
      </c>
      <c r="L1290">
        <f>IF(OR(I1290="",J1290="",K1290=""),FALSE,AND(I1290,J1290,K1290))</f>
        <v/>
      </c>
    </row>
    <row r="1291">
      <c r="A1291">
        <f>Universe!A1291</f>
        <v/>
      </c>
      <c r="B1291" s="10" t="n"/>
      <c r="C1291" s="11">
        <f>IF(B1291="","",PERCENTRANK.INC($B$2:$B$2501,B1291)*100)</f>
        <v/>
      </c>
      <c r="D1291" s="10" t="n"/>
      <c r="E1291" s="10">
        <f>IF(D1291="","",MIN(D1291,100))</f>
        <v/>
      </c>
      <c r="F1291" s="10" t="n"/>
      <c r="G1291" s="10">
        <f>IF(F1291="","",MIN(F1291,100))</f>
        <v/>
      </c>
      <c r="H1291" s="11">
        <f>IF(A1291="","",Universe!E1291/BDP(A1291&amp;" US Equity","HIGH_52WEEK")*100)</f>
        <v/>
      </c>
      <c r="I1291">
        <f>IF(D1291="","",D1291&gt;=5)</f>
        <v/>
      </c>
      <c r="J1291">
        <f>IF(F1291="","",F1291&gt;=5)</f>
        <v/>
      </c>
      <c r="K1291">
        <f>IF(H1291="","",H1291&gt;=75)</f>
        <v/>
      </c>
      <c r="L1291">
        <f>IF(OR(I1291="",J1291="",K1291=""),FALSE,AND(I1291,J1291,K1291))</f>
        <v/>
      </c>
    </row>
    <row r="1292">
      <c r="A1292">
        <f>Universe!A1292</f>
        <v/>
      </c>
      <c r="B1292" s="10" t="n"/>
      <c r="C1292" s="11">
        <f>IF(B1292="","",PERCENTRANK.INC($B$2:$B$2501,B1292)*100)</f>
        <v/>
      </c>
      <c r="D1292" s="10" t="n"/>
      <c r="E1292" s="10">
        <f>IF(D1292="","",MIN(D1292,100))</f>
        <v/>
      </c>
      <c r="F1292" s="10" t="n"/>
      <c r="G1292" s="10">
        <f>IF(F1292="","",MIN(F1292,100))</f>
        <v/>
      </c>
      <c r="H1292" s="11">
        <f>IF(A1292="","",Universe!E1292/BDP(A1292&amp;" US Equity","HIGH_52WEEK")*100)</f>
        <v/>
      </c>
      <c r="I1292">
        <f>IF(D1292="","",D1292&gt;=5)</f>
        <v/>
      </c>
      <c r="J1292">
        <f>IF(F1292="","",F1292&gt;=5)</f>
        <v/>
      </c>
      <c r="K1292">
        <f>IF(H1292="","",H1292&gt;=75)</f>
        <v/>
      </c>
      <c r="L1292">
        <f>IF(OR(I1292="",J1292="",K1292=""),FALSE,AND(I1292,J1292,K1292))</f>
        <v/>
      </c>
    </row>
    <row r="1293">
      <c r="A1293">
        <f>Universe!A1293</f>
        <v/>
      </c>
      <c r="B1293" s="10" t="n"/>
      <c r="C1293" s="11">
        <f>IF(B1293="","",PERCENTRANK.INC($B$2:$B$2501,B1293)*100)</f>
        <v/>
      </c>
      <c r="D1293" s="10" t="n"/>
      <c r="E1293" s="10">
        <f>IF(D1293="","",MIN(D1293,100))</f>
        <v/>
      </c>
      <c r="F1293" s="10" t="n"/>
      <c r="G1293" s="10">
        <f>IF(F1293="","",MIN(F1293,100))</f>
        <v/>
      </c>
      <c r="H1293" s="11">
        <f>IF(A1293="","",Universe!E1293/BDP(A1293&amp;" US Equity","HIGH_52WEEK")*100)</f>
        <v/>
      </c>
      <c r="I1293">
        <f>IF(D1293="","",D1293&gt;=5)</f>
        <v/>
      </c>
      <c r="J1293">
        <f>IF(F1293="","",F1293&gt;=5)</f>
        <v/>
      </c>
      <c r="K1293">
        <f>IF(H1293="","",H1293&gt;=75)</f>
        <v/>
      </c>
      <c r="L1293">
        <f>IF(OR(I1293="",J1293="",K1293=""),FALSE,AND(I1293,J1293,K1293))</f>
        <v/>
      </c>
    </row>
    <row r="1294">
      <c r="A1294">
        <f>Universe!A1294</f>
        <v/>
      </c>
      <c r="B1294" s="10" t="n"/>
      <c r="C1294" s="11">
        <f>IF(B1294="","",PERCENTRANK.INC($B$2:$B$2501,B1294)*100)</f>
        <v/>
      </c>
      <c r="D1294" s="10" t="n"/>
      <c r="E1294" s="10">
        <f>IF(D1294="","",MIN(D1294,100))</f>
        <v/>
      </c>
      <c r="F1294" s="10" t="n"/>
      <c r="G1294" s="10">
        <f>IF(F1294="","",MIN(F1294,100))</f>
        <v/>
      </c>
      <c r="H1294" s="11">
        <f>IF(A1294="","",Universe!E1294/BDP(A1294&amp;" US Equity","HIGH_52WEEK")*100)</f>
        <v/>
      </c>
      <c r="I1294">
        <f>IF(D1294="","",D1294&gt;=5)</f>
        <v/>
      </c>
      <c r="J1294">
        <f>IF(F1294="","",F1294&gt;=5)</f>
        <v/>
      </c>
      <c r="K1294">
        <f>IF(H1294="","",H1294&gt;=75)</f>
        <v/>
      </c>
      <c r="L1294">
        <f>IF(OR(I1294="",J1294="",K1294=""),FALSE,AND(I1294,J1294,K1294))</f>
        <v/>
      </c>
    </row>
    <row r="1295">
      <c r="A1295">
        <f>Universe!A1295</f>
        <v/>
      </c>
      <c r="B1295" s="10" t="n"/>
      <c r="C1295" s="11">
        <f>IF(B1295="","",PERCENTRANK.INC($B$2:$B$2501,B1295)*100)</f>
        <v/>
      </c>
      <c r="D1295" s="10" t="n"/>
      <c r="E1295" s="10">
        <f>IF(D1295="","",MIN(D1295,100))</f>
        <v/>
      </c>
      <c r="F1295" s="10" t="n"/>
      <c r="G1295" s="10">
        <f>IF(F1295="","",MIN(F1295,100))</f>
        <v/>
      </c>
      <c r="H1295" s="11">
        <f>IF(A1295="","",Universe!E1295/BDP(A1295&amp;" US Equity","HIGH_52WEEK")*100)</f>
        <v/>
      </c>
      <c r="I1295">
        <f>IF(D1295="","",D1295&gt;=5)</f>
        <v/>
      </c>
      <c r="J1295">
        <f>IF(F1295="","",F1295&gt;=5)</f>
        <v/>
      </c>
      <c r="K1295">
        <f>IF(H1295="","",H1295&gt;=75)</f>
        <v/>
      </c>
      <c r="L1295">
        <f>IF(OR(I1295="",J1295="",K1295=""),FALSE,AND(I1295,J1295,K1295))</f>
        <v/>
      </c>
    </row>
    <row r="1296">
      <c r="A1296">
        <f>Universe!A1296</f>
        <v/>
      </c>
      <c r="B1296" s="10" t="n"/>
      <c r="C1296" s="11">
        <f>IF(B1296="","",PERCENTRANK.INC($B$2:$B$2501,B1296)*100)</f>
        <v/>
      </c>
      <c r="D1296" s="10" t="n"/>
      <c r="E1296" s="10">
        <f>IF(D1296="","",MIN(D1296,100))</f>
        <v/>
      </c>
      <c r="F1296" s="10" t="n"/>
      <c r="G1296" s="10">
        <f>IF(F1296="","",MIN(F1296,100))</f>
        <v/>
      </c>
      <c r="H1296" s="11">
        <f>IF(A1296="","",Universe!E1296/BDP(A1296&amp;" US Equity","HIGH_52WEEK")*100)</f>
        <v/>
      </c>
      <c r="I1296">
        <f>IF(D1296="","",D1296&gt;=5)</f>
        <v/>
      </c>
      <c r="J1296">
        <f>IF(F1296="","",F1296&gt;=5)</f>
        <v/>
      </c>
      <c r="K1296">
        <f>IF(H1296="","",H1296&gt;=75)</f>
        <v/>
      </c>
      <c r="L1296">
        <f>IF(OR(I1296="",J1296="",K1296=""),FALSE,AND(I1296,J1296,K1296))</f>
        <v/>
      </c>
    </row>
    <row r="1297">
      <c r="A1297">
        <f>Universe!A1297</f>
        <v/>
      </c>
      <c r="B1297" s="10" t="n"/>
      <c r="C1297" s="11">
        <f>IF(B1297="","",PERCENTRANK.INC($B$2:$B$2501,B1297)*100)</f>
        <v/>
      </c>
      <c r="D1297" s="10" t="n"/>
      <c r="E1297" s="10">
        <f>IF(D1297="","",MIN(D1297,100))</f>
        <v/>
      </c>
      <c r="F1297" s="10" t="n"/>
      <c r="G1297" s="10">
        <f>IF(F1297="","",MIN(F1297,100))</f>
        <v/>
      </c>
      <c r="H1297" s="11">
        <f>IF(A1297="","",Universe!E1297/BDP(A1297&amp;" US Equity","HIGH_52WEEK")*100)</f>
        <v/>
      </c>
      <c r="I1297">
        <f>IF(D1297="","",D1297&gt;=5)</f>
        <v/>
      </c>
      <c r="J1297">
        <f>IF(F1297="","",F1297&gt;=5)</f>
        <v/>
      </c>
      <c r="K1297">
        <f>IF(H1297="","",H1297&gt;=75)</f>
        <v/>
      </c>
      <c r="L1297">
        <f>IF(OR(I1297="",J1297="",K1297=""),FALSE,AND(I1297,J1297,K1297))</f>
        <v/>
      </c>
    </row>
    <row r="1298">
      <c r="A1298">
        <f>Universe!A1298</f>
        <v/>
      </c>
      <c r="B1298" s="10" t="n"/>
      <c r="C1298" s="11">
        <f>IF(B1298="","",PERCENTRANK.INC($B$2:$B$2501,B1298)*100)</f>
        <v/>
      </c>
      <c r="D1298" s="10" t="n"/>
      <c r="E1298" s="10">
        <f>IF(D1298="","",MIN(D1298,100))</f>
        <v/>
      </c>
      <c r="F1298" s="10" t="n"/>
      <c r="G1298" s="10">
        <f>IF(F1298="","",MIN(F1298,100))</f>
        <v/>
      </c>
      <c r="H1298" s="11">
        <f>IF(A1298="","",Universe!E1298/BDP(A1298&amp;" US Equity","HIGH_52WEEK")*100)</f>
        <v/>
      </c>
      <c r="I1298">
        <f>IF(D1298="","",D1298&gt;=5)</f>
        <v/>
      </c>
      <c r="J1298">
        <f>IF(F1298="","",F1298&gt;=5)</f>
        <v/>
      </c>
      <c r="K1298">
        <f>IF(H1298="","",H1298&gt;=75)</f>
        <v/>
      </c>
      <c r="L1298">
        <f>IF(OR(I1298="",J1298="",K1298=""),FALSE,AND(I1298,J1298,K1298))</f>
        <v/>
      </c>
    </row>
    <row r="1299">
      <c r="A1299">
        <f>Universe!A1299</f>
        <v/>
      </c>
      <c r="B1299" s="10" t="n"/>
      <c r="C1299" s="11">
        <f>IF(B1299="","",PERCENTRANK.INC($B$2:$B$2501,B1299)*100)</f>
        <v/>
      </c>
      <c r="D1299" s="10" t="n"/>
      <c r="E1299" s="10">
        <f>IF(D1299="","",MIN(D1299,100))</f>
        <v/>
      </c>
      <c r="F1299" s="10" t="n"/>
      <c r="G1299" s="10">
        <f>IF(F1299="","",MIN(F1299,100))</f>
        <v/>
      </c>
      <c r="H1299" s="11">
        <f>IF(A1299="","",Universe!E1299/BDP(A1299&amp;" US Equity","HIGH_52WEEK")*100)</f>
        <v/>
      </c>
      <c r="I1299">
        <f>IF(D1299="","",D1299&gt;=5)</f>
        <v/>
      </c>
      <c r="J1299">
        <f>IF(F1299="","",F1299&gt;=5)</f>
        <v/>
      </c>
      <c r="K1299">
        <f>IF(H1299="","",H1299&gt;=75)</f>
        <v/>
      </c>
      <c r="L1299">
        <f>IF(OR(I1299="",J1299="",K1299=""),FALSE,AND(I1299,J1299,K1299))</f>
        <v/>
      </c>
    </row>
    <row r="1300">
      <c r="A1300">
        <f>Universe!A1300</f>
        <v/>
      </c>
      <c r="B1300" s="10" t="n"/>
      <c r="C1300" s="11">
        <f>IF(B1300="","",PERCENTRANK.INC($B$2:$B$2501,B1300)*100)</f>
        <v/>
      </c>
      <c r="D1300" s="10" t="n"/>
      <c r="E1300" s="10">
        <f>IF(D1300="","",MIN(D1300,100))</f>
        <v/>
      </c>
      <c r="F1300" s="10" t="n"/>
      <c r="G1300" s="10">
        <f>IF(F1300="","",MIN(F1300,100))</f>
        <v/>
      </c>
      <c r="H1300" s="11">
        <f>IF(A1300="","",Universe!E1300/BDP(A1300&amp;" US Equity","HIGH_52WEEK")*100)</f>
        <v/>
      </c>
      <c r="I1300">
        <f>IF(D1300="","",D1300&gt;=5)</f>
        <v/>
      </c>
      <c r="J1300">
        <f>IF(F1300="","",F1300&gt;=5)</f>
        <v/>
      </c>
      <c r="K1300">
        <f>IF(H1300="","",H1300&gt;=75)</f>
        <v/>
      </c>
      <c r="L1300">
        <f>IF(OR(I1300="",J1300="",K1300=""),FALSE,AND(I1300,J1300,K1300))</f>
        <v/>
      </c>
    </row>
    <row r="1301">
      <c r="A1301">
        <f>Universe!A1301</f>
        <v/>
      </c>
      <c r="B1301" s="10" t="n"/>
      <c r="C1301" s="11">
        <f>IF(B1301="","",PERCENTRANK.INC($B$2:$B$2501,B1301)*100)</f>
        <v/>
      </c>
      <c r="D1301" s="10" t="n"/>
      <c r="E1301" s="10">
        <f>IF(D1301="","",MIN(D1301,100))</f>
        <v/>
      </c>
      <c r="F1301" s="10" t="n"/>
      <c r="G1301" s="10">
        <f>IF(F1301="","",MIN(F1301,100))</f>
        <v/>
      </c>
      <c r="H1301" s="11">
        <f>IF(A1301="","",Universe!E1301/BDP(A1301&amp;" US Equity","HIGH_52WEEK")*100)</f>
        <v/>
      </c>
      <c r="I1301">
        <f>IF(D1301="","",D1301&gt;=5)</f>
        <v/>
      </c>
      <c r="J1301">
        <f>IF(F1301="","",F1301&gt;=5)</f>
        <v/>
      </c>
      <c r="K1301">
        <f>IF(H1301="","",H1301&gt;=75)</f>
        <v/>
      </c>
      <c r="L1301">
        <f>IF(OR(I1301="",J1301="",K1301=""),FALSE,AND(I1301,J1301,K1301))</f>
        <v/>
      </c>
    </row>
    <row r="1302">
      <c r="A1302">
        <f>Universe!A1302</f>
        <v/>
      </c>
      <c r="B1302" s="10" t="n"/>
      <c r="C1302" s="11">
        <f>IF(B1302="","",PERCENTRANK.INC($B$2:$B$2501,B1302)*100)</f>
        <v/>
      </c>
      <c r="D1302" s="10" t="n"/>
      <c r="E1302" s="10">
        <f>IF(D1302="","",MIN(D1302,100))</f>
        <v/>
      </c>
      <c r="F1302" s="10" t="n"/>
      <c r="G1302" s="10">
        <f>IF(F1302="","",MIN(F1302,100))</f>
        <v/>
      </c>
      <c r="H1302" s="11">
        <f>IF(A1302="","",Universe!E1302/BDP(A1302&amp;" US Equity","HIGH_52WEEK")*100)</f>
        <v/>
      </c>
      <c r="I1302">
        <f>IF(D1302="","",D1302&gt;=5)</f>
        <v/>
      </c>
      <c r="J1302">
        <f>IF(F1302="","",F1302&gt;=5)</f>
        <v/>
      </c>
      <c r="K1302">
        <f>IF(H1302="","",H1302&gt;=75)</f>
        <v/>
      </c>
      <c r="L1302">
        <f>IF(OR(I1302="",J1302="",K1302=""),FALSE,AND(I1302,J1302,K1302))</f>
        <v/>
      </c>
    </row>
    <row r="1303">
      <c r="A1303">
        <f>Universe!A1303</f>
        <v/>
      </c>
      <c r="B1303" s="10" t="n"/>
      <c r="C1303" s="11">
        <f>IF(B1303="","",PERCENTRANK.INC($B$2:$B$2501,B1303)*100)</f>
        <v/>
      </c>
      <c r="D1303" s="10" t="n"/>
      <c r="E1303" s="10">
        <f>IF(D1303="","",MIN(D1303,100))</f>
        <v/>
      </c>
      <c r="F1303" s="10" t="n"/>
      <c r="G1303" s="10">
        <f>IF(F1303="","",MIN(F1303,100))</f>
        <v/>
      </c>
      <c r="H1303" s="11">
        <f>IF(A1303="","",Universe!E1303/BDP(A1303&amp;" US Equity","HIGH_52WEEK")*100)</f>
        <v/>
      </c>
      <c r="I1303">
        <f>IF(D1303="","",D1303&gt;=5)</f>
        <v/>
      </c>
      <c r="J1303">
        <f>IF(F1303="","",F1303&gt;=5)</f>
        <v/>
      </c>
      <c r="K1303">
        <f>IF(H1303="","",H1303&gt;=75)</f>
        <v/>
      </c>
      <c r="L1303">
        <f>IF(OR(I1303="",J1303="",K1303=""),FALSE,AND(I1303,J1303,K1303))</f>
        <v/>
      </c>
    </row>
    <row r="1304">
      <c r="A1304">
        <f>Universe!A1304</f>
        <v/>
      </c>
      <c r="B1304" s="10" t="n"/>
      <c r="C1304" s="11">
        <f>IF(B1304="","",PERCENTRANK.INC($B$2:$B$2501,B1304)*100)</f>
        <v/>
      </c>
      <c r="D1304" s="10" t="n"/>
      <c r="E1304" s="10">
        <f>IF(D1304="","",MIN(D1304,100))</f>
        <v/>
      </c>
      <c r="F1304" s="10" t="n"/>
      <c r="G1304" s="10">
        <f>IF(F1304="","",MIN(F1304,100))</f>
        <v/>
      </c>
      <c r="H1304" s="11">
        <f>IF(A1304="","",Universe!E1304/BDP(A1304&amp;" US Equity","HIGH_52WEEK")*100)</f>
        <v/>
      </c>
      <c r="I1304">
        <f>IF(D1304="","",D1304&gt;=5)</f>
        <v/>
      </c>
      <c r="J1304">
        <f>IF(F1304="","",F1304&gt;=5)</f>
        <v/>
      </c>
      <c r="K1304">
        <f>IF(H1304="","",H1304&gt;=75)</f>
        <v/>
      </c>
      <c r="L1304">
        <f>IF(OR(I1304="",J1304="",K1304=""),FALSE,AND(I1304,J1304,K1304))</f>
        <v/>
      </c>
    </row>
    <row r="1305">
      <c r="A1305">
        <f>Universe!A1305</f>
        <v/>
      </c>
      <c r="B1305" s="10" t="n"/>
      <c r="C1305" s="11">
        <f>IF(B1305="","",PERCENTRANK.INC($B$2:$B$2501,B1305)*100)</f>
        <v/>
      </c>
      <c r="D1305" s="10" t="n"/>
      <c r="E1305" s="10">
        <f>IF(D1305="","",MIN(D1305,100))</f>
        <v/>
      </c>
      <c r="F1305" s="10" t="n"/>
      <c r="G1305" s="10">
        <f>IF(F1305="","",MIN(F1305,100))</f>
        <v/>
      </c>
      <c r="H1305" s="11">
        <f>IF(A1305="","",Universe!E1305/BDP(A1305&amp;" US Equity","HIGH_52WEEK")*100)</f>
        <v/>
      </c>
      <c r="I1305">
        <f>IF(D1305="","",D1305&gt;=5)</f>
        <v/>
      </c>
      <c r="J1305">
        <f>IF(F1305="","",F1305&gt;=5)</f>
        <v/>
      </c>
      <c r="K1305">
        <f>IF(H1305="","",H1305&gt;=75)</f>
        <v/>
      </c>
      <c r="L1305">
        <f>IF(OR(I1305="",J1305="",K1305=""),FALSE,AND(I1305,J1305,K1305))</f>
        <v/>
      </c>
    </row>
    <row r="1306">
      <c r="A1306">
        <f>Universe!A1306</f>
        <v/>
      </c>
      <c r="B1306" s="10" t="n"/>
      <c r="C1306" s="11">
        <f>IF(B1306="","",PERCENTRANK.INC($B$2:$B$2501,B1306)*100)</f>
        <v/>
      </c>
      <c r="D1306" s="10" t="n"/>
      <c r="E1306" s="10">
        <f>IF(D1306="","",MIN(D1306,100))</f>
        <v/>
      </c>
      <c r="F1306" s="10" t="n"/>
      <c r="G1306" s="10">
        <f>IF(F1306="","",MIN(F1306,100))</f>
        <v/>
      </c>
      <c r="H1306" s="11">
        <f>IF(A1306="","",Universe!E1306/BDP(A1306&amp;" US Equity","HIGH_52WEEK")*100)</f>
        <v/>
      </c>
      <c r="I1306">
        <f>IF(D1306="","",D1306&gt;=5)</f>
        <v/>
      </c>
      <c r="J1306">
        <f>IF(F1306="","",F1306&gt;=5)</f>
        <v/>
      </c>
      <c r="K1306">
        <f>IF(H1306="","",H1306&gt;=75)</f>
        <v/>
      </c>
      <c r="L1306">
        <f>IF(OR(I1306="",J1306="",K1306=""),FALSE,AND(I1306,J1306,K1306))</f>
        <v/>
      </c>
    </row>
    <row r="1307">
      <c r="A1307">
        <f>Universe!A1307</f>
        <v/>
      </c>
      <c r="B1307" s="10" t="n"/>
      <c r="C1307" s="11">
        <f>IF(B1307="","",PERCENTRANK.INC($B$2:$B$2501,B1307)*100)</f>
        <v/>
      </c>
      <c r="D1307" s="10" t="n"/>
      <c r="E1307" s="10">
        <f>IF(D1307="","",MIN(D1307,100))</f>
        <v/>
      </c>
      <c r="F1307" s="10" t="n"/>
      <c r="G1307" s="10">
        <f>IF(F1307="","",MIN(F1307,100))</f>
        <v/>
      </c>
      <c r="H1307" s="11">
        <f>IF(A1307="","",Universe!E1307/BDP(A1307&amp;" US Equity","HIGH_52WEEK")*100)</f>
        <v/>
      </c>
      <c r="I1307">
        <f>IF(D1307="","",D1307&gt;=5)</f>
        <v/>
      </c>
      <c r="J1307">
        <f>IF(F1307="","",F1307&gt;=5)</f>
        <v/>
      </c>
      <c r="K1307">
        <f>IF(H1307="","",H1307&gt;=75)</f>
        <v/>
      </c>
      <c r="L1307">
        <f>IF(OR(I1307="",J1307="",K1307=""),FALSE,AND(I1307,J1307,K1307))</f>
        <v/>
      </c>
    </row>
    <row r="1308">
      <c r="A1308">
        <f>Universe!A1308</f>
        <v/>
      </c>
      <c r="B1308" s="10" t="n"/>
      <c r="C1308" s="11">
        <f>IF(B1308="","",PERCENTRANK.INC($B$2:$B$2501,B1308)*100)</f>
        <v/>
      </c>
      <c r="D1308" s="10" t="n"/>
      <c r="E1308" s="10">
        <f>IF(D1308="","",MIN(D1308,100))</f>
        <v/>
      </c>
      <c r="F1308" s="10" t="n"/>
      <c r="G1308" s="10">
        <f>IF(F1308="","",MIN(F1308,100))</f>
        <v/>
      </c>
      <c r="H1308" s="11">
        <f>IF(A1308="","",Universe!E1308/BDP(A1308&amp;" US Equity","HIGH_52WEEK")*100)</f>
        <v/>
      </c>
      <c r="I1308">
        <f>IF(D1308="","",D1308&gt;=5)</f>
        <v/>
      </c>
      <c r="J1308">
        <f>IF(F1308="","",F1308&gt;=5)</f>
        <v/>
      </c>
      <c r="K1308">
        <f>IF(H1308="","",H1308&gt;=75)</f>
        <v/>
      </c>
      <c r="L1308">
        <f>IF(OR(I1308="",J1308="",K1308=""),FALSE,AND(I1308,J1308,K1308))</f>
        <v/>
      </c>
    </row>
    <row r="1309">
      <c r="A1309">
        <f>Universe!A1309</f>
        <v/>
      </c>
      <c r="B1309" s="10" t="n"/>
      <c r="C1309" s="11">
        <f>IF(B1309="","",PERCENTRANK.INC($B$2:$B$2501,B1309)*100)</f>
        <v/>
      </c>
      <c r="D1309" s="10" t="n"/>
      <c r="E1309" s="10">
        <f>IF(D1309="","",MIN(D1309,100))</f>
        <v/>
      </c>
      <c r="F1309" s="10" t="n"/>
      <c r="G1309" s="10">
        <f>IF(F1309="","",MIN(F1309,100))</f>
        <v/>
      </c>
      <c r="H1309" s="11">
        <f>IF(A1309="","",Universe!E1309/BDP(A1309&amp;" US Equity","HIGH_52WEEK")*100)</f>
        <v/>
      </c>
      <c r="I1309">
        <f>IF(D1309="","",D1309&gt;=5)</f>
        <v/>
      </c>
      <c r="J1309">
        <f>IF(F1309="","",F1309&gt;=5)</f>
        <v/>
      </c>
      <c r="K1309">
        <f>IF(H1309="","",H1309&gt;=75)</f>
        <v/>
      </c>
      <c r="L1309">
        <f>IF(OR(I1309="",J1309="",K1309=""),FALSE,AND(I1309,J1309,K1309))</f>
        <v/>
      </c>
    </row>
    <row r="1310">
      <c r="A1310">
        <f>Universe!A1310</f>
        <v/>
      </c>
      <c r="B1310" s="10" t="n"/>
      <c r="C1310" s="11">
        <f>IF(B1310="","",PERCENTRANK.INC($B$2:$B$2501,B1310)*100)</f>
        <v/>
      </c>
      <c r="D1310" s="10" t="n"/>
      <c r="E1310" s="10">
        <f>IF(D1310="","",MIN(D1310,100))</f>
        <v/>
      </c>
      <c r="F1310" s="10" t="n"/>
      <c r="G1310" s="10">
        <f>IF(F1310="","",MIN(F1310,100))</f>
        <v/>
      </c>
      <c r="H1310" s="11">
        <f>IF(A1310="","",Universe!E1310/BDP(A1310&amp;" US Equity","HIGH_52WEEK")*100)</f>
        <v/>
      </c>
      <c r="I1310">
        <f>IF(D1310="","",D1310&gt;=5)</f>
        <v/>
      </c>
      <c r="J1310">
        <f>IF(F1310="","",F1310&gt;=5)</f>
        <v/>
      </c>
      <c r="K1310">
        <f>IF(H1310="","",H1310&gt;=75)</f>
        <v/>
      </c>
      <c r="L1310">
        <f>IF(OR(I1310="",J1310="",K1310=""),FALSE,AND(I1310,J1310,K1310))</f>
        <v/>
      </c>
    </row>
    <row r="1311">
      <c r="A1311">
        <f>Universe!A1311</f>
        <v/>
      </c>
      <c r="B1311" s="10" t="n"/>
      <c r="C1311" s="11">
        <f>IF(B1311="","",PERCENTRANK.INC($B$2:$B$2501,B1311)*100)</f>
        <v/>
      </c>
      <c r="D1311" s="10" t="n"/>
      <c r="E1311" s="10">
        <f>IF(D1311="","",MIN(D1311,100))</f>
        <v/>
      </c>
      <c r="F1311" s="10" t="n"/>
      <c r="G1311" s="10">
        <f>IF(F1311="","",MIN(F1311,100))</f>
        <v/>
      </c>
      <c r="H1311" s="11">
        <f>IF(A1311="","",Universe!E1311/BDP(A1311&amp;" US Equity","HIGH_52WEEK")*100)</f>
        <v/>
      </c>
      <c r="I1311">
        <f>IF(D1311="","",D1311&gt;=5)</f>
        <v/>
      </c>
      <c r="J1311">
        <f>IF(F1311="","",F1311&gt;=5)</f>
        <v/>
      </c>
      <c r="K1311">
        <f>IF(H1311="","",H1311&gt;=75)</f>
        <v/>
      </c>
      <c r="L1311">
        <f>IF(OR(I1311="",J1311="",K1311=""),FALSE,AND(I1311,J1311,K1311))</f>
        <v/>
      </c>
    </row>
    <row r="1312">
      <c r="A1312">
        <f>Universe!A1312</f>
        <v/>
      </c>
      <c r="B1312" s="10" t="n"/>
      <c r="C1312" s="11">
        <f>IF(B1312="","",PERCENTRANK.INC($B$2:$B$2501,B1312)*100)</f>
        <v/>
      </c>
      <c r="D1312" s="10" t="n"/>
      <c r="E1312" s="10">
        <f>IF(D1312="","",MIN(D1312,100))</f>
        <v/>
      </c>
      <c r="F1312" s="10" t="n"/>
      <c r="G1312" s="10">
        <f>IF(F1312="","",MIN(F1312,100))</f>
        <v/>
      </c>
      <c r="H1312" s="11">
        <f>IF(A1312="","",Universe!E1312/BDP(A1312&amp;" US Equity","HIGH_52WEEK")*100)</f>
        <v/>
      </c>
      <c r="I1312">
        <f>IF(D1312="","",D1312&gt;=5)</f>
        <v/>
      </c>
      <c r="J1312">
        <f>IF(F1312="","",F1312&gt;=5)</f>
        <v/>
      </c>
      <c r="K1312">
        <f>IF(H1312="","",H1312&gt;=75)</f>
        <v/>
      </c>
      <c r="L1312">
        <f>IF(OR(I1312="",J1312="",K1312=""),FALSE,AND(I1312,J1312,K1312))</f>
        <v/>
      </c>
    </row>
    <row r="1313">
      <c r="A1313">
        <f>Universe!A1313</f>
        <v/>
      </c>
      <c r="B1313" s="10" t="n"/>
      <c r="C1313" s="11">
        <f>IF(B1313="","",PERCENTRANK.INC($B$2:$B$2501,B1313)*100)</f>
        <v/>
      </c>
      <c r="D1313" s="10" t="n"/>
      <c r="E1313" s="10">
        <f>IF(D1313="","",MIN(D1313,100))</f>
        <v/>
      </c>
      <c r="F1313" s="10" t="n"/>
      <c r="G1313" s="10">
        <f>IF(F1313="","",MIN(F1313,100))</f>
        <v/>
      </c>
      <c r="H1313" s="11">
        <f>IF(A1313="","",Universe!E1313/BDP(A1313&amp;" US Equity","HIGH_52WEEK")*100)</f>
        <v/>
      </c>
      <c r="I1313">
        <f>IF(D1313="","",D1313&gt;=5)</f>
        <v/>
      </c>
      <c r="J1313">
        <f>IF(F1313="","",F1313&gt;=5)</f>
        <v/>
      </c>
      <c r="K1313">
        <f>IF(H1313="","",H1313&gt;=75)</f>
        <v/>
      </c>
      <c r="L1313">
        <f>IF(OR(I1313="",J1313="",K1313=""),FALSE,AND(I1313,J1313,K1313))</f>
        <v/>
      </c>
    </row>
    <row r="1314">
      <c r="A1314">
        <f>Universe!A1314</f>
        <v/>
      </c>
      <c r="B1314" s="10" t="n"/>
      <c r="C1314" s="11">
        <f>IF(B1314="","",PERCENTRANK.INC($B$2:$B$2501,B1314)*100)</f>
        <v/>
      </c>
      <c r="D1314" s="10" t="n"/>
      <c r="E1314" s="10">
        <f>IF(D1314="","",MIN(D1314,100))</f>
        <v/>
      </c>
      <c r="F1314" s="10" t="n"/>
      <c r="G1314" s="10">
        <f>IF(F1314="","",MIN(F1314,100))</f>
        <v/>
      </c>
      <c r="H1314" s="11">
        <f>IF(A1314="","",Universe!E1314/BDP(A1314&amp;" US Equity","HIGH_52WEEK")*100)</f>
        <v/>
      </c>
      <c r="I1314">
        <f>IF(D1314="","",D1314&gt;=5)</f>
        <v/>
      </c>
      <c r="J1314">
        <f>IF(F1314="","",F1314&gt;=5)</f>
        <v/>
      </c>
      <c r="K1314">
        <f>IF(H1314="","",H1314&gt;=75)</f>
        <v/>
      </c>
      <c r="L1314">
        <f>IF(OR(I1314="",J1314="",K1314=""),FALSE,AND(I1314,J1314,K1314))</f>
        <v/>
      </c>
    </row>
    <row r="1315">
      <c r="A1315">
        <f>Universe!A1315</f>
        <v/>
      </c>
      <c r="B1315" s="10" t="n"/>
      <c r="C1315" s="11">
        <f>IF(B1315="","",PERCENTRANK.INC($B$2:$B$2501,B1315)*100)</f>
        <v/>
      </c>
      <c r="D1315" s="10" t="n"/>
      <c r="E1315" s="10">
        <f>IF(D1315="","",MIN(D1315,100))</f>
        <v/>
      </c>
      <c r="F1315" s="10" t="n"/>
      <c r="G1315" s="10">
        <f>IF(F1315="","",MIN(F1315,100))</f>
        <v/>
      </c>
      <c r="H1315" s="11">
        <f>IF(A1315="","",Universe!E1315/BDP(A1315&amp;" US Equity","HIGH_52WEEK")*100)</f>
        <v/>
      </c>
      <c r="I1315">
        <f>IF(D1315="","",D1315&gt;=5)</f>
        <v/>
      </c>
      <c r="J1315">
        <f>IF(F1315="","",F1315&gt;=5)</f>
        <v/>
      </c>
      <c r="K1315">
        <f>IF(H1315="","",H1315&gt;=75)</f>
        <v/>
      </c>
      <c r="L1315">
        <f>IF(OR(I1315="",J1315="",K1315=""),FALSE,AND(I1315,J1315,K1315))</f>
        <v/>
      </c>
    </row>
    <row r="1316">
      <c r="A1316">
        <f>Universe!A1316</f>
        <v/>
      </c>
      <c r="B1316" s="10" t="n"/>
      <c r="C1316" s="11">
        <f>IF(B1316="","",PERCENTRANK.INC($B$2:$B$2501,B1316)*100)</f>
        <v/>
      </c>
      <c r="D1316" s="10" t="n"/>
      <c r="E1316" s="10">
        <f>IF(D1316="","",MIN(D1316,100))</f>
        <v/>
      </c>
      <c r="F1316" s="10" t="n"/>
      <c r="G1316" s="10">
        <f>IF(F1316="","",MIN(F1316,100))</f>
        <v/>
      </c>
      <c r="H1316" s="11">
        <f>IF(A1316="","",Universe!E1316/BDP(A1316&amp;" US Equity","HIGH_52WEEK")*100)</f>
        <v/>
      </c>
      <c r="I1316">
        <f>IF(D1316="","",D1316&gt;=5)</f>
        <v/>
      </c>
      <c r="J1316">
        <f>IF(F1316="","",F1316&gt;=5)</f>
        <v/>
      </c>
      <c r="K1316">
        <f>IF(H1316="","",H1316&gt;=75)</f>
        <v/>
      </c>
      <c r="L1316">
        <f>IF(OR(I1316="",J1316="",K1316=""),FALSE,AND(I1316,J1316,K1316))</f>
        <v/>
      </c>
    </row>
    <row r="1317">
      <c r="A1317">
        <f>Universe!A1317</f>
        <v/>
      </c>
      <c r="B1317" s="10" t="n"/>
      <c r="C1317" s="11">
        <f>IF(B1317="","",PERCENTRANK.INC($B$2:$B$2501,B1317)*100)</f>
        <v/>
      </c>
      <c r="D1317" s="10" t="n"/>
      <c r="E1317" s="10">
        <f>IF(D1317="","",MIN(D1317,100))</f>
        <v/>
      </c>
      <c r="F1317" s="10" t="n"/>
      <c r="G1317" s="10">
        <f>IF(F1317="","",MIN(F1317,100))</f>
        <v/>
      </c>
      <c r="H1317" s="11">
        <f>IF(A1317="","",Universe!E1317/BDP(A1317&amp;" US Equity","HIGH_52WEEK")*100)</f>
        <v/>
      </c>
      <c r="I1317">
        <f>IF(D1317="","",D1317&gt;=5)</f>
        <v/>
      </c>
      <c r="J1317">
        <f>IF(F1317="","",F1317&gt;=5)</f>
        <v/>
      </c>
      <c r="K1317">
        <f>IF(H1317="","",H1317&gt;=75)</f>
        <v/>
      </c>
      <c r="L1317">
        <f>IF(OR(I1317="",J1317="",K1317=""),FALSE,AND(I1317,J1317,K1317))</f>
        <v/>
      </c>
    </row>
    <row r="1318">
      <c r="A1318">
        <f>Universe!A1318</f>
        <v/>
      </c>
      <c r="B1318" s="10" t="n"/>
      <c r="C1318" s="11">
        <f>IF(B1318="","",PERCENTRANK.INC($B$2:$B$2501,B1318)*100)</f>
        <v/>
      </c>
      <c r="D1318" s="10" t="n"/>
      <c r="E1318" s="10">
        <f>IF(D1318="","",MIN(D1318,100))</f>
        <v/>
      </c>
      <c r="F1318" s="10" t="n"/>
      <c r="G1318" s="10">
        <f>IF(F1318="","",MIN(F1318,100))</f>
        <v/>
      </c>
      <c r="H1318" s="11">
        <f>IF(A1318="","",Universe!E1318/BDP(A1318&amp;" US Equity","HIGH_52WEEK")*100)</f>
        <v/>
      </c>
      <c r="I1318">
        <f>IF(D1318="","",D1318&gt;=5)</f>
        <v/>
      </c>
      <c r="J1318">
        <f>IF(F1318="","",F1318&gt;=5)</f>
        <v/>
      </c>
      <c r="K1318">
        <f>IF(H1318="","",H1318&gt;=75)</f>
        <v/>
      </c>
      <c r="L1318">
        <f>IF(OR(I1318="",J1318="",K1318=""),FALSE,AND(I1318,J1318,K1318))</f>
        <v/>
      </c>
    </row>
    <row r="1319">
      <c r="A1319">
        <f>Universe!A1319</f>
        <v/>
      </c>
      <c r="B1319" s="10" t="n"/>
      <c r="C1319" s="11">
        <f>IF(B1319="","",PERCENTRANK.INC($B$2:$B$2501,B1319)*100)</f>
        <v/>
      </c>
      <c r="D1319" s="10" t="n"/>
      <c r="E1319" s="10">
        <f>IF(D1319="","",MIN(D1319,100))</f>
        <v/>
      </c>
      <c r="F1319" s="10" t="n"/>
      <c r="G1319" s="10">
        <f>IF(F1319="","",MIN(F1319,100))</f>
        <v/>
      </c>
      <c r="H1319" s="11">
        <f>IF(A1319="","",Universe!E1319/BDP(A1319&amp;" US Equity","HIGH_52WEEK")*100)</f>
        <v/>
      </c>
      <c r="I1319">
        <f>IF(D1319="","",D1319&gt;=5)</f>
        <v/>
      </c>
      <c r="J1319">
        <f>IF(F1319="","",F1319&gt;=5)</f>
        <v/>
      </c>
      <c r="K1319">
        <f>IF(H1319="","",H1319&gt;=75)</f>
        <v/>
      </c>
      <c r="L1319">
        <f>IF(OR(I1319="",J1319="",K1319=""),FALSE,AND(I1319,J1319,K1319))</f>
        <v/>
      </c>
    </row>
    <row r="1320">
      <c r="A1320">
        <f>Universe!A1320</f>
        <v/>
      </c>
      <c r="B1320" s="10" t="n"/>
      <c r="C1320" s="11">
        <f>IF(B1320="","",PERCENTRANK.INC($B$2:$B$2501,B1320)*100)</f>
        <v/>
      </c>
      <c r="D1320" s="10" t="n"/>
      <c r="E1320" s="10">
        <f>IF(D1320="","",MIN(D1320,100))</f>
        <v/>
      </c>
      <c r="F1320" s="10" t="n"/>
      <c r="G1320" s="10">
        <f>IF(F1320="","",MIN(F1320,100))</f>
        <v/>
      </c>
      <c r="H1320" s="11">
        <f>IF(A1320="","",Universe!E1320/BDP(A1320&amp;" US Equity","HIGH_52WEEK")*100)</f>
        <v/>
      </c>
      <c r="I1320">
        <f>IF(D1320="","",D1320&gt;=5)</f>
        <v/>
      </c>
      <c r="J1320">
        <f>IF(F1320="","",F1320&gt;=5)</f>
        <v/>
      </c>
      <c r="K1320">
        <f>IF(H1320="","",H1320&gt;=75)</f>
        <v/>
      </c>
      <c r="L1320">
        <f>IF(OR(I1320="",J1320="",K1320=""),FALSE,AND(I1320,J1320,K1320))</f>
        <v/>
      </c>
    </row>
    <row r="1321">
      <c r="A1321">
        <f>Universe!A1321</f>
        <v/>
      </c>
      <c r="B1321" s="10" t="n"/>
      <c r="C1321" s="11">
        <f>IF(B1321="","",PERCENTRANK.INC($B$2:$B$2501,B1321)*100)</f>
        <v/>
      </c>
      <c r="D1321" s="10" t="n"/>
      <c r="E1321" s="10">
        <f>IF(D1321="","",MIN(D1321,100))</f>
        <v/>
      </c>
      <c r="F1321" s="10" t="n"/>
      <c r="G1321" s="10">
        <f>IF(F1321="","",MIN(F1321,100))</f>
        <v/>
      </c>
      <c r="H1321" s="11">
        <f>IF(A1321="","",Universe!E1321/BDP(A1321&amp;" US Equity","HIGH_52WEEK")*100)</f>
        <v/>
      </c>
      <c r="I1321">
        <f>IF(D1321="","",D1321&gt;=5)</f>
        <v/>
      </c>
      <c r="J1321">
        <f>IF(F1321="","",F1321&gt;=5)</f>
        <v/>
      </c>
      <c r="K1321">
        <f>IF(H1321="","",H1321&gt;=75)</f>
        <v/>
      </c>
      <c r="L1321">
        <f>IF(OR(I1321="",J1321="",K1321=""),FALSE,AND(I1321,J1321,K1321))</f>
        <v/>
      </c>
    </row>
    <row r="1322">
      <c r="A1322">
        <f>Universe!A1322</f>
        <v/>
      </c>
      <c r="B1322" s="10" t="n"/>
      <c r="C1322" s="11">
        <f>IF(B1322="","",PERCENTRANK.INC($B$2:$B$2501,B1322)*100)</f>
        <v/>
      </c>
      <c r="D1322" s="10" t="n"/>
      <c r="E1322" s="10">
        <f>IF(D1322="","",MIN(D1322,100))</f>
        <v/>
      </c>
      <c r="F1322" s="10" t="n"/>
      <c r="G1322" s="10">
        <f>IF(F1322="","",MIN(F1322,100))</f>
        <v/>
      </c>
      <c r="H1322" s="11">
        <f>IF(A1322="","",Universe!E1322/BDP(A1322&amp;" US Equity","HIGH_52WEEK")*100)</f>
        <v/>
      </c>
      <c r="I1322">
        <f>IF(D1322="","",D1322&gt;=5)</f>
        <v/>
      </c>
      <c r="J1322">
        <f>IF(F1322="","",F1322&gt;=5)</f>
        <v/>
      </c>
      <c r="K1322">
        <f>IF(H1322="","",H1322&gt;=75)</f>
        <v/>
      </c>
      <c r="L1322">
        <f>IF(OR(I1322="",J1322="",K1322=""),FALSE,AND(I1322,J1322,K1322))</f>
        <v/>
      </c>
    </row>
    <row r="1323">
      <c r="A1323">
        <f>Universe!A1323</f>
        <v/>
      </c>
      <c r="B1323" s="10" t="n"/>
      <c r="C1323" s="11">
        <f>IF(B1323="","",PERCENTRANK.INC($B$2:$B$2501,B1323)*100)</f>
        <v/>
      </c>
      <c r="D1323" s="10" t="n"/>
      <c r="E1323" s="10">
        <f>IF(D1323="","",MIN(D1323,100))</f>
        <v/>
      </c>
      <c r="F1323" s="10" t="n"/>
      <c r="G1323" s="10">
        <f>IF(F1323="","",MIN(F1323,100))</f>
        <v/>
      </c>
      <c r="H1323" s="11">
        <f>IF(A1323="","",Universe!E1323/BDP(A1323&amp;" US Equity","HIGH_52WEEK")*100)</f>
        <v/>
      </c>
      <c r="I1323">
        <f>IF(D1323="","",D1323&gt;=5)</f>
        <v/>
      </c>
      <c r="J1323">
        <f>IF(F1323="","",F1323&gt;=5)</f>
        <v/>
      </c>
      <c r="K1323">
        <f>IF(H1323="","",H1323&gt;=75)</f>
        <v/>
      </c>
      <c r="L1323">
        <f>IF(OR(I1323="",J1323="",K1323=""),FALSE,AND(I1323,J1323,K1323))</f>
        <v/>
      </c>
    </row>
    <row r="1324">
      <c r="A1324">
        <f>Universe!A1324</f>
        <v/>
      </c>
      <c r="B1324" s="10" t="n"/>
      <c r="C1324" s="11">
        <f>IF(B1324="","",PERCENTRANK.INC($B$2:$B$2501,B1324)*100)</f>
        <v/>
      </c>
      <c r="D1324" s="10" t="n"/>
      <c r="E1324" s="10">
        <f>IF(D1324="","",MIN(D1324,100))</f>
        <v/>
      </c>
      <c r="F1324" s="10" t="n"/>
      <c r="G1324" s="10">
        <f>IF(F1324="","",MIN(F1324,100))</f>
        <v/>
      </c>
      <c r="H1324" s="11">
        <f>IF(A1324="","",Universe!E1324/BDP(A1324&amp;" US Equity","HIGH_52WEEK")*100)</f>
        <v/>
      </c>
      <c r="I1324">
        <f>IF(D1324="","",D1324&gt;=5)</f>
        <v/>
      </c>
      <c r="J1324">
        <f>IF(F1324="","",F1324&gt;=5)</f>
        <v/>
      </c>
      <c r="K1324">
        <f>IF(H1324="","",H1324&gt;=75)</f>
        <v/>
      </c>
      <c r="L1324">
        <f>IF(OR(I1324="",J1324="",K1324=""),FALSE,AND(I1324,J1324,K1324))</f>
        <v/>
      </c>
    </row>
    <row r="1325">
      <c r="A1325">
        <f>Universe!A1325</f>
        <v/>
      </c>
      <c r="B1325" s="10" t="n"/>
      <c r="C1325" s="11">
        <f>IF(B1325="","",PERCENTRANK.INC($B$2:$B$2501,B1325)*100)</f>
        <v/>
      </c>
      <c r="D1325" s="10" t="n"/>
      <c r="E1325" s="10">
        <f>IF(D1325="","",MIN(D1325,100))</f>
        <v/>
      </c>
      <c r="F1325" s="10" t="n"/>
      <c r="G1325" s="10">
        <f>IF(F1325="","",MIN(F1325,100))</f>
        <v/>
      </c>
      <c r="H1325" s="11">
        <f>IF(A1325="","",Universe!E1325/BDP(A1325&amp;" US Equity","HIGH_52WEEK")*100)</f>
        <v/>
      </c>
      <c r="I1325">
        <f>IF(D1325="","",D1325&gt;=5)</f>
        <v/>
      </c>
      <c r="J1325">
        <f>IF(F1325="","",F1325&gt;=5)</f>
        <v/>
      </c>
      <c r="K1325">
        <f>IF(H1325="","",H1325&gt;=75)</f>
        <v/>
      </c>
      <c r="L1325">
        <f>IF(OR(I1325="",J1325="",K1325=""),FALSE,AND(I1325,J1325,K1325))</f>
        <v/>
      </c>
    </row>
    <row r="1326">
      <c r="A1326">
        <f>Universe!A1326</f>
        <v/>
      </c>
      <c r="B1326" s="10" t="n"/>
      <c r="C1326" s="11">
        <f>IF(B1326="","",PERCENTRANK.INC($B$2:$B$2501,B1326)*100)</f>
        <v/>
      </c>
      <c r="D1326" s="10" t="n"/>
      <c r="E1326" s="10">
        <f>IF(D1326="","",MIN(D1326,100))</f>
        <v/>
      </c>
      <c r="F1326" s="10" t="n"/>
      <c r="G1326" s="10">
        <f>IF(F1326="","",MIN(F1326,100))</f>
        <v/>
      </c>
      <c r="H1326" s="11">
        <f>IF(A1326="","",Universe!E1326/BDP(A1326&amp;" US Equity","HIGH_52WEEK")*100)</f>
        <v/>
      </c>
      <c r="I1326">
        <f>IF(D1326="","",D1326&gt;=5)</f>
        <v/>
      </c>
      <c r="J1326">
        <f>IF(F1326="","",F1326&gt;=5)</f>
        <v/>
      </c>
      <c r="K1326">
        <f>IF(H1326="","",H1326&gt;=75)</f>
        <v/>
      </c>
      <c r="L1326">
        <f>IF(OR(I1326="",J1326="",K1326=""),FALSE,AND(I1326,J1326,K1326))</f>
        <v/>
      </c>
    </row>
    <row r="1327">
      <c r="A1327">
        <f>Universe!A1327</f>
        <v/>
      </c>
      <c r="B1327" s="10" t="n"/>
      <c r="C1327" s="11">
        <f>IF(B1327="","",PERCENTRANK.INC($B$2:$B$2501,B1327)*100)</f>
        <v/>
      </c>
      <c r="D1327" s="10" t="n"/>
      <c r="E1327" s="10">
        <f>IF(D1327="","",MIN(D1327,100))</f>
        <v/>
      </c>
      <c r="F1327" s="10" t="n"/>
      <c r="G1327" s="10">
        <f>IF(F1327="","",MIN(F1327,100))</f>
        <v/>
      </c>
      <c r="H1327" s="11">
        <f>IF(A1327="","",Universe!E1327/BDP(A1327&amp;" US Equity","HIGH_52WEEK")*100)</f>
        <v/>
      </c>
      <c r="I1327">
        <f>IF(D1327="","",D1327&gt;=5)</f>
        <v/>
      </c>
      <c r="J1327">
        <f>IF(F1327="","",F1327&gt;=5)</f>
        <v/>
      </c>
      <c r="K1327">
        <f>IF(H1327="","",H1327&gt;=75)</f>
        <v/>
      </c>
      <c r="L1327">
        <f>IF(OR(I1327="",J1327="",K1327=""),FALSE,AND(I1327,J1327,K1327))</f>
        <v/>
      </c>
    </row>
    <row r="1328">
      <c r="A1328">
        <f>Universe!A1328</f>
        <v/>
      </c>
      <c r="B1328" s="10" t="n"/>
      <c r="C1328" s="11">
        <f>IF(B1328="","",PERCENTRANK.INC($B$2:$B$2501,B1328)*100)</f>
        <v/>
      </c>
      <c r="D1328" s="10" t="n"/>
      <c r="E1328" s="10">
        <f>IF(D1328="","",MIN(D1328,100))</f>
        <v/>
      </c>
      <c r="F1328" s="10" t="n"/>
      <c r="G1328" s="10">
        <f>IF(F1328="","",MIN(F1328,100))</f>
        <v/>
      </c>
      <c r="H1328" s="11">
        <f>IF(A1328="","",Universe!E1328/BDP(A1328&amp;" US Equity","HIGH_52WEEK")*100)</f>
        <v/>
      </c>
      <c r="I1328">
        <f>IF(D1328="","",D1328&gt;=5)</f>
        <v/>
      </c>
      <c r="J1328">
        <f>IF(F1328="","",F1328&gt;=5)</f>
        <v/>
      </c>
      <c r="K1328">
        <f>IF(H1328="","",H1328&gt;=75)</f>
        <v/>
      </c>
      <c r="L1328">
        <f>IF(OR(I1328="",J1328="",K1328=""),FALSE,AND(I1328,J1328,K1328))</f>
        <v/>
      </c>
    </row>
    <row r="1329">
      <c r="A1329">
        <f>Universe!A1329</f>
        <v/>
      </c>
      <c r="B1329" s="10" t="n"/>
      <c r="C1329" s="11">
        <f>IF(B1329="","",PERCENTRANK.INC($B$2:$B$2501,B1329)*100)</f>
        <v/>
      </c>
      <c r="D1329" s="10" t="n"/>
      <c r="E1329" s="10">
        <f>IF(D1329="","",MIN(D1329,100))</f>
        <v/>
      </c>
      <c r="F1329" s="10" t="n"/>
      <c r="G1329" s="10">
        <f>IF(F1329="","",MIN(F1329,100))</f>
        <v/>
      </c>
      <c r="H1329" s="11">
        <f>IF(A1329="","",Universe!E1329/BDP(A1329&amp;" US Equity","HIGH_52WEEK")*100)</f>
        <v/>
      </c>
      <c r="I1329">
        <f>IF(D1329="","",D1329&gt;=5)</f>
        <v/>
      </c>
      <c r="J1329">
        <f>IF(F1329="","",F1329&gt;=5)</f>
        <v/>
      </c>
      <c r="K1329">
        <f>IF(H1329="","",H1329&gt;=75)</f>
        <v/>
      </c>
      <c r="L1329">
        <f>IF(OR(I1329="",J1329="",K1329=""),FALSE,AND(I1329,J1329,K1329))</f>
        <v/>
      </c>
    </row>
    <row r="1330">
      <c r="A1330">
        <f>Universe!A1330</f>
        <v/>
      </c>
      <c r="B1330" s="10" t="n"/>
      <c r="C1330" s="11">
        <f>IF(B1330="","",PERCENTRANK.INC($B$2:$B$2501,B1330)*100)</f>
        <v/>
      </c>
      <c r="D1330" s="10" t="n"/>
      <c r="E1330" s="10">
        <f>IF(D1330="","",MIN(D1330,100))</f>
        <v/>
      </c>
      <c r="F1330" s="10" t="n"/>
      <c r="G1330" s="10">
        <f>IF(F1330="","",MIN(F1330,100))</f>
        <v/>
      </c>
      <c r="H1330" s="11">
        <f>IF(A1330="","",Universe!E1330/BDP(A1330&amp;" US Equity","HIGH_52WEEK")*100)</f>
        <v/>
      </c>
      <c r="I1330">
        <f>IF(D1330="","",D1330&gt;=5)</f>
        <v/>
      </c>
      <c r="J1330">
        <f>IF(F1330="","",F1330&gt;=5)</f>
        <v/>
      </c>
      <c r="K1330">
        <f>IF(H1330="","",H1330&gt;=75)</f>
        <v/>
      </c>
      <c r="L1330">
        <f>IF(OR(I1330="",J1330="",K1330=""),FALSE,AND(I1330,J1330,K1330))</f>
        <v/>
      </c>
    </row>
    <row r="1331">
      <c r="A1331">
        <f>Universe!A1331</f>
        <v/>
      </c>
      <c r="B1331" s="10" t="n"/>
      <c r="C1331" s="11">
        <f>IF(B1331="","",PERCENTRANK.INC($B$2:$B$2501,B1331)*100)</f>
        <v/>
      </c>
      <c r="D1331" s="10" t="n"/>
      <c r="E1331" s="10">
        <f>IF(D1331="","",MIN(D1331,100))</f>
        <v/>
      </c>
      <c r="F1331" s="10" t="n"/>
      <c r="G1331" s="10">
        <f>IF(F1331="","",MIN(F1331,100))</f>
        <v/>
      </c>
      <c r="H1331" s="11">
        <f>IF(A1331="","",Universe!E1331/BDP(A1331&amp;" US Equity","HIGH_52WEEK")*100)</f>
        <v/>
      </c>
      <c r="I1331">
        <f>IF(D1331="","",D1331&gt;=5)</f>
        <v/>
      </c>
      <c r="J1331">
        <f>IF(F1331="","",F1331&gt;=5)</f>
        <v/>
      </c>
      <c r="K1331">
        <f>IF(H1331="","",H1331&gt;=75)</f>
        <v/>
      </c>
      <c r="L1331">
        <f>IF(OR(I1331="",J1331="",K1331=""),FALSE,AND(I1331,J1331,K1331))</f>
        <v/>
      </c>
    </row>
    <row r="1332">
      <c r="A1332">
        <f>Universe!A1332</f>
        <v/>
      </c>
      <c r="B1332" s="10" t="n"/>
      <c r="C1332" s="11">
        <f>IF(B1332="","",PERCENTRANK.INC($B$2:$B$2501,B1332)*100)</f>
        <v/>
      </c>
      <c r="D1332" s="10" t="n"/>
      <c r="E1332" s="10">
        <f>IF(D1332="","",MIN(D1332,100))</f>
        <v/>
      </c>
      <c r="F1332" s="10" t="n"/>
      <c r="G1332" s="10">
        <f>IF(F1332="","",MIN(F1332,100))</f>
        <v/>
      </c>
      <c r="H1332" s="11">
        <f>IF(A1332="","",Universe!E1332/BDP(A1332&amp;" US Equity","HIGH_52WEEK")*100)</f>
        <v/>
      </c>
      <c r="I1332">
        <f>IF(D1332="","",D1332&gt;=5)</f>
        <v/>
      </c>
      <c r="J1332">
        <f>IF(F1332="","",F1332&gt;=5)</f>
        <v/>
      </c>
      <c r="K1332">
        <f>IF(H1332="","",H1332&gt;=75)</f>
        <v/>
      </c>
      <c r="L1332">
        <f>IF(OR(I1332="",J1332="",K1332=""),FALSE,AND(I1332,J1332,K1332))</f>
        <v/>
      </c>
    </row>
    <row r="1333">
      <c r="A1333">
        <f>Universe!A1333</f>
        <v/>
      </c>
      <c r="B1333" s="10" t="n"/>
      <c r="C1333" s="11">
        <f>IF(B1333="","",PERCENTRANK.INC($B$2:$B$2501,B1333)*100)</f>
        <v/>
      </c>
      <c r="D1333" s="10" t="n"/>
      <c r="E1333" s="10">
        <f>IF(D1333="","",MIN(D1333,100))</f>
        <v/>
      </c>
      <c r="F1333" s="10" t="n"/>
      <c r="G1333" s="10">
        <f>IF(F1333="","",MIN(F1333,100))</f>
        <v/>
      </c>
      <c r="H1333" s="11">
        <f>IF(A1333="","",Universe!E1333/BDP(A1333&amp;" US Equity","HIGH_52WEEK")*100)</f>
        <v/>
      </c>
      <c r="I1333">
        <f>IF(D1333="","",D1333&gt;=5)</f>
        <v/>
      </c>
      <c r="J1333">
        <f>IF(F1333="","",F1333&gt;=5)</f>
        <v/>
      </c>
      <c r="K1333">
        <f>IF(H1333="","",H1333&gt;=75)</f>
        <v/>
      </c>
      <c r="L1333">
        <f>IF(OR(I1333="",J1333="",K1333=""),FALSE,AND(I1333,J1333,K1333))</f>
        <v/>
      </c>
    </row>
    <row r="1334">
      <c r="A1334">
        <f>Universe!A1334</f>
        <v/>
      </c>
      <c r="B1334" s="10" t="n"/>
      <c r="C1334" s="11">
        <f>IF(B1334="","",PERCENTRANK.INC($B$2:$B$2501,B1334)*100)</f>
        <v/>
      </c>
      <c r="D1334" s="10" t="n"/>
      <c r="E1334" s="10">
        <f>IF(D1334="","",MIN(D1334,100))</f>
        <v/>
      </c>
      <c r="F1334" s="10" t="n"/>
      <c r="G1334" s="10">
        <f>IF(F1334="","",MIN(F1334,100))</f>
        <v/>
      </c>
      <c r="H1334" s="11">
        <f>IF(A1334="","",Universe!E1334/BDP(A1334&amp;" US Equity","HIGH_52WEEK")*100)</f>
        <v/>
      </c>
      <c r="I1334">
        <f>IF(D1334="","",D1334&gt;=5)</f>
        <v/>
      </c>
      <c r="J1334">
        <f>IF(F1334="","",F1334&gt;=5)</f>
        <v/>
      </c>
      <c r="K1334">
        <f>IF(H1334="","",H1334&gt;=75)</f>
        <v/>
      </c>
      <c r="L1334">
        <f>IF(OR(I1334="",J1334="",K1334=""),FALSE,AND(I1334,J1334,K1334))</f>
        <v/>
      </c>
    </row>
    <row r="1335">
      <c r="A1335">
        <f>Universe!A1335</f>
        <v/>
      </c>
      <c r="B1335" s="10" t="n"/>
      <c r="C1335" s="11">
        <f>IF(B1335="","",PERCENTRANK.INC($B$2:$B$2501,B1335)*100)</f>
        <v/>
      </c>
      <c r="D1335" s="10" t="n"/>
      <c r="E1335" s="10">
        <f>IF(D1335="","",MIN(D1335,100))</f>
        <v/>
      </c>
      <c r="F1335" s="10" t="n"/>
      <c r="G1335" s="10">
        <f>IF(F1335="","",MIN(F1335,100))</f>
        <v/>
      </c>
      <c r="H1335" s="11">
        <f>IF(A1335="","",Universe!E1335/BDP(A1335&amp;" US Equity","HIGH_52WEEK")*100)</f>
        <v/>
      </c>
      <c r="I1335">
        <f>IF(D1335="","",D1335&gt;=5)</f>
        <v/>
      </c>
      <c r="J1335">
        <f>IF(F1335="","",F1335&gt;=5)</f>
        <v/>
      </c>
      <c r="K1335">
        <f>IF(H1335="","",H1335&gt;=75)</f>
        <v/>
      </c>
      <c r="L1335">
        <f>IF(OR(I1335="",J1335="",K1335=""),FALSE,AND(I1335,J1335,K1335))</f>
        <v/>
      </c>
    </row>
    <row r="1336">
      <c r="A1336">
        <f>Universe!A1336</f>
        <v/>
      </c>
      <c r="B1336" s="10" t="n"/>
      <c r="C1336" s="11">
        <f>IF(B1336="","",PERCENTRANK.INC($B$2:$B$2501,B1336)*100)</f>
        <v/>
      </c>
      <c r="D1336" s="10" t="n"/>
      <c r="E1336" s="10">
        <f>IF(D1336="","",MIN(D1336,100))</f>
        <v/>
      </c>
      <c r="F1336" s="10" t="n"/>
      <c r="G1336" s="10">
        <f>IF(F1336="","",MIN(F1336,100))</f>
        <v/>
      </c>
      <c r="H1336" s="11">
        <f>IF(A1336="","",Universe!E1336/BDP(A1336&amp;" US Equity","HIGH_52WEEK")*100)</f>
        <v/>
      </c>
      <c r="I1336">
        <f>IF(D1336="","",D1336&gt;=5)</f>
        <v/>
      </c>
      <c r="J1336">
        <f>IF(F1336="","",F1336&gt;=5)</f>
        <v/>
      </c>
      <c r="K1336">
        <f>IF(H1336="","",H1336&gt;=75)</f>
        <v/>
      </c>
      <c r="L1336">
        <f>IF(OR(I1336="",J1336="",K1336=""),FALSE,AND(I1336,J1336,K1336))</f>
        <v/>
      </c>
    </row>
    <row r="1337">
      <c r="A1337">
        <f>Universe!A1337</f>
        <v/>
      </c>
      <c r="B1337" s="10" t="n"/>
      <c r="C1337" s="11">
        <f>IF(B1337="","",PERCENTRANK.INC($B$2:$B$2501,B1337)*100)</f>
        <v/>
      </c>
      <c r="D1337" s="10" t="n"/>
      <c r="E1337" s="10">
        <f>IF(D1337="","",MIN(D1337,100))</f>
        <v/>
      </c>
      <c r="F1337" s="10" t="n"/>
      <c r="G1337" s="10">
        <f>IF(F1337="","",MIN(F1337,100))</f>
        <v/>
      </c>
      <c r="H1337" s="11">
        <f>IF(A1337="","",Universe!E1337/BDP(A1337&amp;" US Equity","HIGH_52WEEK")*100)</f>
        <v/>
      </c>
      <c r="I1337">
        <f>IF(D1337="","",D1337&gt;=5)</f>
        <v/>
      </c>
      <c r="J1337">
        <f>IF(F1337="","",F1337&gt;=5)</f>
        <v/>
      </c>
      <c r="K1337">
        <f>IF(H1337="","",H1337&gt;=75)</f>
        <v/>
      </c>
      <c r="L1337">
        <f>IF(OR(I1337="",J1337="",K1337=""),FALSE,AND(I1337,J1337,K1337))</f>
        <v/>
      </c>
    </row>
    <row r="1338">
      <c r="A1338">
        <f>Universe!A1338</f>
        <v/>
      </c>
      <c r="B1338" s="10" t="n"/>
      <c r="C1338" s="11">
        <f>IF(B1338="","",PERCENTRANK.INC($B$2:$B$2501,B1338)*100)</f>
        <v/>
      </c>
      <c r="D1338" s="10" t="n"/>
      <c r="E1338" s="10">
        <f>IF(D1338="","",MIN(D1338,100))</f>
        <v/>
      </c>
      <c r="F1338" s="10" t="n"/>
      <c r="G1338" s="10">
        <f>IF(F1338="","",MIN(F1338,100))</f>
        <v/>
      </c>
      <c r="H1338" s="11">
        <f>IF(A1338="","",Universe!E1338/BDP(A1338&amp;" US Equity","HIGH_52WEEK")*100)</f>
        <v/>
      </c>
      <c r="I1338">
        <f>IF(D1338="","",D1338&gt;=5)</f>
        <v/>
      </c>
      <c r="J1338">
        <f>IF(F1338="","",F1338&gt;=5)</f>
        <v/>
      </c>
      <c r="K1338">
        <f>IF(H1338="","",H1338&gt;=75)</f>
        <v/>
      </c>
      <c r="L1338">
        <f>IF(OR(I1338="",J1338="",K1338=""),FALSE,AND(I1338,J1338,K1338))</f>
        <v/>
      </c>
    </row>
    <row r="1339">
      <c r="A1339">
        <f>Universe!A1339</f>
        <v/>
      </c>
      <c r="B1339" s="10" t="n"/>
      <c r="C1339" s="11">
        <f>IF(B1339="","",PERCENTRANK.INC($B$2:$B$2501,B1339)*100)</f>
        <v/>
      </c>
      <c r="D1339" s="10" t="n"/>
      <c r="E1339" s="10">
        <f>IF(D1339="","",MIN(D1339,100))</f>
        <v/>
      </c>
      <c r="F1339" s="10" t="n"/>
      <c r="G1339" s="10">
        <f>IF(F1339="","",MIN(F1339,100))</f>
        <v/>
      </c>
      <c r="H1339" s="11">
        <f>IF(A1339="","",Universe!E1339/BDP(A1339&amp;" US Equity","HIGH_52WEEK")*100)</f>
        <v/>
      </c>
      <c r="I1339">
        <f>IF(D1339="","",D1339&gt;=5)</f>
        <v/>
      </c>
      <c r="J1339">
        <f>IF(F1339="","",F1339&gt;=5)</f>
        <v/>
      </c>
      <c r="K1339">
        <f>IF(H1339="","",H1339&gt;=75)</f>
        <v/>
      </c>
      <c r="L1339">
        <f>IF(OR(I1339="",J1339="",K1339=""),FALSE,AND(I1339,J1339,K1339))</f>
        <v/>
      </c>
    </row>
    <row r="1340">
      <c r="A1340">
        <f>Universe!A1340</f>
        <v/>
      </c>
      <c r="B1340" s="10" t="n"/>
      <c r="C1340" s="11">
        <f>IF(B1340="","",PERCENTRANK.INC($B$2:$B$2501,B1340)*100)</f>
        <v/>
      </c>
      <c r="D1340" s="10" t="n"/>
      <c r="E1340" s="10">
        <f>IF(D1340="","",MIN(D1340,100))</f>
        <v/>
      </c>
      <c r="F1340" s="10" t="n"/>
      <c r="G1340" s="10">
        <f>IF(F1340="","",MIN(F1340,100))</f>
        <v/>
      </c>
      <c r="H1340" s="11">
        <f>IF(A1340="","",Universe!E1340/BDP(A1340&amp;" US Equity","HIGH_52WEEK")*100)</f>
        <v/>
      </c>
      <c r="I1340">
        <f>IF(D1340="","",D1340&gt;=5)</f>
        <v/>
      </c>
      <c r="J1340">
        <f>IF(F1340="","",F1340&gt;=5)</f>
        <v/>
      </c>
      <c r="K1340">
        <f>IF(H1340="","",H1340&gt;=75)</f>
        <v/>
      </c>
      <c r="L1340">
        <f>IF(OR(I1340="",J1340="",K1340=""),FALSE,AND(I1340,J1340,K1340))</f>
        <v/>
      </c>
    </row>
    <row r="1341">
      <c r="A1341">
        <f>Universe!A1341</f>
        <v/>
      </c>
      <c r="B1341" s="10" t="n"/>
      <c r="C1341" s="11">
        <f>IF(B1341="","",PERCENTRANK.INC($B$2:$B$2501,B1341)*100)</f>
        <v/>
      </c>
      <c r="D1341" s="10" t="n"/>
      <c r="E1341" s="10">
        <f>IF(D1341="","",MIN(D1341,100))</f>
        <v/>
      </c>
      <c r="F1341" s="10" t="n"/>
      <c r="G1341" s="10">
        <f>IF(F1341="","",MIN(F1341,100))</f>
        <v/>
      </c>
      <c r="H1341" s="11">
        <f>IF(A1341="","",Universe!E1341/BDP(A1341&amp;" US Equity","HIGH_52WEEK")*100)</f>
        <v/>
      </c>
      <c r="I1341">
        <f>IF(D1341="","",D1341&gt;=5)</f>
        <v/>
      </c>
      <c r="J1341">
        <f>IF(F1341="","",F1341&gt;=5)</f>
        <v/>
      </c>
      <c r="K1341">
        <f>IF(H1341="","",H1341&gt;=75)</f>
        <v/>
      </c>
      <c r="L1341">
        <f>IF(OR(I1341="",J1341="",K1341=""),FALSE,AND(I1341,J1341,K1341))</f>
        <v/>
      </c>
    </row>
    <row r="1342">
      <c r="A1342">
        <f>Universe!A1342</f>
        <v/>
      </c>
      <c r="B1342" s="10" t="n"/>
      <c r="C1342" s="11">
        <f>IF(B1342="","",PERCENTRANK.INC($B$2:$B$2501,B1342)*100)</f>
        <v/>
      </c>
      <c r="D1342" s="10" t="n"/>
      <c r="E1342" s="10">
        <f>IF(D1342="","",MIN(D1342,100))</f>
        <v/>
      </c>
      <c r="F1342" s="10" t="n"/>
      <c r="G1342" s="10">
        <f>IF(F1342="","",MIN(F1342,100))</f>
        <v/>
      </c>
      <c r="H1342" s="11">
        <f>IF(A1342="","",Universe!E1342/BDP(A1342&amp;" US Equity","HIGH_52WEEK")*100)</f>
        <v/>
      </c>
      <c r="I1342">
        <f>IF(D1342="","",D1342&gt;=5)</f>
        <v/>
      </c>
      <c r="J1342">
        <f>IF(F1342="","",F1342&gt;=5)</f>
        <v/>
      </c>
      <c r="K1342">
        <f>IF(H1342="","",H1342&gt;=75)</f>
        <v/>
      </c>
      <c r="L1342">
        <f>IF(OR(I1342="",J1342="",K1342=""),FALSE,AND(I1342,J1342,K1342))</f>
        <v/>
      </c>
    </row>
    <row r="1343">
      <c r="A1343">
        <f>Universe!A1343</f>
        <v/>
      </c>
      <c r="B1343" s="10" t="n"/>
      <c r="C1343" s="11">
        <f>IF(B1343="","",PERCENTRANK.INC($B$2:$B$2501,B1343)*100)</f>
        <v/>
      </c>
      <c r="D1343" s="10" t="n"/>
      <c r="E1343" s="10">
        <f>IF(D1343="","",MIN(D1343,100))</f>
        <v/>
      </c>
      <c r="F1343" s="10" t="n"/>
      <c r="G1343" s="10">
        <f>IF(F1343="","",MIN(F1343,100))</f>
        <v/>
      </c>
      <c r="H1343" s="11">
        <f>IF(A1343="","",Universe!E1343/BDP(A1343&amp;" US Equity","HIGH_52WEEK")*100)</f>
        <v/>
      </c>
      <c r="I1343">
        <f>IF(D1343="","",D1343&gt;=5)</f>
        <v/>
      </c>
      <c r="J1343">
        <f>IF(F1343="","",F1343&gt;=5)</f>
        <v/>
      </c>
      <c r="K1343">
        <f>IF(H1343="","",H1343&gt;=75)</f>
        <v/>
      </c>
      <c r="L1343">
        <f>IF(OR(I1343="",J1343="",K1343=""),FALSE,AND(I1343,J1343,K1343))</f>
        <v/>
      </c>
    </row>
    <row r="1344">
      <c r="A1344">
        <f>Universe!A1344</f>
        <v/>
      </c>
      <c r="B1344" s="10" t="n"/>
      <c r="C1344" s="11">
        <f>IF(B1344="","",PERCENTRANK.INC($B$2:$B$2501,B1344)*100)</f>
        <v/>
      </c>
      <c r="D1344" s="10" t="n"/>
      <c r="E1344" s="10">
        <f>IF(D1344="","",MIN(D1344,100))</f>
        <v/>
      </c>
      <c r="F1344" s="10" t="n"/>
      <c r="G1344" s="10">
        <f>IF(F1344="","",MIN(F1344,100))</f>
        <v/>
      </c>
      <c r="H1344" s="11">
        <f>IF(A1344="","",Universe!E1344/BDP(A1344&amp;" US Equity","HIGH_52WEEK")*100)</f>
        <v/>
      </c>
      <c r="I1344">
        <f>IF(D1344="","",D1344&gt;=5)</f>
        <v/>
      </c>
      <c r="J1344">
        <f>IF(F1344="","",F1344&gt;=5)</f>
        <v/>
      </c>
      <c r="K1344">
        <f>IF(H1344="","",H1344&gt;=75)</f>
        <v/>
      </c>
      <c r="L1344">
        <f>IF(OR(I1344="",J1344="",K1344=""),FALSE,AND(I1344,J1344,K1344))</f>
        <v/>
      </c>
    </row>
    <row r="1345">
      <c r="A1345">
        <f>Universe!A1345</f>
        <v/>
      </c>
      <c r="B1345" s="10" t="n"/>
      <c r="C1345" s="11">
        <f>IF(B1345="","",PERCENTRANK.INC($B$2:$B$2501,B1345)*100)</f>
        <v/>
      </c>
      <c r="D1345" s="10" t="n"/>
      <c r="E1345" s="10">
        <f>IF(D1345="","",MIN(D1345,100))</f>
        <v/>
      </c>
      <c r="F1345" s="10" t="n"/>
      <c r="G1345" s="10">
        <f>IF(F1345="","",MIN(F1345,100))</f>
        <v/>
      </c>
      <c r="H1345" s="11">
        <f>IF(A1345="","",Universe!E1345/BDP(A1345&amp;" US Equity","HIGH_52WEEK")*100)</f>
        <v/>
      </c>
      <c r="I1345">
        <f>IF(D1345="","",D1345&gt;=5)</f>
        <v/>
      </c>
      <c r="J1345">
        <f>IF(F1345="","",F1345&gt;=5)</f>
        <v/>
      </c>
      <c r="K1345">
        <f>IF(H1345="","",H1345&gt;=75)</f>
        <v/>
      </c>
      <c r="L1345">
        <f>IF(OR(I1345="",J1345="",K1345=""),FALSE,AND(I1345,J1345,K1345))</f>
        <v/>
      </c>
    </row>
    <row r="1346">
      <c r="A1346">
        <f>Universe!A1346</f>
        <v/>
      </c>
      <c r="B1346" s="10" t="n"/>
      <c r="C1346" s="11">
        <f>IF(B1346="","",PERCENTRANK.INC($B$2:$B$2501,B1346)*100)</f>
        <v/>
      </c>
      <c r="D1346" s="10" t="n"/>
      <c r="E1346" s="10">
        <f>IF(D1346="","",MIN(D1346,100))</f>
        <v/>
      </c>
      <c r="F1346" s="10" t="n"/>
      <c r="G1346" s="10">
        <f>IF(F1346="","",MIN(F1346,100))</f>
        <v/>
      </c>
      <c r="H1346" s="11">
        <f>IF(A1346="","",Universe!E1346/BDP(A1346&amp;" US Equity","HIGH_52WEEK")*100)</f>
        <v/>
      </c>
      <c r="I1346">
        <f>IF(D1346="","",D1346&gt;=5)</f>
        <v/>
      </c>
      <c r="J1346">
        <f>IF(F1346="","",F1346&gt;=5)</f>
        <v/>
      </c>
      <c r="K1346">
        <f>IF(H1346="","",H1346&gt;=75)</f>
        <v/>
      </c>
      <c r="L1346">
        <f>IF(OR(I1346="",J1346="",K1346=""),FALSE,AND(I1346,J1346,K1346))</f>
        <v/>
      </c>
    </row>
    <row r="1347">
      <c r="A1347">
        <f>Universe!A1347</f>
        <v/>
      </c>
      <c r="B1347" s="10" t="n"/>
      <c r="C1347" s="11">
        <f>IF(B1347="","",PERCENTRANK.INC($B$2:$B$2501,B1347)*100)</f>
        <v/>
      </c>
      <c r="D1347" s="10" t="n"/>
      <c r="E1347" s="10">
        <f>IF(D1347="","",MIN(D1347,100))</f>
        <v/>
      </c>
      <c r="F1347" s="10" t="n"/>
      <c r="G1347" s="10">
        <f>IF(F1347="","",MIN(F1347,100))</f>
        <v/>
      </c>
      <c r="H1347" s="11">
        <f>IF(A1347="","",Universe!E1347/BDP(A1347&amp;" US Equity","HIGH_52WEEK")*100)</f>
        <v/>
      </c>
      <c r="I1347">
        <f>IF(D1347="","",D1347&gt;=5)</f>
        <v/>
      </c>
      <c r="J1347">
        <f>IF(F1347="","",F1347&gt;=5)</f>
        <v/>
      </c>
      <c r="K1347">
        <f>IF(H1347="","",H1347&gt;=75)</f>
        <v/>
      </c>
      <c r="L1347">
        <f>IF(OR(I1347="",J1347="",K1347=""),FALSE,AND(I1347,J1347,K1347))</f>
        <v/>
      </c>
    </row>
    <row r="1348">
      <c r="A1348">
        <f>Universe!A1348</f>
        <v/>
      </c>
      <c r="B1348" s="10" t="n"/>
      <c r="C1348" s="11">
        <f>IF(B1348="","",PERCENTRANK.INC($B$2:$B$2501,B1348)*100)</f>
        <v/>
      </c>
      <c r="D1348" s="10" t="n"/>
      <c r="E1348" s="10">
        <f>IF(D1348="","",MIN(D1348,100))</f>
        <v/>
      </c>
      <c r="F1348" s="10" t="n"/>
      <c r="G1348" s="10">
        <f>IF(F1348="","",MIN(F1348,100))</f>
        <v/>
      </c>
      <c r="H1348" s="11">
        <f>IF(A1348="","",Universe!E1348/BDP(A1348&amp;" US Equity","HIGH_52WEEK")*100)</f>
        <v/>
      </c>
      <c r="I1348">
        <f>IF(D1348="","",D1348&gt;=5)</f>
        <v/>
      </c>
      <c r="J1348">
        <f>IF(F1348="","",F1348&gt;=5)</f>
        <v/>
      </c>
      <c r="K1348">
        <f>IF(H1348="","",H1348&gt;=75)</f>
        <v/>
      </c>
      <c r="L1348">
        <f>IF(OR(I1348="",J1348="",K1348=""),FALSE,AND(I1348,J1348,K1348))</f>
        <v/>
      </c>
    </row>
    <row r="1349">
      <c r="A1349">
        <f>Universe!A1349</f>
        <v/>
      </c>
      <c r="B1349" s="10" t="n"/>
      <c r="C1349" s="11">
        <f>IF(B1349="","",PERCENTRANK.INC($B$2:$B$2501,B1349)*100)</f>
        <v/>
      </c>
      <c r="D1349" s="10" t="n"/>
      <c r="E1349" s="10">
        <f>IF(D1349="","",MIN(D1349,100))</f>
        <v/>
      </c>
      <c r="F1349" s="10" t="n"/>
      <c r="G1349" s="10">
        <f>IF(F1349="","",MIN(F1349,100))</f>
        <v/>
      </c>
      <c r="H1349" s="11">
        <f>IF(A1349="","",Universe!E1349/BDP(A1349&amp;" US Equity","HIGH_52WEEK")*100)</f>
        <v/>
      </c>
      <c r="I1349">
        <f>IF(D1349="","",D1349&gt;=5)</f>
        <v/>
      </c>
      <c r="J1349">
        <f>IF(F1349="","",F1349&gt;=5)</f>
        <v/>
      </c>
      <c r="K1349">
        <f>IF(H1349="","",H1349&gt;=75)</f>
        <v/>
      </c>
      <c r="L1349">
        <f>IF(OR(I1349="",J1349="",K1349=""),FALSE,AND(I1349,J1349,K1349))</f>
        <v/>
      </c>
    </row>
    <row r="1350">
      <c r="A1350">
        <f>Universe!A1350</f>
        <v/>
      </c>
      <c r="B1350" s="10" t="n"/>
      <c r="C1350" s="11">
        <f>IF(B1350="","",PERCENTRANK.INC($B$2:$B$2501,B1350)*100)</f>
        <v/>
      </c>
      <c r="D1350" s="10" t="n"/>
      <c r="E1350" s="10">
        <f>IF(D1350="","",MIN(D1350,100))</f>
        <v/>
      </c>
      <c r="F1350" s="10" t="n"/>
      <c r="G1350" s="10">
        <f>IF(F1350="","",MIN(F1350,100))</f>
        <v/>
      </c>
      <c r="H1350" s="11">
        <f>IF(A1350="","",Universe!E1350/BDP(A1350&amp;" US Equity","HIGH_52WEEK")*100)</f>
        <v/>
      </c>
      <c r="I1350">
        <f>IF(D1350="","",D1350&gt;=5)</f>
        <v/>
      </c>
      <c r="J1350">
        <f>IF(F1350="","",F1350&gt;=5)</f>
        <v/>
      </c>
      <c r="K1350">
        <f>IF(H1350="","",H1350&gt;=75)</f>
        <v/>
      </c>
      <c r="L1350">
        <f>IF(OR(I1350="",J1350="",K1350=""),FALSE,AND(I1350,J1350,K1350))</f>
        <v/>
      </c>
    </row>
    <row r="1351">
      <c r="A1351">
        <f>Universe!A1351</f>
        <v/>
      </c>
      <c r="B1351" s="10" t="n"/>
      <c r="C1351" s="11">
        <f>IF(B1351="","",PERCENTRANK.INC($B$2:$B$2501,B1351)*100)</f>
        <v/>
      </c>
      <c r="D1351" s="10" t="n"/>
      <c r="E1351" s="10">
        <f>IF(D1351="","",MIN(D1351,100))</f>
        <v/>
      </c>
      <c r="F1351" s="10" t="n"/>
      <c r="G1351" s="10">
        <f>IF(F1351="","",MIN(F1351,100))</f>
        <v/>
      </c>
      <c r="H1351" s="11">
        <f>IF(A1351="","",Universe!E1351/BDP(A1351&amp;" US Equity","HIGH_52WEEK")*100)</f>
        <v/>
      </c>
      <c r="I1351">
        <f>IF(D1351="","",D1351&gt;=5)</f>
        <v/>
      </c>
      <c r="J1351">
        <f>IF(F1351="","",F1351&gt;=5)</f>
        <v/>
      </c>
      <c r="K1351">
        <f>IF(H1351="","",H1351&gt;=75)</f>
        <v/>
      </c>
      <c r="L1351">
        <f>IF(OR(I1351="",J1351="",K1351=""),FALSE,AND(I1351,J1351,K1351))</f>
        <v/>
      </c>
    </row>
    <row r="1352">
      <c r="A1352">
        <f>Universe!A1352</f>
        <v/>
      </c>
      <c r="B1352" s="10" t="n"/>
      <c r="C1352" s="11">
        <f>IF(B1352="","",PERCENTRANK.INC($B$2:$B$2501,B1352)*100)</f>
        <v/>
      </c>
      <c r="D1352" s="10" t="n"/>
      <c r="E1352" s="10">
        <f>IF(D1352="","",MIN(D1352,100))</f>
        <v/>
      </c>
      <c r="F1352" s="10" t="n"/>
      <c r="G1352" s="10">
        <f>IF(F1352="","",MIN(F1352,100))</f>
        <v/>
      </c>
      <c r="H1352" s="11">
        <f>IF(A1352="","",Universe!E1352/BDP(A1352&amp;" US Equity","HIGH_52WEEK")*100)</f>
        <v/>
      </c>
      <c r="I1352">
        <f>IF(D1352="","",D1352&gt;=5)</f>
        <v/>
      </c>
      <c r="J1352">
        <f>IF(F1352="","",F1352&gt;=5)</f>
        <v/>
      </c>
      <c r="K1352">
        <f>IF(H1352="","",H1352&gt;=75)</f>
        <v/>
      </c>
      <c r="L1352">
        <f>IF(OR(I1352="",J1352="",K1352=""),FALSE,AND(I1352,J1352,K1352))</f>
        <v/>
      </c>
    </row>
    <row r="1353">
      <c r="A1353">
        <f>Universe!A1353</f>
        <v/>
      </c>
      <c r="B1353" s="10" t="n"/>
      <c r="C1353" s="11">
        <f>IF(B1353="","",PERCENTRANK.INC($B$2:$B$2501,B1353)*100)</f>
        <v/>
      </c>
      <c r="D1353" s="10" t="n"/>
      <c r="E1353" s="10">
        <f>IF(D1353="","",MIN(D1353,100))</f>
        <v/>
      </c>
      <c r="F1353" s="10" t="n"/>
      <c r="G1353" s="10">
        <f>IF(F1353="","",MIN(F1353,100))</f>
        <v/>
      </c>
      <c r="H1353" s="11">
        <f>IF(A1353="","",Universe!E1353/BDP(A1353&amp;" US Equity","HIGH_52WEEK")*100)</f>
        <v/>
      </c>
      <c r="I1353">
        <f>IF(D1353="","",D1353&gt;=5)</f>
        <v/>
      </c>
      <c r="J1353">
        <f>IF(F1353="","",F1353&gt;=5)</f>
        <v/>
      </c>
      <c r="K1353">
        <f>IF(H1353="","",H1353&gt;=75)</f>
        <v/>
      </c>
      <c r="L1353">
        <f>IF(OR(I1353="",J1353="",K1353=""),FALSE,AND(I1353,J1353,K1353))</f>
        <v/>
      </c>
    </row>
    <row r="1354">
      <c r="A1354">
        <f>Universe!A1354</f>
        <v/>
      </c>
      <c r="B1354" s="10" t="n"/>
      <c r="C1354" s="11">
        <f>IF(B1354="","",PERCENTRANK.INC($B$2:$B$2501,B1354)*100)</f>
        <v/>
      </c>
      <c r="D1354" s="10" t="n"/>
      <c r="E1354" s="10">
        <f>IF(D1354="","",MIN(D1354,100))</f>
        <v/>
      </c>
      <c r="F1354" s="10" t="n"/>
      <c r="G1354" s="10">
        <f>IF(F1354="","",MIN(F1354,100))</f>
        <v/>
      </c>
      <c r="H1354" s="11">
        <f>IF(A1354="","",Universe!E1354/BDP(A1354&amp;" US Equity","HIGH_52WEEK")*100)</f>
        <v/>
      </c>
      <c r="I1354">
        <f>IF(D1354="","",D1354&gt;=5)</f>
        <v/>
      </c>
      <c r="J1354">
        <f>IF(F1354="","",F1354&gt;=5)</f>
        <v/>
      </c>
      <c r="K1354">
        <f>IF(H1354="","",H1354&gt;=75)</f>
        <v/>
      </c>
      <c r="L1354">
        <f>IF(OR(I1354="",J1354="",K1354=""),FALSE,AND(I1354,J1354,K1354))</f>
        <v/>
      </c>
    </row>
    <row r="1355">
      <c r="A1355">
        <f>Universe!A1355</f>
        <v/>
      </c>
      <c r="B1355" s="10" t="n"/>
      <c r="C1355" s="11">
        <f>IF(B1355="","",PERCENTRANK.INC($B$2:$B$2501,B1355)*100)</f>
        <v/>
      </c>
      <c r="D1355" s="10" t="n"/>
      <c r="E1355" s="10">
        <f>IF(D1355="","",MIN(D1355,100))</f>
        <v/>
      </c>
      <c r="F1355" s="10" t="n"/>
      <c r="G1355" s="10">
        <f>IF(F1355="","",MIN(F1355,100))</f>
        <v/>
      </c>
      <c r="H1355" s="11">
        <f>IF(A1355="","",Universe!E1355/BDP(A1355&amp;" US Equity","HIGH_52WEEK")*100)</f>
        <v/>
      </c>
      <c r="I1355">
        <f>IF(D1355="","",D1355&gt;=5)</f>
        <v/>
      </c>
      <c r="J1355">
        <f>IF(F1355="","",F1355&gt;=5)</f>
        <v/>
      </c>
      <c r="K1355">
        <f>IF(H1355="","",H1355&gt;=75)</f>
        <v/>
      </c>
      <c r="L1355">
        <f>IF(OR(I1355="",J1355="",K1355=""),FALSE,AND(I1355,J1355,K1355))</f>
        <v/>
      </c>
    </row>
    <row r="1356">
      <c r="A1356">
        <f>Universe!A1356</f>
        <v/>
      </c>
      <c r="B1356" s="10" t="n"/>
      <c r="C1356" s="11">
        <f>IF(B1356="","",PERCENTRANK.INC($B$2:$B$2501,B1356)*100)</f>
        <v/>
      </c>
      <c r="D1356" s="10" t="n"/>
      <c r="E1356" s="10">
        <f>IF(D1356="","",MIN(D1356,100))</f>
        <v/>
      </c>
      <c r="F1356" s="10" t="n"/>
      <c r="G1356" s="10">
        <f>IF(F1356="","",MIN(F1356,100))</f>
        <v/>
      </c>
      <c r="H1356" s="11">
        <f>IF(A1356="","",Universe!E1356/BDP(A1356&amp;" US Equity","HIGH_52WEEK")*100)</f>
        <v/>
      </c>
      <c r="I1356">
        <f>IF(D1356="","",D1356&gt;=5)</f>
        <v/>
      </c>
      <c r="J1356">
        <f>IF(F1356="","",F1356&gt;=5)</f>
        <v/>
      </c>
      <c r="K1356">
        <f>IF(H1356="","",H1356&gt;=75)</f>
        <v/>
      </c>
      <c r="L1356">
        <f>IF(OR(I1356="",J1356="",K1356=""),FALSE,AND(I1356,J1356,K1356))</f>
        <v/>
      </c>
    </row>
    <row r="1357">
      <c r="A1357">
        <f>Universe!A1357</f>
        <v/>
      </c>
      <c r="B1357" s="10" t="n"/>
      <c r="C1357" s="11">
        <f>IF(B1357="","",PERCENTRANK.INC($B$2:$B$2501,B1357)*100)</f>
        <v/>
      </c>
      <c r="D1357" s="10" t="n"/>
      <c r="E1357" s="10">
        <f>IF(D1357="","",MIN(D1357,100))</f>
        <v/>
      </c>
      <c r="F1357" s="10" t="n"/>
      <c r="G1357" s="10">
        <f>IF(F1357="","",MIN(F1357,100))</f>
        <v/>
      </c>
      <c r="H1357" s="11">
        <f>IF(A1357="","",Universe!E1357/BDP(A1357&amp;" US Equity","HIGH_52WEEK")*100)</f>
        <v/>
      </c>
      <c r="I1357">
        <f>IF(D1357="","",D1357&gt;=5)</f>
        <v/>
      </c>
      <c r="J1357">
        <f>IF(F1357="","",F1357&gt;=5)</f>
        <v/>
      </c>
      <c r="K1357">
        <f>IF(H1357="","",H1357&gt;=75)</f>
        <v/>
      </c>
      <c r="L1357">
        <f>IF(OR(I1357="",J1357="",K1357=""),FALSE,AND(I1357,J1357,K1357))</f>
        <v/>
      </c>
    </row>
    <row r="1358">
      <c r="A1358">
        <f>Universe!A1358</f>
        <v/>
      </c>
      <c r="B1358" s="10" t="n"/>
      <c r="C1358" s="11">
        <f>IF(B1358="","",PERCENTRANK.INC($B$2:$B$2501,B1358)*100)</f>
        <v/>
      </c>
      <c r="D1358" s="10" t="n"/>
      <c r="E1358" s="10">
        <f>IF(D1358="","",MIN(D1358,100))</f>
        <v/>
      </c>
      <c r="F1358" s="10" t="n"/>
      <c r="G1358" s="10">
        <f>IF(F1358="","",MIN(F1358,100))</f>
        <v/>
      </c>
      <c r="H1358" s="11">
        <f>IF(A1358="","",Universe!E1358/BDP(A1358&amp;" US Equity","HIGH_52WEEK")*100)</f>
        <v/>
      </c>
      <c r="I1358">
        <f>IF(D1358="","",D1358&gt;=5)</f>
        <v/>
      </c>
      <c r="J1358">
        <f>IF(F1358="","",F1358&gt;=5)</f>
        <v/>
      </c>
      <c r="K1358">
        <f>IF(H1358="","",H1358&gt;=75)</f>
        <v/>
      </c>
      <c r="L1358">
        <f>IF(OR(I1358="",J1358="",K1358=""),FALSE,AND(I1358,J1358,K1358))</f>
        <v/>
      </c>
    </row>
    <row r="1359">
      <c r="A1359">
        <f>Universe!A1359</f>
        <v/>
      </c>
      <c r="B1359" s="10" t="n"/>
      <c r="C1359" s="11">
        <f>IF(B1359="","",PERCENTRANK.INC($B$2:$B$2501,B1359)*100)</f>
        <v/>
      </c>
      <c r="D1359" s="10" t="n"/>
      <c r="E1359" s="10">
        <f>IF(D1359="","",MIN(D1359,100))</f>
        <v/>
      </c>
      <c r="F1359" s="10" t="n"/>
      <c r="G1359" s="10">
        <f>IF(F1359="","",MIN(F1359,100))</f>
        <v/>
      </c>
      <c r="H1359" s="11">
        <f>IF(A1359="","",Universe!E1359/BDP(A1359&amp;" US Equity","HIGH_52WEEK")*100)</f>
        <v/>
      </c>
      <c r="I1359">
        <f>IF(D1359="","",D1359&gt;=5)</f>
        <v/>
      </c>
      <c r="J1359">
        <f>IF(F1359="","",F1359&gt;=5)</f>
        <v/>
      </c>
      <c r="K1359">
        <f>IF(H1359="","",H1359&gt;=75)</f>
        <v/>
      </c>
      <c r="L1359">
        <f>IF(OR(I1359="",J1359="",K1359=""),FALSE,AND(I1359,J1359,K1359))</f>
        <v/>
      </c>
    </row>
    <row r="1360">
      <c r="A1360">
        <f>Universe!A1360</f>
        <v/>
      </c>
      <c r="B1360" s="10" t="n"/>
      <c r="C1360" s="11">
        <f>IF(B1360="","",PERCENTRANK.INC($B$2:$B$2501,B1360)*100)</f>
        <v/>
      </c>
      <c r="D1360" s="10" t="n"/>
      <c r="E1360" s="10">
        <f>IF(D1360="","",MIN(D1360,100))</f>
        <v/>
      </c>
      <c r="F1360" s="10" t="n"/>
      <c r="G1360" s="10">
        <f>IF(F1360="","",MIN(F1360,100))</f>
        <v/>
      </c>
      <c r="H1360" s="11">
        <f>IF(A1360="","",Universe!E1360/BDP(A1360&amp;" US Equity","HIGH_52WEEK")*100)</f>
        <v/>
      </c>
      <c r="I1360">
        <f>IF(D1360="","",D1360&gt;=5)</f>
        <v/>
      </c>
      <c r="J1360">
        <f>IF(F1360="","",F1360&gt;=5)</f>
        <v/>
      </c>
      <c r="K1360">
        <f>IF(H1360="","",H1360&gt;=75)</f>
        <v/>
      </c>
      <c r="L1360">
        <f>IF(OR(I1360="",J1360="",K1360=""),FALSE,AND(I1360,J1360,K1360))</f>
        <v/>
      </c>
    </row>
    <row r="1361">
      <c r="A1361">
        <f>Universe!A1361</f>
        <v/>
      </c>
      <c r="B1361" s="10" t="n"/>
      <c r="C1361" s="11">
        <f>IF(B1361="","",PERCENTRANK.INC($B$2:$B$2501,B1361)*100)</f>
        <v/>
      </c>
      <c r="D1361" s="10" t="n"/>
      <c r="E1361" s="10">
        <f>IF(D1361="","",MIN(D1361,100))</f>
        <v/>
      </c>
      <c r="F1361" s="10" t="n"/>
      <c r="G1361" s="10">
        <f>IF(F1361="","",MIN(F1361,100))</f>
        <v/>
      </c>
      <c r="H1361" s="11">
        <f>IF(A1361="","",Universe!E1361/BDP(A1361&amp;" US Equity","HIGH_52WEEK")*100)</f>
        <v/>
      </c>
      <c r="I1361">
        <f>IF(D1361="","",D1361&gt;=5)</f>
        <v/>
      </c>
      <c r="J1361">
        <f>IF(F1361="","",F1361&gt;=5)</f>
        <v/>
      </c>
      <c r="K1361">
        <f>IF(H1361="","",H1361&gt;=75)</f>
        <v/>
      </c>
      <c r="L1361">
        <f>IF(OR(I1361="",J1361="",K1361=""),FALSE,AND(I1361,J1361,K1361))</f>
        <v/>
      </c>
    </row>
    <row r="1362">
      <c r="A1362">
        <f>Universe!A1362</f>
        <v/>
      </c>
      <c r="B1362" s="10" t="n"/>
      <c r="C1362" s="11">
        <f>IF(B1362="","",PERCENTRANK.INC($B$2:$B$2501,B1362)*100)</f>
        <v/>
      </c>
      <c r="D1362" s="10" t="n"/>
      <c r="E1362" s="10">
        <f>IF(D1362="","",MIN(D1362,100))</f>
        <v/>
      </c>
      <c r="F1362" s="10" t="n"/>
      <c r="G1362" s="10">
        <f>IF(F1362="","",MIN(F1362,100))</f>
        <v/>
      </c>
      <c r="H1362" s="11">
        <f>IF(A1362="","",Universe!E1362/BDP(A1362&amp;" US Equity","HIGH_52WEEK")*100)</f>
        <v/>
      </c>
      <c r="I1362">
        <f>IF(D1362="","",D1362&gt;=5)</f>
        <v/>
      </c>
      <c r="J1362">
        <f>IF(F1362="","",F1362&gt;=5)</f>
        <v/>
      </c>
      <c r="K1362">
        <f>IF(H1362="","",H1362&gt;=75)</f>
        <v/>
      </c>
      <c r="L1362">
        <f>IF(OR(I1362="",J1362="",K1362=""),FALSE,AND(I1362,J1362,K1362))</f>
        <v/>
      </c>
    </row>
    <row r="1363">
      <c r="A1363">
        <f>Universe!A1363</f>
        <v/>
      </c>
      <c r="B1363" s="10" t="n"/>
      <c r="C1363" s="11">
        <f>IF(B1363="","",PERCENTRANK.INC($B$2:$B$2501,B1363)*100)</f>
        <v/>
      </c>
      <c r="D1363" s="10" t="n"/>
      <c r="E1363" s="10">
        <f>IF(D1363="","",MIN(D1363,100))</f>
        <v/>
      </c>
      <c r="F1363" s="10" t="n"/>
      <c r="G1363" s="10">
        <f>IF(F1363="","",MIN(F1363,100))</f>
        <v/>
      </c>
      <c r="H1363" s="11">
        <f>IF(A1363="","",Universe!E1363/BDP(A1363&amp;" US Equity","HIGH_52WEEK")*100)</f>
        <v/>
      </c>
      <c r="I1363">
        <f>IF(D1363="","",D1363&gt;=5)</f>
        <v/>
      </c>
      <c r="J1363">
        <f>IF(F1363="","",F1363&gt;=5)</f>
        <v/>
      </c>
      <c r="K1363">
        <f>IF(H1363="","",H1363&gt;=75)</f>
        <v/>
      </c>
      <c r="L1363">
        <f>IF(OR(I1363="",J1363="",K1363=""),FALSE,AND(I1363,J1363,K1363))</f>
        <v/>
      </c>
    </row>
    <row r="1364">
      <c r="A1364">
        <f>Universe!A1364</f>
        <v/>
      </c>
      <c r="B1364" s="10" t="n"/>
      <c r="C1364" s="11">
        <f>IF(B1364="","",PERCENTRANK.INC($B$2:$B$2501,B1364)*100)</f>
        <v/>
      </c>
      <c r="D1364" s="10" t="n"/>
      <c r="E1364" s="10">
        <f>IF(D1364="","",MIN(D1364,100))</f>
        <v/>
      </c>
      <c r="F1364" s="10" t="n"/>
      <c r="G1364" s="10">
        <f>IF(F1364="","",MIN(F1364,100))</f>
        <v/>
      </c>
      <c r="H1364" s="11">
        <f>IF(A1364="","",Universe!E1364/BDP(A1364&amp;" US Equity","HIGH_52WEEK")*100)</f>
        <v/>
      </c>
      <c r="I1364">
        <f>IF(D1364="","",D1364&gt;=5)</f>
        <v/>
      </c>
      <c r="J1364">
        <f>IF(F1364="","",F1364&gt;=5)</f>
        <v/>
      </c>
      <c r="K1364">
        <f>IF(H1364="","",H1364&gt;=75)</f>
        <v/>
      </c>
      <c r="L1364">
        <f>IF(OR(I1364="",J1364="",K1364=""),FALSE,AND(I1364,J1364,K1364))</f>
        <v/>
      </c>
    </row>
    <row r="1365">
      <c r="A1365">
        <f>Universe!A1365</f>
        <v/>
      </c>
      <c r="B1365" s="10" t="n"/>
      <c r="C1365" s="11">
        <f>IF(B1365="","",PERCENTRANK.INC($B$2:$B$2501,B1365)*100)</f>
        <v/>
      </c>
      <c r="D1365" s="10" t="n"/>
      <c r="E1365" s="10">
        <f>IF(D1365="","",MIN(D1365,100))</f>
        <v/>
      </c>
      <c r="F1365" s="10" t="n"/>
      <c r="G1365" s="10">
        <f>IF(F1365="","",MIN(F1365,100))</f>
        <v/>
      </c>
      <c r="H1365" s="11">
        <f>IF(A1365="","",Universe!E1365/BDP(A1365&amp;" US Equity","HIGH_52WEEK")*100)</f>
        <v/>
      </c>
      <c r="I1365">
        <f>IF(D1365="","",D1365&gt;=5)</f>
        <v/>
      </c>
      <c r="J1365">
        <f>IF(F1365="","",F1365&gt;=5)</f>
        <v/>
      </c>
      <c r="K1365">
        <f>IF(H1365="","",H1365&gt;=75)</f>
        <v/>
      </c>
      <c r="L1365">
        <f>IF(OR(I1365="",J1365="",K1365=""),FALSE,AND(I1365,J1365,K1365))</f>
        <v/>
      </c>
    </row>
    <row r="1366">
      <c r="A1366">
        <f>Universe!A1366</f>
        <v/>
      </c>
      <c r="B1366" s="10" t="n"/>
      <c r="C1366" s="11">
        <f>IF(B1366="","",PERCENTRANK.INC($B$2:$B$2501,B1366)*100)</f>
        <v/>
      </c>
      <c r="D1366" s="10" t="n"/>
      <c r="E1366" s="10">
        <f>IF(D1366="","",MIN(D1366,100))</f>
        <v/>
      </c>
      <c r="F1366" s="10" t="n"/>
      <c r="G1366" s="10">
        <f>IF(F1366="","",MIN(F1366,100))</f>
        <v/>
      </c>
      <c r="H1366" s="11">
        <f>IF(A1366="","",Universe!E1366/BDP(A1366&amp;" US Equity","HIGH_52WEEK")*100)</f>
        <v/>
      </c>
      <c r="I1366">
        <f>IF(D1366="","",D1366&gt;=5)</f>
        <v/>
      </c>
      <c r="J1366">
        <f>IF(F1366="","",F1366&gt;=5)</f>
        <v/>
      </c>
      <c r="K1366">
        <f>IF(H1366="","",H1366&gt;=75)</f>
        <v/>
      </c>
      <c r="L1366">
        <f>IF(OR(I1366="",J1366="",K1366=""),FALSE,AND(I1366,J1366,K1366))</f>
        <v/>
      </c>
    </row>
    <row r="1367">
      <c r="A1367">
        <f>Universe!A1367</f>
        <v/>
      </c>
      <c r="B1367" s="10" t="n"/>
      <c r="C1367" s="11">
        <f>IF(B1367="","",PERCENTRANK.INC($B$2:$B$2501,B1367)*100)</f>
        <v/>
      </c>
      <c r="D1367" s="10" t="n"/>
      <c r="E1367" s="10">
        <f>IF(D1367="","",MIN(D1367,100))</f>
        <v/>
      </c>
      <c r="F1367" s="10" t="n"/>
      <c r="G1367" s="10">
        <f>IF(F1367="","",MIN(F1367,100))</f>
        <v/>
      </c>
      <c r="H1367" s="11">
        <f>IF(A1367="","",Universe!E1367/BDP(A1367&amp;" US Equity","HIGH_52WEEK")*100)</f>
        <v/>
      </c>
      <c r="I1367">
        <f>IF(D1367="","",D1367&gt;=5)</f>
        <v/>
      </c>
      <c r="J1367">
        <f>IF(F1367="","",F1367&gt;=5)</f>
        <v/>
      </c>
      <c r="K1367">
        <f>IF(H1367="","",H1367&gt;=75)</f>
        <v/>
      </c>
      <c r="L1367">
        <f>IF(OR(I1367="",J1367="",K1367=""),FALSE,AND(I1367,J1367,K1367))</f>
        <v/>
      </c>
    </row>
    <row r="1368">
      <c r="A1368">
        <f>Universe!A1368</f>
        <v/>
      </c>
      <c r="B1368" s="10" t="n"/>
      <c r="C1368" s="11">
        <f>IF(B1368="","",PERCENTRANK.INC($B$2:$B$2501,B1368)*100)</f>
        <v/>
      </c>
      <c r="D1368" s="10" t="n"/>
      <c r="E1368" s="10">
        <f>IF(D1368="","",MIN(D1368,100))</f>
        <v/>
      </c>
      <c r="F1368" s="10" t="n"/>
      <c r="G1368" s="10">
        <f>IF(F1368="","",MIN(F1368,100))</f>
        <v/>
      </c>
      <c r="H1368" s="11">
        <f>IF(A1368="","",Universe!E1368/BDP(A1368&amp;" US Equity","HIGH_52WEEK")*100)</f>
        <v/>
      </c>
      <c r="I1368">
        <f>IF(D1368="","",D1368&gt;=5)</f>
        <v/>
      </c>
      <c r="J1368">
        <f>IF(F1368="","",F1368&gt;=5)</f>
        <v/>
      </c>
      <c r="K1368">
        <f>IF(H1368="","",H1368&gt;=75)</f>
        <v/>
      </c>
      <c r="L1368">
        <f>IF(OR(I1368="",J1368="",K1368=""),FALSE,AND(I1368,J1368,K1368))</f>
        <v/>
      </c>
    </row>
    <row r="1369">
      <c r="A1369">
        <f>Universe!A1369</f>
        <v/>
      </c>
      <c r="B1369" s="10" t="n"/>
      <c r="C1369" s="11">
        <f>IF(B1369="","",PERCENTRANK.INC($B$2:$B$2501,B1369)*100)</f>
        <v/>
      </c>
      <c r="D1369" s="10" t="n"/>
      <c r="E1369" s="10">
        <f>IF(D1369="","",MIN(D1369,100))</f>
        <v/>
      </c>
      <c r="F1369" s="10" t="n"/>
      <c r="G1369" s="10">
        <f>IF(F1369="","",MIN(F1369,100))</f>
        <v/>
      </c>
      <c r="H1369" s="11">
        <f>IF(A1369="","",Universe!E1369/BDP(A1369&amp;" US Equity","HIGH_52WEEK")*100)</f>
        <v/>
      </c>
      <c r="I1369">
        <f>IF(D1369="","",D1369&gt;=5)</f>
        <v/>
      </c>
      <c r="J1369">
        <f>IF(F1369="","",F1369&gt;=5)</f>
        <v/>
      </c>
      <c r="K1369">
        <f>IF(H1369="","",H1369&gt;=75)</f>
        <v/>
      </c>
      <c r="L1369">
        <f>IF(OR(I1369="",J1369="",K1369=""),FALSE,AND(I1369,J1369,K1369))</f>
        <v/>
      </c>
    </row>
    <row r="1370">
      <c r="A1370">
        <f>Universe!A1370</f>
        <v/>
      </c>
      <c r="B1370" s="10" t="n"/>
      <c r="C1370" s="11">
        <f>IF(B1370="","",PERCENTRANK.INC($B$2:$B$2501,B1370)*100)</f>
        <v/>
      </c>
      <c r="D1370" s="10" t="n"/>
      <c r="E1370" s="10">
        <f>IF(D1370="","",MIN(D1370,100))</f>
        <v/>
      </c>
      <c r="F1370" s="10" t="n"/>
      <c r="G1370" s="10">
        <f>IF(F1370="","",MIN(F1370,100))</f>
        <v/>
      </c>
      <c r="H1370" s="11">
        <f>IF(A1370="","",Universe!E1370/BDP(A1370&amp;" US Equity","HIGH_52WEEK")*100)</f>
        <v/>
      </c>
      <c r="I1370">
        <f>IF(D1370="","",D1370&gt;=5)</f>
        <v/>
      </c>
      <c r="J1370">
        <f>IF(F1370="","",F1370&gt;=5)</f>
        <v/>
      </c>
      <c r="K1370">
        <f>IF(H1370="","",H1370&gt;=75)</f>
        <v/>
      </c>
      <c r="L1370">
        <f>IF(OR(I1370="",J1370="",K1370=""),FALSE,AND(I1370,J1370,K1370))</f>
        <v/>
      </c>
    </row>
    <row r="1371">
      <c r="A1371">
        <f>Universe!A1371</f>
        <v/>
      </c>
      <c r="B1371" s="10" t="n"/>
      <c r="C1371" s="11">
        <f>IF(B1371="","",PERCENTRANK.INC($B$2:$B$2501,B1371)*100)</f>
        <v/>
      </c>
      <c r="D1371" s="10" t="n"/>
      <c r="E1371" s="10">
        <f>IF(D1371="","",MIN(D1371,100))</f>
        <v/>
      </c>
      <c r="F1371" s="10" t="n"/>
      <c r="G1371" s="10">
        <f>IF(F1371="","",MIN(F1371,100))</f>
        <v/>
      </c>
      <c r="H1371" s="11">
        <f>IF(A1371="","",Universe!E1371/BDP(A1371&amp;" US Equity","HIGH_52WEEK")*100)</f>
        <v/>
      </c>
      <c r="I1371">
        <f>IF(D1371="","",D1371&gt;=5)</f>
        <v/>
      </c>
      <c r="J1371">
        <f>IF(F1371="","",F1371&gt;=5)</f>
        <v/>
      </c>
      <c r="K1371">
        <f>IF(H1371="","",H1371&gt;=75)</f>
        <v/>
      </c>
      <c r="L1371">
        <f>IF(OR(I1371="",J1371="",K1371=""),FALSE,AND(I1371,J1371,K1371))</f>
        <v/>
      </c>
    </row>
    <row r="1372">
      <c r="A1372">
        <f>Universe!A1372</f>
        <v/>
      </c>
      <c r="B1372" s="10" t="n"/>
      <c r="C1372" s="11">
        <f>IF(B1372="","",PERCENTRANK.INC($B$2:$B$2501,B1372)*100)</f>
        <v/>
      </c>
      <c r="D1372" s="10" t="n"/>
      <c r="E1372" s="10">
        <f>IF(D1372="","",MIN(D1372,100))</f>
        <v/>
      </c>
      <c r="F1372" s="10" t="n"/>
      <c r="G1372" s="10">
        <f>IF(F1372="","",MIN(F1372,100))</f>
        <v/>
      </c>
      <c r="H1372" s="11">
        <f>IF(A1372="","",Universe!E1372/BDP(A1372&amp;" US Equity","HIGH_52WEEK")*100)</f>
        <v/>
      </c>
      <c r="I1372">
        <f>IF(D1372="","",D1372&gt;=5)</f>
        <v/>
      </c>
      <c r="J1372">
        <f>IF(F1372="","",F1372&gt;=5)</f>
        <v/>
      </c>
      <c r="K1372">
        <f>IF(H1372="","",H1372&gt;=75)</f>
        <v/>
      </c>
      <c r="L1372">
        <f>IF(OR(I1372="",J1372="",K1372=""),FALSE,AND(I1372,J1372,K1372))</f>
        <v/>
      </c>
    </row>
    <row r="1373">
      <c r="A1373">
        <f>Universe!A1373</f>
        <v/>
      </c>
      <c r="B1373" s="10" t="n"/>
      <c r="C1373" s="11">
        <f>IF(B1373="","",PERCENTRANK.INC($B$2:$B$2501,B1373)*100)</f>
        <v/>
      </c>
      <c r="D1373" s="10" t="n"/>
      <c r="E1373" s="10">
        <f>IF(D1373="","",MIN(D1373,100))</f>
        <v/>
      </c>
      <c r="F1373" s="10" t="n"/>
      <c r="G1373" s="10">
        <f>IF(F1373="","",MIN(F1373,100))</f>
        <v/>
      </c>
      <c r="H1373" s="11">
        <f>IF(A1373="","",Universe!E1373/BDP(A1373&amp;" US Equity","HIGH_52WEEK")*100)</f>
        <v/>
      </c>
      <c r="I1373">
        <f>IF(D1373="","",D1373&gt;=5)</f>
        <v/>
      </c>
      <c r="J1373">
        <f>IF(F1373="","",F1373&gt;=5)</f>
        <v/>
      </c>
      <c r="K1373">
        <f>IF(H1373="","",H1373&gt;=75)</f>
        <v/>
      </c>
      <c r="L1373">
        <f>IF(OR(I1373="",J1373="",K1373=""),FALSE,AND(I1373,J1373,K1373))</f>
        <v/>
      </c>
    </row>
    <row r="1374">
      <c r="A1374">
        <f>Universe!A1374</f>
        <v/>
      </c>
      <c r="B1374" s="10" t="n"/>
      <c r="C1374" s="11">
        <f>IF(B1374="","",PERCENTRANK.INC($B$2:$B$2501,B1374)*100)</f>
        <v/>
      </c>
      <c r="D1374" s="10" t="n"/>
      <c r="E1374" s="10">
        <f>IF(D1374="","",MIN(D1374,100))</f>
        <v/>
      </c>
      <c r="F1374" s="10" t="n"/>
      <c r="G1374" s="10">
        <f>IF(F1374="","",MIN(F1374,100))</f>
        <v/>
      </c>
      <c r="H1374" s="11">
        <f>IF(A1374="","",Universe!E1374/BDP(A1374&amp;" US Equity","HIGH_52WEEK")*100)</f>
        <v/>
      </c>
      <c r="I1374">
        <f>IF(D1374="","",D1374&gt;=5)</f>
        <v/>
      </c>
      <c r="J1374">
        <f>IF(F1374="","",F1374&gt;=5)</f>
        <v/>
      </c>
      <c r="K1374">
        <f>IF(H1374="","",H1374&gt;=75)</f>
        <v/>
      </c>
      <c r="L1374">
        <f>IF(OR(I1374="",J1374="",K1374=""),FALSE,AND(I1374,J1374,K1374))</f>
        <v/>
      </c>
    </row>
    <row r="1375">
      <c r="A1375">
        <f>Universe!A1375</f>
        <v/>
      </c>
      <c r="B1375" s="10" t="n"/>
      <c r="C1375" s="11">
        <f>IF(B1375="","",PERCENTRANK.INC($B$2:$B$2501,B1375)*100)</f>
        <v/>
      </c>
      <c r="D1375" s="10" t="n"/>
      <c r="E1375" s="10">
        <f>IF(D1375="","",MIN(D1375,100))</f>
        <v/>
      </c>
      <c r="F1375" s="10" t="n"/>
      <c r="G1375" s="10">
        <f>IF(F1375="","",MIN(F1375,100))</f>
        <v/>
      </c>
      <c r="H1375" s="11">
        <f>IF(A1375="","",Universe!E1375/BDP(A1375&amp;" US Equity","HIGH_52WEEK")*100)</f>
        <v/>
      </c>
      <c r="I1375">
        <f>IF(D1375="","",D1375&gt;=5)</f>
        <v/>
      </c>
      <c r="J1375">
        <f>IF(F1375="","",F1375&gt;=5)</f>
        <v/>
      </c>
      <c r="K1375">
        <f>IF(H1375="","",H1375&gt;=75)</f>
        <v/>
      </c>
      <c r="L1375">
        <f>IF(OR(I1375="",J1375="",K1375=""),FALSE,AND(I1375,J1375,K1375))</f>
        <v/>
      </c>
    </row>
    <row r="1376">
      <c r="A1376">
        <f>Universe!A1376</f>
        <v/>
      </c>
      <c r="B1376" s="10" t="n"/>
      <c r="C1376" s="11">
        <f>IF(B1376="","",PERCENTRANK.INC($B$2:$B$2501,B1376)*100)</f>
        <v/>
      </c>
      <c r="D1376" s="10" t="n"/>
      <c r="E1376" s="10">
        <f>IF(D1376="","",MIN(D1376,100))</f>
        <v/>
      </c>
      <c r="F1376" s="10" t="n"/>
      <c r="G1376" s="10">
        <f>IF(F1376="","",MIN(F1376,100))</f>
        <v/>
      </c>
      <c r="H1376" s="11">
        <f>IF(A1376="","",Universe!E1376/BDP(A1376&amp;" US Equity","HIGH_52WEEK")*100)</f>
        <v/>
      </c>
      <c r="I1376">
        <f>IF(D1376="","",D1376&gt;=5)</f>
        <v/>
      </c>
      <c r="J1376">
        <f>IF(F1376="","",F1376&gt;=5)</f>
        <v/>
      </c>
      <c r="K1376">
        <f>IF(H1376="","",H1376&gt;=75)</f>
        <v/>
      </c>
      <c r="L1376">
        <f>IF(OR(I1376="",J1376="",K1376=""),FALSE,AND(I1376,J1376,K1376))</f>
        <v/>
      </c>
    </row>
    <row r="1377">
      <c r="A1377">
        <f>Universe!A1377</f>
        <v/>
      </c>
      <c r="B1377" s="10" t="n"/>
      <c r="C1377" s="11">
        <f>IF(B1377="","",PERCENTRANK.INC($B$2:$B$2501,B1377)*100)</f>
        <v/>
      </c>
      <c r="D1377" s="10" t="n"/>
      <c r="E1377" s="10">
        <f>IF(D1377="","",MIN(D1377,100))</f>
        <v/>
      </c>
      <c r="F1377" s="10" t="n"/>
      <c r="G1377" s="10">
        <f>IF(F1377="","",MIN(F1377,100))</f>
        <v/>
      </c>
      <c r="H1377" s="11">
        <f>IF(A1377="","",Universe!E1377/BDP(A1377&amp;" US Equity","HIGH_52WEEK")*100)</f>
        <v/>
      </c>
      <c r="I1377">
        <f>IF(D1377="","",D1377&gt;=5)</f>
        <v/>
      </c>
      <c r="J1377">
        <f>IF(F1377="","",F1377&gt;=5)</f>
        <v/>
      </c>
      <c r="K1377">
        <f>IF(H1377="","",H1377&gt;=75)</f>
        <v/>
      </c>
      <c r="L1377">
        <f>IF(OR(I1377="",J1377="",K1377=""),FALSE,AND(I1377,J1377,K1377))</f>
        <v/>
      </c>
    </row>
    <row r="1378">
      <c r="A1378">
        <f>Universe!A1378</f>
        <v/>
      </c>
      <c r="B1378" s="10" t="n"/>
      <c r="C1378" s="11">
        <f>IF(B1378="","",PERCENTRANK.INC($B$2:$B$2501,B1378)*100)</f>
        <v/>
      </c>
      <c r="D1378" s="10" t="n"/>
      <c r="E1378" s="10">
        <f>IF(D1378="","",MIN(D1378,100))</f>
        <v/>
      </c>
      <c r="F1378" s="10" t="n"/>
      <c r="G1378" s="10">
        <f>IF(F1378="","",MIN(F1378,100))</f>
        <v/>
      </c>
      <c r="H1378" s="11">
        <f>IF(A1378="","",Universe!E1378/BDP(A1378&amp;" US Equity","HIGH_52WEEK")*100)</f>
        <v/>
      </c>
      <c r="I1378">
        <f>IF(D1378="","",D1378&gt;=5)</f>
        <v/>
      </c>
      <c r="J1378">
        <f>IF(F1378="","",F1378&gt;=5)</f>
        <v/>
      </c>
      <c r="K1378">
        <f>IF(H1378="","",H1378&gt;=75)</f>
        <v/>
      </c>
      <c r="L1378">
        <f>IF(OR(I1378="",J1378="",K1378=""),FALSE,AND(I1378,J1378,K1378))</f>
        <v/>
      </c>
    </row>
    <row r="1379">
      <c r="A1379">
        <f>Universe!A1379</f>
        <v/>
      </c>
      <c r="B1379" s="10" t="n"/>
      <c r="C1379" s="11">
        <f>IF(B1379="","",PERCENTRANK.INC($B$2:$B$2501,B1379)*100)</f>
        <v/>
      </c>
      <c r="D1379" s="10" t="n"/>
      <c r="E1379" s="10">
        <f>IF(D1379="","",MIN(D1379,100))</f>
        <v/>
      </c>
      <c r="F1379" s="10" t="n"/>
      <c r="G1379" s="10">
        <f>IF(F1379="","",MIN(F1379,100))</f>
        <v/>
      </c>
      <c r="H1379" s="11">
        <f>IF(A1379="","",Universe!E1379/BDP(A1379&amp;" US Equity","HIGH_52WEEK")*100)</f>
        <v/>
      </c>
      <c r="I1379">
        <f>IF(D1379="","",D1379&gt;=5)</f>
        <v/>
      </c>
      <c r="J1379">
        <f>IF(F1379="","",F1379&gt;=5)</f>
        <v/>
      </c>
      <c r="K1379">
        <f>IF(H1379="","",H1379&gt;=75)</f>
        <v/>
      </c>
      <c r="L1379">
        <f>IF(OR(I1379="",J1379="",K1379=""),FALSE,AND(I1379,J1379,K1379))</f>
        <v/>
      </c>
    </row>
    <row r="1380">
      <c r="A1380">
        <f>Universe!A1380</f>
        <v/>
      </c>
      <c r="B1380" s="10" t="n"/>
      <c r="C1380" s="11">
        <f>IF(B1380="","",PERCENTRANK.INC($B$2:$B$2501,B1380)*100)</f>
        <v/>
      </c>
      <c r="D1380" s="10" t="n"/>
      <c r="E1380" s="10">
        <f>IF(D1380="","",MIN(D1380,100))</f>
        <v/>
      </c>
      <c r="F1380" s="10" t="n"/>
      <c r="G1380" s="10">
        <f>IF(F1380="","",MIN(F1380,100))</f>
        <v/>
      </c>
      <c r="H1380" s="11">
        <f>IF(A1380="","",Universe!E1380/BDP(A1380&amp;" US Equity","HIGH_52WEEK")*100)</f>
        <v/>
      </c>
      <c r="I1380">
        <f>IF(D1380="","",D1380&gt;=5)</f>
        <v/>
      </c>
      <c r="J1380">
        <f>IF(F1380="","",F1380&gt;=5)</f>
        <v/>
      </c>
      <c r="K1380">
        <f>IF(H1380="","",H1380&gt;=75)</f>
        <v/>
      </c>
      <c r="L1380">
        <f>IF(OR(I1380="",J1380="",K1380=""),FALSE,AND(I1380,J1380,K1380))</f>
        <v/>
      </c>
    </row>
    <row r="1381">
      <c r="A1381">
        <f>Universe!A1381</f>
        <v/>
      </c>
      <c r="B1381" s="10" t="n"/>
      <c r="C1381" s="11">
        <f>IF(B1381="","",PERCENTRANK.INC($B$2:$B$2501,B1381)*100)</f>
        <v/>
      </c>
      <c r="D1381" s="10" t="n"/>
      <c r="E1381" s="10">
        <f>IF(D1381="","",MIN(D1381,100))</f>
        <v/>
      </c>
      <c r="F1381" s="10" t="n"/>
      <c r="G1381" s="10">
        <f>IF(F1381="","",MIN(F1381,100))</f>
        <v/>
      </c>
      <c r="H1381" s="11">
        <f>IF(A1381="","",Universe!E1381/BDP(A1381&amp;" US Equity","HIGH_52WEEK")*100)</f>
        <v/>
      </c>
      <c r="I1381">
        <f>IF(D1381="","",D1381&gt;=5)</f>
        <v/>
      </c>
      <c r="J1381">
        <f>IF(F1381="","",F1381&gt;=5)</f>
        <v/>
      </c>
      <c r="K1381">
        <f>IF(H1381="","",H1381&gt;=75)</f>
        <v/>
      </c>
      <c r="L1381">
        <f>IF(OR(I1381="",J1381="",K1381=""),FALSE,AND(I1381,J1381,K1381))</f>
        <v/>
      </c>
    </row>
    <row r="1382">
      <c r="A1382">
        <f>Universe!A1382</f>
        <v/>
      </c>
      <c r="B1382" s="10" t="n"/>
      <c r="C1382" s="11">
        <f>IF(B1382="","",PERCENTRANK.INC($B$2:$B$2501,B1382)*100)</f>
        <v/>
      </c>
      <c r="D1382" s="10" t="n"/>
      <c r="E1382" s="10">
        <f>IF(D1382="","",MIN(D1382,100))</f>
        <v/>
      </c>
      <c r="F1382" s="10" t="n"/>
      <c r="G1382" s="10">
        <f>IF(F1382="","",MIN(F1382,100))</f>
        <v/>
      </c>
      <c r="H1382" s="11">
        <f>IF(A1382="","",Universe!E1382/BDP(A1382&amp;" US Equity","HIGH_52WEEK")*100)</f>
        <v/>
      </c>
      <c r="I1382">
        <f>IF(D1382="","",D1382&gt;=5)</f>
        <v/>
      </c>
      <c r="J1382">
        <f>IF(F1382="","",F1382&gt;=5)</f>
        <v/>
      </c>
      <c r="K1382">
        <f>IF(H1382="","",H1382&gt;=75)</f>
        <v/>
      </c>
      <c r="L1382">
        <f>IF(OR(I1382="",J1382="",K1382=""),FALSE,AND(I1382,J1382,K1382))</f>
        <v/>
      </c>
    </row>
    <row r="1383">
      <c r="A1383">
        <f>Universe!A1383</f>
        <v/>
      </c>
      <c r="B1383" s="10" t="n"/>
      <c r="C1383" s="11">
        <f>IF(B1383="","",PERCENTRANK.INC($B$2:$B$2501,B1383)*100)</f>
        <v/>
      </c>
      <c r="D1383" s="10" t="n"/>
      <c r="E1383" s="10">
        <f>IF(D1383="","",MIN(D1383,100))</f>
        <v/>
      </c>
      <c r="F1383" s="10" t="n"/>
      <c r="G1383" s="10">
        <f>IF(F1383="","",MIN(F1383,100))</f>
        <v/>
      </c>
      <c r="H1383" s="11">
        <f>IF(A1383="","",Universe!E1383/BDP(A1383&amp;" US Equity","HIGH_52WEEK")*100)</f>
        <v/>
      </c>
      <c r="I1383">
        <f>IF(D1383="","",D1383&gt;=5)</f>
        <v/>
      </c>
      <c r="J1383">
        <f>IF(F1383="","",F1383&gt;=5)</f>
        <v/>
      </c>
      <c r="K1383">
        <f>IF(H1383="","",H1383&gt;=75)</f>
        <v/>
      </c>
      <c r="L1383">
        <f>IF(OR(I1383="",J1383="",K1383=""),FALSE,AND(I1383,J1383,K1383))</f>
        <v/>
      </c>
    </row>
    <row r="1384">
      <c r="A1384">
        <f>Universe!A1384</f>
        <v/>
      </c>
      <c r="B1384" s="10" t="n"/>
      <c r="C1384" s="11">
        <f>IF(B1384="","",PERCENTRANK.INC($B$2:$B$2501,B1384)*100)</f>
        <v/>
      </c>
      <c r="D1384" s="10" t="n"/>
      <c r="E1384" s="10">
        <f>IF(D1384="","",MIN(D1384,100))</f>
        <v/>
      </c>
      <c r="F1384" s="10" t="n"/>
      <c r="G1384" s="10">
        <f>IF(F1384="","",MIN(F1384,100))</f>
        <v/>
      </c>
      <c r="H1384" s="11">
        <f>IF(A1384="","",Universe!E1384/BDP(A1384&amp;" US Equity","HIGH_52WEEK")*100)</f>
        <v/>
      </c>
      <c r="I1384">
        <f>IF(D1384="","",D1384&gt;=5)</f>
        <v/>
      </c>
      <c r="J1384">
        <f>IF(F1384="","",F1384&gt;=5)</f>
        <v/>
      </c>
      <c r="K1384">
        <f>IF(H1384="","",H1384&gt;=75)</f>
        <v/>
      </c>
      <c r="L1384">
        <f>IF(OR(I1384="",J1384="",K1384=""),FALSE,AND(I1384,J1384,K1384))</f>
        <v/>
      </c>
    </row>
    <row r="1385">
      <c r="A1385">
        <f>Universe!A1385</f>
        <v/>
      </c>
      <c r="B1385" s="10" t="n"/>
      <c r="C1385" s="11">
        <f>IF(B1385="","",PERCENTRANK.INC($B$2:$B$2501,B1385)*100)</f>
        <v/>
      </c>
      <c r="D1385" s="10" t="n"/>
      <c r="E1385" s="10">
        <f>IF(D1385="","",MIN(D1385,100))</f>
        <v/>
      </c>
      <c r="F1385" s="10" t="n"/>
      <c r="G1385" s="10">
        <f>IF(F1385="","",MIN(F1385,100))</f>
        <v/>
      </c>
      <c r="H1385" s="11">
        <f>IF(A1385="","",Universe!E1385/BDP(A1385&amp;" US Equity","HIGH_52WEEK")*100)</f>
        <v/>
      </c>
      <c r="I1385">
        <f>IF(D1385="","",D1385&gt;=5)</f>
        <v/>
      </c>
      <c r="J1385">
        <f>IF(F1385="","",F1385&gt;=5)</f>
        <v/>
      </c>
      <c r="K1385">
        <f>IF(H1385="","",H1385&gt;=75)</f>
        <v/>
      </c>
      <c r="L1385">
        <f>IF(OR(I1385="",J1385="",K1385=""),FALSE,AND(I1385,J1385,K1385))</f>
        <v/>
      </c>
    </row>
    <row r="1386">
      <c r="A1386">
        <f>Universe!A1386</f>
        <v/>
      </c>
      <c r="B1386" s="10" t="n"/>
      <c r="C1386" s="11">
        <f>IF(B1386="","",PERCENTRANK.INC($B$2:$B$2501,B1386)*100)</f>
        <v/>
      </c>
      <c r="D1386" s="10" t="n"/>
      <c r="E1386" s="10">
        <f>IF(D1386="","",MIN(D1386,100))</f>
        <v/>
      </c>
      <c r="F1386" s="10" t="n"/>
      <c r="G1386" s="10">
        <f>IF(F1386="","",MIN(F1386,100))</f>
        <v/>
      </c>
      <c r="H1386" s="11">
        <f>IF(A1386="","",Universe!E1386/BDP(A1386&amp;" US Equity","HIGH_52WEEK")*100)</f>
        <v/>
      </c>
      <c r="I1386">
        <f>IF(D1386="","",D1386&gt;=5)</f>
        <v/>
      </c>
      <c r="J1386">
        <f>IF(F1386="","",F1386&gt;=5)</f>
        <v/>
      </c>
      <c r="K1386">
        <f>IF(H1386="","",H1386&gt;=75)</f>
        <v/>
      </c>
      <c r="L1386">
        <f>IF(OR(I1386="",J1386="",K1386=""),FALSE,AND(I1386,J1386,K1386))</f>
        <v/>
      </c>
    </row>
    <row r="1387">
      <c r="A1387">
        <f>Universe!A1387</f>
        <v/>
      </c>
      <c r="B1387" s="10" t="n"/>
      <c r="C1387" s="11">
        <f>IF(B1387="","",PERCENTRANK.INC($B$2:$B$2501,B1387)*100)</f>
        <v/>
      </c>
      <c r="D1387" s="10" t="n"/>
      <c r="E1387" s="10">
        <f>IF(D1387="","",MIN(D1387,100))</f>
        <v/>
      </c>
      <c r="F1387" s="10" t="n"/>
      <c r="G1387" s="10">
        <f>IF(F1387="","",MIN(F1387,100))</f>
        <v/>
      </c>
      <c r="H1387" s="11">
        <f>IF(A1387="","",Universe!E1387/BDP(A1387&amp;" US Equity","HIGH_52WEEK")*100)</f>
        <v/>
      </c>
      <c r="I1387">
        <f>IF(D1387="","",D1387&gt;=5)</f>
        <v/>
      </c>
      <c r="J1387">
        <f>IF(F1387="","",F1387&gt;=5)</f>
        <v/>
      </c>
      <c r="K1387">
        <f>IF(H1387="","",H1387&gt;=75)</f>
        <v/>
      </c>
      <c r="L1387">
        <f>IF(OR(I1387="",J1387="",K1387=""),FALSE,AND(I1387,J1387,K1387))</f>
        <v/>
      </c>
    </row>
    <row r="1388">
      <c r="A1388">
        <f>Universe!A1388</f>
        <v/>
      </c>
      <c r="B1388" s="10" t="n"/>
      <c r="C1388" s="11">
        <f>IF(B1388="","",PERCENTRANK.INC($B$2:$B$2501,B1388)*100)</f>
        <v/>
      </c>
      <c r="D1388" s="10" t="n"/>
      <c r="E1388" s="10">
        <f>IF(D1388="","",MIN(D1388,100))</f>
        <v/>
      </c>
      <c r="F1388" s="10" t="n"/>
      <c r="G1388" s="10">
        <f>IF(F1388="","",MIN(F1388,100))</f>
        <v/>
      </c>
      <c r="H1388" s="11">
        <f>IF(A1388="","",Universe!E1388/BDP(A1388&amp;" US Equity","HIGH_52WEEK")*100)</f>
        <v/>
      </c>
      <c r="I1388">
        <f>IF(D1388="","",D1388&gt;=5)</f>
        <v/>
      </c>
      <c r="J1388">
        <f>IF(F1388="","",F1388&gt;=5)</f>
        <v/>
      </c>
      <c r="K1388">
        <f>IF(H1388="","",H1388&gt;=75)</f>
        <v/>
      </c>
      <c r="L1388">
        <f>IF(OR(I1388="",J1388="",K1388=""),FALSE,AND(I1388,J1388,K1388))</f>
        <v/>
      </c>
    </row>
    <row r="1389">
      <c r="A1389">
        <f>Universe!A1389</f>
        <v/>
      </c>
      <c r="B1389" s="10" t="n"/>
      <c r="C1389" s="11">
        <f>IF(B1389="","",PERCENTRANK.INC($B$2:$B$2501,B1389)*100)</f>
        <v/>
      </c>
      <c r="D1389" s="10" t="n"/>
      <c r="E1389" s="10">
        <f>IF(D1389="","",MIN(D1389,100))</f>
        <v/>
      </c>
      <c r="F1389" s="10" t="n"/>
      <c r="G1389" s="10">
        <f>IF(F1389="","",MIN(F1389,100))</f>
        <v/>
      </c>
      <c r="H1389" s="11">
        <f>IF(A1389="","",Universe!E1389/BDP(A1389&amp;" US Equity","HIGH_52WEEK")*100)</f>
        <v/>
      </c>
      <c r="I1389">
        <f>IF(D1389="","",D1389&gt;=5)</f>
        <v/>
      </c>
      <c r="J1389">
        <f>IF(F1389="","",F1389&gt;=5)</f>
        <v/>
      </c>
      <c r="K1389">
        <f>IF(H1389="","",H1389&gt;=75)</f>
        <v/>
      </c>
      <c r="L1389">
        <f>IF(OR(I1389="",J1389="",K1389=""),FALSE,AND(I1389,J1389,K1389))</f>
        <v/>
      </c>
    </row>
    <row r="1390">
      <c r="A1390">
        <f>Universe!A1390</f>
        <v/>
      </c>
      <c r="B1390" s="10" t="n"/>
      <c r="C1390" s="11">
        <f>IF(B1390="","",PERCENTRANK.INC($B$2:$B$2501,B1390)*100)</f>
        <v/>
      </c>
      <c r="D1390" s="10" t="n"/>
      <c r="E1390" s="10">
        <f>IF(D1390="","",MIN(D1390,100))</f>
        <v/>
      </c>
      <c r="F1390" s="10" t="n"/>
      <c r="G1390" s="10">
        <f>IF(F1390="","",MIN(F1390,100))</f>
        <v/>
      </c>
      <c r="H1390" s="11">
        <f>IF(A1390="","",Universe!E1390/BDP(A1390&amp;" US Equity","HIGH_52WEEK")*100)</f>
        <v/>
      </c>
      <c r="I1390">
        <f>IF(D1390="","",D1390&gt;=5)</f>
        <v/>
      </c>
      <c r="J1390">
        <f>IF(F1390="","",F1390&gt;=5)</f>
        <v/>
      </c>
      <c r="K1390">
        <f>IF(H1390="","",H1390&gt;=75)</f>
        <v/>
      </c>
      <c r="L1390">
        <f>IF(OR(I1390="",J1390="",K1390=""),FALSE,AND(I1390,J1390,K1390))</f>
        <v/>
      </c>
    </row>
    <row r="1391">
      <c r="A1391">
        <f>Universe!A1391</f>
        <v/>
      </c>
      <c r="B1391" s="10" t="n"/>
      <c r="C1391" s="11">
        <f>IF(B1391="","",PERCENTRANK.INC($B$2:$B$2501,B1391)*100)</f>
        <v/>
      </c>
      <c r="D1391" s="10" t="n"/>
      <c r="E1391" s="10">
        <f>IF(D1391="","",MIN(D1391,100))</f>
        <v/>
      </c>
      <c r="F1391" s="10" t="n"/>
      <c r="G1391" s="10">
        <f>IF(F1391="","",MIN(F1391,100))</f>
        <v/>
      </c>
      <c r="H1391" s="11">
        <f>IF(A1391="","",Universe!E1391/BDP(A1391&amp;" US Equity","HIGH_52WEEK")*100)</f>
        <v/>
      </c>
      <c r="I1391">
        <f>IF(D1391="","",D1391&gt;=5)</f>
        <v/>
      </c>
      <c r="J1391">
        <f>IF(F1391="","",F1391&gt;=5)</f>
        <v/>
      </c>
      <c r="K1391">
        <f>IF(H1391="","",H1391&gt;=75)</f>
        <v/>
      </c>
      <c r="L1391">
        <f>IF(OR(I1391="",J1391="",K1391=""),FALSE,AND(I1391,J1391,K1391))</f>
        <v/>
      </c>
    </row>
    <row r="1392">
      <c r="A1392">
        <f>Universe!A1392</f>
        <v/>
      </c>
      <c r="B1392" s="10" t="n"/>
      <c r="C1392" s="11">
        <f>IF(B1392="","",PERCENTRANK.INC($B$2:$B$2501,B1392)*100)</f>
        <v/>
      </c>
      <c r="D1392" s="10" t="n"/>
      <c r="E1392" s="10">
        <f>IF(D1392="","",MIN(D1392,100))</f>
        <v/>
      </c>
      <c r="F1392" s="10" t="n"/>
      <c r="G1392" s="10">
        <f>IF(F1392="","",MIN(F1392,100))</f>
        <v/>
      </c>
      <c r="H1392" s="11">
        <f>IF(A1392="","",Universe!E1392/BDP(A1392&amp;" US Equity","HIGH_52WEEK")*100)</f>
        <v/>
      </c>
      <c r="I1392">
        <f>IF(D1392="","",D1392&gt;=5)</f>
        <v/>
      </c>
      <c r="J1392">
        <f>IF(F1392="","",F1392&gt;=5)</f>
        <v/>
      </c>
      <c r="K1392">
        <f>IF(H1392="","",H1392&gt;=75)</f>
        <v/>
      </c>
      <c r="L1392">
        <f>IF(OR(I1392="",J1392="",K1392=""),FALSE,AND(I1392,J1392,K1392))</f>
        <v/>
      </c>
    </row>
    <row r="1393">
      <c r="A1393">
        <f>Universe!A1393</f>
        <v/>
      </c>
      <c r="B1393" s="10" t="n"/>
      <c r="C1393" s="11">
        <f>IF(B1393="","",PERCENTRANK.INC($B$2:$B$2501,B1393)*100)</f>
        <v/>
      </c>
      <c r="D1393" s="10" t="n"/>
      <c r="E1393" s="10">
        <f>IF(D1393="","",MIN(D1393,100))</f>
        <v/>
      </c>
      <c r="F1393" s="10" t="n"/>
      <c r="G1393" s="10">
        <f>IF(F1393="","",MIN(F1393,100))</f>
        <v/>
      </c>
      <c r="H1393" s="11">
        <f>IF(A1393="","",Universe!E1393/BDP(A1393&amp;" US Equity","HIGH_52WEEK")*100)</f>
        <v/>
      </c>
      <c r="I1393">
        <f>IF(D1393="","",D1393&gt;=5)</f>
        <v/>
      </c>
      <c r="J1393">
        <f>IF(F1393="","",F1393&gt;=5)</f>
        <v/>
      </c>
      <c r="K1393">
        <f>IF(H1393="","",H1393&gt;=75)</f>
        <v/>
      </c>
      <c r="L1393">
        <f>IF(OR(I1393="",J1393="",K1393=""),FALSE,AND(I1393,J1393,K1393))</f>
        <v/>
      </c>
    </row>
    <row r="1394">
      <c r="A1394">
        <f>Universe!A1394</f>
        <v/>
      </c>
      <c r="B1394" s="10" t="n"/>
      <c r="C1394" s="11">
        <f>IF(B1394="","",PERCENTRANK.INC($B$2:$B$2501,B1394)*100)</f>
        <v/>
      </c>
      <c r="D1394" s="10" t="n"/>
      <c r="E1394" s="10">
        <f>IF(D1394="","",MIN(D1394,100))</f>
        <v/>
      </c>
      <c r="F1394" s="10" t="n"/>
      <c r="G1394" s="10">
        <f>IF(F1394="","",MIN(F1394,100))</f>
        <v/>
      </c>
      <c r="H1394" s="11">
        <f>IF(A1394="","",Universe!E1394/BDP(A1394&amp;" US Equity","HIGH_52WEEK")*100)</f>
        <v/>
      </c>
      <c r="I1394">
        <f>IF(D1394="","",D1394&gt;=5)</f>
        <v/>
      </c>
      <c r="J1394">
        <f>IF(F1394="","",F1394&gt;=5)</f>
        <v/>
      </c>
      <c r="K1394">
        <f>IF(H1394="","",H1394&gt;=75)</f>
        <v/>
      </c>
      <c r="L1394">
        <f>IF(OR(I1394="",J1394="",K1394=""),FALSE,AND(I1394,J1394,K1394))</f>
        <v/>
      </c>
    </row>
    <row r="1395">
      <c r="A1395">
        <f>Universe!A1395</f>
        <v/>
      </c>
      <c r="B1395" s="10" t="n"/>
      <c r="C1395" s="11">
        <f>IF(B1395="","",PERCENTRANK.INC($B$2:$B$2501,B1395)*100)</f>
        <v/>
      </c>
      <c r="D1395" s="10" t="n"/>
      <c r="E1395" s="10">
        <f>IF(D1395="","",MIN(D1395,100))</f>
        <v/>
      </c>
      <c r="F1395" s="10" t="n"/>
      <c r="G1395" s="10">
        <f>IF(F1395="","",MIN(F1395,100))</f>
        <v/>
      </c>
      <c r="H1395" s="11">
        <f>IF(A1395="","",Universe!E1395/BDP(A1395&amp;" US Equity","HIGH_52WEEK")*100)</f>
        <v/>
      </c>
      <c r="I1395">
        <f>IF(D1395="","",D1395&gt;=5)</f>
        <v/>
      </c>
      <c r="J1395">
        <f>IF(F1395="","",F1395&gt;=5)</f>
        <v/>
      </c>
      <c r="K1395">
        <f>IF(H1395="","",H1395&gt;=75)</f>
        <v/>
      </c>
      <c r="L1395">
        <f>IF(OR(I1395="",J1395="",K1395=""),FALSE,AND(I1395,J1395,K1395))</f>
        <v/>
      </c>
    </row>
    <row r="1396">
      <c r="A1396">
        <f>Universe!A1396</f>
        <v/>
      </c>
      <c r="B1396" s="10" t="n"/>
      <c r="C1396" s="11">
        <f>IF(B1396="","",PERCENTRANK.INC($B$2:$B$2501,B1396)*100)</f>
        <v/>
      </c>
      <c r="D1396" s="10" t="n"/>
      <c r="E1396" s="10">
        <f>IF(D1396="","",MIN(D1396,100))</f>
        <v/>
      </c>
      <c r="F1396" s="10" t="n"/>
      <c r="G1396" s="10">
        <f>IF(F1396="","",MIN(F1396,100))</f>
        <v/>
      </c>
      <c r="H1396" s="11">
        <f>IF(A1396="","",Universe!E1396/BDP(A1396&amp;" US Equity","HIGH_52WEEK")*100)</f>
        <v/>
      </c>
      <c r="I1396">
        <f>IF(D1396="","",D1396&gt;=5)</f>
        <v/>
      </c>
      <c r="J1396">
        <f>IF(F1396="","",F1396&gt;=5)</f>
        <v/>
      </c>
      <c r="K1396">
        <f>IF(H1396="","",H1396&gt;=75)</f>
        <v/>
      </c>
      <c r="L1396">
        <f>IF(OR(I1396="",J1396="",K1396=""),FALSE,AND(I1396,J1396,K1396))</f>
        <v/>
      </c>
    </row>
    <row r="1397">
      <c r="A1397">
        <f>Universe!A1397</f>
        <v/>
      </c>
      <c r="B1397" s="10" t="n"/>
      <c r="C1397" s="11">
        <f>IF(B1397="","",PERCENTRANK.INC($B$2:$B$2501,B1397)*100)</f>
        <v/>
      </c>
      <c r="D1397" s="10" t="n"/>
      <c r="E1397" s="10">
        <f>IF(D1397="","",MIN(D1397,100))</f>
        <v/>
      </c>
      <c r="F1397" s="10" t="n"/>
      <c r="G1397" s="10">
        <f>IF(F1397="","",MIN(F1397,100))</f>
        <v/>
      </c>
      <c r="H1397" s="11">
        <f>IF(A1397="","",Universe!E1397/BDP(A1397&amp;" US Equity","HIGH_52WEEK")*100)</f>
        <v/>
      </c>
      <c r="I1397">
        <f>IF(D1397="","",D1397&gt;=5)</f>
        <v/>
      </c>
      <c r="J1397">
        <f>IF(F1397="","",F1397&gt;=5)</f>
        <v/>
      </c>
      <c r="K1397">
        <f>IF(H1397="","",H1397&gt;=75)</f>
        <v/>
      </c>
      <c r="L1397">
        <f>IF(OR(I1397="",J1397="",K1397=""),FALSE,AND(I1397,J1397,K1397))</f>
        <v/>
      </c>
    </row>
    <row r="1398">
      <c r="A1398">
        <f>Universe!A1398</f>
        <v/>
      </c>
      <c r="B1398" s="10" t="n"/>
      <c r="C1398" s="11">
        <f>IF(B1398="","",PERCENTRANK.INC($B$2:$B$2501,B1398)*100)</f>
        <v/>
      </c>
      <c r="D1398" s="10" t="n"/>
      <c r="E1398" s="10">
        <f>IF(D1398="","",MIN(D1398,100))</f>
        <v/>
      </c>
      <c r="F1398" s="10" t="n"/>
      <c r="G1398" s="10">
        <f>IF(F1398="","",MIN(F1398,100))</f>
        <v/>
      </c>
      <c r="H1398" s="11">
        <f>IF(A1398="","",Universe!E1398/BDP(A1398&amp;" US Equity","HIGH_52WEEK")*100)</f>
        <v/>
      </c>
      <c r="I1398">
        <f>IF(D1398="","",D1398&gt;=5)</f>
        <v/>
      </c>
      <c r="J1398">
        <f>IF(F1398="","",F1398&gt;=5)</f>
        <v/>
      </c>
      <c r="K1398">
        <f>IF(H1398="","",H1398&gt;=75)</f>
        <v/>
      </c>
      <c r="L1398">
        <f>IF(OR(I1398="",J1398="",K1398=""),FALSE,AND(I1398,J1398,K1398))</f>
        <v/>
      </c>
    </row>
    <row r="1399">
      <c r="A1399">
        <f>Universe!A1399</f>
        <v/>
      </c>
      <c r="B1399" s="10" t="n"/>
      <c r="C1399" s="11">
        <f>IF(B1399="","",PERCENTRANK.INC($B$2:$B$2501,B1399)*100)</f>
        <v/>
      </c>
      <c r="D1399" s="10" t="n"/>
      <c r="E1399" s="10">
        <f>IF(D1399="","",MIN(D1399,100))</f>
        <v/>
      </c>
      <c r="F1399" s="10" t="n"/>
      <c r="G1399" s="10">
        <f>IF(F1399="","",MIN(F1399,100))</f>
        <v/>
      </c>
      <c r="H1399" s="11">
        <f>IF(A1399="","",Universe!E1399/BDP(A1399&amp;" US Equity","HIGH_52WEEK")*100)</f>
        <v/>
      </c>
      <c r="I1399">
        <f>IF(D1399="","",D1399&gt;=5)</f>
        <v/>
      </c>
      <c r="J1399">
        <f>IF(F1399="","",F1399&gt;=5)</f>
        <v/>
      </c>
      <c r="K1399">
        <f>IF(H1399="","",H1399&gt;=75)</f>
        <v/>
      </c>
      <c r="L1399">
        <f>IF(OR(I1399="",J1399="",K1399=""),FALSE,AND(I1399,J1399,K1399))</f>
        <v/>
      </c>
    </row>
    <row r="1400">
      <c r="A1400">
        <f>Universe!A1400</f>
        <v/>
      </c>
      <c r="B1400" s="10" t="n"/>
      <c r="C1400" s="11">
        <f>IF(B1400="","",PERCENTRANK.INC($B$2:$B$2501,B1400)*100)</f>
        <v/>
      </c>
      <c r="D1400" s="10" t="n"/>
      <c r="E1400" s="10">
        <f>IF(D1400="","",MIN(D1400,100))</f>
        <v/>
      </c>
      <c r="F1400" s="10" t="n"/>
      <c r="G1400" s="10">
        <f>IF(F1400="","",MIN(F1400,100))</f>
        <v/>
      </c>
      <c r="H1400" s="11">
        <f>IF(A1400="","",Universe!E1400/BDP(A1400&amp;" US Equity","HIGH_52WEEK")*100)</f>
        <v/>
      </c>
      <c r="I1400">
        <f>IF(D1400="","",D1400&gt;=5)</f>
        <v/>
      </c>
      <c r="J1400">
        <f>IF(F1400="","",F1400&gt;=5)</f>
        <v/>
      </c>
      <c r="K1400">
        <f>IF(H1400="","",H1400&gt;=75)</f>
        <v/>
      </c>
      <c r="L1400">
        <f>IF(OR(I1400="",J1400="",K1400=""),FALSE,AND(I1400,J1400,K1400))</f>
        <v/>
      </c>
    </row>
    <row r="1401">
      <c r="A1401">
        <f>Universe!A1401</f>
        <v/>
      </c>
      <c r="B1401" s="10" t="n"/>
      <c r="C1401" s="11">
        <f>IF(B1401="","",PERCENTRANK.INC($B$2:$B$2501,B1401)*100)</f>
        <v/>
      </c>
      <c r="D1401" s="10" t="n"/>
      <c r="E1401" s="10">
        <f>IF(D1401="","",MIN(D1401,100))</f>
        <v/>
      </c>
      <c r="F1401" s="10" t="n"/>
      <c r="G1401" s="10">
        <f>IF(F1401="","",MIN(F1401,100))</f>
        <v/>
      </c>
      <c r="H1401" s="11">
        <f>IF(A1401="","",Universe!E1401/BDP(A1401&amp;" US Equity","HIGH_52WEEK")*100)</f>
        <v/>
      </c>
      <c r="I1401">
        <f>IF(D1401="","",D1401&gt;=5)</f>
        <v/>
      </c>
      <c r="J1401">
        <f>IF(F1401="","",F1401&gt;=5)</f>
        <v/>
      </c>
      <c r="K1401">
        <f>IF(H1401="","",H1401&gt;=75)</f>
        <v/>
      </c>
      <c r="L1401">
        <f>IF(OR(I1401="",J1401="",K1401=""),FALSE,AND(I1401,J1401,K1401))</f>
        <v/>
      </c>
    </row>
    <row r="1402">
      <c r="A1402">
        <f>Universe!A1402</f>
        <v/>
      </c>
      <c r="B1402" s="10" t="n"/>
      <c r="C1402" s="11">
        <f>IF(B1402="","",PERCENTRANK.INC($B$2:$B$2501,B1402)*100)</f>
        <v/>
      </c>
      <c r="D1402" s="10" t="n"/>
      <c r="E1402" s="10">
        <f>IF(D1402="","",MIN(D1402,100))</f>
        <v/>
      </c>
      <c r="F1402" s="10" t="n"/>
      <c r="G1402" s="10">
        <f>IF(F1402="","",MIN(F1402,100))</f>
        <v/>
      </c>
      <c r="H1402" s="11">
        <f>IF(A1402="","",Universe!E1402/BDP(A1402&amp;" US Equity","HIGH_52WEEK")*100)</f>
        <v/>
      </c>
      <c r="I1402">
        <f>IF(D1402="","",D1402&gt;=5)</f>
        <v/>
      </c>
      <c r="J1402">
        <f>IF(F1402="","",F1402&gt;=5)</f>
        <v/>
      </c>
      <c r="K1402">
        <f>IF(H1402="","",H1402&gt;=75)</f>
        <v/>
      </c>
      <c r="L1402">
        <f>IF(OR(I1402="",J1402="",K1402=""),FALSE,AND(I1402,J1402,K1402))</f>
        <v/>
      </c>
    </row>
    <row r="1403">
      <c r="A1403">
        <f>Universe!A1403</f>
        <v/>
      </c>
      <c r="B1403" s="10" t="n"/>
      <c r="C1403" s="11">
        <f>IF(B1403="","",PERCENTRANK.INC($B$2:$B$2501,B1403)*100)</f>
        <v/>
      </c>
      <c r="D1403" s="10" t="n"/>
      <c r="E1403" s="10">
        <f>IF(D1403="","",MIN(D1403,100))</f>
        <v/>
      </c>
      <c r="F1403" s="10" t="n"/>
      <c r="G1403" s="10">
        <f>IF(F1403="","",MIN(F1403,100))</f>
        <v/>
      </c>
      <c r="H1403" s="11">
        <f>IF(A1403="","",Universe!E1403/BDP(A1403&amp;" US Equity","HIGH_52WEEK")*100)</f>
        <v/>
      </c>
      <c r="I1403">
        <f>IF(D1403="","",D1403&gt;=5)</f>
        <v/>
      </c>
      <c r="J1403">
        <f>IF(F1403="","",F1403&gt;=5)</f>
        <v/>
      </c>
      <c r="K1403">
        <f>IF(H1403="","",H1403&gt;=75)</f>
        <v/>
      </c>
      <c r="L1403">
        <f>IF(OR(I1403="",J1403="",K1403=""),FALSE,AND(I1403,J1403,K1403))</f>
        <v/>
      </c>
    </row>
    <row r="1404">
      <c r="A1404">
        <f>Universe!A1404</f>
        <v/>
      </c>
      <c r="B1404" s="10" t="n"/>
      <c r="C1404" s="11">
        <f>IF(B1404="","",PERCENTRANK.INC($B$2:$B$2501,B1404)*100)</f>
        <v/>
      </c>
      <c r="D1404" s="10" t="n"/>
      <c r="E1404" s="10">
        <f>IF(D1404="","",MIN(D1404,100))</f>
        <v/>
      </c>
      <c r="F1404" s="10" t="n"/>
      <c r="G1404" s="10">
        <f>IF(F1404="","",MIN(F1404,100))</f>
        <v/>
      </c>
      <c r="H1404" s="11">
        <f>IF(A1404="","",Universe!E1404/BDP(A1404&amp;" US Equity","HIGH_52WEEK")*100)</f>
        <v/>
      </c>
      <c r="I1404">
        <f>IF(D1404="","",D1404&gt;=5)</f>
        <v/>
      </c>
      <c r="J1404">
        <f>IF(F1404="","",F1404&gt;=5)</f>
        <v/>
      </c>
      <c r="K1404">
        <f>IF(H1404="","",H1404&gt;=75)</f>
        <v/>
      </c>
      <c r="L1404">
        <f>IF(OR(I1404="",J1404="",K1404=""),FALSE,AND(I1404,J1404,K1404))</f>
        <v/>
      </c>
    </row>
    <row r="1405">
      <c r="A1405">
        <f>Universe!A1405</f>
        <v/>
      </c>
      <c r="B1405" s="10" t="n"/>
      <c r="C1405" s="11">
        <f>IF(B1405="","",PERCENTRANK.INC($B$2:$B$2501,B1405)*100)</f>
        <v/>
      </c>
      <c r="D1405" s="10" t="n"/>
      <c r="E1405" s="10">
        <f>IF(D1405="","",MIN(D1405,100))</f>
        <v/>
      </c>
      <c r="F1405" s="10" t="n"/>
      <c r="G1405" s="10">
        <f>IF(F1405="","",MIN(F1405,100))</f>
        <v/>
      </c>
      <c r="H1405" s="11">
        <f>IF(A1405="","",Universe!E1405/BDP(A1405&amp;" US Equity","HIGH_52WEEK")*100)</f>
        <v/>
      </c>
      <c r="I1405">
        <f>IF(D1405="","",D1405&gt;=5)</f>
        <v/>
      </c>
      <c r="J1405">
        <f>IF(F1405="","",F1405&gt;=5)</f>
        <v/>
      </c>
      <c r="K1405">
        <f>IF(H1405="","",H1405&gt;=75)</f>
        <v/>
      </c>
      <c r="L1405">
        <f>IF(OR(I1405="",J1405="",K1405=""),FALSE,AND(I1405,J1405,K1405))</f>
        <v/>
      </c>
    </row>
    <row r="1406">
      <c r="A1406">
        <f>Universe!A1406</f>
        <v/>
      </c>
      <c r="B1406" s="10" t="n"/>
      <c r="C1406" s="11">
        <f>IF(B1406="","",PERCENTRANK.INC($B$2:$B$2501,B1406)*100)</f>
        <v/>
      </c>
      <c r="D1406" s="10" t="n"/>
      <c r="E1406" s="10">
        <f>IF(D1406="","",MIN(D1406,100))</f>
        <v/>
      </c>
      <c r="F1406" s="10" t="n"/>
      <c r="G1406" s="10">
        <f>IF(F1406="","",MIN(F1406,100))</f>
        <v/>
      </c>
      <c r="H1406" s="11">
        <f>IF(A1406="","",Universe!E1406/BDP(A1406&amp;" US Equity","HIGH_52WEEK")*100)</f>
        <v/>
      </c>
      <c r="I1406">
        <f>IF(D1406="","",D1406&gt;=5)</f>
        <v/>
      </c>
      <c r="J1406">
        <f>IF(F1406="","",F1406&gt;=5)</f>
        <v/>
      </c>
      <c r="K1406">
        <f>IF(H1406="","",H1406&gt;=75)</f>
        <v/>
      </c>
      <c r="L1406">
        <f>IF(OR(I1406="",J1406="",K1406=""),FALSE,AND(I1406,J1406,K1406))</f>
        <v/>
      </c>
    </row>
    <row r="1407">
      <c r="A1407">
        <f>Universe!A1407</f>
        <v/>
      </c>
      <c r="B1407" s="10" t="n"/>
      <c r="C1407" s="11">
        <f>IF(B1407="","",PERCENTRANK.INC($B$2:$B$2501,B1407)*100)</f>
        <v/>
      </c>
      <c r="D1407" s="10" t="n"/>
      <c r="E1407" s="10">
        <f>IF(D1407="","",MIN(D1407,100))</f>
        <v/>
      </c>
      <c r="F1407" s="10" t="n"/>
      <c r="G1407" s="10">
        <f>IF(F1407="","",MIN(F1407,100))</f>
        <v/>
      </c>
      <c r="H1407" s="11">
        <f>IF(A1407="","",Universe!E1407/BDP(A1407&amp;" US Equity","HIGH_52WEEK")*100)</f>
        <v/>
      </c>
      <c r="I1407">
        <f>IF(D1407="","",D1407&gt;=5)</f>
        <v/>
      </c>
      <c r="J1407">
        <f>IF(F1407="","",F1407&gt;=5)</f>
        <v/>
      </c>
      <c r="K1407">
        <f>IF(H1407="","",H1407&gt;=75)</f>
        <v/>
      </c>
      <c r="L1407">
        <f>IF(OR(I1407="",J1407="",K1407=""),FALSE,AND(I1407,J1407,K1407))</f>
        <v/>
      </c>
    </row>
    <row r="1408">
      <c r="A1408">
        <f>Universe!A1408</f>
        <v/>
      </c>
      <c r="B1408" s="10" t="n"/>
      <c r="C1408" s="11">
        <f>IF(B1408="","",PERCENTRANK.INC($B$2:$B$2501,B1408)*100)</f>
        <v/>
      </c>
      <c r="D1408" s="10" t="n"/>
      <c r="E1408" s="10">
        <f>IF(D1408="","",MIN(D1408,100))</f>
        <v/>
      </c>
      <c r="F1408" s="10" t="n"/>
      <c r="G1408" s="10">
        <f>IF(F1408="","",MIN(F1408,100))</f>
        <v/>
      </c>
      <c r="H1408" s="11">
        <f>IF(A1408="","",Universe!E1408/BDP(A1408&amp;" US Equity","HIGH_52WEEK")*100)</f>
        <v/>
      </c>
      <c r="I1408">
        <f>IF(D1408="","",D1408&gt;=5)</f>
        <v/>
      </c>
      <c r="J1408">
        <f>IF(F1408="","",F1408&gt;=5)</f>
        <v/>
      </c>
      <c r="K1408">
        <f>IF(H1408="","",H1408&gt;=75)</f>
        <v/>
      </c>
      <c r="L1408">
        <f>IF(OR(I1408="",J1408="",K1408=""),FALSE,AND(I1408,J1408,K1408))</f>
        <v/>
      </c>
    </row>
    <row r="1409">
      <c r="A1409">
        <f>Universe!A1409</f>
        <v/>
      </c>
      <c r="B1409" s="10" t="n"/>
      <c r="C1409" s="11">
        <f>IF(B1409="","",PERCENTRANK.INC($B$2:$B$2501,B1409)*100)</f>
        <v/>
      </c>
      <c r="D1409" s="10" t="n"/>
      <c r="E1409" s="10">
        <f>IF(D1409="","",MIN(D1409,100))</f>
        <v/>
      </c>
      <c r="F1409" s="10" t="n"/>
      <c r="G1409" s="10">
        <f>IF(F1409="","",MIN(F1409,100))</f>
        <v/>
      </c>
      <c r="H1409" s="11">
        <f>IF(A1409="","",Universe!E1409/BDP(A1409&amp;" US Equity","HIGH_52WEEK")*100)</f>
        <v/>
      </c>
      <c r="I1409">
        <f>IF(D1409="","",D1409&gt;=5)</f>
        <v/>
      </c>
      <c r="J1409">
        <f>IF(F1409="","",F1409&gt;=5)</f>
        <v/>
      </c>
      <c r="K1409">
        <f>IF(H1409="","",H1409&gt;=75)</f>
        <v/>
      </c>
      <c r="L1409">
        <f>IF(OR(I1409="",J1409="",K1409=""),FALSE,AND(I1409,J1409,K1409))</f>
        <v/>
      </c>
    </row>
    <row r="1410">
      <c r="A1410">
        <f>Universe!A1410</f>
        <v/>
      </c>
      <c r="B1410" s="10" t="n"/>
      <c r="C1410" s="11">
        <f>IF(B1410="","",PERCENTRANK.INC($B$2:$B$2501,B1410)*100)</f>
        <v/>
      </c>
      <c r="D1410" s="10" t="n"/>
      <c r="E1410" s="10">
        <f>IF(D1410="","",MIN(D1410,100))</f>
        <v/>
      </c>
      <c r="F1410" s="10" t="n"/>
      <c r="G1410" s="10">
        <f>IF(F1410="","",MIN(F1410,100))</f>
        <v/>
      </c>
      <c r="H1410" s="11">
        <f>IF(A1410="","",Universe!E1410/BDP(A1410&amp;" US Equity","HIGH_52WEEK")*100)</f>
        <v/>
      </c>
      <c r="I1410">
        <f>IF(D1410="","",D1410&gt;=5)</f>
        <v/>
      </c>
      <c r="J1410">
        <f>IF(F1410="","",F1410&gt;=5)</f>
        <v/>
      </c>
      <c r="K1410">
        <f>IF(H1410="","",H1410&gt;=75)</f>
        <v/>
      </c>
      <c r="L1410">
        <f>IF(OR(I1410="",J1410="",K1410=""),FALSE,AND(I1410,J1410,K1410))</f>
        <v/>
      </c>
    </row>
    <row r="1411">
      <c r="A1411">
        <f>Universe!A1411</f>
        <v/>
      </c>
      <c r="B1411" s="10" t="n"/>
      <c r="C1411" s="11">
        <f>IF(B1411="","",PERCENTRANK.INC($B$2:$B$2501,B1411)*100)</f>
        <v/>
      </c>
      <c r="D1411" s="10" t="n"/>
      <c r="E1411" s="10">
        <f>IF(D1411="","",MIN(D1411,100))</f>
        <v/>
      </c>
      <c r="F1411" s="10" t="n"/>
      <c r="G1411" s="10">
        <f>IF(F1411="","",MIN(F1411,100))</f>
        <v/>
      </c>
      <c r="H1411" s="11">
        <f>IF(A1411="","",Universe!E1411/BDP(A1411&amp;" US Equity","HIGH_52WEEK")*100)</f>
        <v/>
      </c>
      <c r="I1411">
        <f>IF(D1411="","",D1411&gt;=5)</f>
        <v/>
      </c>
      <c r="J1411">
        <f>IF(F1411="","",F1411&gt;=5)</f>
        <v/>
      </c>
      <c r="K1411">
        <f>IF(H1411="","",H1411&gt;=75)</f>
        <v/>
      </c>
      <c r="L1411">
        <f>IF(OR(I1411="",J1411="",K1411=""),FALSE,AND(I1411,J1411,K1411))</f>
        <v/>
      </c>
    </row>
    <row r="1412">
      <c r="A1412">
        <f>Universe!A1412</f>
        <v/>
      </c>
      <c r="B1412" s="10" t="n"/>
      <c r="C1412" s="11">
        <f>IF(B1412="","",PERCENTRANK.INC($B$2:$B$2501,B1412)*100)</f>
        <v/>
      </c>
      <c r="D1412" s="10" t="n"/>
      <c r="E1412" s="10">
        <f>IF(D1412="","",MIN(D1412,100))</f>
        <v/>
      </c>
      <c r="F1412" s="10" t="n"/>
      <c r="G1412" s="10">
        <f>IF(F1412="","",MIN(F1412,100))</f>
        <v/>
      </c>
      <c r="H1412" s="11">
        <f>IF(A1412="","",Universe!E1412/BDP(A1412&amp;" US Equity","HIGH_52WEEK")*100)</f>
        <v/>
      </c>
      <c r="I1412">
        <f>IF(D1412="","",D1412&gt;=5)</f>
        <v/>
      </c>
      <c r="J1412">
        <f>IF(F1412="","",F1412&gt;=5)</f>
        <v/>
      </c>
      <c r="K1412">
        <f>IF(H1412="","",H1412&gt;=75)</f>
        <v/>
      </c>
      <c r="L1412">
        <f>IF(OR(I1412="",J1412="",K1412=""),FALSE,AND(I1412,J1412,K1412))</f>
        <v/>
      </c>
    </row>
    <row r="1413">
      <c r="A1413">
        <f>Universe!A1413</f>
        <v/>
      </c>
      <c r="B1413" s="10" t="n"/>
      <c r="C1413" s="11">
        <f>IF(B1413="","",PERCENTRANK.INC($B$2:$B$2501,B1413)*100)</f>
        <v/>
      </c>
      <c r="D1413" s="10" t="n"/>
      <c r="E1413" s="10">
        <f>IF(D1413="","",MIN(D1413,100))</f>
        <v/>
      </c>
      <c r="F1413" s="10" t="n"/>
      <c r="G1413" s="10">
        <f>IF(F1413="","",MIN(F1413,100))</f>
        <v/>
      </c>
      <c r="H1413" s="11">
        <f>IF(A1413="","",Universe!E1413/BDP(A1413&amp;" US Equity","HIGH_52WEEK")*100)</f>
        <v/>
      </c>
      <c r="I1413">
        <f>IF(D1413="","",D1413&gt;=5)</f>
        <v/>
      </c>
      <c r="J1413">
        <f>IF(F1413="","",F1413&gt;=5)</f>
        <v/>
      </c>
      <c r="K1413">
        <f>IF(H1413="","",H1413&gt;=75)</f>
        <v/>
      </c>
      <c r="L1413">
        <f>IF(OR(I1413="",J1413="",K1413=""),FALSE,AND(I1413,J1413,K1413))</f>
        <v/>
      </c>
    </row>
    <row r="1414">
      <c r="A1414">
        <f>Universe!A1414</f>
        <v/>
      </c>
      <c r="B1414" s="10" t="n"/>
      <c r="C1414" s="11">
        <f>IF(B1414="","",PERCENTRANK.INC($B$2:$B$2501,B1414)*100)</f>
        <v/>
      </c>
      <c r="D1414" s="10" t="n"/>
      <c r="E1414" s="10">
        <f>IF(D1414="","",MIN(D1414,100))</f>
        <v/>
      </c>
      <c r="F1414" s="10" t="n"/>
      <c r="G1414" s="10">
        <f>IF(F1414="","",MIN(F1414,100))</f>
        <v/>
      </c>
      <c r="H1414" s="11">
        <f>IF(A1414="","",Universe!E1414/BDP(A1414&amp;" US Equity","HIGH_52WEEK")*100)</f>
        <v/>
      </c>
      <c r="I1414">
        <f>IF(D1414="","",D1414&gt;=5)</f>
        <v/>
      </c>
      <c r="J1414">
        <f>IF(F1414="","",F1414&gt;=5)</f>
        <v/>
      </c>
      <c r="K1414">
        <f>IF(H1414="","",H1414&gt;=75)</f>
        <v/>
      </c>
      <c r="L1414">
        <f>IF(OR(I1414="",J1414="",K1414=""),FALSE,AND(I1414,J1414,K1414))</f>
        <v/>
      </c>
    </row>
    <row r="1415">
      <c r="A1415">
        <f>Universe!A1415</f>
        <v/>
      </c>
      <c r="B1415" s="10" t="n"/>
      <c r="C1415" s="11">
        <f>IF(B1415="","",PERCENTRANK.INC($B$2:$B$2501,B1415)*100)</f>
        <v/>
      </c>
      <c r="D1415" s="10" t="n"/>
      <c r="E1415" s="10">
        <f>IF(D1415="","",MIN(D1415,100))</f>
        <v/>
      </c>
      <c r="F1415" s="10" t="n"/>
      <c r="G1415" s="10">
        <f>IF(F1415="","",MIN(F1415,100))</f>
        <v/>
      </c>
      <c r="H1415" s="11">
        <f>IF(A1415="","",Universe!E1415/BDP(A1415&amp;" US Equity","HIGH_52WEEK")*100)</f>
        <v/>
      </c>
      <c r="I1415">
        <f>IF(D1415="","",D1415&gt;=5)</f>
        <v/>
      </c>
      <c r="J1415">
        <f>IF(F1415="","",F1415&gt;=5)</f>
        <v/>
      </c>
      <c r="K1415">
        <f>IF(H1415="","",H1415&gt;=75)</f>
        <v/>
      </c>
      <c r="L1415">
        <f>IF(OR(I1415="",J1415="",K1415=""),FALSE,AND(I1415,J1415,K1415))</f>
        <v/>
      </c>
    </row>
    <row r="1416">
      <c r="A1416">
        <f>Universe!A1416</f>
        <v/>
      </c>
      <c r="B1416" s="10" t="n"/>
      <c r="C1416" s="11">
        <f>IF(B1416="","",PERCENTRANK.INC($B$2:$B$2501,B1416)*100)</f>
        <v/>
      </c>
      <c r="D1416" s="10" t="n"/>
      <c r="E1416" s="10">
        <f>IF(D1416="","",MIN(D1416,100))</f>
        <v/>
      </c>
      <c r="F1416" s="10" t="n"/>
      <c r="G1416" s="10">
        <f>IF(F1416="","",MIN(F1416,100))</f>
        <v/>
      </c>
      <c r="H1416" s="11">
        <f>IF(A1416="","",Universe!E1416/BDP(A1416&amp;" US Equity","HIGH_52WEEK")*100)</f>
        <v/>
      </c>
      <c r="I1416">
        <f>IF(D1416="","",D1416&gt;=5)</f>
        <v/>
      </c>
      <c r="J1416">
        <f>IF(F1416="","",F1416&gt;=5)</f>
        <v/>
      </c>
      <c r="K1416">
        <f>IF(H1416="","",H1416&gt;=75)</f>
        <v/>
      </c>
      <c r="L1416">
        <f>IF(OR(I1416="",J1416="",K1416=""),FALSE,AND(I1416,J1416,K1416))</f>
        <v/>
      </c>
    </row>
    <row r="1417">
      <c r="A1417">
        <f>Universe!A1417</f>
        <v/>
      </c>
      <c r="B1417" s="10" t="n"/>
      <c r="C1417" s="11">
        <f>IF(B1417="","",PERCENTRANK.INC($B$2:$B$2501,B1417)*100)</f>
        <v/>
      </c>
      <c r="D1417" s="10" t="n"/>
      <c r="E1417" s="10">
        <f>IF(D1417="","",MIN(D1417,100))</f>
        <v/>
      </c>
      <c r="F1417" s="10" t="n"/>
      <c r="G1417" s="10">
        <f>IF(F1417="","",MIN(F1417,100))</f>
        <v/>
      </c>
      <c r="H1417" s="11">
        <f>IF(A1417="","",Universe!E1417/BDP(A1417&amp;" US Equity","HIGH_52WEEK")*100)</f>
        <v/>
      </c>
      <c r="I1417">
        <f>IF(D1417="","",D1417&gt;=5)</f>
        <v/>
      </c>
      <c r="J1417">
        <f>IF(F1417="","",F1417&gt;=5)</f>
        <v/>
      </c>
      <c r="K1417">
        <f>IF(H1417="","",H1417&gt;=75)</f>
        <v/>
      </c>
      <c r="L1417">
        <f>IF(OR(I1417="",J1417="",K1417=""),FALSE,AND(I1417,J1417,K1417))</f>
        <v/>
      </c>
    </row>
    <row r="1418">
      <c r="A1418">
        <f>Universe!A1418</f>
        <v/>
      </c>
      <c r="B1418" s="10" t="n"/>
      <c r="C1418" s="11">
        <f>IF(B1418="","",PERCENTRANK.INC($B$2:$B$2501,B1418)*100)</f>
        <v/>
      </c>
      <c r="D1418" s="10" t="n"/>
      <c r="E1418" s="10">
        <f>IF(D1418="","",MIN(D1418,100))</f>
        <v/>
      </c>
      <c r="F1418" s="10" t="n"/>
      <c r="G1418" s="10">
        <f>IF(F1418="","",MIN(F1418,100))</f>
        <v/>
      </c>
      <c r="H1418" s="11">
        <f>IF(A1418="","",Universe!E1418/BDP(A1418&amp;" US Equity","HIGH_52WEEK")*100)</f>
        <v/>
      </c>
      <c r="I1418">
        <f>IF(D1418="","",D1418&gt;=5)</f>
        <v/>
      </c>
      <c r="J1418">
        <f>IF(F1418="","",F1418&gt;=5)</f>
        <v/>
      </c>
      <c r="K1418">
        <f>IF(H1418="","",H1418&gt;=75)</f>
        <v/>
      </c>
      <c r="L1418">
        <f>IF(OR(I1418="",J1418="",K1418=""),FALSE,AND(I1418,J1418,K1418))</f>
        <v/>
      </c>
    </row>
    <row r="1419">
      <c r="A1419">
        <f>Universe!A1419</f>
        <v/>
      </c>
      <c r="B1419" s="10" t="n"/>
      <c r="C1419" s="11">
        <f>IF(B1419="","",PERCENTRANK.INC($B$2:$B$2501,B1419)*100)</f>
        <v/>
      </c>
      <c r="D1419" s="10" t="n"/>
      <c r="E1419" s="10">
        <f>IF(D1419="","",MIN(D1419,100))</f>
        <v/>
      </c>
      <c r="F1419" s="10" t="n"/>
      <c r="G1419" s="10">
        <f>IF(F1419="","",MIN(F1419,100))</f>
        <v/>
      </c>
      <c r="H1419" s="11">
        <f>IF(A1419="","",Universe!E1419/BDP(A1419&amp;" US Equity","HIGH_52WEEK")*100)</f>
        <v/>
      </c>
      <c r="I1419">
        <f>IF(D1419="","",D1419&gt;=5)</f>
        <v/>
      </c>
      <c r="J1419">
        <f>IF(F1419="","",F1419&gt;=5)</f>
        <v/>
      </c>
      <c r="K1419">
        <f>IF(H1419="","",H1419&gt;=75)</f>
        <v/>
      </c>
      <c r="L1419">
        <f>IF(OR(I1419="",J1419="",K1419=""),FALSE,AND(I1419,J1419,K1419))</f>
        <v/>
      </c>
    </row>
    <row r="1420">
      <c r="A1420">
        <f>Universe!A1420</f>
        <v/>
      </c>
      <c r="B1420" s="10" t="n"/>
      <c r="C1420" s="11">
        <f>IF(B1420="","",PERCENTRANK.INC($B$2:$B$2501,B1420)*100)</f>
        <v/>
      </c>
      <c r="D1420" s="10" t="n"/>
      <c r="E1420" s="10">
        <f>IF(D1420="","",MIN(D1420,100))</f>
        <v/>
      </c>
      <c r="F1420" s="10" t="n"/>
      <c r="G1420" s="10">
        <f>IF(F1420="","",MIN(F1420,100))</f>
        <v/>
      </c>
      <c r="H1420" s="11">
        <f>IF(A1420="","",Universe!E1420/BDP(A1420&amp;" US Equity","HIGH_52WEEK")*100)</f>
        <v/>
      </c>
      <c r="I1420">
        <f>IF(D1420="","",D1420&gt;=5)</f>
        <v/>
      </c>
      <c r="J1420">
        <f>IF(F1420="","",F1420&gt;=5)</f>
        <v/>
      </c>
      <c r="K1420">
        <f>IF(H1420="","",H1420&gt;=75)</f>
        <v/>
      </c>
      <c r="L1420">
        <f>IF(OR(I1420="",J1420="",K1420=""),FALSE,AND(I1420,J1420,K1420))</f>
        <v/>
      </c>
    </row>
    <row r="1421">
      <c r="A1421">
        <f>Universe!A1421</f>
        <v/>
      </c>
      <c r="B1421" s="10" t="n"/>
      <c r="C1421" s="11">
        <f>IF(B1421="","",PERCENTRANK.INC($B$2:$B$2501,B1421)*100)</f>
        <v/>
      </c>
      <c r="D1421" s="10" t="n"/>
      <c r="E1421" s="10">
        <f>IF(D1421="","",MIN(D1421,100))</f>
        <v/>
      </c>
      <c r="F1421" s="10" t="n"/>
      <c r="G1421" s="10">
        <f>IF(F1421="","",MIN(F1421,100))</f>
        <v/>
      </c>
      <c r="H1421" s="11">
        <f>IF(A1421="","",Universe!E1421/BDP(A1421&amp;" US Equity","HIGH_52WEEK")*100)</f>
        <v/>
      </c>
      <c r="I1421">
        <f>IF(D1421="","",D1421&gt;=5)</f>
        <v/>
      </c>
      <c r="J1421">
        <f>IF(F1421="","",F1421&gt;=5)</f>
        <v/>
      </c>
      <c r="K1421">
        <f>IF(H1421="","",H1421&gt;=75)</f>
        <v/>
      </c>
      <c r="L1421">
        <f>IF(OR(I1421="",J1421="",K1421=""),FALSE,AND(I1421,J1421,K1421))</f>
        <v/>
      </c>
    </row>
    <row r="1422">
      <c r="A1422">
        <f>Universe!A1422</f>
        <v/>
      </c>
      <c r="B1422" s="10" t="n"/>
      <c r="C1422" s="11">
        <f>IF(B1422="","",PERCENTRANK.INC($B$2:$B$2501,B1422)*100)</f>
        <v/>
      </c>
      <c r="D1422" s="10" t="n"/>
      <c r="E1422" s="10">
        <f>IF(D1422="","",MIN(D1422,100))</f>
        <v/>
      </c>
      <c r="F1422" s="10" t="n"/>
      <c r="G1422" s="10">
        <f>IF(F1422="","",MIN(F1422,100))</f>
        <v/>
      </c>
      <c r="H1422" s="11">
        <f>IF(A1422="","",Universe!E1422/BDP(A1422&amp;" US Equity","HIGH_52WEEK")*100)</f>
        <v/>
      </c>
      <c r="I1422">
        <f>IF(D1422="","",D1422&gt;=5)</f>
        <v/>
      </c>
      <c r="J1422">
        <f>IF(F1422="","",F1422&gt;=5)</f>
        <v/>
      </c>
      <c r="K1422">
        <f>IF(H1422="","",H1422&gt;=75)</f>
        <v/>
      </c>
      <c r="L1422">
        <f>IF(OR(I1422="",J1422="",K1422=""),FALSE,AND(I1422,J1422,K1422))</f>
        <v/>
      </c>
    </row>
    <row r="1423">
      <c r="A1423">
        <f>Universe!A1423</f>
        <v/>
      </c>
      <c r="B1423" s="10" t="n"/>
      <c r="C1423" s="11">
        <f>IF(B1423="","",PERCENTRANK.INC($B$2:$B$2501,B1423)*100)</f>
        <v/>
      </c>
      <c r="D1423" s="10" t="n"/>
      <c r="E1423" s="10">
        <f>IF(D1423="","",MIN(D1423,100))</f>
        <v/>
      </c>
      <c r="F1423" s="10" t="n"/>
      <c r="G1423" s="10">
        <f>IF(F1423="","",MIN(F1423,100))</f>
        <v/>
      </c>
      <c r="H1423" s="11">
        <f>IF(A1423="","",Universe!E1423/BDP(A1423&amp;" US Equity","HIGH_52WEEK")*100)</f>
        <v/>
      </c>
      <c r="I1423">
        <f>IF(D1423="","",D1423&gt;=5)</f>
        <v/>
      </c>
      <c r="J1423">
        <f>IF(F1423="","",F1423&gt;=5)</f>
        <v/>
      </c>
      <c r="K1423">
        <f>IF(H1423="","",H1423&gt;=75)</f>
        <v/>
      </c>
      <c r="L1423">
        <f>IF(OR(I1423="",J1423="",K1423=""),FALSE,AND(I1423,J1423,K1423))</f>
        <v/>
      </c>
    </row>
    <row r="1424">
      <c r="A1424">
        <f>Universe!A1424</f>
        <v/>
      </c>
      <c r="B1424" s="10" t="n"/>
      <c r="C1424" s="11">
        <f>IF(B1424="","",PERCENTRANK.INC($B$2:$B$2501,B1424)*100)</f>
        <v/>
      </c>
      <c r="D1424" s="10" t="n"/>
      <c r="E1424" s="10">
        <f>IF(D1424="","",MIN(D1424,100))</f>
        <v/>
      </c>
      <c r="F1424" s="10" t="n"/>
      <c r="G1424" s="10">
        <f>IF(F1424="","",MIN(F1424,100))</f>
        <v/>
      </c>
      <c r="H1424" s="11">
        <f>IF(A1424="","",Universe!E1424/BDP(A1424&amp;" US Equity","HIGH_52WEEK")*100)</f>
        <v/>
      </c>
      <c r="I1424">
        <f>IF(D1424="","",D1424&gt;=5)</f>
        <v/>
      </c>
      <c r="J1424">
        <f>IF(F1424="","",F1424&gt;=5)</f>
        <v/>
      </c>
      <c r="K1424">
        <f>IF(H1424="","",H1424&gt;=75)</f>
        <v/>
      </c>
      <c r="L1424">
        <f>IF(OR(I1424="",J1424="",K1424=""),FALSE,AND(I1424,J1424,K1424))</f>
        <v/>
      </c>
    </row>
    <row r="1425">
      <c r="A1425">
        <f>Universe!A1425</f>
        <v/>
      </c>
      <c r="B1425" s="10" t="n"/>
      <c r="C1425" s="11">
        <f>IF(B1425="","",PERCENTRANK.INC($B$2:$B$2501,B1425)*100)</f>
        <v/>
      </c>
      <c r="D1425" s="10" t="n"/>
      <c r="E1425" s="10">
        <f>IF(D1425="","",MIN(D1425,100))</f>
        <v/>
      </c>
      <c r="F1425" s="10" t="n"/>
      <c r="G1425" s="10">
        <f>IF(F1425="","",MIN(F1425,100))</f>
        <v/>
      </c>
      <c r="H1425" s="11">
        <f>IF(A1425="","",Universe!E1425/BDP(A1425&amp;" US Equity","HIGH_52WEEK")*100)</f>
        <v/>
      </c>
      <c r="I1425">
        <f>IF(D1425="","",D1425&gt;=5)</f>
        <v/>
      </c>
      <c r="J1425">
        <f>IF(F1425="","",F1425&gt;=5)</f>
        <v/>
      </c>
      <c r="K1425">
        <f>IF(H1425="","",H1425&gt;=75)</f>
        <v/>
      </c>
      <c r="L1425">
        <f>IF(OR(I1425="",J1425="",K1425=""),FALSE,AND(I1425,J1425,K1425))</f>
        <v/>
      </c>
    </row>
    <row r="1426">
      <c r="A1426">
        <f>Universe!A1426</f>
        <v/>
      </c>
      <c r="B1426" s="10" t="n"/>
      <c r="C1426" s="11">
        <f>IF(B1426="","",PERCENTRANK.INC($B$2:$B$2501,B1426)*100)</f>
        <v/>
      </c>
      <c r="D1426" s="10" t="n"/>
      <c r="E1426" s="10">
        <f>IF(D1426="","",MIN(D1426,100))</f>
        <v/>
      </c>
      <c r="F1426" s="10" t="n"/>
      <c r="G1426" s="10">
        <f>IF(F1426="","",MIN(F1426,100))</f>
        <v/>
      </c>
      <c r="H1426" s="11">
        <f>IF(A1426="","",Universe!E1426/BDP(A1426&amp;" US Equity","HIGH_52WEEK")*100)</f>
        <v/>
      </c>
      <c r="I1426">
        <f>IF(D1426="","",D1426&gt;=5)</f>
        <v/>
      </c>
      <c r="J1426">
        <f>IF(F1426="","",F1426&gt;=5)</f>
        <v/>
      </c>
      <c r="K1426">
        <f>IF(H1426="","",H1426&gt;=75)</f>
        <v/>
      </c>
      <c r="L1426">
        <f>IF(OR(I1426="",J1426="",K1426=""),FALSE,AND(I1426,J1426,K1426))</f>
        <v/>
      </c>
    </row>
    <row r="1427">
      <c r="A1427">
        <f>Universe!A1427</f>
        <v/>
      </c>
      <c r="B1427" s="10" t="n"/>
      <c r="C1427" s="11">
        <f>IF(B1427="","",PERCENTRANK.INC($B$2:$B$2501,B1427)*100)</f>
        <v/>
      </c>
      <c r="D1427" s="10" t="n"/>
      <c r="E1427" s="10">
        <f>IF(D1427="","",MIN(D1427,100))</f>
        <v/>
      </c>
      <c r="F1427" s="10" t="n"/>
      <c r="G1427" s="10">
        <f>IF(F1427="","",MIN(F1427,100))</f>
        <v/>
      </c>
      <c r="H1427" s="11">
        <f>IF(A1427="","",Universe!E1427/BDP(A1427&amp;" US Equity","HIGH_52WEEK")*100)</f>
        <v/>
      </c>
      <c r="I1427">
        <f>IF(D1427="","",D1427&gt;=5)</f>
        <v/>
      </c>
      <c r="J1427">
        <f>IF(F1427="","",F1427&gt;=5)</f>
        <v/>
      </c>
      <c r="K1427">
        <f>IF(H1427="","",H1427&gt;=75)</f>
        <v/>
      </c>
      <c r="L1427">
        <f>IF(OR(I1427="",J1427="",K1427=""),FALSE,AND(I1427,J1427,K1427))</f>
        <v/>
      </c>
    </row>
    <row r="1428">
      <c r="A1428">
        <f>Universe!A1428</f>
        <v/>
      </c>
      <c r="B1428" s="10" t="n"/>
      <c r="C1428" s="11">
        <f>IF(B1428="","",PERCENTRANK.INC($B$2:$B$2501,B1428)*100)</f>
        <v/>
      </c>
      <c r="D1428" s="10" t="n"/>
      <c r="E1428" s="10">
        <f>IF(D1428="","",MIN(D1428,100))</f>
        <v/>
      </c>
      <c r="F1428" s="10" t="n"/>
      <c r="G1428" s="10">
        <f>IF(F1428="","",MIN(F1428,100))</f>
        <v/>
      </c>
      <c r="H1428" s="11">
        <f>IF(A1428="","",Universe!E1428/BDP(A1428&amp;" US Equity","HIGH_52WEEK")*100)</f>
        <v/>
      </c>
      <c r="I1428">
        <f>IF(D1428="","",D1428&gt;=5)</f>
        <v/>
      </c>
      <c r="J1428">
        <f>IF(F1428="","",F1428&gt;=5)</f>
        <v/>
      </c>
      <c r="K1428">
        <f>IF(H1428="","",H1428&gt;=75)</f>
        <v/>
      </c>
      <c r="L1428">
        <f>IF(OR(I1428="",J1428="",K1428=""),FALSE,AND(I1428,J1428,K1428))</f>
        <v/>
      </c>
    </row>
    <row r="1429">
      <c r="A1429">
        <f>Universe!A1429</f>
        <v/>
      </c>
      <c r="B1429" s="10" t="n"/>
      <c r="C1429" s="11">
        <f>IF(B1429="","",PERCENTRANK.INC($B$2:$B$2501,B1429)*100)</f>
        <v/>
      </c>
      <c r="D1429" s="10" t="n"/>
      <c r="E1429" s="10">
        <f>IF(D1429="","",MIN(D1429,100))</f>
        <v/>
      </c>
      <c r="F1429" s="10" t="n"/>
      <c r="G1429" s="10">
        <f>IF(F1429="","",MIN(F1429,100))</f>
        <v/>
      </c>
      <c r="H1429" s="11">
        <f>IF(A1429="","",Universe!E1429/BDP(A1429&amp;" US Equity","HIGH_52WEEK")*100)</f>
        <v/>
      </c>
      <c r="I1429">
        <f>IF(D1429="","",D1429&gt;=5)</f>
        <v/>
      </c>
      <c r="J1429">
        <f>IF(F1429="","",F1429&gt;=5)</f>
        <v/>
      </c>
      <c r="K1429">
        <f>IF(H1429="","",H1429&gt;=75)</f>
        <v/>
      </c>
      <c r="L1429">
        <f>IF(OR(I1429="",J1429="",K1429=""),FALSE,AND(I1429,J1429,K1429))</f>
        <v/>
      </c>
    </row>
    <row r="1430">
      <c r="A1430">
        <f>Universe!A1430</f>
        <v/>
      </c>
      <c r="B1430" s="10" t="n"/>
      <c r="C1430" s="11">
        <f>IF(B1430="","",PERCENTRANK.INC($B$2:$B$2501,B1430)*100)</f>
        <v/>
      </c>
      <c r="D1430" s="10" t="n"/>
      <c r="E1430" s="10">
        <f>IF(D1430="","",MIN(D1430,100))</f>
        <v/>
      </c>
      <c r="F1430" s="10" t="n"/>
      <c r="G1430" s="10">
        <f>IF(F1430="","",MIN(F1430,100))</f>
        <v/>
      </c>
      <c r="H1430" s="11">
        <f>IF(A1430="","",Universe!E1430/BDP(A1430&amp;" US Equity","HIGH_52WEEK")*100)</f>
        <v/>
      </c>
      <c r="I1430">
        <f>IF(D1430="","",D1430&gt;=5)</f>
        <v/>
      </c>
      <c r="J1430">
        <f>IF(F1430="","",F1430&gt;=5)</f>
        <v/>
      </c>
      <c r="K1430">
        <f>IF(H1430="","",H1430&gt;=75)</f>
        <v/>
      </c>
      <c r="L1430">
        <f>IF(OR(I1430="",J1430="",K1430=""),FALSE,AND(I1430,J1430,K1430))</f>
        <v/>
      </c>
    </row>
    <row r="1431">
      <c r="A1431">
        <f>Universe!A1431</f>
        <v/>
      </c>
      <c r="B1431" s="10" t="n"/>
      <c r="C1431" s="11">
        <f>IF(B1431="","",PERCENTRANK.INC($B$2:$B$2501,B1431)*100)</f>
        <v/>
      </c>
      <c r="D1431" s="10" t="n"/>
      <c r="E1431" s="10">
        <f>IF(D1431="","",MIN(D1431,100))</f>
        <v/>
      </c>
      <c r="F1431" s="10" t="n"/>
      <c r="G1431" s="10">
        <f>IF(F1431="","",MIN(F1431,100))</f>
        <v/>
      </c>
      <c r="H1431" s="11">
        <f>IF(A1431="","",Universe!E1431/BDP(A1431&amp;" US Equity","HIGH_52WEEK")*100)</f>
        <v/>
      </c>
      <c r="I1431">
        <f>IF(D1431="","",D1431&gt;=5)</f>
        <v/>
      </c>
      <c r="J1431">
        <f>IF(F1431="","",F1431&gt;=5)</f>
        <v/>
      </c>
      <c r="K1431">
        <f>IF(H1431="","",H1431&gt;=75)</f>
        <v/>
      </c>
      <c r="L1431">
        <f>IF(OR(I1431="",J1431="",K1431=""),FALSE,AND(I1431,J1431,K1431))</f>
        <v/>
      </c>
    </row>
    <row r="1432">
      <c r="A1432">
        <f>Universe!A1432</f>
        <v/>
      </c>
      <c r="B1432" s="10" t="n"/>
      <c r="C1432" s="11">
        <f>IF(B1432="","",PERCENTRANK.INC($B$2:$B$2501,B1432)*100)</f>
        <v/>
      </c>
      <c r="D1432" s="10" t="n"/>
      <c r="E1432" s="10">
        <f>IF(D1432="","",MIN(D1432,100))</f>
        <v/>
      </c>
      <c r="F1432" s="10" t="n"/>
      <c r="G1432" s="10">
        <f>IF(F1432="","",MIN(F1432,100))</f>
        <v/>
      </c>
      <c r="H1432" s="11">
        <f>IF(A1432="","",Universe!E1432/BDP(A1432&amp;" US Equity","HIGH_52WEEK")*100)</f>
        <v/>
      </c>
      <c r="I1432">
        <f>IF(D1432="","",D1432&gt;=5)</f>
        <v/>
      </c>
      <c r="J1432">
        <f>IF(F1432="","",F1432&gt;=5)</f>
        <v/>
      </c>
      <c r="K1432">
        <f>IF(H1432="","",H1432&gt;=75)</f>
        <v/>
      </c>
      <c r="L1432">
        <f>IF(OR(I1432="",J1432="",K1432=""),FALSE,AND(I1432,J1432,K1432))</f>
        <v/>
      </c>
    </row>
    <row r="1433">
      <c r="A1433">
        <f>Universe!A1433</f>
        <v/>
      </c>
      <c r="B1433" s="10" t="n"/>
      <c r="C1433" s="11">
        <f>IF(B1433="","",PERCENTRANK.INC($B$2:$B$2501,B1433)*100)</f>
        <v/>
      </c>
      <c r="D1433" s="10" t="n"/>
      <c r="E1433" s="10">
        <f>IF(D1433="","",MIN(D1433,100))</f>
        <v/>
      </c>
      <c r="F1433" s="10" t="n"/>
      <c r="G1433" s="10">
        <f>IF(F1433="","",MIN(F1433,100))</f>
        <v/>
      </c>
      <c r="H1433" s="11">
        <f>IF(A1433="","",Universe!E1433/BDP(A1433&amp;" US Equity","HIGH_52WEEK")*100)</f>
        <v/>
      </c>
      <c r="I1433">
        <f>IF(D1433="","",D1433&gt;=5)</f>
        <v/>
      </c>
      <c r="J1433">
        <f>IF(F1433="","",F1433&gt;=5)</f>
        <v/>
      </c>
      <c r="K1433">
        <f>IF(H1433="","",H1433&gt;=75)</f>
        <v/>
      </c>
      <c r="L1433">
        <f>IF(OR(I1433="",J1433="",K1433=""),FALSE,AND(I1433,J1433,K1433))</f>
        <v/>
      </c>
    </row>
    <row r="1434">
      <c r="A1434">
        <f>Universe!A1434</f>
        <v/>
      </c>
      <c r="B1434" s="10" t="n"/>
      <c r="C1434" s="11">
        <f>IF(B1434="","",PERCENTRANK.INC($B$2:$B$2501,B1434)*100)</f>
        <v/>
      </c>
      <c r="D1434" s="10" t="n"/>
      <c r="E1434" s="10">
        <f>IF(D1434="","",MIN(D1434,100))</f>
        <v/>
      </c>
      <c r="F1434" s="10" t="n"/>
      <c r="G1434" s="10">
        <f>IF(F1434="","",MIN(F1434,100))</f>
        <v/>
      </c>
      <c r="H1434" s="11">
        <f>IF(A1434="","",Universe!E1434/BDP(A1434&amp;" US Equity","HIGH_52WEEK")*100)</f>
        <v/>
      </c>
      <c r="I1434">
        <f>IF(D1434="","",D1434&gt;=5)</f>
        <v/>
      </c>
      <c r="J1434">
        <f>IF(F1434="","",F1434&gt;=5)</f>
        <v/>
      </c>
      <c r="K1434">
        <f>IF(H1434="","",H1434&gt;=75)</f>
        <v/>
      </c>
      <c r="L1434">
        <f>IF(OR(I1434="",J1434="",K1434=""),FALSE,AND(I1434,J1434,K1434))</f>
        <v/>
      </c>
    </row>
    <row r="1435">
      <c r="A1435">
        <f>Universe!A1435</f>
        <v/>
      </c>
      <c r="B1435" s="10" t="n"/>
      <c r="C1435" s="11">
        <f>IF(B1435="","",PERCENTRANK.INC($B$2:$B$2501,B1435)*100)</f>
        <v/>
      </c>
      <c r="D1435" s="10" t="n"/>
      <c r="E1435" s="10">
        <f>IF(D1435="","",MIN(D1435,100))</f>
        <v/>
      </c>
      <c r="F1435" s="10" t="n"/>
      <c r="G1435" s="10">
        <f>IF(F1435="","",MIN(F1435,100))</f>
        <v/>
      </c>
      <c r="H1435" s="11">
        <f>IF(A1435="","",Universe!E1435/BDP(A1435&amp;" US Equity","HIGH_52WEEK")*100)</f>
        <v/>
      </c>
      <c r="I1435">
        <f>IF(D1435="","",D1435&gt;=5)</f>
        <v/>
      </c>
      <c r="J1435">
        <f>IF(F1435="","",F1435&gt;=5)</f>
        <v/>
      </c>
      <c r="K1435">
        <f>IF(H1435="","",H1435&gt;=75)</f>
        <v/>
      </c>
      <c r="L1435">
        <f>IF(OR(I1435="",J1435="",K1435=""),FALSE,AND(I1435,J1435,K1435))</f>
        <v/>
      </c>
    </row>
    <row r="1436">
      <c r="A1436">
        <f>Universe!A1436</f>
        <v/>
      </c>
      <c r="B1436" s="10" t="n"/>
      <c r="C1436" s="11">
        <f>IF(B1436="","",PERCENTRANK.INC($B$2:$B$2501,B1436)*100)</f>
        <v/>
      </c>
      <c r="D1436" s="10" t="n"/>
      <c r="E1436" s="10">
        <f>IF(D1436="","",MIN(D1436,100))</f>
        <v/>
      </c>
      <c r="F1436" s="10" t="n"/>
      <c r="G1436" s="10">
        <f>IF(F1436="","",MIN(F1436,100))</f>
        <v/>
      </c>
      <c r="H1436" s="11">
        <f>IF(A1436="","",Universe!E1436/BDP(A1436&amp;" US Equity","HIGH_52WEEK")*100)</f>
        <v/>
      </c>
      <c r="I1436">
        <f>IF(D1436="","",D1436&gt;=5)</f>
        <v/>
      </c>
      <c r="J1436">
        <f>IF(F1436="","",F1436&gt;=5)</f>
        <v/>
      </c>
      <c r="K1436">
        <f>IF(H1436="","",H1436&gt;=75)</f>
        <v/>
      </c>
      <c r="L1436">
        <f>IF(OR(I1436="",J1436="",K1436=""),FALSE,AND(I1436,J1436,K1436))</f>
        <v/>
      </c>
    </row>
    <row r="1437">
      <c r="A1437">
        <f>Universe!A1437</f>
        <v/>
      </c>
      <c r="B1437" s="10" t="n"/>
      <c r="C1437" s="11">
        <f>IF(B1437="","",PERCENTRANK.INC($B$2:$B$2501,B1437)*100)</f>
        <v/>
      </c>
      <c r="D1437" s="10" t="n"/>
      <c r="E1437" s="10">
        <f>IF(D1437="","",MIN(D1437,100))</f>
        <v/>
      </c>
      <c r="F1437" s="10" t="n"/>
      <c r="G1437" s="10">
        <f>IF(F1437="","",MIN(F1437,100))</f>
        <v/>
      </c>
      <c r="H1437" s="11">
        <f>IF(A1437="","",Universe!E1437/BDP(A1437&amp;" US Equity","HIGH_52WEEK")*100)</f>
        <v/>
      </c>
      <c r="I1437">
        <f>IF(D1437="","",D1437&gt;=5)</f>
        <v/>
      </c>
      <c r="J1437">
        <f>IF(F1437="","",F1437&gt;=5)</f>
        <v/>
      </c>
      <c r="K1437">
        <f>IF(H1437="","",H1437&gt;=75)</f>
        <v/>
      </c>
      <c r="L1437">
        <f>IF(OR(I1437="",J1437="",K1437=""),FALSE,AND(I1437,J1437,K1437))</f>
        <v/>
      </c>
    </row>
    <row r="1438">
      <c r="A1438">
        <f>Universe!A1438</f>
        <v/>
      </c>
      <c r="B1438" s="10" t="n"/>
      <c r="C1438" s="11">
        <f>IF(B1438="","",PERCENTRANK.INC($B$2:$B$2501,B1438)*100)</f>
        <v/>
      </c>
      <c r="D1438" s="10" t="n"/>
      <c r="E1438" s="10">
        <f>IF(D1438="","",MIN(D1438,100))</f>
        <v/>
      </c>
      <c r="F1438" s="10" t="n"/>
      <c r="G1438" s="10">
        <f>IF(F1438="","",MIN(F1438,100))</f>
        <v/>
      </c>
      <c r="H1438" s="11">
        <f>IF(A1438="","",Universe!E1438/BDP(A1438&amp;" US Equity","HIGH_52WEEK")*100)</f>
        <v/>
      </c>
      <c r="I1438">
        <f>IF(D1438="","",D1438&gt;=5)</f>
        <v/>
      </c>
      <c r="J1438">
        <f>IF(F1438="","",F1438&gt;=5)</f>
        <v/>
      </c>
      <c r="K1438">
        <f>IF(H1438="","",H1438&gt;=75)</f>
        <v/>
      </c>
      <c r="L1438">
        <f>IF(OR(I1438="",J1438="",K1438=""),FALSE,AND(I1438,J1438,K1438))</f>
        <v/>
      </c>
    </row>
    <row r="1439">
      <c r="A1439">
        <f>Universe!A1439</f>
        <v/>
      </c>
      <c r="B1439" s="10" t="n"/>
      <c r="C1439" s="11">
        <f>IF(B1439="","",PERCENTRANK.INC($B$2:$B$2501,B1439)*100)</f>
        <v/>
      </c>
      <c r="D1439" s="10" t="n"/>
      <c r="E1439" s="10">
        <f>IF(D1439="","",MIN(D1439,100))</f>
        <v/>
      </c>
      <c r="F1439" s="10" t="n"/>
      <c r="G1439" s="10">
        <f>IF(F1439="","",MIN(F1439,100))</f>
        <v/>
      </c>
      <c r="H1439" s="11">
        <f>IF(A1439="","",Universe!E1439/BDP(A1439&amp;" US Equity","HIGH_52WEEK")*100)</f>
        <v/>
      </c>
      <c r="I1439">
        <f>IF(D1439="","",D1439&gt;=5)</f>
        <v/>
      </c>
      <c r="J1439">
        <f>IF(F1439="","",F1439&gt;=5)</f>
        <v/>
      </c>
      <c r="K1439">
        <f>IF(H1439="","",H1439&gt;=75)</f>
        <v/>
      </c>
      <c r="L1439">
        <f>IF(OR(I1439="",J1439="",K1439=""),FALSE,AND(I1439,J1439,K1439))</f>
        <v/>
      </c>
    </row>
    <row r="1440">
      <c r="A1440">
        <f>Universe!A1440</f>
        <v/>
      </c>
      <c r="B1440" s="10" t="n"/>
      <c r="C1440" s="11">
        <f>IF(B1440="","",PERCENTRANK.INC($B$2:$B$2501,B1440)*100)</f>
        <v/>
      </c>
      <c r="D1440" s="10" t="n"/>
      <c r="E1440" s="10">
        <f>IF(D1440="","",MIN(D1440,100))</f>
        <v/>
      </c>
      <c r="F1440" s="10" t="n"/>
      <c r="G1440" s="10">
        <f>IF(F1440="","",MIN(F1440,100))</f>
        <v/>
      </c>
      <c r="H1440" s="11">
        <f>IF(A1440="","",Universe!E1440/BDP(A1440&amp;" US Equity","HIGH_52WEEK")*100)</f>
        <v/>
      </c>
      <c r="I1440">
        <f>IF(D1440="","",D1440&gt;=5)</f>
        <v/>
      </c>
      <c r="J1440">
        <f>IF(F1440="","",F1440&gt;=5)</f>
        <v/>
      </c>
      <c r="K1440">
        <f>IF(H1440="","",H1440&gt;=75)</f>
        <v/>
      </c>
      <c r="L1440">
        <f>IF(OR(I1440="",J1440="",K1440=""),FALSE,AND(I1440,J1440,K1440))</f>
        <v/>
      </c>
    </row>
    <row r="1441">
      <c r="A1441">
        <f>Universe!A1441</f>
        <v/>
      </c>
      <c r="B1441" s="10" t="n"/>
      <c r="C1441" s="11">
        <f>IF(B1441="","",PERCENTRANK.INC($B$2:$B$2501,B1441)*100)</f>
        <v/>
      </c>
      <c r="D1441" s="10" t="n"/>
      <c r="E1441" s="10">
        <f>IF(D1441="","",MIN(D1441,100))</f>
        <v/>
      </c>
      <c r="F1441" s="10" t="n"/>
      <c r="G1441" s="10">
        <f>IF(F1441="","",MIN(F1441,100))</f>
        <v/>
      </c>
      <c r="H1441" s="11">
        <f>IF(A1441="","",Universe!E1441/BDP(A1441&amp;" US Equity","HIGH_52WEEK")*100)</f>
        <v/>
      </c>
      <c r="I1441">
        <f>IF(D1441="","",D1441&gt;=5)</f>
        <v/>
      </c>
      <c r="J1441">
        <f>IF(F1441="","",F1441&gt;=5)</f>
        <v/>
      </c>
      <c r="K1441">
        <f>IF(H1441="","",H1441&gt;=75)</f>
        <v/>
      </c>
      <c r="L1441">
        <f>IF(OR(I1441="",J1441="",K1441=""),FALSE,AND(I1441,J1441,K1441))</f>
        <v/>
      </c>
    </row>
    <row r="1442">
      <c r="A1442">
        <f>Universe!A1442</f>
        <v/>
      </c>
      <c r="B1442" s="10" t="n"/>
      <c r="C1442" s="11">
        <f>IF(B1442="","",PERCENTRANK.INC($B$2:$B$2501,B1442)*100)</f>
        <v/>
      </c>
      <c r="D1442" s="10" t="n"/>
      <c r="E1442" s="10">
        <f>IF(D1442="","",MIN(D1442,100))</f>
        <v/>
      </c>
      <c r="F1442" s="10" t="n"/>
      <c r="G1442" s="10">
        <f>IF(F1442="","",MIN(F1442,100))</f>
        <v/>
      </c>
      <c r="H1442" s="11">
        <f>IF(A1442="","",Universe!E1442/BDP(A1442&amp;" US Equity","HIGH_52WEEK")*100)</f>
        <v/>
      </c>
      <c r="I1442">
        <f>IF(D1442="","",D1442&gt;=5)</f>
        <v/>
      </c>
      <c r="J1442">
        <f>IF(F1442="","",F1442&gt;=5)</f>
        <v/>
      </c>
      <c r="K1442">
        <f>IF(H1442="","",H1442&gt;=75)</f>
        <v/>
      </c>
      <c r="L1442">
        <f>IF(OR(I1442="",J1442="",K1442=""),FALSE,AND(I1442,J1442,K1442))</f>
        <v/>
      </c>
    </row>
    <row r="1443">
      <c r="A1443">
        <f>Universe!A1443</f>
        <v/>
      </c>
      <c r="B1443" s="10" t="n"/>
      <c r="C1443" s="11">
        <f>IF(B1443="","",PERCENTRANK.INC($B$2:$B$2501,B1443)*100)</f>
        <v/>
      </c>
      <c r="D1443" s="10" t="n"/>
      <c r="E1443" s="10">
        <f>IF(D1443="","",MIN(D1443,100))</f>
        <v/>
      </c>
      <c r="F1443" s="10" t="n"/>
      <c r="G1443" s="10">
        <f>IF(F1443="","",MIN(F1443,100))</f>
        <v/>
      </c>
      <c r="H1443" s="11">
        <f>IF(A1443="","",Universe!E1443/BDP(A1443&amp;" US Equity","HIGH_52WEEK")*100)</f>
        <v/>
      </c>
      <c r="I1443">
        <f>IF(D1443="","",D1443&gt;=5)</f>
        <v/>
      </c>
      <c r="J1443">
        <f>IF(F1443="","",F1443&gt;=5)</f>
        <v/>
      </c>
      <c r="K1443">
        <f>IF(H1443="","",H1443&gt;=75)</f>
        <v/>
      </c>
      <c r="L1443">
        <f>IF(OR(I1443="",J1443="",K1443=""),FALSE,AND(I1443,J1443,K1443))</f>
        <v/>
      </c>
    </row>
    <row r="1444">
      <c r="A1444">
        <f>Universe!A1444</f>
        <v/>
      </c>
      <c r="B1444" s="10" t="n"/>
      <c r="C1444" s="11">
        <f>IF(B1444="","",PERCENTRANK.INC($B$2:$B$2501,B1444)*100)</f>
        <v/>
      </c>
      <c r="D1444" s="10" t="n"/>
      <c r="E1444" s="10">
        <f>IF(D1444="","",MIN(D1444,100))</f>
        <v/>
      </c>
      <c r="F1444" s="10" t="n"/>
      <c r="G1444" s="10">
        <f>IF(F1444="","",MIN(F1444,100))</f>
        <v/>
      </c>
      <c r="H1444" s="11">
        <f>IF(A1444="","",Universe!E1444/BDP(A1444&amp;" US Equity","HIGH_52WEEK")*100)</f>
        <v/>
      </c>
      <c r="I1444">
        <f>IF(D1444="","",D1444&gt;=5)</f>
        <v/>
      </c>
      <c r="J1444">
        <f>IF(F1444="","",F1444&gt;=5)</f>
        <v/>
      </c>
      <c r="K1444">
        <f>IF(H1444="","",H1444&gt;=75)</f>
        <v/>
      </c>
      <c r="L1444">
        <f>IF(OR(I1444="",J1444="",K1444=""),FALSE,AND(I1444,J1444,K1444))</f>
        <v/>
      </c>
    </row>
    <row r="1445">
      <c r="A1445">
        <f>Universe!A1445</f>
        <v/>
      </c>
      <c r="B1445" s="10" t="n"/>
      <c r="C1445" s="11">
        <f>IF(B1445="","",PERCENTRANK.INC($B$2:$B$2501,B1445)*100)</f>
        <v/>
      </c>
      <c r="D1445" s="10" t="n"/>
      <c r="E1445" s="10">
        <f>IF(D1445="","",MIN(D1445,100))</f>
        <v/>
      </c>
      <c r="F1445" s="10" t="n"/>
      <c r="G1445" s="10">
        <f>IF(F1445="","",MIN(F1445,100))</f>
        <v/>
      </c>
      <c r="H1445" s="11">
        <f>IF(A1445="","",Universe!E1445/BDP(A1445&amp;" US Equity","HIGH_52WEEK")*100)</f>
        <v/>
      </c>
      <c r="I1445">
        <f>IF(D1445="","",D1445&gt;=5)</f>
        <v/>
      </c>
      <c r="J1445">
        <f>IF(F1445="","",F1445&gt;=5)</f>
        <v/>
      </c>
      <c r="K1445">
        <f>IF(H1445="","",H1445&gt;=75)</f>
        <v/>
      </c>
      <c r="L1445">
        <f>IF(OR(I1445="",J1445="",K1445=""),FALSE,AND(I1445,J1445,K1445))</f>
        <v/>
      </c>
    </row>
    <row r="1446">
      <c r="A1446">
        <f>Universe!A1446</f>
        <v/>
      </c>
      <c r="B1446" s="10" t="n"/>
      <c r="C1446" s="11">
        <f>IF(B1446="","",PERCENTRANK.INC($B$2:$B$2501,B1446)*100)</f>
        <v/>
      </c>
      <c r="D1446" s="10" t="n"/>
      <c r="E1446" s="10">
        <f>IF(D1446="","",MIN(D1446,100))</f>
        <v/>
      </c>
      <c r="F1446" s="10" t="n"/>
      <c r="G1446" s="10">
        <f>IF(F1446="","",MIN(F1446,100))</f>
        <v/>
      </c>
      <c r="H1446" s="11">
        <f>IF(A1446="","",Universe!E1446/BDP(A1446&amp;" US Equity","HIGH_52WEEK")*100)</f>
        <v/>
      </c>
      <c r="I1446">
        <f>IF(D1446="","",D1446&gt;=5)</f>
        <v/>
      </c>
      <c r="J1446">
        <f>IF(F1446="","",F1446&gt;=5)</f>
        <v/>
      </c>
      <c r="K1446">
        <f>IF(H1446="","",H1446&gt;=75)</f>
        <v/>
      </c>
      <c r="L1446">
        <f>IF(OR(I1446="",J1446="",K1446=""),FALSE,AND(I1446,J1446,K1446))</f>
        <v/>
      </c>
    </row>
    <row r="1447">
      <c r="A1447">
        <f>Universe!A1447</f>
        <v/>
      </c>
      <c r="B1447" s="10" t="n"/>
      <c r="C1447" s="11">
        <f>IF(B1447="","",PERCENTRANK.INC($B$2:$B$2501,B1447)*100)</f>
        <v/>
      </c>
      <c r="D1447" s="10" t="n"/>
      <c r="E1447" s="10">
        <f>IF(D1447="","",MIN(D1447,100))</f>
        <v/>
      </c>
      <c r="F1447" s="10" t="n"/>
      <c r="G1447" s="10">
        <f>IF(F1447="","",MIN(F1447,100))</f>
        <v/>
      </c>
      <c r="H1447" s="11">
        <f>IF(A1447="","",Universe!E1447/BDP(A1447&amp;" US Equity","HIGH_52WEEK")*100)</f>
        <v/>
      </c>
      <c r="I1447">
        <f>IF(D1447="","",D1447&gt;=5)</f>
        <v/>
      </c>
      <c r="J1447">
        <f>IF(F1447="","",F1447&gt;=5)</f>
        <v/>
      </c>
      <c r="K1447">
        <f>IF(H1447="","",H1447&gt;=75)</f>
        <v/>
      </c>
      <c r="L1447">
        <f>IF(OR(I1447="",J1447="",K1447=""),FALSE,AND(I1447,J1447,K1447))</f>
        <v/>
      </c>
    </row>
    <row r="1448">
      <c r="A1448">
        <f>Universe!A1448</f>
        <v/>
      </c>
      <c r="B1448" s="10" t="n"/>
      <c r="C1448" s="11">
        <f>IF(B1448="","",PERCENTRANK.INC($B$2:$B$2501,B1448)*100)</f>
        <v/>
      </c>
      <c r="D1448" s="10" t="n"/>
      <c r="E1448" s="10">
        <f>IF(D1448="","",MIN(D1448,100))</f>
        <v/>
      </c>
      <c r="F1448" s="10" t="n"/>
      <c r="G1448" s="10">
        <f>IF(F1448="","",MIN(F1448,100))</f>
        <v/>
      </c>
      <c r="H1448" s="11">
        <f>IF(A1448="","",Universe!E1448/BDP(A1448&amp;" US Equity","HIGH_52WEEK")*100)</f>
        <v/>
      </c>
      <c r="I1448">
        <f>IF(D1448="","",D1448&gt;=5)</f>
        <v/>
      </c>
      <c r="J1448">
        <f>IF(F1448="","",F1448&gt;=5)</f>
        <v/>
      </c>
      <c r="K1448">
        <f>IF(H1448="","",H1448&gt;=75)</f>
        <v/>
      </c>
      <c r="L1448">
        <f>IF(OR(I1448="",J1448="",K1448=""),FALSE,AND(I1448,J1448,K1448))</f>
        <v/>
      </c>
    </row>
    <row r="1449">
      <c r="A1449">
        <f>Universe!A1449</f>
        <v/>
      </c>
      <c r="B1449" s="10" t="n"/>
      <c r="C1449" s="11">
        <f>IF(B1449="","",PERCENTRANK.INC($B$2:$B$2501,B1449)*100)</f>
        <v/>
      </c>
      <c r="D1449" s="10" t="n"/>
      <c r="E1449" s="10">
        <f>IF(D1449="","",MIN(D1449,100))</f>
        <v/>
      </c>
      <c r="F1449" s="10" t="n"/>
      <c r="G1449" s="10">
        <f>IF(F1449="","",MIN(F1449,100))</f>
        <v/>
      </c>
      <c r="H1449" s="11">
        <f>IF(A1449="","",Universe!E1449/BDP(A1449&amp;" US Equity","HIGH_52WEEK")*100)</f>
        <v/>
      </c>
      <c r="I1449">
        <f>IF(D1449="","",D1449&gt;=5)</f>
        <v/>
      </c>
      <c r="J1449">
        <f>IF(F1449="","",F1449&gt;=5)</f>
        <v/>
      </c>
      <c r="K1449">
        <f>IF(H1449="","",H1449&gt;=75)</f>
        <v/>
      </c>
      <c r="L1449">
        <f>IF(OR(I1449="",J1449="",K1449=""),FALSE,AND(I1449,J1449,K1449))</f>
        <v/>
      </c>
    </row>
    <row r="1450">
      <c r="A1450">
        <f>Universe!A1450</f>
        <v/>
      </c>
      <c r="B1450" s="10" t="n"/>
      <c r="C1450" s="11">
        <f>IF(B1450="","",PERCENTRANK.INC($B$2:$B$2501,B1450)*100)</f>
        <v/>
      </c>
      <c r="D1450" s="10" t="n"/>
      <c r="E1450" s="10">
        <f>IF(D1450="","",MIN(D1450,100))</f>
        <v/>
      </c>
      <c r="F1450" s="10" t="n"/>
      <c r="G1450" s="10">
        <f>IF(F1450="","",MIN(F1450,100))</f>
        <v/>
      </c>
      <c r="H1450" s="11">
        <f>IF(A1450="","",Universe!E1450/BDP(A1450&amp;" US Equity","HIGH_52WEEK")*100)</f>
        <v/>
      </c>
      <c r="I1450">
        <f>IF(D1450="","",D1450&gt;=5)</f>
        <v/>
      </c>
      <c r="J1450">
        <f>IF(F1450="","",F1450&gt;=5)</f>
        <v/>
      </c>
      <c r="K1450">
        <f>IF(H1450="","",H1450&gt;=75)</f>
        <v/>
      </c>
      <c r="L1450">
        <f>IF(OR(I1450="",J1450="",K1450=""),FALSE,AND(I1450,J1450,K1450))</f>
        <v/>
      </c>
    </row>
    <row r="1451">
      <c r="A1451">
        <f>Universe!A1451</f>
        <v/>
      </c>
      <c r="B1451" s="10" t="n"/>
      <c r="C1451" s="11">
        <f>IF(B1451="","",PERCENTRANK.INC($B$2:$B$2501,B1451)*100)</f>
        <v/>
      </c>
      <c r="D1451" s="10" t="n"/>
      <c r="E1451" s="10">
        <f>IF(D1451="","",MIN(D1451,100))</f>
        <v/>
      </c>
      <c r="F1451" s="10" t="n"/>
      <c r="G1451" s="10">
        <f>IF(F1451="","",MIN(F1451,100))</f>
        <v/>
      </c>
      <c r="H1451" s="11">
        <f>IF(A1451="","",Universe!E1451/BDP(A1451&amp;" US Equity","HIGH_52WEEK")*100)</f>
        <v/>
      </c>
      <c r="I1451">
        <f>IF(D1451="","",D1451&gt;=5)</f>
        <v/>
      </c>
      <c r="J1451">
        <f>IF(F1451="","",F1451&gt;=5)</f>
        <v/>
      </c>
      <c r="K1451">
        <f>IF(H1451="","",H1451&gt;=75)</f>
        <v/>
      </c>
      <c r="L1451">
        <f>IF(OR(I1451="",J1451="",K1451=""),FALSE,AND(I1451,J1451,K1451))</f>
        <v/>
      </c>
    </row>
    <row r="1452">
      <c r="A1452">
        <f>Universe!A1452</f>
        <v/>
      </c>
      <c r="B1452" s="10" t="n"/>
      <c r="C1452" s="11">
        <f>IF(B1452="","",PERCENTRANK.INC($B$2:$B$2501,B1452)*100)</f>
        <v/>
      </c>
      <c r="D1452" s="10" t="n"/>
      <c r="E1452" s="10">
        <f>IF(D1452="","",MIN(D1452,100))</f>
        <v/>
      </c>
      <c r="F1452" s="10" t="n"/>
      <c r="G1452" s="10">
        <f>IF(F1452="","",MIN(F1452,100))</f>
        <v/>
      </c>
      <c r="H1452" s="11">
        <f>IF(A1452="","",Universe!E1452/BDP(A1452&amp;" US Equity","HIGH_52WEEK")*100)</f>
        <v/>
      </c>
      <c r="I1452">
        <f>IF(D1452="","",D1452&gt;=5)</f>
        <v/>
      </c>
      <c r="J1452">
        <f>IF(F1452="","",F1452&gt;=5)</f>
        <v/>
      </c>
      <c r="K1452">
        <f>IF(H1452="","",H1452&gt;=75)</f>
        <v/>
      </c>
      <c r="L1452">
        <f>IF(OR(I1452="",J1452="",K1452=""),FALSE,AND(I1452,J1452,K1452))</f>
        <v/>
      </c>
    </row>
    <row r="1453">
      <c r="A1453">
        <f>Universe!A1453</f>
        <v/>
      </c>
      <c r="B1453" s="10" t="n"/>
      <c r="C1453" s="11">
        <f>IF(B1453="","",PERCENTRANK.INC($B$2:$B$2501,B1453)*100)</f>
        <v/>
      </c>
      <c r="D1453" s="10" t="n"/>
      <c r="E1453" s="10">
        <f>IF(D1453="","",MIN(D1453,100))</f>
        <v/>
      </c>
      <c r="F1453" s="10" t="n"/>
      <c r="G1453" s="10">
        <f>IF(F1453="","",MIN(F1453,100))</f>
        <v/>
      </c>
      <c r="H1453" s="11">
        <f>IF(A1453="","",Universe!E1453/BDP(A1453&amp;" US Equity","HIGH_52WEEK")*100)</f>
        <v/>
      </c>
      <c r="I1453">
        <f>IF(D1453="","",D1453&gt;=5)</f>
        <v/>
      </c>
      <c r="J1453">
        <f>IF(F1453="","",F1453&gt;=5)</f>
        <v/>
      </c>
      <c r="K1453">
        <f>IF(H1453="","",H1453&gt;=75)</f>
        <v/>
      </c>
      <c r="L1453">
        <f>IF(OR(I1453="",J1453="",K1453=""),FALSE,AND(I1453,J1453,K1453))</f>
        <v/>
      </c>
    </row>
    <row r="1454">
      <c r="A1454">
        <f>Universe!A1454</f>
        <v/>
      </c>
      <c r="B1454" s="10" t="n"/>
      <c r="C1454" s="11">
        <f>IF(B1454="","",PERCENTRANK.INC($B$2:$B$2501,B1454)*100)</f>
        <v/>
      </c>
      <c r="D1454" s="10" t="n"/>
      <c r="E1454" s="10">
        <f>IF(D1454="","",MIN(D1454,100))</f>
        <v/>
      </c>
      <c r="F1454" s="10" t="n"/>
      <c r="G1454" s="10">
        <f>IF(F1454="","",MIN(F1454,100))</f>
        <v/>
      </c>
      <c r="H1454" s="11">
        <f>IF(A1454="","",Universe!E1454/BDP(A1454&amp;" US Equity","HIGH_52WEEK")*100)</f>
        <v/>
      </c>
      <c r="I1454">
        <f>IF(D1454="","",D1454&gt;=5)</f>
        <v/>
      </c>
      <c r="J1454">
        <f>IF(F1454="","",F1454&gt;=5)</f>
        <v/>
      </c>
      <c r="K1454">
        <f>IF(H1454="","",H1454&gt;=75)</f>
        <v/>
      </c>
      <c r="L1454">
        <f>IF(OR(I1454="",J1454="",K1454=""),FALSE,AND(I1454,J1454,K1454))</f>
        <v/>
      </c>
    </row>
    <row r="1455">
      <c r="A1455">
        <f>Universe!A1455</f>
        <v/>
      </c>
      <c r="B1455" s="10" t="n"/>
      <c r="C1455" s="11">
        <f>IF(B1455="","",PERCENTRANK.INC($B$2:$B$2501,B1455)*100)</f>
        <v/>
      </c>
      <c r="D1455" s="10" t="n"/>
      <c r="E1455" s="10">
        <f>IF(D1455="","",MIN(D1455,100))</f>
        <v/>
      </c>
      <c r="F1455" s="10" t="n"/>
      <c r="G1455" s="10">
        <f>IF(F1455="","",MIN(F1455,100))</f>
        <v/>
      </c>
      <c r="H1455" s="11">
        <f>IF(A1455="","",Universe!E1455/BDP(A1455&amp;" US Equity","HIGH_52WEEK")*100)</f>
        <v/>
      </c>
      <c r="I1455">
        <f>IF(D1455="","",D1455&gt;=5)</f>
        <v/>
      </c>
      <c r="J1455">
        <f>IF(F1455="","",F1455&gt;=5)</f>
        <v/>
      </c>
      <c r="K1455">
        <f>IF(H1455="","",H1455&gt;=75)</f>
        <v/>
      </c>
      <c r="L1455">
        <f>IF(OR(I1455="",J1455="",K1455=""),FALSE,AND(I1455,J1455,K1455))</f>
        <v/>
      </c>
    </row>
    <row r="1456">
      <c r="A1456">
        <f>Universe!A1456</f>
        <v/>
      </c>
      <c r="B1456" s="10" t="n"/>
      <c r="C1456" s="11">
        <f>IF(B1456="","",PERCENTRANK.INC($B$2:$B$2501,B1456)*100)</f>
        <v/>
      </c>
      <c r="D1456" s="10" t="n"/>
      <c r="E1456" s="10">
        <f>IF(D1456="","",MIN(D1456,100))</f>
        <v/>
      </c>
      <c r="F1456" s="10" t="n"/>
      <c r="G1456" s="10">
        <f>IF(F1456="","",MIN(F1456,100))</f>
        <v/>
      </c>
      <c r="H1456" s="11">
        <f>IF(A1456="","",Universe!E1456/BDP(A1456&amp;" US Equity","HIGH_52WEEK")*100)</f>
        <v/>
      </c>
      <c r="I1456">
        <f>IF(D1456="","",D1456&gt;=5)</f>
        <v/>
      </c>
      <c r="J1456">
        <f>IF(F1456="","",F1456&gt;=5)</f>
        <v/>
      </c>
      <c r="K1456">
        <f>IF(H1456="","",H1456&gt;=75)</f>
        <v/>
      </c>
      <c r="L1456">
        <f>IF(OR(I1456="",J1456="",K1456=""),FALSE,AND(I1456,J1456,K1456))</f>
        <v/>
      </c>
    </row>
    <row r="1457">
      <c r="A1457">
        <f>Universe!A1457</f>
        <v/>
      </c>
      <c r="B1457" s="10" t="n"/>
      <c r="C1457" s="11">
        <f>IF(B1457="","",PERCENTRANK.INC($B$2:$B$2501,B1457)*100)</f>
        <v/>
      </c>
      <c r="D1457" s="10" t="n"/>
      <c r="E1457" s="10">
        <f>IF(D1457="","",MIN(D1457,100))</f>
        <v/>
      </c>
      <c r="F1457" s="10" t="n"/>
      <c r="G1457" s="10">
        <f>IF(F1457="","",MIN(F1457,100))</f>
        <v/>
      </c>
      <c r="H1457" s="11">
        <f>IF(A1457="","",Universe!E1457/BDP(A1457&amp;" US Equity","HIGH_52WEEK")*100)</f>
        <v/>
      </c>
      <c r="I1457">
        <f>IF(D1457="","",D1457&gt;=5)</f>
        <v/>
      </c>
      <c r="J1457">
        <f>IF(F1457="","",F1457&gt;=5)</f>
        <v/>
      </c>
      <c r="K1457">
        <f>IF(H1457="","",H1457&gt;=75)</f>
        <v/>
      </c>
      <c r="L1457">
        <f>IF(OR(I1457="",J1457="",K1457=""),FALSE,AND(I1457,J1457,K1457))</f>
        <v/>
      </c>
    </row>
    <row r="1458">
      <c r="A1458">
        <f>Universe!A1458</f>
        <v/>
      </c>
      <c r="B1458" s="10" t="n"/>
      <c r="C1458" s="11">
        <f>IF(B1458="","",PERCENTRANK.INC($B$2:$B$2501,B1458)*100)</f>
        <v/>
      </c>
      <c r="D1458" s="10" t="n"/>
      <c r="E1458" s="10">
        <f>IF(D1458="","",MIN(D1458,100))</f>
        <v/>
      </c>
      <c r="F1458" s="10" t="n"/>
      <c r="G1458" s="10">
        <f>IF(F1458="","",MIN(F1458,100))</f>
        <v/>
      </c>
      <c r="H1458" s="11">
        <f>IF(A1458="","",Universe!E1458/BDP(A1458&amp;" US Equity","HIGH_52WEEK")*100)</f>
        <v/>
      </c>
      <c r="I1458">
        <f>IF(D1458="","",D1458&gt;=5)</f>
        <v/>
      </c>
      <c r="J1458">
        <f>IF(F1458="","",F1458&gt;=5)</f>
        <v/>
      </c>
      <c r="K1458">
        <f>IF(H1458="","",H1458&gt;=75)</f>
        <v/>
      </c>
      <c r="L1458">
        <f>IF(OR(I1458="",J1458="",K1458=""),FALSE,AND(I1458,J1458,K1458))</f>
        <v/>
      </c>
    </row>
    <row r="1459">
      <c r="A1459">
        <f>Universe!A1459</f>
        <v/>
      </c>
      <c r="B1459" s="10" t="n"/>
      <c r="C1459" s="11">
        <f>IF(B1459="","",PERCENTRANK.INC($B$2:$B$2501,B1459)*100)</f>
        <v/>
      </c>
      <c r="D1459" s="10" t="n"/>
      <c r="E1459" s="10">
        <f>IF(D1459="","",MIN(D1459,100))</f>
        <v/>
      </c>
      <c r="F1459" s="10" t="n"/>
      <c r="G1459" s="10">
        <f>IF(F1459="","",MIN(F1459,100))</f>
        <v/>
      </c>
      <c r="H1459" s="11">
        <f>IF(A1459="","",Universe!E1459/BDP(A1459&amp;" US Equity","HIGH_52WEEK")*100)</f>
        <v/>
      </c>
      <c r="I1459">
        <f>IF(D1459="","",D1459&gt;=5)</f>
        <v/>
      </c>
      <c r="J1459">
        <f>IF(F1459="","",F1459&gt;=5)</f>
        <v/>
      </c>
      <c r="K1459">
        <f>IF(H1459="","",H1459&gt;=75)</f>
        <v/>
      </c>
      <c r="L1459">
        <f>IF(OR(I1459="",J1459="",K1459=""),FALSE,AND(I1459,J1459,K1459))</f>
        <v/>
      </c>
    </row>
    <row r="1460">
      <c r="A1460">
        <f>Universe!A1460</f>
        <v/>
      </c>
      <c r="B1460" s="10" t="n"/>
      <c r="C1460" s="11">
        <f>IF(B1460="","",PERCENTRANK.INC($B$2:$B$2501,B1460)*100)</f>
        <v/>
      </c>
      <c r="D1460" s="10" t="n"/>
      <c r="E1460" s="10">
        <f>IF(D1460="","",MIN(D1460,100))</f>
        <v/>
      </c>
      <c r="F1460" s="10" t="n"/>
      <c r="G1460" s="10">
        <f>IF(F1460="","",MIN(F1460,100))</f>
        <v/>
      </c>
      <c r="H1460" s="11">
        <f>IF(A1460="","",Universe!E1460/BDP(A1460&amp;" US Equity","HIGH_52WEEK")*100)</f>
        <v/>
      </c>
      <c r="I1460">
        <f>IF(D1460="","",D1460&gt;=5)</f>
        <v/>
      </c>
      <c r="J1460">
        <f>IF(F1460="","",F1460&gt;=5)</f>
        <v/>
      </c>
      <c r="K1460">
        <f>IF(H1460="","",H1460&gt;=75)</f>
        <v/>
      </c>
      <c r="L1460">
        <f>IF(OR(I1460="",J1460="",K1460=""),FALSE,AND(I1460,J1460,K1460))</f>
        <v/>
      </c>
    </row>
    <row r="1461">
      <c r="A1461">
        <f>Universe!A1461</f>
        <v/>
      </c>
      <c r="B1461" s="10" t="n"/>
      <c r="C1461" s="11">
        <f>IF(B1461="","",PERCENTRANK.INC($B$2:$B$2501,B1461)*100)</f>
        <v/>
      </c>
      <c r="D1461" s="10" t="n"/>
      <c r="E1461" s="10">
        <f>IF(D1461="","",MIN(D1461,100))</f>
        <v/>
      </c>
      <c r="F1461" s="10" t="n"/>
      <c r="G1461" s="10">
        <f>IF(F1461="","",MIN(F1461,100))</f>
        <v/>
      </c>
      <c r="H1461" s="11">
        <f>IF(A1461="","",Universe!E1461/BDP(A1461&amp;" US Equity","HIGH_52WEEK")*100)</f>
        <v/>
      </c>
      <c r="I1461">
        <f>IF(D1461="","",D1461&gt;=5)</f>
        <v/>
      </c>
      <c r="J1461">
        <f>IF(F1461="","",F1461&gt;=5)</f>
        <v/>
      </c>
      <c r="K1461">
        <f>IF(H1461="","",H1461&gt;=75)</f>
        <v/>
      </c>
      <c r="L1461">
        <f>IF(OR(I1461="",J1461="",K1461=""),FALSE,AND(I1461,J1461,K1461))</f>
        <v/>
      </c>
    </row>
    <row r="1462">
      <c r="A1462">
        <f>Universe!A1462</f>
        <v/>
      </c>
      <c r="B1462" s="10" t="n"/>
      <c r="C1462" s="11">
        <f>IF(B1462="","",PERCENTRANK.INC($B$2:$B$2501,B1462)*100)</f>
        <v/>
      </c>
      <c r="D1462" s="10" t="n"/>
      <c r="E1462" s="10">
        <f>IF(D1462="","",MIN(D1462,100))</f>
        <v/>
      </c>
      <c r="F1462" s="10" t="n"/>
      <c r="G1462" s="10">
        <f>IF(F1462="","",MIN(F1462,100))</f>
        <v/>
      </c>
      <c r="H1462" s="11">
        <f>IF(A1462="","",Universe!E1462/BDP(A1462&amp;" US Equity","HIGH_52WEEK")*100)</f>
        <v/>
      </c>
      <c r="I1462">
        <f>IF(D1462="","",D1462&gt;=5)</f>
        <v/>
      </c>
      <c r="J1462">
        <f>IF(F1462="","",F1462&gt;=5)</f>
        <v/>
      </c>
      <c r="K1462">
        <f>IF(H1462="","",H1462&gt;=75)</f>
        <v/>
      </c>
      <c r="L1462">
        <f>IF(OR(I1462="",J1462="",K1462=""),FALSE,AND(I1462,J1462,K1462))</f>
        <v/>
      </c>
    </row>
    <row r="1463">
      <c r="A1463">
        <f>Universe!A1463</f>
        <v/>
      </c>
      <c r="B1463" s="10" t="n"/>
      <c r="C1463" s="11">
        <f>IF(B1463="","",PERCENTRANK.INC($B$2:$B$2501,B1463)*100)</f>
        <v/>
      </c>
      <c r="D1463" s="10" t="n"/>
      <c r="E1463" s="10">
        <f>IF(D1463="","",MIN(D1463,100))</f>
        <v/>
      </c>
      <c r="F1463" s="10" t="n"/>
      <c r="G1463" s="10">
        <f>IF(F1463="","",MIN(F1463,100))</f>
        <v/>
      </c>
      <c r="H1463" s="11">
        <f>IF(A1463="","",Universe!E1463/BDP(A1463&amp;" US Equity","HIGH_52WEEK")*100)</f>
        <v/>
      </c>
      <c r="I1463">
        <f>IF(D1463="","",D1463&gt;=5)</f>
        <v/>
      </c>
      <c r="J1463">
        <f>IF(F1463="","",F1463&gt;=5)</f>
        <v/>
      </c>
      <c r="K1463">
        <f>IF(H1463="","",H1463&gt;=75)</f>
        <v/>
      </c>
      <c r="L1463">
        <f>IF(OR(I1463="",J1463="",K1463=""),FALSE,AND(I1463,J1463,K1463))</f>
        <v/>
      </c>
    </row>
    <row r="1464">
      <c r="A1464">
        <f>Universe!A1464</f>
        <v/>
      </c>
      <c r="B1464" s="10" t="n"/>
      <c r="C1464" s="11">
        <f>IF(B1464="","",PERCENTRANK.INC($B$2:$B$2501,B1464)*100)</f>
        <v/>
      </c>
      <c r="D1464" s="10" t="n"/>
      <c r="E1464" s="10">
        <f>IF(D1464="","",MIN(D1464,100))</f>
        <v/>
      </c>
      <c r="F1464" s="10" t="n"/>
      <c r="G1464" s="10">
        <f>IF(F1464="","",MIN(F1464,100))</f>
        <v/>
      </c>
      <c r="H1464" s="11">
        <f>IF(A1464="","",Universe!E1464/BDP(A1464&amp;" US Equity","HIGH_52WEEK")*100)</f>
        <v/>
      </c>
      <c r="I1464">
        <f>IF(D1464="","",D1464&gt;=5)</f>
        <v/>
      </c>
      <c r="J1464">
        <f>IF(F1464="","",F1464&gt;=5)</f>
        <v/>
      </c>
      <c r="K1464">
        <f>IF(H1464="","",H1464&gt;=75)</f>
        <v/>
      </c>
      <c r="L1464">
        <f>IF(OR(I1464="",J1464="",K1464=""),FALSE,AND(I1464,J1464,K1464))</f>
        <v/>
      </c>
    </row>
    <row r="1465">
      <c r="A1465">
        <f>Universe!A1465</f>
        <v/>
      </c>
      <c r="B1465" s="10" t="n"/>
      <c r="C1465" s="11">
        <f>IF(B1465="","",PERCENTRANK.INC($B$2:$B$2501,B1465)*100)</f>
        <v/>
      </c>
      <c r="D1465" s="10" t="n"/>
      <c r="E1465" s="10">
        <f>IF(D1465="","",MIN(D1465,100))</f>
        <v/>
      </c>
      <c r="F1465" s="10" t="n"/>
      <c r="G1465" s="10">
        <f>IF(F1465="","",MIN(F1465,100))</f>
        <v/>
      </c>
      <c r="H1465" s="11">
        <f>IF(A1465="","",Universe!E1465/BDP(A1465&amp;" US Equity","HIGH_52WEEK")*100)</f>
        <v/>
      </c>
      <c r="I1465">
        <f>IF(D1465="","",D1465&gt;=5)</f>
        <v/>
      </c>
      <c r="J1465">
        <f>IF(F1465="","",F1465&gt;=5)</f>
        <v/>
      </c>
      <c r="K1465">
        <f>IF(H1465="","",H1465&gt;=75)</f>
        <v/>
      </c>
      <c r="L1465">
        <f>IF(OR(I1465="",J1465="",K1465=""),FALSE,AND(I1465,J1465,K1465))</f>
        <v/>
      </c>
    </row>
    <row r="1466">
      <c r="A1466">
        <f>Universe!A1466</f>
        <v/>
      </c>
      <c r="B1466" s="10" t="n"/>
      <c r="C1466" s="11">
        <f>IF(B1466="","",PERCENTRANK.INC($B$2:$B$2501,B1466)*100)</f>
        <v/>
      </c>
      <c r="D1466" s="10" t="n"/>
      <c r="E1466" s="10">
        <f>IF(D1466="","",MIN(D1466,100))</f>
        <v/>
      </c>
      <c r="F1466" s="10" t="n"/>
      <c r="G1466" s="10">
        <f>IF(F1466="","",MIN(F1466,100))</f>
        <v/>
      </c>
      <c r="H1466" s="11">
        <f>IF(A1466="","",Universe!E1466/BDP(A1466&amp;" US Equity","HIGH_52WEEK")*100)</f>
        <v/>
      </c>
      <c r="I1466">
        <f>IF(D1466="","",D1466&gt;=5)</f>
        <v/>
      </c>
      <c r="J1466">
        <f>IF(F1466="","",F1466&gt;=5)</f>
        <v/>
      </c>
      <c r="K1466">
        <f>IF(H1466="","",H1466&gt;=75)</f>
        <v/>
      </c>
      <c r="L1466">
        <f>IF(OR(I1466="",J1466="",K1466=""),FALSE,AND(I1466,J1466,K1466))</f>
        <v/>
      </c>
    </row>
    <row r="1467">
      <c r="A1467">
        <f>Universe!A1467</f>
        <v/>
      </c>
      <c r="B1467" s="10" t="n"/>
      <c r="C1467" s="11">
        <f>IF(B1467="","",PERCENTRANK.INC($B$2:$B$2501,B1467)*100)</f>
        <v/>
      </c>
      <c r="D1467" s="10" t="n"/>
      <c r="E1467" s="10">
        <f>IF(D1467="","",MIN(D1467,100))</f>
        <v/>
      </c>
      <c r="F1467" s="10" t="n"/>
      <c r="G1467" s="10">
        <f>IF(F1467="","",MIN(F1467,100))</f>
        <v/>
      </c>
      <c r="H1467" s="11">
        <f>IF(A1467="","",Universe!E1467/BDP(A1467&amp;" US Equity","HIGH_52WEEK")*100)</f>
        <v/>
      </c>
      <c r="I1467">
        <f>IF(D1467="","",D1467&gt;=5)</f>
        <v/>
      </c>
      <c r="J1467">
        <f>IF(F1467="","",F1467&gt;=5)</f>
        <v/>
      </c>
      <c r="K1467">
        <f>IF(H1467="","",H1467&gt;=75)</f>
        <v/>
      </c>
      <c r="L1467">
        <f>IF(OR(I1467="",J1467="",K1467=""),FALSE,AND(I1467,J1467,K1467))</f>
        <v/>
      </c>
    </row>
    <row r="1468">
      <c r="A1468">
        <f>Universe!A1468</f>
        <v/>
      </c>
      <c r="B1468" s="10" t="n"/>
      <c r="C1468" s="11">
        <f>IF(B1468="","",PERCENTRANK.INC($B$2:$B$2501,B1468)*100)</f>
        <v/>
      </c>
      <c r="D1468" s="10" t="n"/>
      <c r="E1468" s="10">
        <f>IF(D1468="","",MIN(D1468,100))</f>
        <v/>
      </c>
      <c r="F1468" s="10" t="n"/>
      <c r="G1468" s="10">
        <f>IF(F1468="","",MIN(F1468,100))</f>
        <v/>
      </c>
      <c r="H1468" s="11">
        <f>IF(A1468="","",Universe!E1468/BDP(A1468&amp;" US Equity","HIGH_52WEEK")*100)</f>
        <v/>
      </c>
      <c r="I1468">
        <f>IF(D1468="","",D1468&gt;=5)</f>
        <v/>
      </c>
      <c r="J1468">
        <f>IF(F1468="","",F1468&gt;=5)</f>
        <v/>
      </c>
      <c r="K1468">
        <f>IF(H1468="","",H1468&gt;=75)</f>
        <v/>
      </c>
      <c r="L1468">
        <f>IF(OR(I1468="",J1468="",K1468=""),FALSE,AND(I1468,J1468,K1468))</f>
        <v/>
      </c>
    </row>
    <row r="1469">
      <c r="A1469">
        <f>Universe!A1469</f>
        <v/>
      </c>
      <c r="B1469" s="10" t="n"/>
      <c r="C1469" s="11">
        <f>IF(B1469="","",PERCENTRANK.INC($B$2:$B$2501,B1469)*100)</f>
        <v/>
      </c>
      <c r="D1469" s="10" t="n"/>
      <c r="E1469" s="10">
        <f>IF(D1469="","",MIN(D1469,100))</f>
        <v/>
      </c>
      <c r="F1469" s="10" t="n"/>
      <c r="G1469" s="10">
        <f>IF(F1469="","",MIN(F1469,100))</f>
        <v/>
      </c>
      <c r="H1469" s="11">
        <f>IF(A1469="","",Universe!E1469/BDP(A1469&amp;" US Equity","HIGH_52WEEK")*100)</f>
        <v/>
      </c>
      <c r="I1469">
        <f>IF(D1469="","",D1469&gt;=5)</f>
        <v/>
      </c>
      <c r="J1469">
        <f>IF(F1469="","",F1469&gt;=5)</f>
        <v/>
      </c>
      <c r="K1469">
        <f>IF(H1469="","",H1469&gt;=75)</f>
        <v/>
      </c>
      <c r="L1469">
        <f>IF(OR(I1469="",J1469="",K1469=""),FALSE,AND(I1469,J1469,K1469))</f>
        <v/>
      </c>
    </row>
    <row r="1470">
      <c r="A1470">
        <f>Universe!A1470</f>
        <v/>
      </c>
      <c r="B1470" s="10" t="n"/>
      <c r="C1470" s="11">
        <f>IF(B1470="","",PERCENTRANK.INC($B$2:$B$2501,B1470)*100)</f>
        <v/>
      </c>
      <c r="D1470" s="10" t="n"/>
      <c r="E1470" s="10">
        <f>IF(D1470="","",MIN(D1470,100))</f>
        <v/>
      </c>
      <c r="F1470" s="10" t="n"/>
      <c r="G1470" s="10">
        <f>IF(F1470="","",MIN(F1470,100))</f>
        <v/>
      </c>
      <c r="H1470" s="11">
        <f>IF(A1470="","",Universe!E1470/BDP(A1470&amp;" US Equity","HIGH_52WEEK")*100)</f>
        <v/>
      </c>
      <c r="I1470">
        <f>IF(D1470="","",D1470&gt;=5)</f>
        <v/>
      </c>
      <c r="J1470">
        <f>IF(F1470="","",F1470&gt;=5)</f>
        <v/>
      </c>
      <c r="K1470">
        <f>IF(H1470="","",H1470&gt;=75)</f>
        <v/>
      </c>
      <c r="L1470">
        <f>IF(OR(I1470="",J1470="",K1470=""),FALSE,AND(I1470,J1470,K1470))</f>
        <v/>
      </c>
    </row>
    <row r="1471">
      <c r="A1471">
        <f>Universe!A1471</f>
        <v/>
      </c>
      <c r="B1471" s="10" t="n"/>
      <c r="C1471" s="11">
        <f>IF(B1471="","",PERCENTRANK.INC($B$2:$B$2501,B1471)*100)</f>
        <v/>
      </c>
      <c r="D1471" s="10" t="n"/>
      <c r="E1471" s="10">
        <f>IF(D1471="","",MIN(D1471,100))</f>
        <v/>
      </c>
      <c r="F1471" s="10" t="n"/>
      <c r="G1471" s="10">
        <f>IF(F1471="","",MIN(F1471,100))</f>
        <v/>
      </c>
      <c r="H1471" s="11">
        <f>IF(A1471="","",Universe!E1471/BDP(A1471&amp;" US Equity","HIGH_52WEEK")*100)</f>
        <v/>
      </c>
      <c r="I1471">
        <f>IF(D1471="","",D1471&gt;=5)</f>
        <v/>
      </c>
      <c r="J1471">
        <f>IF(F1471="","",F1471&gt;=5)</f>
        <v/>
      </c>
      <c r="K1471">
        <f>IF(H1471="","",H1471&gt;=75)</f>
        <v/>
      </c>
      <c r="L1471">
        <f>IF(OR(I1471="",J1471="",K1471=""),FALSE,AND(I1471,J1471,K1471))</f>
        <v/>
      </c>
    </row>
    <row r="1472">
      <c r="A1472">
        <f>Universe!A1472</f>
        <v/>
      </c>
      <c r="B1472" s="10" t="n"/>
      <c r="C1472" s="11">
        <f>IF(B1472="","",PERCENTRANK.INC($B$2:$B$2501,B1472)*100)</f>
        <v/>
      </c>
      <c r="D1472" s="10" t="n"/>
      <c r="E1472" s="10">
        <f>IF(D1472="","",MIN(D1472,100))</f>
        <v/>
      </c>
      <c r="F1472" s="10" t="n"/>
      <c r="G1472" s="10">
        <f>IF(F1472="","",MIN(F1472,100))</f>
        <v/>
      </c>
      <c r="H1472" s="11">
        <f>IF(A1472="","",Universe!E1472/BDP(A1472&amp;" US Equity","HIGH_52WEEK")*100)</f>
        <v/>
      </c>
      <c r="I1472">
        <f>IF(D1472="","",D1472&gt;=5)</f>
        <v/>
      </c>
      <c r="J1472">
        <f>IF(F1472="","",F1472&gt;=5)</f>
        <v/>
      </c>
      <c r="K1472">
        <f>IF(H1472="","",H1472&gt;=75)</f>
        <v/>
      </c>
      <c r="L1472">
        <f>IF(OR(I1472="",J1472="",K1472=""),FALSE,AND(I1472,J1472,K1472))</f>
        <v/>
      </c>
    </row>
    <row r="1473">
      <c r="A1473">
        <f>Universe!A1473</f>
        <v/>
      </c>
      <c r="B1473" s="10" t="n"/>
      <c r="C1473" s="11">
        <f>IF(B1473="","",PERCENTRANK.INC($B$2:$B$2501,B1473)*100)</f>
        <v/>
      </c>
      <c r="D1473" s="10" t="n"/>
      <c r="E1473" s="10">
        <f>IF(D1473="","",MIN(D1473,100))</f>
        <v/>
      </c>
      <c r="F1473" s="10" t="n"/>
      <c r="G1473" s="10">
        <f>IF(F1473="","",MIN(F1473,100))</f>
        <v/>
      </c>
      <c r="H1473" s="11">
        <f>IF(A1473="","",Universe!E1473/BDP(A1473&amp;" US Equity","HIGH_52WEEK")*100)</f>
        <v/>
      </c>
      <c r="I1473">
        <f>IF(D1473="","",D1473&gt;=5)</f>
        <v/>
      </c>
      <c r="J1473">
        <f>IF(F1473="","",F1473&gt;=5)</f>
        <v/>
      </c>
      <c r="K1473">
        <f>IF(H1473="","",H1473&gt;=75)</f>
        <v/>
      </c>
      <c r="L1473">
        <f>IF(OR(I1473="",J1473="",K1473=""),FALSE,AND(I1473,J1473,K1473))</f>
        <v/>
      </c>
    </row>
    <row r="1474">
      <c r="A1474">
        <f>Universe!A1474</f>
        <v/>
      </c>
      <c r="B1474" s="10" t="n"/>
      <c r="C1474" s="11">
        <f>IF(B1474="","",PERCENTRANK.INC($B$2:$B$2501,B1474)*100)</f>
        <v/>
      </c>
      <c r="D1474" s="10" t="n"/>
      <c r="E1474" s="10">
        <f>IF(D1474="","",MIN(D1474,100))</f>
        <v/>
      </c>
      <c r="F1474" s="10" t="n"/>
      <c r="G1474" s="10">
        <f>IF(F1474="","",MIN(F1474,100))</f>
        <v/>
      </c>
      <c r="H1474" s="11">
        <f>IF(A1474="","",Universe!E1474/BDP(A1474&amp;" US Equity","HIGH_52WEEK")*100)</f>
        <v/>
      </c>
      <c r="I1474">
        <f>IF(D1474="","",D1474&gt;=5)</f>
        <v/>
      </c>
      <c r="J1474">
        <f>IF(F1474="","",F1474&gt;=5)</f>
        <v/>
      </c>
      <c r="K1474">
        <f>IF(H1474="","",H1474&gt;=75)</f>
        <v/>
      </c>
      <c r="L1474">
        <f>IF(OR(I1474="",J1474="",K1474=""),FALSE,AND(I1474,J1474,K1474))</f>
        <v/>
      </c>
    </row>
    <row r="1475">
      <c r="A1475">
        <f>Universe!A1475</f>
        <v/>
      </c>
      <c r="B1475" s="10" t="n"/>
      <c r="C1475" s="11">
        <f>IF(B1475="","",PERCENTRANK.INC($B$2:$B$2501,B1475)*100)</f>
        <v/>
      </c>
      <c r="D1475" s="10" t="n"/>
      <c r="E1475" s="10">
        <f>IF(D1475="","",MIN(D1475,100))</f>
        <v/>
      </c>
      <c r="F1475" s="10" t="n"/>
      <c r="G1475" s="10">
        <f>IF(F1475="","",MIN(F1475,100))</f>
        <v/>
      </c>
      <c r="H1475" s="11">
        <f>IF(A1475="","",Universe!E1475/BDP(A1475&amp;" US Equity","HIGH_52WEEK")*100)</f>
        <v/>
      </c>
      <c r="I1475">
        <f>IF(D1475="","",D1475&gt;=5)</f>
        <v/>
      </c>
      <c r="J1475">
        <f>IF(F1475="","",F1475&gt;=5)</f>
        <v/>
      </c>
      <c r="K1475">
        <f>IF(H1475="","",H1475&gt;=75)</f>
        <v/>
      </c>
      <c r="L1475">
        <f>IF(OR(I1475="",J1475="",K1475=""),FALSE,AND(I1475,J1475,K1475))</f>
        <v/>
      </c>
    </row>
    <row r="1476">
      <c r="A1476">
        <f>Universe!A1476</f>
        <v/>
      </c>
      <c r="B1476" s="10" t="n"/>
      <c r="C1476" s="11">
        <f>IF(B1476="","",PERCENTRANK.INC($B$2:$B$2501,B1476)*100)</f>
        <v/>
      </c>
      <c r="D1476" s="10" t="n"/>
      <c r="E1476" s="10">
        <f>IF(D1476="","",MIN(D1476,100))</f>
        <v/>
      </c>
      <c r="F1476" s="10" t="n"/>
      <c r="G1476" s="10">
        <f>IF(F1476="","",MIN(F1476,100))</f>
        <v/>
      </c>
      <c r="H1476" s="11">
        <f>IF(A1476="","",Universe!E1476/BDP(A1476&amp;" US Equity","HIGH_52WEEK")*100)</f>
        <v/>
      </c>
      <c r="I1476">
        <f>IF(D1476="","",D1476&gt;=5)</f>
        <v/>
      </c>
      <c r="J1476">
        <f>IF(F1476="","",F1476&gt;=5)</f>
        <v/>
      </c>
      <c r="K1476">
        <f>IF(H1476="","",H1476&gt;=75)</f>
        <v/>
      </c>
      <c r="L1476">
        <f>IF(OR(I1476="",J1476="",K1476=""),FALSE,AND(I1476,J1476,K1476))</f>
        <v/>
      </c>
    </row>
    <row r="1477">
      <c r="A1477">
        <f>Universe!A1477</f>
        <v/>
      </c>
      <c r="B1477" s="10" t="n"/>
      <c r="C1477" s="11">
        <f>IF(B1477="","",PERCENTRANK.INC($B$2:$B$2501,B1477)*100)</f>
        <v/>
      </c>
      <c r="D1477" s="10" t="n"/>
      <c r="E1477" s="10">
        <f>IF(D1477="","",MIN(D1477,100))</f>
        <v/>
      </c>
      <c r="F1477" s="10" t="n"/>
      <c r="G1477" s="10">
        <f>IF(F1477="","",MIN(F1477,100))</f>
        <v/>
      </c>
      <c r="H1477" s="11">
        <f>IF(A1477="","",Universe!E1477/BDP(A1477&amp;" US Equity","HIGH_52WEEK")*100)</f>
        <v/>
      </c>
      <c r="I1477">
        <f>IF(D1477="","",D1477&gt;=5)</f>
        <v/>
      </c>
      <c r="J1477">
        <f>IF(F1477="","",F1477&gt;=5)</f>
        <v/>
      </c>
      <c r="K1477">
        <f>IF(H1477="","",H1477&gt;=75)</f>
        <v/>
      </c>
      <c r="L1477">
        <f>IF(OR(I1477="",J1477="",K1477=""),FALSE,AND(I1477,J1477,K1477))</f>
        <v/>
      </c>
    </row>
    <row r="1478">
      <c r="A1478">
        <f>Universe!A1478</f>
        <v/>
      </c>
      <c r="B1478" s="10" t="n"/>
      <c r="C1478" s="11">
        <f>IF(B1478="","",PERCENTRANK.INC($B$2:$B$2501,B1478)*100)</f>
        <v/>
      </c>
      <c r="D1478" s="10" t="n"/>
      <c r="E1478" s="10">
        <f>IF(D1478="","",MIN(D1478,100))</f>
        <v/>
      </c>
      <c r="F1478" s="10" t="n"/>
      <c r="G1478" s="10">
        <f>IF(F1478="","",MIN(F1478,100))</f>
        <v/>
      </c>
      <c r="H1478" s="11">
        <f>IF(A1478="","",Universe!E1478/BDP(A1478&amp;" US Equity","HIGH_52WEEK")*100)</f>
        <v/>
      </c>
      <c r="I1478">
        <f>IF(D1478="","",D1478&gt;=5)</f>
        <v/>
      </c>
      <c r="J1478">
        <f>IF(F1478="","",F1478&gt;=5)</f>
        <v/>
      </c>
      <c r="K1478">
        <f>IF(H1478="","",H1478&gt;=75)</f>
        <v/>
      </c>
      <c r="L1478">
        <f>IF(OR(I1478="",J1478="",K1478=""),FALSE,AND(I1478,J1478,K1478))</f>
        <v/>
      </c>
    </row>
    <row r="1479">
      <c r="A1479">
        <f>Universe!A1479</f>
        <v/>
      </c>
      <c r="B1479" s="10" t="n"/>
      <c r="C1479" s="11">
        <f>IF(B1479="","",PERCENTRANK.INC($B$2:$B$2501,B1479)*100)</f>
        <v/>
      </c>
      <c r="D1479" s="10" t="n"/>
      <c r="E1479" s="10">
        <f>IF(D1479="","",MIN(D1479,100))</f>
        <v/>
      </c>
      <c r="F1479" s="10" t="n"/>
      <c r="G1479" s="10">
        <f>IF(F1479="","",MIN(F1479,100))</f>
        <v/>
      </c>
      <c r="H1479" s="11">
        <f>IF(A1479="","",Universe!E1479/BDP(A1479&amp;" US Equity","HIGH_52WEEK")*100)</f>
        <v/>
      </c>
      <c r="I1479">
        <f>IF(D1479="","",D1479&gt;=5)</f>
        <v/>
      </c>
      <c r="J1479">
        <f>IF(F1479="","",F1479&gt;=5)</f>
        <v/>
      </c>
      <c r="K1479">
        <f>IF(H1479="","",H1479&gt;=75)</f>
        <v/>
      </c>
      <c r="L1479">
        <f>IF(OR(I1479="",J1479="",K1479=""),FALSE,AND(I1479,J1479,K1479))</f>
        <v/>
      </c>
    </row>
    <row r="1480">
      <c r="A1480">
        <f>Universe!A1480</f>
        <v/>
      </c>
      <c r="B1480" s="10" t="n"/>
      <c r="C1480" s="11">
        <f>IF(B1480="","",PERCENTRANK.INC($B$2:$B$2501,B1480)*100)</f>
        <v/>
      </c>
      <c r="D1480" s="10" t="n"/>
      <c r="E1480" s="10">
        <f>IF(D1480="","",MIN(D1480,100))</f>
        <v/>
      </c>
      <c r="F1480" s="10" t="n"/>
      <c r="G1480" s="10">
        <f>IF(F1480="","",MIN(F1480,100))</f>
        <v/>
      </c>
      <c r="H1480" s="11">
        <f>IF(A1480="","",Universe!E1480/BDP(A1480&amp;" US Equity","HIGH_52WEEK")*100)</f>
        <v/>
      </c>
      <c r="I1480">
        <f>IF(D1480="","",D1480&gt;=5)</f>
        <v/>
      </c>
      <c r="J1480">
        <f>IF(F1480="","",F1480&gt;=5)</f>
        <v/>
      </c>
      <c r="K1480">
        <f>IF(H1480="","",H1480&gt;=75)</f>
        <v/>
      </c>
      <c r="L1480">
        <f>IF(OR(I1480="",J1480="",K1480=""),FALSE,AND(I1480,J1480,K1480))</f>
        <v/>
      </c>
    </row>
    <row r="1481">
      <c r="A1481">
        <f>Universe!A1481</f>
        <v/>
      </c>
      <c r="B1481" s="10" t="n"/>
      <c r="C1481" s="11">
        <f>IF(B1481="","",PERCENTRANK.INC($B$2:$B$2501,B1481)*100)</f>
        <v/>
      </c>
      <c r="D1481" s="10" t="n"/>
      <c r="E1481" s="10">
        <f>IF(D1481="","",MIN(D1481,100))</f>
        <v/>
      </c>
      <c r="F1481" s="10" t="n"/>
      <c r="G1481" s="10">
        <f>IF(F1481="","",MIN(F1481,100))</f>
        <v/>
      </c>
      <c r="H1481" s="11">
        <f>IF(A1481="","",Universe!E1481/BDP(A1481&amp;" US Equity","HIGH_52WEEK")*100)</f>
        <v/>
      </c>
      <c r="I1481">
        <f>IF(D1481="","",D1481&gt;=5)</f>
        <v/>
      </c>
      <c r="J1481">
        <f>IF(F1481="","",F1481&gt;=5)</f>
        <v/>
      </c>
      <c r="K1481">
        <f>IF(H1481="","",H1481&gt;=75)</f>
        <v/>
      </c>
      <c r="L1481">
        <f>IF(OR(I1481="",J1481="",K1481=""),FALSE,AND(I1481,J1481,K1481))</f>
        <v/>
      </c>
    </row>
    <row r="1482">
      <c r="A1482">
        <f>Universe!A1482</f>
        <v/>
      </c>
      <c r="B1482" s="10" t="n"/>
      <c r="C1482" s="11">
        <f>IF(B1482="","",PERCENTRANK.INC($B$2:$B$2501,B1482)*100)</f>
        <v/>
      </c>
      <c r="D1482" s="10" t="n"/>
      <c r="E1482" s="10">
        <f>IF(D1482="","",MIN(D1482,100))</f>
        <v/>
      </c>
      <c r="F1482" s="10" t="n"/>
      <c r="G1482" s="10">
        <f>IF(F1482="","",MIN(F1482,100))</f>
        <v/>
      </c>
      <c r="H1482" s="11">
        <f>IF(A1482="","",Universe!E1482/BDP(A1482&amp;" US Equity","HIGH_52WEEK")*100)</f>
        <v/>
      </c>
      <c r="I1482">
        <f>IF(D1482="","",D1482&gt;=5)</f>
        <v/>
      </c>
      <c r="J1482">
        <f>IF(F1482="","",F1482&gt;=5)</f>
        <v/>
      </c>
      <c r="K1482">
        <f>IF(H1482="","",H1482&gt;=75)</f>
        <v/>
      </c>
      <c r="L1482">
        <f>IF(OR(I1482="",J1482="",K1482=""),FALSE,AND(I1482,J1482,K1482))</f>
        <v/>
      </c>
    </row>
    <row r="1483">
      <c r="A1483">
        <f>Universe!A1483</f>
        <v/>
      </c>
      <c r="B1483" s="10" t="n"/>
      <c r="C1483" s="11">
        <f>IF(B1483="","",PERCENTRANK.INC($B$2:$B$2501,B1483)*100)</f>
        <v/>
      </c>
      <c r="D1483" s="10" t="n"/>
      <c r="E1483" s="10">
        <f>IF(D1483="","",MIN(D1483,100))</f>
        <v/>
      </c>
      <c r="F1483" s="10" t="n"/>
      <c r="G1483" s="10">
        <f>IF(F1483="","",MIN(F1483,100))</f>
        <v/>
      </c>
      <c r="H1483" s="11">
        <f>IF(A1483="","",Universe!E1483/BDP(A1483&amp;" US Equity","HIGH_52WEEK")*100)</f>
        <v/>
      </c>
      <c r="I1483">
        <f>IF(D1483="","",D1483&gt;=5)</f>
        <v/>
      </c>
      <c r="J1483">
        <f>IF(F1483="","",F1483&gt;=5)</f>
        <v/>
      </c>
      <c r="K1483">
        <f>IF(H1483="","",H1483&gt;=75)</f>
        <v/>
      </c>
      <c r="L1483">
        <f>IF(OR(I1483="",J1483="",K1483=""),FALSE,AND(I1483,J1483,K1483))</f>
        <v/>
      </c>
    </row>
    <row r="1484">
      <c r="A1484">
        <f>Universe!A1484</f>
        <v/>
      </c>
      <c r="B1484" s="10" t="n"/>
      <c r="C1484" s="11">
        <f>IF(B1484="","",PERCENTRANK.INC($B$2:$B$2501,B1484)*100)</f>
        <v/>
      </c>
      <c r="D1484" s="10" t="n"/>
      <c r="E1484" s="10">
        <f>IF(D1484="","",MIN(D1484,100))</f>
        <v/>
      </c>
      <c r="F1484" s="10" t="n"/>
      <c r="G1484" s="10">
        <f>IF(F1484="","",MIN(F1484,100))</f>
        <v/>
      </c>
      <c r="H1484" s="11">
        <f>IF(A1484="","",Universe!E1484/BDP(A1484&amp;" US Equity","HIGH_52WEEK")*100)</f>
        <v/>
      </c>
      <c r="I1484">
        <f>IF(D1484="","",D1484&gt;=5)</f>
        <v/>
      </c>
      <c r="J1484">
        <f>IF(F1484="","",F1484&gt;=5)</f>
        <v/>
      </c>
      <c r="K1484">
        <f>IF(H1484="","",H1484&gt;=75)</f>
        <v/>
      </c>
      <c r="L1484">
        <f>IF(OR(I1484="",J1484="",K1484=""),FALSE,AND(I1484,J1484,K1484))</f>
        <v/>
      </c>
    </row>
    <row r="1485">
      <c r="A1485">
        <f>Universe!A1485</f>
        <v/>
      </c>
      <c r="B1485" s="10" t="n"/>
      <c r="C1485" s="11">
        <f>IF(B1485="","",PERCENTRANK.INC($B$2:$B$2501,B1485)*100)</f>
        <v/>
      </c>
      <c r="D1485" s="10" t="n"/>
      <c r="E1485" s="10">
        <f>IF(D1485="","",MIN(D1485,100))</f>
        <v/>
      </c>
      <c r="F1485" s="10" t="n"/>
      <c r="G1485" s="10">
        <f>IF(F1485="","",MIN(F1485,100))</f>
        <v/>
      </c>
      <c r="H1485" s="11">
        <f>IF(A1485="","",Universe!E1485/BDP(A1485&amp;" US Equity","HIGH_52WEEK")*100)</f>
        <v/>
      </c>
      <c r="I1485">
        <f>IF(D1485="","",D1485&gt;=5)</f>
        <v/>
      </c>
      <c r="J1485">
        <f>IF(F1485="","",F1485&gt;=5)</f>
        <v/>
      </c>
      <c r="K1485">
        <f>IF(H1485="","",H1485&gt;=75)</f>
        <v/>
      </c>
      <c r="L1485">
        <f>IF(OR(I1485="",J1485="",K1485=""),FALSE,AND(I1485,J1485,K1485))</f>
        <v/>
      </c>
    </row>
    <row r="1486">
      <c r="A1486">
        <f>Universe!A1486</f>
        <v/>
      </c>
      <c r="B1486" s="10" t="n"/>
      <c r="C1486" s="11">
        <f>IF(B1486="","",PERCENTRANK.INC($B$2:$B$2501,B1486)*100)</f>
        <v/>
      </c>
      <c r="D1486" s="10" t="n"/>
      <c r="E1486" s="10">
        <f>IF(D1486="","",MIN(D1486,100))</f>
        <v/>
      </c>
      <c r="F1486" s="10" t="n"/>
      <c r="G1486" s="10">
        <f>IF(F1486="","",MIN(F1486,100))</f>
        <v/>
      </c>
      <c r="H1486" s="11">
        <f>IF(A1486="","",Universe!E1486/BDP(A1486&amp;" US Equity","HIGH_52WEEK")*100)</f>
        <v/>
      </c>
      <c r="I1486">
        <f>IF(D1486="","",D1486&gt;=5)</f>
        <v/>
      </c>
      <c r="J1486">
        <f>IF(F1486="","",F1486&gt;=5)</f>
        <v/>
      </c>
      <c r="K1486">
        <f>IF(H1486="","",H1486&gt;=75)</f>
        <v/>
      </c>
      <c r="L1486">
        <f>IF(OR(I1486="",J1486="",K1486=""),FALSE,AND(I1486,J1486,K1486))</f>
        <v/>
      </c>
    </row>
    <row r="1487">
      <c r="A1487">
        <f>Universe!A1487</f>
        <v/>
      </c>
      <c r="B1487" s="10" t="n"/>
      <c r="C1487" s="11">
        <f>IF(B1487="","",PERCENTRANK.INC($B$2:$B$2501,B1487)*100)</f>
        <v/>
      </c>
      <c r="D1487" s="10" t="n"/>
      <c r="E1487" s="10">
        <f>IF(D1487="","",MIN(D1487,100))</f>
        <v/>
      </c>
      <c r="F1487" s="10" t="n"/>
      <c r="G1487" s="10">
        <f>IF(F1487="","",MIN(F1487,100))</f>
        <v/>
      </c>
      <c r="H1487" s="11">
        <f>IF(A1487="","",Universe!E1487/BDP(A1487&amp;" US Equity","HIGH_52WEEK")*100)</f>
        <v/>
      </c>
      <c r="I1487">
        <f>IF(D1487="","",D1487&gt;=5)</f>
        <v/>
      </c>
      <c r="J1487">
        <f>IF(F1487="","",F1487&gt;=5)</f>
        <v/>
      </c>
      <c r="K1487">
        <f>IF(H1487="","",H1487&gt;=75)</f>
        <v/>
      </c>
      <c r="L1487">
        <f>IF(OR(I1487="",J1487="",K1487=""),FALSE,AND(I1487,J1487,K1487))</f>
        <v/>
      </c>
    </row>
    <row r="1488">
      <c r="A1488">
        <f>Universe!A1488</f>
        <v/>
      </c>
      <c r="B1488" s="10" t="n"/>
      <c r="C1488" s="11">
        <f>IF(B1488="","",PERCENTRANK.INC($B$2:$B$2501,B1488)*100)</f>
        <v/>
      </c>
      <c r="D1488" s="10" t="n"/>
      <c r="E1488" s="10">
        <f>IF(D1488="","",MIN(D1488,100))</f>
        <v/>
      </c>
      <c r="F1488" s="10" t="n"/>
      <c r="G1488" s="10">
        <f>IF(F1488="","",MIN(F1488,100))</f>
        <v/>
      </c>
      <c r="H1488" s="11">
        <f>IF(A1488="","",Universe!E1488/BDP(A1488&amp;" US Equity","HIGH_52WEEK")*100)</f>
        <v/>
      </c>
      <c r="I1488">
        <f>IF(D1488="","",D1488&gt;=5)</f>
        <v/>
      </c>
      <c r="J1488">
        <f>IF(F1488="","",F1488&gt;=5)</f>
        <v/>
      </c>
      <c r="K1488">
        <f>IF(H1488="","",H1488&gt;=75)</f>
        <v/>
      </c>
      <c r="L1488">
        <f>IF(OR(I1488="",J1488="",K1488=""),FALSE,AND(I1488,J1488,K1488))</f>
        <v/>
      </c>
    </row>
    <row r="1489">
      <c r="A1489">
        <f>Universe!A1489</f>
        <v/>
      </c>
      <c r="B1489" s="10" t="n"/>
      <c r="C1489" s="11">
        <f>IF(B1489="","",PERCENTRANK.INC($B$2:$B$2501,B1489)*100)</f>
        <v/>
      </c>
      <c r="D1489" s="10" t="n"/>
      <c r="E1489" s="10">
        <f>IF(D1489="","",MIN(D1489,100))</f>
        <v/>
      </c>
      <c r="F1489" s="10" t="n"/>
      <c r="G1489" s="10">
        <f>IF(F1489="","",MIN(F1489,100))</f>
        <v/>
      </c>
      <c r="H1489" s="11">
        <f>IF(A1489="","",Universe!E1489/BDP(A1489&amp;" US Equity","HIGH_52WEEK")*100)</f>
        <v/>
      </c>
      <c r="I1489">
        <f>IF(D1489="","",D1489&gt;=5)</f>
        <v/>
      </c>
      <c r="J1489">
        <f>IF(F1489="","",F1489&gt;=5)</f>
        <v/>
      </c>
      <c r="K1489">
        <f>IF(H1489="","",H1489&gt;=75)</f>
        <v/>
      </c>
      <c r="L1489">
        <f>IF(OR(I1489="",J1489="",K1489=""),FALSE,AND(I1489,J1489,K1489))</f>
        <v/>
      </c>
    </row>
    <row r="1490">
      <c r="A1490">
        <f>Universe!A1490</f>
        <v/>
      </c>
      <c r="B1490" s="10" t="n"/>
      <c r="C1490" s="11">
        <f>IF(B1490="","",PERCENTRANK.INC($B$2:$B$2501,B1490)*100)</f>
        <v/>
      </c>
      <c r="D1490" s="10" t="n"/>
      <c r="E1490" s="10">
        <f>IF(D1490="","",MIN(D1490,100))</f>
        <v/>
      </c>
      <c r="F1490" s="10" t="n"/>
      <c r="G1490" s="10">
        <f>IF(F1490="","",MIN(F1490,100))</f>
        <v/>
      </c>
      <c r="H1490" s="11">
        <f>IF(A1490="","",Universe!E1490/BDP(A1490&amp;" US Equity","HIGH_52WEEK")*100)</f>
        <v/>
      </c>
      <c r="I1490">
        <f>IF(D1490="","",D1490&gt;=5)</f>
        <v/>
      </c>
      <c r="J1490">
        <f>IF(F1490="","",F1490&gt;=5)</f>
        <v/>
      </c>
      <c r="K1490">
        <f>IF(H1490="","",H1490&gt;=75)</f>
        <v/>
      </c>
      <c r="L1490">
        <f>IF(OR(I1490="",J1490="",K1490=""),FALSE,AND(I1490,J1490,K1490))</f>
        <v/>
      </c>
    </row>
    <row r="1491">
      <c r="A1491">
        <f>Universe!A1491</f>
        <v/>
      </c>
      <c r="B1491" s="10" t="n"/>
      <c r="C1491" s="11">
        <f>IF(B1491="","",PERCENTRANK.INC($B$2:$B$2501,B1491)*100)</f>
        <v/>
      </c>
      <c r="D1491" s="10" t="n"/>
      <c r="E1491" s="10">
        <f>IF(D1491="","",MIN(D1491,100))</f>
        <v/>
      </c>
      <c r="F1491" s="10" t="n"/>
      <c r="G1491" s="10">
        <f>IF(F1491="","",MIN(F1491,100))</f>
        <v/>
      </c>
      <c r="H1491" s="11">
        <f>IF(A1491="","",Universe!E1491/BDP(A1491&amp;" US Equity","HIGH_52WEEK")*100)</f>
        <v/>
      </c>
      <c r="I1491">
        <f>IF(D1491="","",D1491&gt;=5)</f>
        <v/>
      </c>
      <c r="J1491">
        <f>IF(F1491="","",F1491&gt;=5)</f>
        <v/>
      </c>
      <c r="K1491">
        <f>IF(H1491="","",H1491&gt;=75)</f>
        <v/>
      </c>
      <c r="L1491">
        <f>IF(OR(I1491="",J1491="",K1491=""),FALSE,AND(I1491,J1491,K1491))</f>
        <v/>
      </c>
    </row>
    <row r="1492">
      <c r="A1492">
        <f>Universe!A1492</f>
        <v/>
      </c>
      <c r="B1492" s="10" t="n"/>
      <c r="C1492" s="11">
        <f>IF(B1492="","",PERCENTRANK.INC($B$2:$B$2501,B1492)*100)</f>
        <v/>
      </c>
      <c r="D1492" s="10" t="n"/>
      <c r="E1492" s="10">
        <f>IF(D1492="","",MIN(D1492,100))</f>
        <v/>
      </c>
      <c r="F1492" s="10" t="n"/>
      <c r="G1492" s="10">
        <f>IF(F1492="","",MIN(F1492,100))</f>
        <v/>
      </c>
      <c r="H1492" s="11">
        <f>IF(A1492="","",Universe!E1492/BDP(A1492&amp;" US Equity","HIGH_52WEEK")*100)</f>
        <v/>
      </c>
      <c r="I1492">
        <f>IF(D1492="","",D1492&gt;=5)</f>
        <v/>
      </c>
      <c r="J1492">
        <f>IF(F1492="","",F1492&gt;=5)</f>
        <v/>
      </c>
      <c r="K1492">
        <f>IF(H1492="","",H1492&gt;=75)</f>
        <v/>
      </c>
      <c r="L1492">
        <f>IF(OR(I1492="",J1492="",K1492=""),FALSE,AND(I1492,J1492,K1492))</f>
        <v/>
      </c>
    </row>
    <row r="1493">
      <c r="A1493">
        <f>Universe!A1493</f>
        <v/>
      </c>
      <c r="B1493" s="10" t="n"/>
      <c r="C1493" s="11">
        <f>IF(B1493="","",PERCENTRANK.INC($B$2:$B$2501,B1493)*100)</f>
        <v/>
      </c>
      <c r="D1493" s="10" t="n"/>
      <c r="E1493" s="10">
        <f>IF(D1493="","",MIN(D1493,100))</f>
        <v/>
      </c>
      <c r="F1493" s="10" t="n"/>
      <c r="G1493" s="10">
        <f>IF(F1493="","",MIN(F1493,100))</f>
        <v/>
      </c>
      <c r="H1493" s="11">
        <f>IF(A1493="","",Universe!E1493/BDP(A1493&amp;" US Equity","HIGH_52WEEK")*100)</f>
        <v/>
      </c>
      <c r="I1493">
        <f>IF(D1493="","",D1493&gt;=5)</f>
        <v/>
      </c>
      <c r="J1493">
        <f>IF(F1493="","",F1493&gt;=5)</f>
        <v/>
      </c>
      <c r="K1493">
        <f>IF(H1493="","",H1493&gt;=75)</f>
        <v/>
      </c>
      <c r="L1493">
        <f>IF(OR(I1493="",J1493="",K1493=""),FALSE,AND(I1493,J1493,K1493))</f>
        <v/>
      </c>
    </row>
    <row r="1494">
      <c r="A1494">
        <f>Universe!A1494</f>
        <v/>
      </c>
      <c r="B1494" s="10" t="n"/>
      <c r="C1494" s="11">
        <f>IF(B1494="","",PERCENTRANK.INC($B$2:$B$2501,B1494)*100)</f>
        <v/>
      </c>
      <c r="D1494" s="10" t="n"/>
      <c r="E1494" s="10">
        <f>IF(D1494="","",MIN(D1494,100))</f>
        <v/>
      </c>
      <c r="F1494" s="10" t="n"/>
      <c r="G1494" s="10">
        <f>IF(F1494="","",MIN(F1494,100))</f>
        <v/>
      </c>
      <c r="H1494" s="11">
        <f>IF(A1494="","",Universe!E1494/BDP(A1494&amp;" US Equity","HIGH_52WEEK")*100)</f>
        <v/>
      </c>
      <c r="I1494">
        <f>IF(D1494="","",D1494&gt;=5)</f>
        <v/>
      </c>
      <c r="J1494">
        <f>IF(F1494="","",F1494&gt;=5)</f>
        <v/>
      </c>
      <c r="K1494">
        <f>IF(H1494="","",H1494&gt;=75)</f>
        <v/>
      </c>
      <c r="L1494">
        <f>IF(OR(I1494="",J1494="",K1494=""),FALSE,AND(I1494,J1494,K1494))</f>
        <v/>
      </c>
    </row>
    <row r="1495">
      <c r="A1495">
        <f>Universe!A1495</f>
        <v/>
      </c>
      <c r="B1495" s="10" t="n"/>
      <c r="C1495" s="11">
        <f>IF(B1495="","",PERCENTRANK.INC($B$2:$B$2501,B1495)*100)</f>
        <v/>
      </c>
      <c r="D1495" s="10" t="n"/>
      <c r="E1495" s="10">
        <f>IF(D1495="","",MIN(D1495,100))</f>
        <v/>
      </c>
      <c r="F1495" s="10" t="n"/>
      <c r="G1495" s="10">
        <f>IF(F1495="","",MIN(F1495,100))</f>
        <v/>
      </c>
      <c r="H1495" s="11">
        <f>IF(A1495="","",Universe!E1495/BDP(A1495&amp;" US Equity","HIGH_52WEEK")*100)</f>
        <v/>
      </c>
      <c r="I1495">
        <f>IF(D1495="","",D1495&gt;=5)</f>
        <v/>
      </c>
      <c r="J1495">
        <f>IF(F1495="","",F1495&gt;=5)</f>
        <v/>
      </c>
      <c r="K1495">
        <f>IF(H1495="","",H1495&gt;=75)</f>
        <v/>
      </c>
      <c r="L1495">
        <f>IF(OR(I1495="",J1495="",K1495=""),FALSE,AND(I1495,J1495,K1495))</f>
        <v/>
      </c>
    </row>
    <row r="1496">
      <c r="A1496">
        <f>Universe!A1496</f>
        <v/>
      </c>
      <c r="B1496" s="10" t="n"/>
      <c r="C1496" s="11">
        <f>IF(B1496="","",PERCENTRANK.INC($B$2:$B$2501,B1496)*100)</f>
        <v/>
      </c>
      <c r="D1496" s="10" t="n"/>
      <c r="E1496" s="10">
        <f>IF(D1496="","",MIN(D1496,100))</f>
        <v/>
      </c>
      <c r="F1496" s="10" t="n"/>
      <c r="G1496" s="10">
        <f>IF(F1496="","",MIN(F1496,100))</f>
        <v/>
      </c>
      <c r="H1496" s="11">
        <f>IF(A1496="","",Universe!E1496/BDP(A1496&amp;" US Equity","HIGH_52WEEK")*100)</f>
        <v/>
      </c>
      <c r="I1496">
        <f>IF(D1496="","",D1496&gt;=5)</f>
        <v/>
      </c>
      <c r="J1496">
        <f>IF(F1496="","",F1496&gt;=5)</f>
        <v/>
      </c>
      <c r="K1496">
        <f>IF(H1496="","",H1496&gt;=75)</f>
        <v/>
      </c>
      <c r="L1496">
        <f>IF(OR(I1496="",J1496="",K1496=""),FALSE,AND(I1496,J1496,K1496))</f>
        <v/>
      </c>
    </row>
    <row r="1497">
      <c r="A1497">
        <f>Universe!A1497</f>
        <v/>
      </c>
      <c r="B1497" s="10" t="n"/>
      <c r="C1497" s="11">
        <f>IF(B1497="","",PERCENTRANK.INC($B$2:$B$2501,B1497)*100)</f>
        <v/>
      </c>
      <c r="D1497" s="10" t="n"/>
      <c r="E1497" s="10">
        <f>IF(D1497="","",MIN(D1497,100))</f>
        <v/>
      </c>
      <c r="F1497" s="10" t="n"/>
      <c r="G1497" s="10">
        <f>IF(F1497="","",MIN(F1497,100))</f>
        <v/>
      </c>
      <c r="H1497" s="11">
        <f>IF(A1497="","",Universe!E1497/BDP(A1497&amp;" US Equity","HIGH_52WEEK")*100)</f>
        <v/>
      </c>
      <c r="I1497">
        <f>IF(D1497="","",D1497&gt;=5)</f>
        <v/>
      </c>
      <c r="J1497">
        <f>IF(F1497="","",F1497&gt;=5)</f>
        <v/>
      </c>
      <c r="K1497">
        <f>IF(H1497="","",H1497&gt;=75)</f>
        <v/>
      </c>
      <c r="L1497">
        <f>IF(OR(I1497="",J1497="",K1497=""),FALSE,AND(I1497,J1497,K1497))</f>
        <v/>
      </c>
    </row>
    <row r="1498">
      <c r="A1498">
        <f>Universe!A1498</f>
        <v/>
      </c>
      <c r="B1498" s="10" t="n"/>
      <c r="C1498" s="11">
        <f>IF(B1498="","",PERCENTRANK.INC($B$2:$B$2501,B1498)*100)</f>
        <v/>
      </c>
      <c r="D1498" s="10" t="n"/>
      <c r="E1498" s="10">
        <f>IF(D1498="","",MIN(D1498,100))</f>
        <v/>
      </c>
      <c r="F1498" s="10" t="n"/>
      <c r="G1498" s="10">
        <f>IF(F1498="","",MIN(F1498,100))</f>
        <v/>
      </c>
      <c r="H1498" s="11">
        <f>IF(A1498="","",Universe!E1498/BDP(A1498&amp;" US Equity","HIGH_52WEEK")*100)</f>
        <v/>
      </c>
      <c r="I1498">
        <f>IF(D1498="","",D1498&gt;=5)</f>
        <v/>
      </c>
      <c r="J1498">
        <f>IF(F1498="","",F1498&gt;=5)</f>
        <v/>
      </c>
      <c r="K1498">
        <f>IF(H1498="","",H1498&gt;=75)</f>
        <v/>
      </c>
      <c r="L1498">
        <f>IF(OR(I1498="",J1498="",K1498=""),FALSE,AND(I1498,J1498,K1498))</f>
        <v/>
      </c>
    </row>
    <row r="1499">
      <c r="A1499">
        <f>Universe!A1499</f>
        <v/>
      </c>
      <c r="B1499" s="10" t="n"/>
      <c r="C1499" s="11">
        <f>IF(B1499="","",PERCENTRANK.INC($B$2:$B$2501,B1499)*100)</f>
        <v/>
      </c>
      <c r="D1499" s="10" t="n"/>
      <c r="E1499" s="10">
        <f>IF(D1499="","",MIN(D1499,100))</f>
        <v/>
      </c>
      <c r="F1499" s="10" t="n"/>
      <c r="G1499" s="10">
        <f>IF(F1499="","",MIN(F1499,100))</f>
        <v/>
      </c>
      <c r="H1499" s="11">
        <f>IF(A1499="","",Universe!E1499/BDP(A1499&amp;" US Equity","HIGH_52WEEK")*100)</f>
        <v/>
      </c>
      <c r="I1499">
        <f>IF(D1499="","",D1499&gt;=5)</f>
        <v/>
      </c>
      <c r="J1499">
        <f>IF(F1499="","",F1499&gt;=5)</f>
        <v/>
      </c>
      <c r="K1499">
        <f>IF(H1499="","",H1499&gt;=75)</f>
        <v/>
      </c>
      <c r="L1499">
        <f>IF(OR(I1499="",J1499="",K1499=""),FALSE,AND(I1499,J1499,K1499))</f>
        <v/>
      </c>
    </row>
    <row r="1500">
      <c r="A1500">
        <f>Universe!A1500</f>
        <v/>
      </c>
      <c r="B1500" s="10" t="n"/>
      <c r="C1500" s="11">
        <f>IF(B1500="","",PERCENTRANK.INC($B$2:$B$2501,B1500)*100)</f>
        <v/>
      </c>
      <c r="D1500" s="10" t="n"/>
      <c r="E1500" s="10">
        <f>IF(D1500="","",MIN(D1500,100))</f>
        <v/>
      </c>
      <c r="F1500" s="10" t="n"/>
      <c r="G1500" s="10">
        <f>IF(F1500="","",MIN(F1500,100))</f>
        <v/>
      </c>
      <c r="H1500" s="11">
        <f>IF(A1500="","",Universe!E1500/BDP(A1500&amp;" US Equity","HIGH_52WEEK")*100)</f>
        <v/>
      </c>
      <c r="I1500">
        <f>IF(D1500="","",D1500&gt;=5)</f>
        <v/>
      </c>
      <c r="J1500">
        <f>IF(F1500="","",F1500&gt;=5)</f>
        <v/>
      </c>
      <c r="K1500">
        <f>IF(H1500="","",H1500&gt;=75)</f>
        <v/>
      </c>
      <c r="L1500">
        <f>IF(OR(I1500="",J1500="",K1500=""),FALSE,AND(I1500,J1500,K1500))</f>
        <v/>
      </c>
    </row>
    <row r="1501">
      <c r="A1501">
        <f>Universe!A1501</f>
        <v/>
      </c>
      <c r="B1501" s="10" t="n"/>
      <c r="C1501" s="11">
        <f>IF(B1501="","",PERCENTRANK.INC($B$2:$B$2501,B1501)*100)</f>
        <v/>
      </c>
      <c r="D1501" s="10" t="n"/>
      <c r="E1501" s="10">
        <f>IF(D1501="","",MIN(D1501,100))</f>
        <v/>
      </c>
      <c r="F1501" s="10" t="n"/>
      <c r="G1501" s="10">
        <f>IF(F1501="","",MIN(F1501,100))</f>
        <v/>
      </c>
      <c r="H1501" s="11">
        <f>IF(A1501="","",Universe!E1501/BDP(A1501&amp;" US Equity","HIGH_52WEEK")*100)</f>
        <v/>
      </c>
      <c r="I1501">
        <f>IF(D1501="","",D1501&gt;=5)</f>
        <v/>
      </c>
      <c r="J1501">
        <f>IF(F1501="","",F1501&gt;=5)</f>
        <v/>
      </c>
      <c r="K1501">
        <f>IF(H1501="","",H1501&gt;=75)</f>
        <v/>
      </c>
      <c r="L1501">
        <f>IF(OR(I1501="",J1501="",K1501=""),FALSE,AND(I1501,J1501,K1501))</f>
        <v/>
      </c>
    </row>
    <row r="1502">
      <c r="A1502">
        <f>Universe!A1502</f>
        <v/>
      </c>
      <c r="B1502" s="10" t="n"/>
      <c r="C1502" s="11">
        <f>IF(B1502="","",PERCENTRANK.INC($B$2:$B$2501,B1502)*100)</f>
        <v/>
      </c>
      <c r="D1502" s="10" t="n"/>
      <c r="E1502" s="10">
        <f>IF(D1502="","",MIN(D1502,100))</f>
        <v/>
      </c>
      <c r="F1502" s="10" t="n"/>
      <c r="G1502" s="10">
        <f>IF(F1502="","",MIN(F1502,100))</f>
        <v/>
      </c>
      <c r="H1502" s="11">
        <f>IF(A1502="","",Universe!E1502/BDP(A1502&amp;" US Equity","HIGH_52WEEK")*100)</f>
        <v/>
      </c>
      <c r="I1502">
        <f>IF(D1502="","",D1502&gt;=5)</f>
        <v/>
      </c>
      <c r="J1502">
        <f>IF(F1502="","",F1502&gt;=5)</f>
        <v/>
      </c>
      <c r="K1502">
        <f>IF(H1502="","",H1502&gt;=75)</f>
        <v/>
      </c>
      <c r="L1502">
        <f>IF(OR(I1502="",J1502="",K1502=""),FALSE,AND(I1502,J1502,K1502))</f>
        <v/>
      </c>
    </row>
    <row r="1503">
      <c r="A1503">
        <f>Universe!A1503</f>
        <v/>
      </c>
      <c r="B1503" s="10" t="n"/>
      <c r="C1503" s="11">
        <f>IF(B1503="","",PERCENTRANK.INC($B$2:$B$2501,B1503)*100)</f>
        <v/>
      </c>
      <c r="D1503" s="10" t="n"/>
      <c r="E1503" s="10">
        <f>IF(D1503="","",MIN(D1503,100))</f>
        <v/>
      </c>
      <c r="F1503" s="10" t="n"/>
      <c r="G1503" s="10">
        <f>IF(F1503="","",MIN(F1503,100))</f>
        <v/>
      </c>
      <c r="H1503" s="11">
        <f>IF(A1503="","",Universe!E1503/BDP(A1503&amp;" US Equity","HIGH_52WEEK")*100)</f>
        <v/>
      </c>
      <c r="I1503">
        <f>IF(D1503="","",D1503&gt;=5)</f>
        <v/>
      </c>
      <c r="J1503">
        <f>IF(F1503="","",F1503&gt;=5)</f>
        <v/>
      </c>
      <c r="K1503">
        <f>IF(H1503="","",H1503&gt;=75)</f>
        <v/>
      </c>
      <c r="L1503">
        <f>IF(OR(I1503="",J1503="",K1503=""),FALSE,AND(I1503,J1503,K1503))</f>
        <v/>
      </c>
    </row>
    <row r="1504">
      <c r="A1504">
        <f>Universe!A1504</f>
        <v/>
      </c>
      <c r="B1504" s="10" t="n"/>
      <c r="C1504" s="11">
        <f>IF(B1504="","",PERCENTRANK.INC($B$2:$B$2501,B1504)*100)</f>
        <v/>
      </c>
      <c r="D1504" s="10" t="n"/>
      <c r="E1504" s="10">
        <f>IF(D1504="","",MIN(D1504,100))</f>
        <v/>
      </c>
      <c r="F1504" s="10" t="n"/>
      <c r="G1504" s="10">
        <f>IF(F1504="","",MIN(F1504,100))</f>
        <v/>
      </c>
      <c r="H1504" s="11">
        <f>IF(A1504="","",Universe!E1504/BDP(A1504&amp;" US Equity","HIGH_52WEEK")*100)</f>
        <v/>
      </c>
      <c r="I1504">
        <f>IF(D1504="","",D1504&gt;=5)</f>
        <v/>
      </c>
      <c r="J1504">
        <f>IF(F1504="","",F1504&gt;=5)</f>
        <v/>
      </c>
      <c r="K1504">
        <f>IF(H1504="","",H1504&gt;=75)</f>
        <v/>
      </c>
      <c r="L1504">
        <f>IF(OR(I1504="",J1504="",K1504=""),FALSE,AND(I1504,J1504,K1504))</f>
        <v/>
      </c>
    </row>
    <row r="1505">
      <c r="A1505">
        <f>Universe!A1505</f>
        <v/>
      </c>
      <c r="B1505" s="10" t="n"/>
      <c r="C1505" s="11">
        <f>IF(B1505="","",PERCENTRANK.INC($B$2:$B$2501,B1505)*100)</f>
        <v/>
      </c>
      <c r="D1505" s="10" t="n"/>
      <c r="E1505" s="10">
        <f>IF(D1505="","",MIN(D1505,100))</f>
        <v/>
      </c>
      <c r="F1505" s="10" t="n"/>
      <c r="G1505" s="10">
        <f>IF(F1505="","",MIN(F1505,100))</f>
        <v/>
      </c>
      <c r="H1505" s="11">
        <f>IF(A1505="","",Universe!E1505/BDP(A1505&amp;" US Equity","HIGH_52WEEK")*100)</f>
        <v/>
      </c>
      <c r="I1505">
        <f>IF(D1505="","",D1505&gt;=5)</f>
        <v/>
      </c>
      <c r="J1505">
        <f>IF(F1505="","",F1505&gt;=5)</f>
        <v/>
      </c>
      <c r="K1505">
        <f>IF(H1505="","",H1505&gt;=75)</f>
        <v/>
      </c>
      <c r="L1505">
        <f>IF(OR(I1505="",J1505="",K1505=""),FALSE,AND(I1505,J1505,K1505))</f>
        <v/>
      </c>
    </row>
    <row r="1506">
      <c r="A1506">
        <f>Universe!A1506</f>
        <v/>
      </c>
      <c r="B1506" s="10" t="n"/>
      <c r="C1506" s="11">
        <f>IF(B1506="","",PERCENTRANK.INC($B$2:$B$2501,B1506)*100)</f>
        <v/>
      </c>
      <c r="D1506" s="10" t="n"/>
      <c r="E1506" s="10">
        <f>IF(D1506="","",MIN(D1506,100))</f>
        <v/>
      </c>
      <c r="F1506" s="10" t="n"/>
      <c r="G1506" s="10">
        <f>IF(F1506="","",MIN(F1506,100))</f>
        <v/>
      </c>
      <c r="H1506" s="11">
        <f>IF(A1506="","",Universe!E1506/BDP(A1506&amp;" US Equity","HIGH_52WEEK")*100)</f>
        <v/>
      </c>
      <c r="I1506">
        <f>IF(D1506="","",D1506&gt;=5)</f>
        <v/>
      </c>
      <c r="J1506">
        <f>IF(F1506="","",F1506&gt;=5)</f>
        <v/>
      </c>
      <c r="K1506">
        <f>IF(H1506="","",H1506&gt;=75)</f>
        <v/>
      </c>
      <c r="L1506">
        <f>IF(OR(I1506="",J1506="",K1506=""),FALSE,AND(I1506,J1506,K1506))</f>
        <v/>
      </c>
    </row>
    <row r="1507">
      <c r="A1507">
        <f>Universe!A1507</f>
        <v/>
      </c>
      <c r="B1507" s="10" t="n"/>
      <c r="C1507" s="11">
        <f>IF(B1507="","",PERCENTRANK.INC($B$2:$B$2501,B1507)*100)</f>
        <v/>
      </c>
      <c r="D1507" s="10" t="n"/>
      <c r="E1507" s="10">
        <f>IF(D1507="","",MIN(D1507,100))</f>
        <v/>
      </c>
      <c r="F1507" s="10" t="n"/>
      <c r="G1507" s="10">
        <f>IF(F1507="","",MIN(F1507,100))</f>
        <v/>
      </c>
      <c r="H1507" s="11">
        <f>IF(A1507="","",Universe!E1507/BDP(A1507&amp;" US Equity","HIGH_52WEEK")*100)</f>
        <v/>
      </c>
      <c r="I1507">
        <f>IF(D1507="","",D1507&gt;=5)</f>
        <v/>
      </c>
      <c r="J1507">
        <f>IF(F1507="","",F1507&gt;=5)</f>
        <v/>
      </c>
      <c r="K1507">
        <f>IF(H1507="","",H1507&gt;=75)</f>
        <v/>
      </c>
      <c r="L1507">
        <f>IF(OR(I1507="",J1507="",K1507=""),FALSE,AND(I1507,J1507,K1507))</f>
        <v/>
      </c>
    </row>
    <row r="1508">
      <c r="A1508">
        <f>Universe!A1508</f>
        <v/>
      </c>
      <c r="B1508" s="10" t="n"/>
      <c r="C1508" s="11">
        <f>IF(B1508="","",PERCENTRANK.INC($B$2:$B$2501,B1508)*100)</f>
        <v/>
      </c>
      <c r="D1508" s="10" t="n"/>
      <c r="E1508" s="10">
        <f>IF(D1508="","",MIN(D1508,100))</f>
        <v/>
      </c>
      <c r="F1508" s="10" t="n"/>
      <c r="G1508" s="10">
        <f>IF(F1508="","",MIN(F1508,100))</f>
        <v/>
      </c>
      <c r="H1508" s="11">
        <f>IF(A1508="","",Universe!E1508/BDP(A1508&amp;" US Equity","HIGH_52WEEK")*100)</f>
        <v/>
      </c>
      <c r="I1508">
        <f>IF(D1508="","",D1508&gt;=5)</f>
        <v/>
      </c>
      <c r="J1508">
        <f>IF(F1508="","",F1508&gt;=5)</f>
        <v/>
      </c>
      <c r="K1508">
        <f>IF(H1508="","",H1508&gt;=75)</f>
        <v/>
      </c>
      <c r="L1508">
        <f>IF(OR(I1508="",J1508="",K1508=""),FALSE,AND(I1508,J1508,K1508))</f>
        <v/>
      </c>
    </row>
    <row r="1509">
      <c r="A1509">
        <f>Universe!A1509</f>
        <v/>
      </c>
      <c r="B1509" s="10" t="n"/>
      <c r="C1509" s="11">
        <f>IF(B1509="","",PERCENTRANK.INC($B$2:$B$2501,B1509)*100)</f>
        <v/>
      </c>
      <c r="D1509" s="10" t="n"/>
      <c r="E1509" s="10">
        <f>IF(D1509="","",MIN(D1509,100))</f>
        <v/>
      </c>
      <c r="F1509" s="10" t="n"/>
      <c r="G1509" s="10">
        <f>IF(F1509="","",MIN(F1509,100))</f>
        <v/>
      </c>
      <c r="H1509" s="11">
        <f>IF(A1509="","",Universe!E1509/BDP(A1509&amp;" US Equity","HIGH_52WEEK")*100)</f>
        <v/>
      </c>
      <c r="I1509">
        <f>IF(D1509="","",D1509&gt;=5)</f>
        <v/>
      </c>
      <c r="J1509">
        <f>IF(F1509="","",F1509&gt;=5)</f>
        <v/>
      </c>
      <c r="K1509">
        <f>IF(H1509="","",H1509&gt;=75)</f>
        <v/>
      </c>
      <c r="L1509">
        <f>IF(OR(I1509="",J1509="",K1509=""),FALSE,AND(I1509,J1509,K1509))</f>
        <v/>
      </c>
    </row>
    <row r="1510">
      <c r="A1510">
        <f>Universe!A1510</f>
        <v/>
      </c>
      <c r="B1510" s="10" t="n"/>
      <c r="C1510" s="11">
        <f>IF(B1510="","",PERCENTRANK.INC($B$2:$B$2501,B1510)*100)</f>
        <v/>
      </c>
      <c r="D1510" s="10" t="n"/>
      <c r="E1510" s="10">
        <f>IF(D1510="","",MIN(D1510,100))</f>
        <v/>
      </c>
      <c r="F1510" s="10" t="n"/>
      <c r="G1510" s="10">
        <f>IF(F1510="","",MIN(F1510,100))</f>
        <v/>
      </c>
      <c r="H1510" s="11">
        <f>IF(A1510="","",Universe!E1510/BDP(A1510&amp;" US Equity","HIGH_52WEEK")*100)</f>
        <v/>
      </c>
      <c r="I1510">
        <f>IF(D1510="","",D1510&gt;=5)</f>
        <v/>
      </c>
      <c r="J1510">
        <f>IF(F1510="","",F1510&gt;=5)</f>
        <v/>
      </c>
      <c r="K1510">
        <f>IF(H1510="","",H1510&gt;=75)</f>
        <v/>
      </c>
      <c r="L1510">
        <f>IF(OR(I1510="",J1510="",K1510=""),FALSE,AND(I1510,J1510,K1510))</f>
        <v/>
      </c>
    </row>
    <row r="1511">
      <c r="A1511">
        <f>Universe!A1511</f>
        <v/>
      </c>
      <c r="B1511" s="10" t="n"/>
      <c r="C1511" s="11">
        <f>IF(B1511="","",PERCENTRANK.INC($B$2:$B$2501,B1511)*100)</f>
        <v/>
      </c>
      <c r="D1511" s="10" t="n"/>
      <c r="E1511" s="10">
        <f>IF(D1511="","",MIN(D1511,100))</f>
        <v/>
      </c>
      <c r="F1511" s="10" t="n"/>
      <c r="G1511" s="10">
        <f>IF(F1511="","",MIN(F1511,100))</f>
        <v/>
      </c>
      <c r="H1511" s="11">
        <f>IF(A1511="","",Universe!E1511/BDP(A1511&amp;" US Equity","HIGH_52WEEK")*100)</f>
        <v/>
      </c>
      <c r="I1511">
        <f>IF(D1511="","",D1511&gt;=5)</f>
        <v/>
      </c>
      <c r="J1511">
        <f>IF(F1511="","",F1511&gt;=5)</f>
        <v/>
      </c>
      <c r="K1511">
        <f>IF(H1511="","",H1511&gt;=75)</f>
        <v/>
      </c>
      <c r="L1511">
        <f>IF(OR(I1511="",J1511="",K1511=""),FALSE,AND(I1511,J1511,K1511))</f>
        <v/>
      </c>
    </row>
    <row r="1512">
      <c r="A1512">
        <f>Universe!A1512</f>
        <v/>
      </c>
      <c r="B1512" s="10" t="n"/>
      <c r="C1512" s="11">
        <f>IF(B1512="","",PERCENTRANK.INC($B$2:$B$2501,B1512)*100)</f>
        <v/>
      </c>
      <c r="D1512" s="10" t="n"/>
      <c r="E1512" s="10">
        <f>IF(D1512="","",MIN(D1512,100))</f>
        <v/>
      </c>
      <c r="F1512" s="10" t="n"/>
      <c r="G1512" s="10">
        <f>IF(F1512="","",MIN(F1512,100))</f>
        <v/>
      </c>
      <c r="H1512" s="11">
        <f>IF(A1512="","",Universe!E1512/BDP(A1512&amp;" US Equity","HIGH_52WEEK")*100)</f>
        <v/>
      </c>
      <c r="I1512">
        <f>IF(D1512="","",D1512&gt;=5)</f>
        <v/>
      </c>
      <c r="J1512">
        <f>IF(F1512="","",F1512&gt;=5)</f>
        <v/>
      </c>
      <c r="K1512">
        <f>IF(H1512="","",H1512&gt;=75)</f>
        <v/>
      </c>
      <c r="L1512">
        <f>IF(OR(I1512="",J1512="",K1512=""),FALSE,AND(I1512,J1512,K1512))</f>
        <v/>
      </c>
    </row>
    <row r="1513">
      <c r="A1513">
        <f>Universe!A1513</f>
        <v/>
      </c>
      <c r="B1513" s="10" t="n"/>
      <c r="C1513" s="11">
        <f>IF(B1513="","",PERCENTRANK.INC($B$2:$B$2501,B1513)*100)</f>
        <v/>
      </c>
      <c r="D1513" s="10" t="n"/>
      <c r="E1513" s="10">
        <f>IF(D1513="","",MIN(D1513,100))</f>
        <v/>
      </c>
      <c r="F1513" s="10" t="n"/>
      <c r="G1513" s="10">
        <f>IF(F1513="","",MIN(F1513,100))</f>
        <v/>
      </c>
      <c r="H1513" s="11">
        <f>IF(A1513="","",Universe!E1513/BDP(A1513&amp;" US Equity","HIGH_52WEEK")*100)</f>
        <v/>
      </c>
      <c r="I1513">
        <f>IF(D1513="","",D1513&gt;=5)</f>
        <v/>
      </c>
      <c r="J1513">
        <f>IF(F1513="","",F1513&gt;=5)</f>
        <v/>
      </c>
      <c r="K1513">
        <f>IF(H1513="","",H1513&gt;=75)</f>
        <v/>
      </c>
      <c r="L1513">
        <f>IF(OR(I1513="",J1513="",K1513=""),FALSE,AND(I1513,J1513,K1513))</f>
        <v/>
      </c>
    </row>
    <row r="1514">
      <c r="A1514">
        <f>Universe!A1514</f>
        <v/>
      </c>
      <c r="B1514" s="10" t="n"/>
      <c r="C1514" s="11">
        <f>IF(B1514="","",PERCENTRANK.INC($B$2:$B$2501,B1514)*100)</f>
        <v/>
      </c>
      <c r="D1514" s="10" t="n"/>
      <c r="E1514" s="10">
        <f>IF(D1514="","",MIN(D1514,100))</f>
        <v/>
      </c>
      <c r="F1514" s="10" t="n"/>
      <c r="G1514" s="10">
        <f>IF(F1514="","",MIN(F1514,100))</f>
        <v/>
      </c>
      <c r="H1514" s="11">
        <f>IF(A1514="","",Universe!E1514/BDP(A1514&amp;" US Equity","HIGH_52WEEK")*100)</f>
        <v/>
      </c>
      <c r="I1514">
        <f>IF(D1514="","",D1514&gt;=5)</f>
        <v/>
      </c>
      <c r="J1514">
        <f>IF(F1514="","",F1514&gt;=5)</f>
        <v/>
      </c>
      <c r="K1514">
        <f>IF(H1514="","",H1514&gt;=75)</f>
        <v/>
      </c>
      <c r="L1514">
        <f>IF(OR(I1514="",J1514="",K1514=""),FALSE,AND(I1514,J1514,K1514))</f>
        <v/>
      </c>
    </row>
    <row r="1515">
      <c r="A1515">
        <f>Universe!A1515</f>
        <v/>
      </c>
      <c r="B1515" s="10" t="n"/>
      <c r="C1515" s="11">
        <f>IF(B1515="","",PERCENTRANK.INC($B$2:$B$2501,B1515)*100)</f>
        <v/>
      </c>
      <c r="D1515" s="10" t="n"/>
      <c r="E1515" s="10">
        <f>IF(D1515="","",MIN(D1515,100))</f>
        <v/>
      </c>
      <c r="F1515" s="10" t="n"/>
      <c r="G1515" s="10">
        <f>IF(F1515="","",MIN(F1515,100))</f>
        <v/>
      </c>
      <c r="H1515" s="11">
        <f>IF(A1515="","",Universe!E1515/BDP(A1515&amp;" US Equity","HIGH_52WEEK")*100)</f>
        <v/>
      </c>
      <c r="I1515">
        <f>IF(D1515="","",D1515&gt;=5)</f>
        <v/>
      </c>
      <c r="J1515">
        <f>IF(F1515="","",F1515&gt;=5)</f>
        <v/>
      </c>
      <c r="K1515">
        <f>IF(H1515="","",H1515&gt;=75)</f>
        <v/>
      </c>
      <c r="L1515">
        <f>IF(OR(I1515="",J1515="",K1515=""),FALSE,AND(I1515,J1515,K1515))</f>
        <v/>
      </c>
    </row>
    <row r="1516">
      <c r="A1516">
        <f>Universe!A1516</f>
        <v/>
      </c>
      <c r="B1516" s="10" t="n"/>
      <c r="C1516" s="11">
        <f>IF(B1516="","",PERCENTRANK.INC($B$2:$B$2501,B1516)*100)</f>
        <v/>
      </c>
      <c r="D1516" s="10" t="n"/>
      <c r="E1516" s="10">
        <f>IF(D1516="","",MIN(D1516,100))</f>
        <v/>
      </c>
      <c r="F1516" s="10" t="n"/>
      <c r="G1516" s="10">
        <f>IF(F1516="","",MIN(F1516,100))</f>
        <v/>
      </c>
      <c r="H1516" s="11">
        <f>IF(A1516="","",Universe!E1516/BDP(A1516&amp;" US Equity","HIGH_52WEEK")*100)</f>
        <v/>
      </c>
      <c r="I1516">
        <f>IF(D1516="","",D1516&gt;=5)</f>
        <v/>
      </c>
      <c r="J1516">
        <f>IF(F1516="","",F1516&gt;=5)</f>
        <v/>
      </c>
      <c r="K1516">
        <f>IF(H1516="","",H1516&gt;=75)</f>
        <v/>
      </c>
      <c r="L1516">
        <f>IF(OR(I1516="",J1516="",K1516=""),FALSE,AND(I1516,J1516,K1516))</f>
        <v/>
      </c>
    </row>
    <row r="1517">
      <c r="A1517">
        <f>Universe!A1517</f>
        <v/>
      </c>
      <c r="B1517" s="10" t="n"/>
      <c r="C1517" s="11">
        <f>IF(B1517="","",PERCENTRANK.INC($B$2:$B$2501,B1517)*100)</f>
        <v/>
      </c>
      <c r="D1517" s="10" t="n"/>
      <c r="E1517" s="10">
        <f>IF(D1517="","",MIN(D1517,100))</f>
        <v/>
      </c>
      <c r="F1517" s="10" t="n"/>
      <c r="G1517" s="10">
        <f>IF(F1517="","",MIN(F1517,100))</f>
        <v/>
      </c>
      <c r="H1517" s="11">
        <f>IF(A1517="","",Universe!E1517/BDP(A1517&amp;" US Equity","HIGH_52WEEK")*100)</f>
        <v/>
      </c>
      <c r="I1517">
        <f>IF(D1517="","",D1517&gt;=5)</f>
        <v/>
      </c>
      <c r="J1517">
        <f>IF(F1517="","",F1517&gt;=5)</f>
        <v/>
      </c>
      <c r="K1517">
        <f>IF(H1517="","",H1517&gt;=75)</f>
        <v/>
      </c>
      <c r="L1517">
        <f>IF(OR(I1517="",J1517="",K1517=""),FALSE,AND(I1517,J1517,K1517))</f>
        <v/>
      </c>
    </row>
    <row r="1518">
      <c r="A1518">
        <f>Universe!A1518</f>
        <v/>
      </c>
      <c r="B1518" s="10" t="n"/>
      <c r="C1518" s="11">
        <f>IF(B1518="","",PERCENTRANK.INC($B$2:$B$2501,B1518)*100)</f>
        <v/>
      </c>
      <c r="D1518" s="10" t="n"/>
      <c r="E1518" s="10">
        <f>IF(D1518="","",MIN(D1518,100))</f>
        <v/>
      </c>
      <c r="F1518" s="10" t="n"/>
      <c r="G1518" s="10">
        <f>IF(F1518="","",MIN(F1518,100))</f>
        <v/>
      </c>
      <c r="H1518" s="11">
        <f>IF(A1518="","",Universe!E1518/BDP(A1518&amp;" US Equity","HIGH_52WEEK")*100)</f>
        <v/>
      </c>
      <c r="I1518">
        <f>IF(D1518="","",D1518&gt;=5)</f>
        <v/>
      </c>
      <c r="J1518">
        <f>IF(F1518="","",F1518&gt;=5)</f>
        <v/>
      </c>
      <c r="K1518">
        <f>IF(H1518="","",H1518&gt;=75)</f>
        <v/>
      </c>
      <c r="L1518">
        <f>IF(OR(I1518="",J1518="",K1518=""),FALSE,AND(I1518,J1518,K1518))</f>
        <v/>
      </c>
    </row>
    <row r="1519">
      <c r="A1519">
        <f>Universe!A1519</f>
        <v/>
      </c>
      <c r="B1519" s="10" t="n"/>
      <c r="C1519" s="11">
        <f>IF(B1519="","",PERCENTRANK.INC($B$2:$B$2501,B1519)*100)</f>
        <v/>
      </c>
      <c r="D1519" s="10" t="n"/>
      <c r="E1519" s="10">
        <f>IF(D1519="","",MIN(D1519,100))</f>
        <v/>
      </c>
      <c r="F1519" s="10" t="n"/>
      <c r="G1519" s="10">
        <f>IF(F1519="","",MIN(F1519,100))</f>
        <v/>
      </c>
      <c r="H1519" s="11">
        <f>IF(A1519="","",Universe!E1519/BDP(A1519&amp;" US Equity","HIGH_52WEEK")*100)</f>
        <v/>
      </c>
      <c r="I1519">
        <f>IF(D1519="","",D1519&gt;=5)</f>
        <v/>
      </c>
      <c r="J1519">
        <f>IF(F1519="","",F1519&gt;=5)</f>
        <v/>
      </c>
      <c r="K1519">
        <f>IF(H1519="","",H1519&gt;=75)</f>
        <v/>
      </c>
      <c r="L1519">
        <f>IF(OR(I1519="",J1519="",K1519=""),FALSE,AND(I1519,J1519,K1519))</f>
        <v/>
      </c>
    </row>
    <row r="1520">
      <c r="A1520">
        <f>Universe!A1520</f>
        <v/>
      </c>
      <c r="B1520" s="10" t="n"/>
      <c r="C1520" s="11">
        <f>IF(B1520="","",PERCENTRANK.INC($B$2:$B$2501,B1520)*100)</f>
        <v/>
      </c>
      <c r="D1520" s="10" t="n"/>
      <c r="E1520" s="10">
        <f>IF(D1520="","",MIN(D1520,100))</f>
        <v/>
      </c>
      <c r="F1520" s="10" t="n"/>
      <c r="G1520" s="10">
        <f>IF(F1520="","",MIN(F1520,100))</f>
        <v/>
      </c>
      <c r="H1520" s="11">
        <f>IF(A1520="","",Universe!E1520/BDP(A1520&amp;" US Equity","HIGH_52WEEK")*100)</f>
        <v/>
      </c>
      <c r="I1520">
        <f>IF(D1520="","",D1520&gt;=5)</f>
        <v/>
      </c>
      <c r="J1520">
        <f>IF(F1520="","",F1520&gt;=5)</f>
        <v/>
      </c>
      <c r="K1520">
        <f>IF(H1520="","",H1520&gt;=75)</f>
        <v/>
      </c>
      <c r="L1520">
        <f>IF(OR(I1520="",J1520="",K1520=""),FALSE,AND(I1520,J1520,K1520))</f>
        <v/>
      </c>
    </row>
    <row r="1521">
      <c r="A1521">
        <f>Universe!A1521</f>
        <v/>
      </c>
      <c r="B1521" s="10" t="n"/>
      <c r="C1521" s="11">
        <f>IF(B1521="","",PERCENTRANK.INC($B$2:$B$2501,B1521)*100)</f>
        <v/>
      </c>
      <c r="D1521" s="10" t="n"/>
      <c r="E1521" s="10">
        <f>IF(D1521="","",MIN(D1521,100))</f>
        <v/>
      </c>
      <c r="F1521" s="10" t="n"/>
      <c r="G1521" s="10">
        <f>IF(F1521="","",MIN(F1521,100))</f>
        <v/>
      </c>
      <c r="H1521" s="11">
        <f>IF(A1521="","",Universe!E1521/BDP(A1521&amp;" US Equity","HIGH_52WEEK")*100)</f>
        <v/>
      </c>
      <c r="I1521">
        <f>IF(D1521="","",D1521&gt;=5)</f>
        <v/>
      </c>
      <c r="J1521">
        <f>IF(F1521="","",F1521&gt;=5)</f>
        <v/>
      </c>
      <c r="K1521">
        <f>IF(H1521="","",H1521&gt;=75)</f>
        <v/>
      </c>
      <c r="L1521">
        <f>IF(OR(I1521="",J1521="",K1521=""),FALSE,AND(I1521,J1521,K1521))</f>
        <v/>
      </c>
    </row>
    <row r="1522">
      <c r="A1522">
        <f>Universe!A1522</f>
        <v/>
      </c>
      <c r="B1522" s="10" t="n"/>
      <c r="C1522" s="11">
        <f>IF(B1522="","",PERCENTRANK.INC($B$2:$B$2501,B1522)*100)</f>
        <v/>
      </c>
      <c r="D1522" s="10" t="n"/>
      <c r="E1522" s="10">
        <f>IF(D1522="","",MIN(D1522,100))</f>
        <v/>
      </c>
      <c r="F1522" s="10" t="n"/>
      <c r="G1522" s="10">
        <f>IF(F1522="","",MIN(F1522,100))</f>
        <v/>
      </c>
      <c r="H1522" s="11">
        <f>IF(A1522="","",Universe!E1522/BDP(A1522&amp;" US Equity","HIGH_52WEEK")*100)</f>
        <v/>
      </c>
      <c r="I1522">
        <f>IF(D1522="","",D1522&gt;=5)</f>
        <v/>
      </c>
      <c r="J1522">
        <f>IF(F1522="","",F1522&gt;=5)</f>
        <v/>
      </c>
      <c r="K1522">
        <f>IF(H1522="","",H1522&gt;=75)</f>
        <v/>
      </c>
      <c r="L1522">
        <f>IF(OR(I1522="",J1522="",K1522=""),FALSE,AND(I1522,J1522,K1522))</f>
        <v/>
      </c>
    </row>
    <row r="1523">
      <c r="A1523">
        <f>Universe!A1523</f>
        <v/>
      </c>
      <c r="B1523" s="10" t="n"/>
      <c r="C1523" s="11">
        <f>IF(B1523="","",PERCENTRANK.INC($B$2:$B$2501,B1523)*100)</f>
        <v/>
      </c>
      <c r="D1523" s="10" t="n"/>
      <c r="E1523" s="10">
        <f>IF(D1523="","",MIN(D1523,100))</f>
        <v/>
      </c>
      <c r="F1523" s="10" t="n"/>
      <c r="G1523" s="10">
        <f>IF(F1523="","",MIN(F1523,100))</f>
        <v/>
      </c>
      <c r="H1523" s="11">
        <f>IF(A1523="","",Universe!E1523/BDP(A1523&amp;" US Equity","HIGH_52WEEK")*100)</f>
        <v/>
      </c>
      <c r="I1523">
        <f>IF(D1523="","",D1523&gt;=5)</f>
        <v/>
      </c>
      <c r="J1523">
        <f>IF(F1523="","",F1523&gt;=5)</f>
        <v/>
      </c>
      <c r="K1523">
        <f>IF(H1523="","",H1523&gt;=75)</f>
        <v/>
      </c>
      <c r="L1523">
        <f>IF(OR(I1523="",J1523="",K1523=""),FALSE,AND(I1523,J1523,K1523))</f>
        <v/>
      </c>
    </row>
    <row r="1524">
      <c r="A1524">
        <f>Universe!A1524</f>
        <v/>
      </c>
      <c r="B1524" s="10" t="n"/>
      <c r="C1524" s="11">
        <f>IF(B1524="","",PERCENTRANK.INC($B$2:$B$2501,B1524)*100)</f>
        <v/>
      </c>
      <c r="D1524" s="10" t="n"/>
      <c r="E1524" s="10">
        <f>IF(D1524="","",MIN(D1524,100))</f>
        <v/>
      </c>
      <c r="F1524" s="10" t="n"/>
      <c r="G1524" s="10">
        <f>IF(F1524="","",MIN(F1524,100))</f>
        <v/>
      </c>
      <c r="H1524" s="11">
        <f>IF(A1524="","",Universe!E1524/BDP(A1524&amp;" US Equity","HIGH_52WEEK")*100)</f>
        <v/>
      </c>
      <c r="I1524">
        <f>IF(D1524="","",D1524&gt;=5)</f>
        <v/>
      </c>
      <c r="J1524">
        <f>IF(F1524="","",F1524&gt;=5)</f>
        <v/>
      </c>
      <c r="K1524">
        <f>IF(H1524="","",H1524&gt;=75)</f>
        <v/>
      </c>
      <c r="L1524">
        <f>IF(OR(I1524="",J1524="",K1524=""),FALSE,AND(I1524,J1524,K1524))</f>
        <v/>
      </c>
    </row>
    <row r="1525">
      <c r="A1525">
        <f>Universe!A1525</f>
        <v/>
      </c>
      <c r="B1525" s="10" t="n"/>
      <c r="C1525" s="11">
        <f>IF(B1525="","",PERCENTRANK.INC($B$2:$B$2501,B1525)*100)</f>
        <v/>
      </c>
      <c r="D1525" s="10" t="n"/>
      <c r="E1525" s="10">
        <f>IF(D1525="","",MIN(D1525,100))</f>
        <v/>
      </c>
      <c r="F1525" s="10" t="n"/>
      <c r="G1525" s="10">
        <f>IF(F1525="","",MIN(F1525,100))</f>
        <v/>
      </c>
      <c r="H1525" s="11">
        <f>IF(A1525="","",Universe!E1525/BDP(A1525&amp;" US Equity","HIGH_52WEEK")*100)</f>
        <v/>
      </c>
      <c r="I1525">
        <f>IF(D1525="","",D1525&gt;=5)</f>
        <v/>
      </c>
      <c r="J1525">
        <f>IF(F1525="","",F1525&gt;=5)</f>
        <v/>
      </c>
      <c r="K1525">
        <f>IF(H1525="","",H1525&gt;=75)</f>
        <v/>
      </c>
      <c r="L1525">
        <f>IF(OR(I1525="",J1525="",K1525=""),FALSE,AND(I1525,J1525,K1525))</f>
        <v/>
      </c>
    </row>
    <row r="1526">
      <c r="A1526">
        <f>Universe!A1526</f>
        <v/>
      </c>
      <c r="B1526" s="10" t="n"/>
      <c r="C1526" s="11">
        <f>IF(B1526="","",PERCENTRANK.INC($B$2:$B$2501,B1526)*100)</f>
        <v/>
      </c>
      <c r="D1526" s="10" t="n"/>
      <c r="E1526" s="10">
        <f>IF(D1526="","",MIN(D1526,100))</f>
        <v/>
      </c>
      <c r="F1526" s="10" t="n"/>
      <c r="G1526" s="10">
        <f>IF(F1526="","",MIN(F1526,100))</f>
        <v/>
      </c>
      <c r="H1526" s="11">
        <f>IF(A1526="","",Universe!E1526/BDP(A1526&amp;" US Equity","HIGH_52WEEK")*100)</f>
        <v/>
      </c>
      <c r="I1526">
        <f>IF(D1526="","",D1526&gt;=5)</f>
        <v/>
      </c>
      <c r="J1526">
        <f>IF(F1526="","",F1526&gt;=5)</f>
        <v/>
      </c>
      <c r="K1526">
        <f>IF(H1526="","",H1526&gt;=75)</f>
        <v/>
      </c>
      <c r="L1526">
        <f>IF(OR(I1526="",J1526="",K1526=""),FALSE,AND(I1526,J1526,K1526))</f>
        <v/>
      </c>
    </row>
    <row r="1527">
      <c r="A1527">
        <f>Universe!A1527</f>
        <v/>
      </c>
      <c r="B1527" s="10" t="n"/>
      <c r="C1527" s="11">
        <f>IF(B1527="","",PERCENTRANK.INC($B$2:$B$2501,B1527)*100)</f>
        <v/>
      </c>
      <c r="D1527" s="10" t="n"/>
      <c r="E1527" s="10">
        <f>IF(D1527="","",MIN(D1527,100))</f>
        <v/>
      </c>
      <c r="F1527" s="10" t="n"/>
      <c r="G1527" s="10">
        <f>IF(F1527="","",MIN(F1527,100))</f>
        <v/>
      </c>
      <c r="H1527" s="11">
        <f>IF(A1527="","",Universe!E1527/BDP(A1527&amp;" US Equity","HIGH_52WEEK")*100)</f>
        <v/>
      </c>
      <c r="I1527">
        <f>IF(D1527="","",D1527&gt;=5)</f>
        <v/>
      </c>
      <c r="J1527">
        <f>IF(F1527="","",F1527&gt;=5)</f>
        <v/>
      </c>
      <c r="K1527">
        <f>IF(H1527="","",H1527&gt;=75)</f>
        <v/>
      </c>
      <c r="L1527">
        <f>IF(OR(I1527="",J1527="",K1527=""),FALSE,AND(I1527,J1527,K1527))</f>
        <v/>
      </c>
    </row>
    <row r="1528">
      <c r="A1528">
        <f>Universe!A1528</f>
        <v/>
      </c>
      <c r="B1528" s="10" t="n"/>
      <c r="C1528" s="11">
        <f>IF(B1528="","",PERCENTRANK.INC($B$2:$B$2501,B1528)*100)</f>
        <v/>
      </c>
      <c r="D1528" s="10" t="n"/>
      <c r="E1528" s="10">
        <f>IF(D1528="","",MIN(D1528,100))</f>
        <v/>
      </c>
      <c r="F1528" s="10" t="n"/>
      <c r="G1528" s="10">
        <f>IF(F1528="","",MIN(F1528,100))</f>
        <v/>
      </c>
      <c r="H1528" s="11">
        <f>IF(A1528="","",Universe!E1528/BDP(A1528&amp;" US Equity","HIGH_52WEEK")*100)</f>
        <v/>
      </c>
      <c r="I1528">
        <f>IF(D1528="","",D1528&gt;=5)</f>
        <v/>
      </c>
      <c r="J1528">
        <f>IF(F1528="","",F1528&gt;=5)</f>
        <v/>
      </c>
      <c r="K1528">
        <f>IF(H1528="","",H1528&gt;=75)</f>
        <v/>
      </c>
      <c r="L1528">
        <f>IF(OR(I1528="",J1528="",K1528=""),FALSE,AND(I1528,J1528,K1528))</f>
        <v/>
      </c>
    </row>
    <row r="1529">
      <c r="A1529">
        <f>Universe!A1529</f>
        <v/>
      </c>
      <c r="B1529" s="10" t="n"/>
      <c r="C1529" s="11">
        <f>IF(B1529="","",PERCENTRANK.INC($B$2:$B$2501,B1529)*100)</f>
        <v/>
      </c>
      <c r="D1529" s="10" t="n"/>
      <c r="E1529" s="10">
        <f>IF(D1529="","",MIN(D1529,100))</f>
        <v/>
      </c>
      <c r="F1529" s="10" t="n"/>
      <c r="G1529" s="10">
        <f>IF(F1529="","",MIN(F1529,100))</f>
        <v/>
      </c>
      <c r="H1529" s="11">
        <f>IF(A1529="","",Universe!E1529/BDP(A1529&amp;" US Equity","HIGH_52WEEK")*100)</f>
        <v/>
      </c>
      <c r="I1529">
        <f>IF(D1529="","",D1529&gt;=5)</f>
        <v/>
      </c>
      <c r="J1529">
        <f>IF(F1529="","",F1529&gt;=5)</f>
        <v/>
      </c>
      <c r="K1529">
        <f>IF(H1529="","",H1529&gt;=75)</f>
        <v/>
      </c>
      <c r="L1529">
        <f>IF(OR(I1529="",J1529="",K1529=""),FALSE,AND(I1529,J1529,K1529))</f>
        <v/>
      </c>
    </row>
    <row r="1530">
      <c r="A1530">
        <f>Universe!A1530</f>
        <v/>
      </c>
      <c r="B1530" s="10" t="n"/>
      <c r="C1530" s="11">
        <f>IF(B1530="","",PERCENTRANK.INC($B$2:$B$2501,B1530)*100)</f>
        <v/>
      </c>
      <c r="D1530" s="10" t="n"/>
      <c r="E1530" s="10">
        <f>IF(D1530="","",MIN(D1530,100))</f>
        <v/>
      </c>
      <c r="F1530" s="10" t="n"/>
      <c r="G1530" s="10">
        <f>IF(F1530="","",MIN(F1530,100))</f>
        <v/>
      </c>
      <c r="H1530" s="11">
        <f>IF(A1530="","",Universe!E1530/BDP(A1530&amp;" US Equity","HIGH_52WEEK")*100)</f>
        <v/>
      </c>
      <c r="I1530">
        <f>IF(D1530="","",D1530&gt;=5)</f>
        <v/>
      </c>
      <c r="J1530">
        <f>IF(F1530="","",F1530&gt;=5)</f>
        <v/>
      </c>
      <c r="K1530">
        <f>IF(H1530="","",H1530&gt;=75)</f>
        <v/>
      </c>
      <c r="L1530">
        <f>IF(OR(I1530="",J1530="",K1530=""),FALSE,AND(I1530,J1530,K1530))</f>
        <v/>
      </c>
    </row>
    <row r="1531">
      <c r="A1531">
        <f>Universe!A1531</f>
        <v/>
      </c>
      <c r="B1531" s="10" t="n"/>
      <c r="C1531" s="11">
        <f>IF(B1531="","",PERCENTRANK.INC($B$2:$B$2501,B1531)*100)</f>
        <v/>
      </c>
      <c r="D1531" s="10" t="n"/>
      <c r="E1531" s="10">
        <f>IF(D1531="","",MIN(D1531,100))</f>
        <v/>
      </c>
      <c r="F1531" s="10" t="n"/>
      <c r="G1531" s="10">
        <f>IF(F1531="","",MIN(F1531,100))</f>
        <v/>
      </c>
      <c r="H1531" s="11">
        <f>IF(A1531="","",Universe!E1531/BDP(A1531&amp;" US Equity","HIGH_52WEEK")*100)</f>
        <v/>
      </c>
      <c r="I1531">
        <f>IF(D1531="","",D1531&gt;=5)</f>
        <v/>
      </c>
      <c r="J1531">
        <f>IF(F1531="","",F1531&gt;=5)</f>
        <v/>
      </c>
      <c r="K1531">
        <f>IF(H1531="","",H1531&gt;=75)</f>
        <v/>
      </c>
      <c r="L1531">
        <f>IF(OR(I1531="",J1531="",K1531=""),FALSE,AND(I1531,J1531,K1531))</f>
        <v/>
      </c>
    </row>
    <row r="1532">
      <c r="A1532">
        <f>Universe!A1532</f>
        <v/>
      </c>
      <c r="B1532" s="10" t="n"/>
      <c r="C1532" s="11">
        <f>IF(B1532="","",PERCENTRANK.INC($B$2:$B$2501,B1532)*100)</f>
        <v/>
      </c>
      <c r="D1532" s="10" t="n"/>
      <c r="E1532" s="10">
        <f>IF(D1532="","",MIN(D1532,100))</f>
        <v/>
      </c>
      <c r="F1532" s="10" t="n"/>
      <c r="G1532" s="10">
        <f>IF(F1532="","",MIN(F1532,100))</f>
        <v/>
      </c>
      <c r="H1532" s="11">
        <f>IF(A1532="","",Universe!E1532/BDP(A1532&amp;" US Equity","HIGH_52WEEK")*100)</f>
        <v/>
      </c>
      <c r="I1532">
        <f>IF(D1532="","",D1532&gt;=5)</f>
        <v/>
      </c>
      <c r="J1532">
        <f>IF(F1532="","",F1532&gt;=5)</f>
        <v/>
      </c>
      <c r="K1532">
        <f>IF(H1532="","",H1532&gt;=75)</f>
        <v/>
      </c>
      <c r="L1532">
        <f>IF(OR(I1532="",J1532="",K1532=""),FALSE,AND(I1532,J1532,K1532))</f>
        <v/>
      </c>
    </row>
    <row r="1533">
      <c r="A1533">
        <f>Universe!A1533</f>
        <v/>
      </c>
      <c r="B1533" s="10" t="n"/>
      <c r="C1533" s="11">
        <f>IF(B1533="","",PERCENTRANK.INC($B$2:$B$2501,B1533)*100)</f>
        <v/>
      </c>
      <c r="D1533" s="10" t="n"/>
      <c r="E1533" s="10">
        <f>IF(D1533="","",MIN(D1533,100))</f>
        <v/>
      </c>
      <c r="F1533" s="10" t="n"/>
      <c r="G1533" s="10">
        <f>IF(F1533="","",MIN(F1533,100))</f>
        <v/>
      </c>
      <c r="H1533" s="11">
        <f>IF(A1533="","",Universe!E1533/BDP(A1533&amp;" US Equity","HIGH_52WEEK")*100)</f>
        <v/>
      </c>
      <c r="I1533">
        <f>IF(D1533="","",D1533&gt;=5)</f>
        <v/>
      </c>
      <c r="J1533">
        <f>IF(F1533="","",F1533&gt;=5)</f>
        <v/>
      </c>
      <c r="K1533">
        <f>IF(H1533="","",H1533&gt;=75)</f>
        <v/>
      </c>
      <c r="L1533">
        <f>IF(OR(I1533="",J1533="",K1533=""),FALSE,AND(I1533,J1533,K1533))</f>
        <v/>
      </c>
    </row>
    <row r="1534">
      <c r="A1534">
        <f>Universe!A1534</f>
        <v/>
      </c>
      <c r="B1534" s="10" t="n"/>
      <c r="C1534" s="11">
        <f>IF(B1534="","",PERCENTRANK.INC($B$2:$B$2501,B1534)*100)</f>
        <v/>
      </c>
      <c r="D1534" s="10" t="n"/>
      <c r="E1534" s="10">
        <f>IF(D1534="","",MIN(D1534,100))</f>
        <v/>
      </c>
      <c r="F1534" s="10" t="n"/>
      <c r="G1534" s="10">
        <f>IF(F1534="","",MIN(F1534,100))</f>
        <v/>
      </c>
      <c r="H1534" s="11">
        <f>IF(A1534="","",Universe!E1534/BDP(A1534&amp;" US Equity","HIGH_52WEEK")*100)</f>
        <v/>
      </c>
      <c r="I1534">
        <f>IF(D1534="","",D1534&gt;=5)</f>
        <v/>
      </c>
      <c r="J1534">
        <f>IF(F1534="","",F1534&gt;=5)</f>
        <v/>
      </c>
      <c r="K1534">
        <f>IF(H1534="","",H1534&gt;=75)</f>
        <v/>
      </c>
      <c r="L1534">
        <f>IF(OR(I1534="",J1534="",K1534=""),FALSE,AND(I1534,J1534,K1534))</f>
        <v/>
      </c>
    </row>
    <row r="1535">
      <c r="A1535">
        <f>Universe!A1535</f>
        <v/>
      </c>
      <c r="B1535" s="10" t="n"/>
      <c r="C1535" s="11">
        <f>IF(B1535="","",PERCENTRANK.INC($B$2:$B$2501,B1535)*100)</f>
        <v/>
      </c>
      <c r="D1535" s="10" t="n"/>
      <c r="E1535" s="10">
        <f>IF(D1535="","",MIN(D1535,100))</f>
        <v/>
      </c>
      <c r="F1535" s="10" t="n"/>
      <c r="G1535" s="10">
        <f>IF(F1535="","",MIN(F1535,100))</f>
        <v/>
      </c>
      <c r="H1535" s="11">
        <f>IF(A1535="","",Universe!E1535/BDP(A1535&amp;" US Equity","HIGH_52WEEK")*100)</f>
        <v/>
      </c>
      <c r="I1535">
        <f>IF(D1535="","",D1535&gt;=5)</f>
        <v/>
      </c>
      <c r="J1535">
        <f>IF(F1535="","",F1535&gt;=5)</f>
        <v/>
      </c>
      <c r="K1535">
        <f>IF(H1535="","",H1535&gt;=75)</f>
        <v/>
      </c>
      <c r="L1535">
        <f>IF(OR(I1535="",J1535="",K1535=""),FALSE,AND(I1535,J1535,K1535))</f>
        <v/>
      </c>
    </row>
    <row r="1536">
      <c r="A1536">
        <f>Universe!A1536</f>
        <v/>
      </c>
      <c r="B1536" s="10" t="n"/>
      <c r="C1536" s="11">
        <f>IF(B1536="","",PERCENTRANK.INC($B$2:$B$2501,B1536)*100)</f>
        <v/>
      </c>
      <c r="D1536" s="10" t="n"/>
      <c r="E1536" s="10">
        <f>IF(D1536="","",MIN(D1536,100))</f>
        <v/>
      </c>
      <c r="F1536" s="10" t="n"/>
      <c r="G1536" s="10">
        <f>IF(F1536="","",MIN(F1536,100))</f>
        <v/>
      </c>
      <c r="H1536" s="11">
        <f>IF(A1536="","",Universe!E1536/BDP(A1536&amp;" US Equity","HIGH_52WEEK")*100)</f>
        <v/>
      </c>
      <c r="I1536">
        <f>IF(D1536="","",D1536&gt;=5)</f>
        <v/>
      </c>
      <c r="J1536">
        <f>IF(F1536="","",F1536&gt;=5)</f>
        <v/>
      </c>
      <c r="K1536">
        <f>IF(H1536="","",H1536&gt;=75)</f>
        <v/>
      </c>
      <c r="L1536">
        <f>IF(OR(I1536="",J1536="",K1536=""),FALSE,AND(I1536,J1536,K1536))</f>
        <v/>
      </c>
    </row>
    <row r="1537">
      <c r="A1537">
        <f>Universe!A1537</f>
        <v/>
      </c>
      <c r="B1537" s="10" t="n"/>
      <c r="C1537" s="11">
        <f>IF(B1537="","",PERCENTRANK.INC($B$2:$B$2501,B1537)*100)</f>
        <v/>
      </c>
      <c r="D1537" s="10" t="n"/>
      <c r="E1537" s="10">
        <f>IF(D1537="","",MIN(D1537,100))</f>
        <v/>
      </c>
      <c r="F1537" s="10" t="n"/>
      <c r="G1537" s="10">
        <f>IF(F1537="","",MIN(F1537,100))</f>
        <v/>
      </c>
      <c r="H1537" s="11">
        <f>IF(A1537="","",Universe!E1537/BDP(A1537&amp;" US Equity","HIGH_52WEEK")*100)</f>
        <v/>
      </c>
      <c r="I1537">
        <f>IF(D1537="","",D1537&gt;=5)</f>
        <v/>
      </c>
      <c r="J1537">
        <f>IF(F1537="","",F1537&gt;=5)</f>
        <v/>
      </c>
      <c r="K1537">
        <f>IF(H1537="","",H1537&gt;=75)</f>
        <v/>
      </c>
      <c r="L1537">
        <f>IF(OR(I1537="",J1537="",K1537=""),FALSE,AND(I1537,J1537,K1537))</f>
        <v/>
      </c>
    </row>
    <row r="1538">
      <c r="A1538">
        <f>Universe!A1538</f>
        <v/>
      </c>
      <c r="B1538" s="10" t="n"/>
      <c r="C1538" s="11">
        <f>IF(B1538="","",PERCENTRANK.INC($B$2:$B$2501,B1538)*100)</f>
        <v/>
      </c>
      <c r="D1538" s="10" t="n"/>
      <c r="E1538" s="10">
        <f>IF(D1538="","",MIN(D1538,100))</f>
        <v/>
      </c>
      <c r="F1538" s="10" t="n"/>
      <c r="G1538" s="10">
        <f>IF(F1538="","",MIN(F1538,100))</f>
        <v/>
      </c>
      <c r="H1538" s="11">
        <f>IF(A1538="","",Universe!E1538/BDP(A1538&amp;" US Equity","HIGH_52WEEK")*100)</f>
        <v/>
      </c>
      <c r="I1538">
        <f>IF(D1538="","",D1538&gt;=5)</f>
        <v/>
      </c>
      <c r="J1538">
        <f>IF(F1538="","",F1538&gt;=5)</f>
        <v/>
      </c>
      <c r="K1538">
        <f>IF(H1538="","",H1538&gt;=75)</f>
        <v/>
      </c>
      <c r="L1538">
        <f>IF(OR(I1538="",J1538="",K1538=""),FALSE,AND(I1538,J1538,K1538))</f>
        <v/>
      </c>
    </row>
    <row r="1539">
      <c r="A1539">
        <f>Universe!A1539</f>
        <v/>
      </c>
      <c r="B1539" s="10" t="n"/>
      <c r="C1539" s="11">
        <f>IF(B1539="","",PERCENTRANK.INC($B$2:$B$2501,B1539)*100)</f>
        <v/>
      </c>
      <c r="D1539" s="10" t="n"/>
      <c r="E1539" s="10">
        <f>IF(D1539="","",MIN(D1539,100))</f>
        <v/>
      </c>
      <c r="F1539" s="10" t="n"/>
      <c r="G1539" s="10">
        <f>IF(F1539="","",MIN(F1539,100))</f>
        <v/>
      </c>
      <c r="H1539" s="11">
        <f>IF(A1539="","",Universe!E1539/BDP(A1539&amp;" US Equity","HIGH_52WEEK")*100)</f>
        <v/>
      </c>
      <c r="I1539">
        <f>IF(D1539="","",D1539&gt;=5)</f>
        <v/>
      </c>
      <c r="J1539">
        <f>IF(F1539="","",F1539&gt;=5)</f>
        <v/>
      </c>
      <c r="K1539">
        <f>IF(H1539="","",H1539&gt;=75)</f>
        <v/>
      </c>
      <c r="L1539">
        <f>IF(OR(I1539="",J1539="",K1539=""),FALSE,AND(I1539,J1539,K1539))</f>
        <v/>
      </c>
    </row>
    <row r="1540">
      <c r="A1540">
        <f>Universe!A1540</f>
        <v/>
      </c>
      <c r="B1540" s="10" t="n"/>
      <c r="C1540" s="11">
        <f>IF(B1540="","",PERCENTRANK.INC($B$2:$B$2501,B1540)*100)</f>
        <v/>
      </c>
      <c r="D1540" s="10" t="n"/>
      <c r="E1540" s="10">
        <f>IF(D1540="","",MIN(D1540,100))</f>
        <v/>
      </c>
      <c r="F1540" s="10" t="n"/>
      <c r="G1540" s="10">
        <f>IF(F1540="","",MIN(F1540,100))</f>
        <v/>
      </c>
      <c r="H1540" s="11">
        <f>IF(A1540="","",Universe!E1540/BDP(A1540&amp;" US Equity","HIGH_52WEEK")*100)</f>
        <v/>
      </c>
      <c r="I1540">
        <f>IF(D1540="","",D1540&gt;=5)</f>
        <v/>
      </c>
      <c r="J1540">
        <f>IF(F1540="","",F1540&gt;=5)</f>
        <v/>
      </c>
      <c r="K1540">
        <f>IF(H1540="","",H1540&gt;=75)</f>
        <v/>
      </c>
      <c r="L1540">
        <f>IF(OR(I1540="",J1540="",K1540=""),FALSE,AND(I1540,J1540,K1540))</f>
        <v/>
      </c>
    </row>
    <row r="1541">
      <c r="A1541">
        <f>Universe!A1541</f>
        <v/>
      </c>
      <c r="B1541" s="10" t="n"/>
      <c r="C1541" s="11">
        <f>IF(B1541="","",PERCENTRANK.INC($B$2:$B$2501,B1541)*100)</f>
        <v/>
      </c>
      <c r="D1541" s="10" t="n"/>
      <c r="E1541" s="10">
        <f>IF(D1541="","",MIN(D1541,100))</f>
        <v/>
      </c>
      <c r="F1541" s="10" t="n"/>
      <c r="G1541" s="10">
        <f>IF(F1541="","",MIN(F1541,100))</f>
        <v/>
      </c>
      <c r="H1541" s="11">
        <f>IF(A1541="","",Universe!E1541/BDP(A1541&amp;" US Equity","HIGH_52WEEK")*100)</f>
        <v/>
      </c>
      <c r="I1541">
        <f>IF(D1541="","",D1541&gt;=5)</f>
        <v/>
      </c>
      <c r="J1541">
        <f>IF(F1541="","",F1541&gt;=5)</f>
        <v/>
      </c>
      <c r="K1541">
        <f>IF(H1541="","",H1541&gt;=75)</f>
        <v/>
      </c>
      <c r="L1541">
        <f>IF(OR(I1541="",J1541="",K1541=""),FALSE,AND(I1541,J1541,K1541))</f>
        <v/>
      </c>
    </row>
    <row r="1542">
      <c r="A1542">
        <f>Universe!A1542</f>
        <v/>
      </c>
      <c r="B1542" s="10" t="n"/>
      <c r="C1542" s="11">
        <f>IF(B1542="","",PERCENTRANK.INC($B$2:$B$2501,B1542)*100)</f>
        <v/>
      </c>
      <c r="D1542" s="10" t="n"/>
      <c r="E1542" s="10">
        <f>IF(D1542="","",MIN(D1542,100))</f>
        <v/>
      </c>
      <c r="F1542" s="10" t="n"/>
      <c r="G1542" s="10">
        <f>IF(F1542="","",MIN(F1542,100))</f>
        <v/>
      </c>
      <c r="H1542" s="11">
        <f>IF(A1542="","",Universe!E1542/BDP(A1542&amp;" US Equity","HIGH_52WEEK")*100)</f>
        <v/>
      </c>
      <c r="I1542">
        <f>IF(D1542="","",D1542&gt;=5)</f>
        <v/>
      </c>
      <c r="J1542">
        <f>IF(F1542="","",F1542&gt;=5)</f>
        <v/>
      </c>
      <c r="K1542">
        <f>IF(H1542="","",H1542&gt;=75)</f>
        <v/>
      </c>
      <c r="L1542">
        <f>IF(OR(I1542="",J1542="",K1542=""),FALSE,AND(I1542,J1542,K1542))</f>
        <v/>
      </c>
    </row>
    <row r="1543">
      <c r="A1543">
        <f>Universe!A1543</f>
        <v/>
      </c>
      <c r="B1543" s="10" t="n"/>
      <c r="C1543" s="11">
        <f>IF(B1543="","",PERCENTRANK.INC($B$2:$B$2501,B1543)*100)</f>
        <v/>
      </c>
      <c r="D1543" s="10" t="n"/>
      <c r="E1543" s="10">
        <f>IF(D1543="","",MIN(D1543,100))</f>
        <v/>
      </c>
      <c r="F1543" s="10" t="n"/>
      <c r="G1543" s="10">
        <f>IF(F1543="","",MIN(F1543,100))</f>
        <v/>
      </c>
      <c r="H1543" s="11">
        <f>IF(A1543="","",Universe!E1543/BDP(A1543&amp;" US Equity","HIGH_52WEEK")*100)</f>
        <v/>
      </c>
      <c r="I1543">
        <f>IF(D1543="","",D1543&gt;=5)</f>
        <v/>
      </c>
      <c r="J1543">
        <f>IF(F1543="","",F1543&gt;=5)</f>
        <v/>
      </c>
      <c r="K1543">
        <f>IF(H1543="","",H1543&gt;=75)</f>
        <v/>
      </c>
      <c r="L1543">
        <f>IF(OR(I1543="",J1543="",K1543=""),FALSE,AND(I1543,J1543,K1543))</f>
        <v/>
      </c>
    </row>
    <row r="1544">
      <c r="A1544">
        <f>Universe!A1544</f>
        <v/>
      </c>
      <c r="B1544" s="10" t="n"/>
      <c r="C1544" s="11">
        <f>IF(B1544="","",PERCENTRANK.INC($B$2:$B$2501,B1544)*100)</f>
        <v/>
      </c>
      <c r="D1544" s="10" t="n"/>
      <c r="E1544" s="10">
        <f>IF(D1544="","",MIN(D1544,100))</f>
        <v/>
      </c>
      <c r="F1544" s="10" t="n"/>
      <c r="G1544" s="10">
        <f>IF(F1544="","",MIN(F1544,100))</f>
        <v/>
      </c>
      <c r="H1544" s="11">
        <f>IF(A1544="","",Universe!E1544/BDP(A1544&amp;" US Equity","HIGH_52WEEK")*100)</f>
        <v/>
      </c>
      <c r="I1544">
        <f>IF(D1544="","",D1544&gt;=5)</f>
        <v/>
      </c>
      <c r="J1544">
        <f>IF(F1544="","",F1544&gt;=5)</f>
        <v/>
      </c>
      <c r="K1544">
        <f>IF(H1544="","",H1544&gt;=75)</f>
        <v/>
      </c>
      <c r="L1544">
        <f>IF(OR(I1544="",J1544="",K1544=""),FALSE,AND(I1544,J1544,K1544))</f>
        <v/>
      </c>
    </row>
    <row r="1545">
      <c r="A1545">
        <f>Universe!A1545</f>
        <v/>
      </c>
      <c r="B1545" s="10" t="n"/>
      <c r="C1545" s="11">
        <f>IF(B1545="","",PERCENTRANK.INC($B$2:$B$2501,B1545)*100)</f>
        <v/>
      </c>
      <c r="D1545" s="10" t="n"/>
      <c r="E1545" s="10">
        <f>IF(D1545="","",MIN(D1545,100))</f>
        <v/>
      </c>
      <c r="F1545" s="10" t="n"/>
      <c r="G1545" s="10">
        <f>IF(F1545="","",MIN(F1545,100))</f>
        <v/>
      </c>
      <c r="H1545" s="11">
        <f>IF(A1545="","",Universe!E1545/BDP(A1545&amp;" US Equity","HIGH_52WEEK")*100)</f>
        <v/>
      </c>
      <c r="I1545">
        <f>IF(D1545="","",D1545&gt;=5)</f>
        <v/>
      </c>
      <c r="J1545">
        <f>IF(F1545="","",F1545&gt;=5)</f>
        <v/>
      </c>
      <c r="K1545">
        <f>IF(H1545="","",H1545&gt;=75)</f>
        <v/>
      </c>
      <c r="L1545">
        <f>IF(OR(I1545="",J1545="",K1545=""),FALSE,AND(I1545,J1545,K1545))</f>
        <v/>
      </c>
    </row>
    <row r="1546">
      <c r="A1546">
        <f>Universe!A1546</f>
        <v/>
      </c>
      <c r="B1546" s="10" t="n"/>
      <c r="C1546" s="11">
        <f>IF(B1546="","",PERCENTRANK.INC($B$2:$B$2501,B1546)*100)</f>
        <v/>
      </c>
      <c r="D1546" s="10" t="n"/>
      <c r="E1546" s="10">
        <f>IF(D1546="","",MIN(D1546,100))</f>
        <v/>
      </c>
      <c r="F1546" s="10" t="n"/>
      <c r="G1546" s="10">
        <f>IF(F1546="","",MIN(F1546,100))</f>
        <v/>
      </c>
      <c r="H1546" s="11">
        <f>IF(A1546="","",Universe!E1546/BDP(A1546&amp;" US Equity","HIGH_52WEEK")*100)</f>
        <v/>
      </c>
      <c r="I1546">
        <f>IF(D1546="","",D1546&gt;=5)</f>
        <v/>
      </c>
      <c r="J1546">
        <f>IF(F1546="","",F1546&gt;=5)</f>
        <v/>
      </c>
      <c r="K1546">
        <f>IF(H1546="","",H1546&gt;=75)</f>
        <v/>
      </c>
      <c r="L1546">
        <f>IF(OR(I1546="",J1546="",K1546=""),FALSE,AND(I1546,J1546,K1546))</f>
        <v/>
      </c>
    </row>
    <row r="1547">
      <c r="A1547">
        <f>Universe!A1547</f>
        <v/>
      </c>
      <c r="B1547" s="10" t="n"/>
      <c r="C1547" s="11">
        <f>IF(B1547="","",PERCENTRANK.INC($B$2:$B$2501,B1547)*100)</f>
        <v/>
      </c>
      <c r="D1547" s="10" t="n"/>
      <c r="E1547" s="10">
        <f>IF(D1547="","",MIN(D1547,100))</f>
        <v/>
      </c>
      <c r="F1547" s="10" t="n"/>
      <c r="G1547" s="10">
        <f>IF(F1547="","",MIN(F1547,100))</f>
        <v/>
      </c>
      <c r="H1547" s="11">
        <f>IF(A1547="","",Universe!E1547/BDP(A1547&amp;" US Equity","HIGH_52WEEK")*100)</f>
        <v/>
      </c>
      <c r="I1547">
        <f>IF(D1547="","",D1547&gt;=5)</f>
        <v/>
      </c>
      <c r="J1547">
        <f>IF(F1547="","",F1547&gt;=5)</f>
        <v/>
      </c>
      <c r="K1547">
        <f>IF(H1547="","",H1547&gt;=75)</f>
        <v/>
      </c>
      <c r="L1547">
        <f>IF(OR(I1547="",J1547="",K1547=""),FALSE,AND(I1547,J1547,K1547))</f>
        <v/>
      </c>
    </row>
    <row r="1548">
      <c r="A1548">
        <f>Universe!A1548</f>
        <v/>
      </c>
      <c r="B1548" s="10" t="n"/>
      <c r="C1548" s="11">
        <f>IF(B1548="","",PERCENTRANK.INC($B$2:$B$2501,B1548)*100)</f>
        <v/>
      </c>
      <c r="D1548" s="10" t="n"/>
      <c r="E1548" s="10">
        <f>IF(D1548="","",MIN(D1548,100))</f>
        <v/>
      </c>
      <c r="F1548" s="10" t="n"/>
      <c r="G1548" s="10">
        <f>IF(F1548="","",MIN(F1548,100))</f>
        <v/>
      </c>
      <c r="H1548" s="11">
        <f>IF(A1548="","",Universe!E1548/BDP(A1548&amp;" US Equity","HIGH_52WEEK")*100)</f>
        <v/>
      </c>
      <c r="I1548">
        <f>IF(D1548="","",D1548&gt;=5)</f>
        <v/>
      </c>
      <c r="J1548">
        <f>IF(F1548="","",F1548&gt;=5)</f>
        <v/>
      </c>
      <c r="K1548">
        <f>IF(H1548="","",H1548&gt;=75)</f>
        <v/>
      </c>
      <c r="L1548">
        <f>IF(OR(I1548="",J1548="",K1548=""),FALSE,AND(I1548,J1548,K1548))</f>
        <v/>
      </c>
    </row>
    <row r="1549">
      <c r="A1549">
        <f>Universe!A1549</f>
        <v/>
      </c>
      <c r="B1549" s="10" t="n"/>
      <c r="C1549" s="11">
        <f>IF(B1549="","",PERCENTRANK.INC($B$2:$B$2501,B1549)*100)</f>
        <v/>
      </c>
      <c r="D1549" s="10" t="n"/>
      <c r="E1549" s="10">
        <f>IF(D1549="","",MIN(D1549,100))</f>
        <v/>
      </c>
      <c r="F1549" s="10" t="n"/>
      <c r="G1549" s="10">
        <f>IF(F1549="","",MIN(F1549,100))</f>
        <v/>
      </c>
      <c r="H1549" s="11">
        <f>IF(A1549="","",Universe!E1549/BDP(A1549&amp;" US Equity","HIGH_52WEEK")*100)</f>
        <v/>
      </c>
      <c r="I1549">
        <f>IF(D1549="","",D1549&gt;=5)</f>
        <v/>
      </c>
      <c r="J1549">
        <f>IF(F1549="","",F1549&gt;=5)</f>
        <v/>
      </c>
      <c r="K1549">
        <f>IF(H1549="","",H1549&gt;=75)</f>
        <v/>
      </c>
      <c r="L1549">
        <f>IF(OR(I1549="",J1549="",K1549=""),FALSE,AND(I1549,J1549,K1549))</f>
        <v/>
      </c>
    </row>
    <row r="1550">
      <c r="A1550">
        <f>Universe!A1550</f>
        <v/>
      </c>
      <c r="B1550" s="10" t="n"/>
      <c r="C1550" s="11">
        <f>IF(B1550="","",PERCENTRANK.INC($B$2:$B$2501,B1550)*100)</f>
        <v/>
      </c>
      <c r="D1550" s="10" t="n"/>
      <c r="E1550" s="10">
        <f>IF(D1550="","",MIN(D1550,100))</f>
        <v/>
      </c>
      <c r="F1550" s="10" t="n"/>
      <c r="G1550" s="10">
        <f>IF(F1550="","",MIN(F1550,100))</f>
        <v/>
      </c>
      <c r="H1550" s="11">
        <f>IF(A1550="","",Universe!E1550/BDP(A1550&amp;" US Equity","HIGH_52WEEK")*100)</f>
        <v/>
      </c>
      <c r="I1550">
        <f>IF(D1550="","",D1550&gt;=5)</f>
        <v/>
      </c>
      <c r="J1550">
        <f>IF(F1550="","",F1550&gt;=5)</f>
        <v/>
      </c>
      <c r="K1550">
        <f>IF(H1550="","",H1550&gt;=75)</f>
        <v/>
      </c>
      <c r="L1550">
        <f>IF(OR(I1550="",J1550="",K1550=""),FALSE,AND(I1550,J1550,K1550))</f>
        <v/>
      </c>
    </row>
    <row r="1551">
      <c r="A1551">
        <f>Universe!A1551</f>
        <v/>
      </c>
      <c r="B1551" s="10" t="n"/>
      <c r="C1551" s="11">
        <f>IF(B1551="","",PERCENTRANK.INC($B$2:$B$2501,B1551)*100)</f>
        <v/>
      </c>
      <c r="D1551" s="10" t="n"/>
      <c r="E1551" s="10">
        <f>IF(D1551="","",MIN(D1551,100))</f>
        <v/>
      </c>
      <c r="F1551" s="10" t="n"/>
      <c r="G1551" s="10">
        <f>IF(F1551="","",MIN(F1551,100))</f>
        <v/>
      </c>
      <c r="H1551" s="11">
        <f>IF(A1551="","",Universe!E1551/BDP(A1551&amp;" US Equity","HIGH_52WEEK")*100)</f>
        <v/>
      </c>
      <c r="I1551">
        <f>IF(D1551="","",D1551&gt;=5)</f>
        <v/>
      </c>
      <c r="J1551">
        <f>IF(F1551="","",F1551&gt;=5)</f>
        <v/>
      </c>
      <c r="K1551">
        <f>IF(H1551="","",H1551&gt;=75)</f>
        <v/>
      </c>
      <c r="L1551">
        <f>IF(OR(I1551="",J1551="",K1551=""),FALSE,AND(I1551,J1551,K1551))</f>
        <v/>
      </c>
    </row>
    <row r="1552">
      <c r="A1552">
        <f>Universe!A1552</f>
        <v/>
      </c>
      <c r="B1552" s="10" t="n"/>
      <c r="C1552" s="11">
        <f>IF(B1552="","",PERCENTRANK.INC($B$2:$B$2501,B1552)*100)</f>
        <v/>
      </c>
      <c r="D1552" s="10" t="n"/>
      <c r="E1552" s="10">
        <f>IF(D1552="","",MIN(D1552,100))</f>
        <v/>
      </c>
      <c r="F1552" s="10" t="n"/>
      <c r="G1552" s="10">
        <f>IF(F1552="","",MIN(F1552,100))</f>
        <v/>
      </c>
      <c r="H1552" s="11">
        <f>IF(A1552="","",Universe!E1552/BDP(A1552&amp;" US Equity","HIGH_52WEEK")*100)</f>
        <v/>
      </c>
      <c r="I1552">
        <f>IF(D1552="","",D1552&gt;=5)</f>
        <v/>
      </c>
      <c r="J1552">
        <f>IF(F1552="","",F1552&gt;=5)</f>
        <v/>
      </c>
      <c r="K1552">
        <f>IF(H1552="","",H1552&gt;=75)</f>
        <v/>
      </c>
      <c r="L1552">
        <f>IF(OR(I1552="",J1552="",K1552=""),FALSE,AND(I1552,J1552,K1552))</f>
        <v/>
      </c>
    </row>
    <row r="1553">
      <c r="A1553">
        <f>Universe!A1553</f>
        <v/>
      </c>
      <c r="B1553" s="10" t="n"/>
      <c r="C1553" s="11">
        <f>IF(B1553="","",PERCENTRANK.INC($B$2:$B$2501,B1553)*100)</f>
        <v/>
      </c>
      <c r="D1553" s="10" t="n"/>
      <c r="E1553" s="10">
        <f>IF(D1553="","",MIN(D1553,100))</f>
        <v/>
      </c>
      <c r="F1553" s="10" t="n"/>
      <c r="G1553" s="10">
        <f>IF(F1553="","",MIN(F1553,100))</f>
        <v/>
      </c>
      <c r="H1553" s="11">
        <f>IF(A1553="","",Universe!E1553/BDP(A1553&amp;" US Equity","HIGH_52WEEK")*100)</f>
        <v/>
      </c>
      <c r="I1553">
        <f>IF(D1553="","",D1553&gt;=5)</f>
        <v/>
      </c>
      <c r="J1553">
        <f>IF(F1553="","",F1553&gt;=5)</f>
        <v/>
      </c>
      <c r="K1553">
        <f>IF(H1553="","",H1553&gt;=75)</f>
        <v/>
      </c>
      <c r="L1553">
        <f>IF(OR(I1553="",J1553="",K1553=""),FALSE,AND(I1553,J1553,K1553))</f>
        <v/>
      </c>
    </row>
    <row r="1554">
      <c r="A1554">
        <f>Universe!A1554</f>
        <v/>
      </c>
      <c r="B1554" s="10" t="n"/>
      <c r="C1554" s="11">
        <f>IF(B1554="","",PERCENTRANK.INC($B$2:$B$2501,B1554)*100)</f>
        <v/>
      </c>
      <c r="D1554" s="10" t="n"/>
      <c r="E1554" s="10">
        <f>IF(D1554="","",MIN(D1554,100))</f>
        <v/>
      </c>
      <c r="F1554" s="10" t="n"/>
      <c r="G1554" s="10">
        <f>IF(F1554="","",MIN(F1554,100))</f>
        <v/>
      </c>
      <c r="H1554" s="11">
        <f>IF(A1554="","",Universe!E1554/BDP(A1554&amp;" US Equity","HIGH_52WEEK")*100)</f>
        <v/>
      </c>
      <c r="I1554">
        <f>IF(D1554="","",D1554&gt;=5)</f>
        <v/>
      </c>
      <c r="J1554">
        <f>IF(F1554="","",F1554&gt;=5)</f>
        <v/>
      </c>
      <c r="K1554">
        <f>IF(H1554="","",H1554&gt;=75)</f>
        <v/>
      </c>
      <c r="L1554">
        <f>IF(OR(I1554="",J1554="",K1554=""),FALSE,AND(I1554,J1554,K1554))</f>
        <v/>
      </c>
    </row>
    <row r="1555">
      <c r="A1555">
        <f>Universe!A1555</f>
        <v/>
      </c>
      <c r="B1555" s="10" t="n"/>
      <c r="C1555" s="11">
        <f>IF(B1555="","",PERCENTRANK.INC($B$2:$B$2501,B1555)*100)</f>
        <v/>
      </c>
      <c r="D1555" s="10" t="n"/>
      <c r="E1555" s="10">
        <f>IF(D1555="","",MIN(D1555,100))</f>
        <v/>
      </c>
      <c r="F1555" s="10" t="n"/>
      <c r="G1555" s="10">
        <f>IF(F1555="","",MIN(F1555,100))</f>
        <v/>
      </c>
      <c r="H1555" s="11">
        <f>IF(A1555="","",Universe!E1555/BDP(A1555&amp;" US Equity","HIGH_52WEEK")*100)</f>
        <v/>
      </c>
      <c r="I1555">
        <f>IF(D1555="","",D1555&gt;=5)</f>
        <v/>
      </c>
      <c r="J1555">
        <f>IF(F1555="","",F1555&gt;=5)</f>
        <v/>
      </c>
      <c r="K1555">
        <f>IF(H1555="","",H1555&gt;=75)</f>
        <v/>
      </c>
      <c r="L1555">
        <f>IF(OR(I1555="",J1555="",K1555=""),FALSE,AND(I1555,J1555,K1555))</f>
        <v/>
      </c>
    </row>
    <row r="1556">
      <c r="A1556">
        <f>Universe!A1556</f>
        <v/>
      </c>
      <c r="B1556" s="10" t="n"/>
      <c r="C1556" s="11">
        <f>IF(B1556="","",PERCENTRANK.INC($B$2:$B$2501,B1556)*100)</f>
        <v/>
      </c>
      <c r="D1556" s="10" t="n"/>
      <c r="E1556" s="10">
        <f>IF(D1556="","",MIN(D1556,100))</f>
        <v/>
      </c>
      <c r="F1556" s="10" t="n"/>
      <c r="G1556" s="10">
        <f>IF(F1556="","",MIN(F1556,100))</f>
        <v/>
      </c>
      <c r="H1556" s="11">
        <f>IF(A1556="","",Universe!E1556/BDP(A1556&amp;" US Equity","HIGH_52WEEK")*100)</f>
        <v/>
      </c>
      <c r="I1556">
        <f>IF(D1556="","",D1556&gt;=5)</f>
        <v/>
      </c>
      <c r="J1556">
        <f>IF(F1556="","",F1556&gt;=5)</f>
        <v/>
      </c>
      <c r="K1556">
        <f>IF(H1556="","",H1556&gt;=75)</f>
        <v/>
      </c>
      <c r="L1556">
        <f>IF(OR(I1556="",J1556="",K1556=""),FALSE,AND(I1556,J1556,K1556))</f>
        <v/>
      </c>
    </row>
    <row r="1557">
      <c r="A1557">
        <f>Universe!A1557</f>
        <v/>
      </c>
      <c r="B1557" s="10" t="n"/>
      <c r="C1557" s="11">
        <f>IF(B1557="","",PERCENTRANK.INC($B$2:$B$2501,B1557)*100)</f>
        <v/>
      </c>
      <c r="D1557" s="10" t="n"/>
      <c r="E1557" s="10">
        <f>IF(D1557="","",MIN(D1557,100))</f>
        <v/>
      </c>
      <c r="F1557" s="10" t="n"/>
      <c r="G1557" s="10">
        <f>IF(F1557="","",MIN(F1557,100))</f>
        <v/>
      </c>
      <c r="H1557" s="11">
        <f>IF(A1557="","",Universe!E1557/BDP(A1557&amp;" US Equity","HIGH_52WEEK")*100)</f>
        <v/>
      </c>
      <c r="I1557">
        <f>IF(D1557="","",D1557&gt;=5)</f>
        <v/>
      </c>
      <c r="J1557">
        <f>IF(F1557="","",F1557&gt;=5)</f>
        <v/>
      </c>
      <c r="K1557">
        <f>IF(H1557="","",H1557&gt;=75)</f>
        <v/>
      </c>
      <c r="L1557">
        <f>IF(OR(I1557="",J1557="",K1557=""),FALSE,AND(I1557,J1557,K1557))</f>
        <v/>
      </c>
    </row>
    <row r="1558">
      <c r="A1558">
        <f>Universe!A1558</f>
        <v/>
      </c>
      <c r="B1558" s="10" t="n"/>
      <c r="C1558" s="11">
        <f>IF(B1558="","",PERCENTRANK.INC($B$2:$B$2501,B1558)*100)</f>
        <v/>
      </c>
      <c r="D1558" s="10" t="n"/>
      <c r="E1558" s="10">
        <f>IF(D1558="","",MIN(D1558,100))</f>
        <v/>
      </c>
      <c r="F1558" s="10" t="n"/>
      <c r="G1558" s="10">
        <f>IF(F1558="","",MIN(F1558,100))</f>
        <v/>
      </c>
      <c r="H1558" s="11">
        <f>IF(A1558="","",Universe!E1558/BDP(A1558&amp;" US Equity","HIGH_52WEEK")*100)</f>
        <v/>
      </c>
      <c r="I1558">
        <f>IF(D1558="","",D1558&gt;=5)</f>
        <v/>
      </c>
      <c r="J1558">
        <f>IF(F1558="","",F1558&gt;=5)</f>
        <v/>
      </c>
      <c r="K1558">
        <f>IF(H1558="","",H1558&gt;=75)</f>
        <v/>
      </c>
      <c r="L1558">
        <f>IF(OR(I1558="",J1558="",K1558=""),FALSE,AND(I1558,J1558,K1558))</f>
        <v/>
      </c>
    </row>
    <row r="1559">
      <c r="A1559">
        <f>Universe!A1559</f>
        <v/>
      </c>
      <c r="B1559" s="10" t="n"/>
      <c r="C1559" s="11">
        <f>IF(B1559="","",PERCENTRANK.INC($B$2:$B$2501,B1559)*100)</f>
        <v/>
      </c>
      <c r="D1559" s="10" t="n"/>
      <c r="E1559" s="10">
        <f>IF(D1559="","",MIN(D1559,100))</f>
        <v/>
      </c>
      <c r="F1559" s="10" t="n"/>
      <c r="G1559" s="10">
        <f>IF(F1559="","",MIN(F1559,100))</f>
        <v/>
      </c>
      <c r="H1559" s="11">
        <f>IF(A1559="","",Universe!E1559/BDP(A1559&amp;" US Equity","HIGH_52WEEK")*100)</f>
        <v/>
      </c>
      <c r="I1559">
        <f>IF(D1559="","",D1559&gt;=5)</f>
        <v/>
      </c>
      <c r="J1559">
        <f>IF(F1559="","",F1559&gt;=5)</f>
        <v/>
      </c>
      <c r="K1559">
        <f>IF(H1559="","",H1559&gt;=75)</f>
        <v/>
      </c>
      <c r="L1559">
        <f>IF(OR(I1559="",J1559="",K1559=""),FALSE,AND(I1559,J1559,K1559))</f>
        <v/>
      </c>
    </row>
    <row r="1560">
      <c r="A1560">
        <f>Universe!A1560</f>
        <v/>
      </c>
      <c r="B1560" s="10" t="n"/>
      <c r="C1560" s="11">
        <f>IF(B1560="","",PERCENTRANK.INC($B$2:$B$2501,B1560)*100)</f>
        <v/>
      </c>
      <c r="D1560" s="10" t="n"/>
      <c r="E1560" s="10">
        <f>IF(D1560="","",MIN(D1560,100))</f>
        <v/>
      </c>
      <c r="F1560" s="10" t="n"/>
      <c r="G1560" s="10">
        <f>IF(F1560="","",MIN(F1560,100))</f>
        <v/>
      </c>
      <c r="H1560" s="11">
        <f>IF(A1560="","",Universe!E1560/BDP(A1560&amp;" US Equity","HIGH_52WEEK")*100)</f>
        <v/>
      </c>
      <c r="I1560">
        <f>IF(D1560="","",D1560&gt;=5)</f>
        <v/>
      </c>
      <c r="J1560">
        <f>IF(F1560="","",F1560&gt;=5)</f>
        <v/>
      </c>
      <c r="K1560">
        <f>IF(H1560="","",H1560&gt;=75)</f>
        <v/>
      </c>
      <c r="L1560">
        <f>IF(OR(I1560="",J1560="",K1560=""),FALSE,AND(I1560,J1560,K1560))</f>
        <v/>
      </c>
    </row>
    <row r="1561">
      <c r="A1561">
        <f>Universe!A1561</f>
        <v/>
      </c>
      <c r="B1561" s="10" t="n"/>
      <c r="C1561" s="11">
        <f>IF(B1561="","",PERCENTRANK.INC($B$2:$B$2501,B1561)*100)</f>
        <v/>
      </c>
      <c r="D1561" s="10" t="n"/>
      <c r="E1561" s="10">
        <f>IF(D1561="","",MIN(D1561,100))</f>
        <v/>
      </c>
      <c r="F1561" s="10" t="n"/>
      <c r="G1561" s="10">
        <f>IF(F1561="","",MIN(F1561,100))</f>
        <v/>
      </c>
      <c r="H1561" s="11">
        <f>IF(A1561="","",Universe!E1561/BDP(A1561&amp;" US Equity","HIGH_52WEEK")*100)</f>
        <v/>
      </c>
      <c r="I1561">
        <f>IF(D1561="","",D1561&gt;=5)</f>
        <v/>
      </c>
      <c r="J1561">
        <f>IF(F1561="","",F1561&gt;=5)</f>
        <v/>
      </c>
      <c r="K1561">
        <f>IF(H1561="","",H1561&gt;=75)</f>
        <v/>
      </c>
      <c r="L1561">
        <f>IF(OR(I1561="",J1561="",K1561=""),FALSE,AND(I1561,J1561,K1561))</f>
        <v/>
      </c>
    </row>
    <row r="1562">
      <c r="A1562">
        <f>Universe!A1562</f>
        <v/>
      </c>
      <c r="B1562" s="10" t="n"/>
      <c r="C1562" s="11">
        <f>IF(B1562="","",PERCENTRANK.INC($B$2:$B$2501,B1562)*100)</f>
        <v/>
      </c>
      <c r="D1562" s="10" t="n"/>
      <c r="E1562" s="10">
        <f>IF(D1562="","",MIN(D1562,100))</f>
        <v/>
      </c>
      <c r="F1562" s="10" t="n"/>
      <c r="G1562" s="10">
        <f>IF(F1562="","",MIN(F1562,100))</f>
        <v/>
      </c>
      <c r="H1562" s="11">
        <f>IF(A1562="","",Universe!E1562/BDP(A1562&amp;" US Equity","HIGH_52WEEK")*100)</f>
        <v/>
      </c>
      <c r="I1562">
        <f>IF(D1562="","",D1562&gt;=5)</f>
        <v/>
      </c>
      <c r="J1562">
        <f>IF(F1562="","",F1562&gt;=5)</f>
        <v/>
      </c>
      <c r="K1562">
        <f>IF(H1562="","",H1562&gt;=75)</f>
        <v/>
      </c>
      <c r="L1562">
        <f>IF(OR(I1562="",J1562="",K1562=""),FALSE,AND(I1562,J1562,K1562))</f>
        <v/>
      </c>
    </row>
    <row r="1563">
      <c r="A1563">
        <f>Universe!A1563</f>
        <v/>
      </c>
      <c r="B1563" s="10" t="n"/>
      <c r="C1563" s="11">
        <f>IF(B1563="","",PERCENTRANK.INC($B$2:$B$2501,B1563)*100)</f>
        <v/>
      </c>
      <c r="D1563" s="10" t="n"/>
      <c r="E1563" s="10">
        <f>IF(D1563="","",MIN(D1563,100))</f>
        <v/>
      </c>
      <c r="F1563" s="10" t="n"/>
      <c r="G1563" s="10">
        <f>IF(F1563="","",MIN(F1563,100))</f>
        <v/>
      </c>
      <c r="H1563" s="11">
        <f>IF(A1563="","",Universe!E1563/BDP(A1563&amp;" US Equity","HIGH_52WEEK")*100)</f>
        <v/>
      </c>
      <c r="I1563">
        <f>IF(D1563="","",D1563&gt;=5)</f>
        <v/>
      </c>
      <c r="J1563">
        <f>IF(F1563="","",F1563&gt;=5)</f>
        <v/>
      </c>
      <c r="K1563">
        <f>IF(H1563="","",H1563&gt;=75)</f>
        <v/>
      </c>
      <c r="L1563">
        <f>IF(OR(I1563="",J1563="",K1563=""),FALSE,AND(I1563,J1563,K1563))</f>
        <v/>
      </c>
    </row>
    <row r="1564">
      <c r="A1564">
        <f>Universe!A1564</f>
        <v/>
      </c>
      <c r="B1564" s="10" t="n"/>
      <c r="C1564" s="11">
        <f>IF(B1564="","",PERCENTRANK.INC($B$2:$B$2501,B1564)*100)</f>
        <v/>
      </c>
      <c r="D1564" s="10" t="n"/>
      <c r="E1564" s="10">
        <f>IF(D1564="","",MIN(D1564,100))</f>
        <v/>
      </c>
      <c r="F1564" s="10" t="n"/>
      <c r="G1564" s="10">
        <f>IF(F1564="","",MIN(F1564,100))</f>
        <v/>
      </c>
      <c r="H1564" s="11">
        <f>IF(A1564="","",Universe!E1564/BDP(A1564&amp;" US Equity","HIGH_52WEEK")*100)</f>
        <v/>
      </c>
      <c r="I1564">
        <f>IF(D1564="","",D1564&gt;=5)</f>
        <v/>
      </c>
      <c r="J1564">
        <f>IF(F1564="","",F1564&gt;=5)</f>
        <v/>
      </c>
      <c r="K1564">
        <f>IF(H1564="","",H1564&gt;=75)</f>
        <v/>
      </c>
      <c r="L1564">
        <f>IF(OR(I1564="",J1564="",K1564=""),FALSE,AND(I1564,J1564,K1564))</f>
        <v/>
      </c>
    </row>
    <row r="1565">
      <c r="A1565">
        <f>Universe!A1565</f>
        <v/>
      </c>
      <c r="B1565" s="10" t="n"/>
      <c r="C1565" s="11">
        <f>IF(B1565="","",PERCENTRANK.INC($B$2:$B$2501,B1565)*100)</f>
        <v/>
      </c>
      <c r="D1565" s="10" t="n"/>
      <c r="E1565" s="10">
        <f>IF(D1565="","",MIN(D1565,100))</f>
        <v/>
      </c>
      <c r="F1565" s="10" t="n"/>
      <c r="G1565" s="10">
        <f>IF(F1565="","",MIN(F1565,100))</f>
        <v/>
      </c>
      <c r="H1565" s="11">
        <f>IF(A1565="","",Universe!E1565/BDP(A1565&amp;" US Equity","HIGH_52WEEK")*100)</f>
        <v/>
      </c>
      <c r="I1565">
        <f>IF(D1565="","",D1565&gt;=5)</f>
        <v/>
      </c>
      <c r="J1565">
        <f>IF(F1565="","",F1565&gt;=5)</f>
        <v/>
      </c>
      <c r="K1565">
        <f>IF(H1565="","",H1565&gt;=75)</f>
        <v/>
      </c>
      <c r="L1565">
        <f>IF(OR(I1565="",J1565="",K1565=""),FALSE,AND(I1565,J1565,K1565))</f>
        <v/>
      </c>
    </row>
    <row r="1566">
      <c r="A1566">
        <f>Universe!A1566</f>
        <v/>
      </c>
      <c r="B1566" s="10" t="n"/>
      <c r="C1566" s="11">
        <f>IF(B1566="","",PERCENTRANK.INC($B$2:$B$2501,B1566)*100)</f>
        <v/>
      </c>
      <c r="D1566" s="10" t="n"/>
      <c r="E1566" s="10">
        <f>IF(D1566="","",MIN(D1566,100))</f>
        <v/>
      </c>
      <c r="F1566" s="10" t="n"/>
      <c r="G1566" s="10">
        <f>IF(F1566="","",MIN(F1566,100))</f>
        <v/>
      </c>
      <c r="H1566" s="11">
        <f>IF(A1566="","",Universe!E1566/BDP(A1566&amp;" US Equity","HIGH_52WEEK")*100)</f>
        <v/>
      </c>
      <c r="I1566">
        <f>IF(D1566="","",D1566&gt;=5)</f>
        <v/>
      </c>
      <c r="J1566">
        <f>IF(F1566="","",F1566&gt;=5)</f>
        <v/>
      </c>
      <c r="K1566">
        <f>IF(H1566="","",H1566&gt;=75)</f>
        <v/>
      </c>
      <c r="L1566">
        <f>IF(OR(I1566="",J1566="",K1566=""),FALSE,AND(I1566,J1566,K1566))</f>
        <v/>
      </c>
    </row>
    <row r="1567">
      <c r="A1567">
        <f>Universe!A1567</f>
        <v/>
      </c>
      <c r="B1567" s="10" t="n"/>
      <c r="C1567" s="11">
        <f>IF(B1567="","",PERCENTRANK.INC($B$2:$B$2501,B1567)*100)</f>
        <v/>
      </c>
      <c r="D1567" s="10" t="n"/>
      <c r="E1567" s="10">
        <f>IF(D1567="","",MIN(D1567,100))</f>
        <v/>
      </c>
      <c r="F1567" s="10" t="n"/>
      <c r="G1567" s="10">
        <f>IF(F1567="","",MIN(F1567,100))</f>
        <v/>
      </c>
      <c r="H1567" s="11">
        <f>IF(A1567="","",Universe!E1567/BDP(A1567&amp;" US Equity","HIGH_52WEEK")*100)</f>
        <v/>
      </c>
      <c r="I1567">
        <f>IF(D1567="","",D1567&gt;=5)</f>
        <v/>
      </c>
      <c r="J1567">
        <f>IF(F1567="","",F1567&gt;=5)</f>
        <v/>
      </c>
      <c r="K1567">
        <f>IF(H1567="","",H1567&gt;=75)</f>
        <v/>
      </c>
      <c r="L1567">
        <f>IF(OR(I1567="",J1567="",K1567=""),FALSE,AND(I1567,J1567,K1567))</f>
        <v/>
      </c>
    </row>
    <row r="1568">
      <c r="A1568">
        <f>Universe!A1568</f>
        <v/>
      </c>
      <c r="B1568" s="10" t="n"/>
      <c r="C1568" s="11">
        <f>IF(B1568="","",PERCENTRANK.INC($B$2:$B$2501,B1568)*100)</f>
        <v/>
      </c>
      <c r="D1568" s="10" t="n"/>
      <c r="E1568" s="10">
        <f>IF(D1568="","",MIN(D1568,100))</f>
        <v/>
      </c>
      <c r="F1568" s="10" t="n"/>
      <c r="G1568" s="10">
        <f>IF(F1568="","",MIN(F1568,100))</f>
        <v/>
      </c>
      <c r="H1568" s="11">
        <f>IF(A1568="","",Universe!E1568/BDP(A1568&amp;" US Equity","HIGH_52WEEK")*100)</f>
        <v/>
      </c>
      <c r="I1568">
        <f>IF(D1568="","",D1568&gt;=5)</f>
        <v/>
      </c>
      <c r="J1568">
        <f>IF(F1568="","",F1568&gt;=5)</f>
        <v/>
      </c>
      <c r="K1568">
        <f>IF(H1568="","",H1568&gt;=75)</f>
        <v/>
      </c>
      <c r="L1568">
        <f>IF(OR(I1568="",J1568="",K1568=""),FALSE,AND(I1568,J1568,K1568))</f>
        <v/>
      </c>
    </row>
    <row r="1569">
      <c r="A1569">
        <f>Universe!A1569</f>
        <v/>
      </c>
      <c r="B1569" s="10" t="n"/>
      <c r="C1569" s="11">
        <f>IF(B1569="","",PERCENTRANK.INC($B$2:$B$2501,B1569)*100)</f>
        <v/>
      </c>
      <c r="D1569" s="10" t="n"/>
      <c r="E1569" s="10">
        <f>IF(D1569="","",MIN(D1569,100))</f>
        <v/>
      </c>
      <c r="F1569" s="10" t="n"/>
      <c r="G1569" s="10">
        <f>IF(F1569="","",MIN(F1569,100))</f>
        <v/>
      </c>
      <c r="H1569" s="11">
        <f>IF(A1569="","",Universe!E1569/BDP(A1569&amp;" US Equity","HIGH_52WEEK")*100)</f>
        <v/>
      </c>
      <c r="I1569">
        <f>IF(D1569="","",D1569&gt;=5)</f>
        <v/>
      </c>
      <c r="J1569">
        <f>IF(F1569="","",F1569&gt;=5)</f>
        <v/>
      </c>
      <c r="K1569">
        <f>IF(H1569="","",H1569&gt;=75)</f>
        <v/>
      </c>
      <c r="L1569">
        <f>IF(OR(I1569="",J1569="",K1569=""),FALSE,AND(I1569,J1569,K1569))</f>
        <v/>
      </c>
    </row>
    <row r="1570">
      <c r="A1570">
        <f>Universe!A1570</f>
        <v/>
      </c>
      <c r="B1570" s="10" t="n"/>
      <c r="C1570" s="11">
        <f>IF(B1570="","",PERCENTRANK.INC($B$2:$B$2501,B1570)*100)</f>
        <v/>
      </c>
      <c r="D1570" s="10" t="n"/>
      <c r="E1570" s="10">
        <f>IF(D1570="","",MIN(D1570,100))</f>
        <v/>
      </c>
      <c r="F1570" s="10" t="n"/>
      <c r="G1570" s="10">
        <f>IF(F1570="","",MIN(F1570,100))</f>
        <v/>
      </c>
      <c r="H1570" s="11">
        <f>IF(A1570="","",Universe!E1570/BDP(A1570&amp;" US Equity","HIGH_52WEEK")*100)</f>
        <v/>
      </c>
      <c r="I1570">
        <f>IF(D1570="","",D1570&gt;=5)</f>
        <v/>
      </c>
      <c r="J1570">
        <f>IF(F1570="","",F1570&gt;=5)</f>
        <v/>
      </c>
      <c r="K1570">
        <f>IF(H1570="","",H1570&gt;=75)</f>
        <v/>
      </c>
      <c r="L1570">
        <f>IF(OR(I1570="",J1570="",K1570=""),FALSE,AND(I1570,J1570,K1570))</f>
        <v/>
      </c>
    </row>
    <row r="1571">
      <c r="A1571">
        <f>Universe!A1571</f>
        <v/>
      </c>
      <c r="B1571" s="10" t="n"/>
      <c r="C1571" s="11">
        <f>IF(B1571="","",PERCENTRANK.INC($B$2:$B$2501,B1571)*100)</f>
        <v/>
      </c>
      <c r="D1571" s="10" t="n"/>
      <c r="E1571" s="10">
        <f>IF(D1571="","",MIN(D1571,100))</f>
        <v/>
      </c>
      <c r="F1571" s="10" t="n"/>
      <c r="G1571" s="10">
        <f>IF(F1571="","",MIN(F1571,100))</f>
        <v/>
      </c>
      <c r="H1571" s="11">
        <f>IF(A1571="","",Universe!E1571/BDP(A1571&amp;" US Equity","HIGH_52WEEK")*100)</f>
        <v/>
      </c>
      <c r="I1571">
        <f>IF(D1571="","",D1571&gt;=5)</f>
        <v/>
      </c>
      <c r="J1571">
        <f>IF(F1571="","",F1571&gt;=5)</f>
        <v/>
      </c>
      <c r="K1571">
        <f>IF(H1571="","",H1571&gt;=75)</f>
        <v/>
      </c>
      <c r="L1571">
        <f>IF(OR(I1571="",J1571="",K1571=""),FALSE,AND(I1571,J1571,K1571))</f>
        <v/>
      </c>
    </row>
    <row r="1572">
      <c r="A1572">
        <f>Universe!A1572</f>
        <v/>
      </c>
      <c r="B1572" s="10" t="n"/>
      <c r="C1572" s="11">
        <f>IF(B1572="","",PERCENTRANK.INC($B$2:$B$2501,B1572)*100)</f>
        <v/>
      </c>
      <c r="D1572" s="10" t="n"/>
      <c r="E1572" s="10">
        <f>IF(D1572="","",MIN(D1572,100))</f>
        <v/>
      </c>
      <c r="F1572" s="10" t="n"/>
      <c r="G1572" s="10">
        <f>IF(F1572="","",MIN(F1572,100))</f>
        <v/>
      </c>
      <c r="H1572" s="11">
        <f>IF(A1572="","",Universe!E1572/BDP(A1572&amp;" US Equity","HIGH_52WEEK")*100)</f>
        <v/>
      </c>
      <c r="I1572">
        <f>IF(D1572="","",D1572&gt;=5)</f>
        <v/>
      </c>
      <c r="J1572">
        <f>IF(F1572="","",F1572&gt;=5)</f>
        <v/>
      </c>
      <c r="K1572">
        <f>IF(H1572="","",H1572&gt;=75)</f>
        <v/>
      </c>
      <c r="L1572">
        <f>IF(OR(I1572="",J1572="",K1572=""),FALSE,AND(I1572,J1572,K1572))</f>
        <v/>
      </c>
    </row>
    <row r="1573">
      <c r="A1573">
        <f>Universe!A1573</f>
        <v/>
      </c>
      <c r="B1573" s="10" t="n"/>
      <c r="C1573" s="11">
        <f>IF(B1573="","",PERCENTRANK.INC($B$2:$B$2501,B1573)*100)</f>
        <v/>
      </c>
      <c r="D1573" s="10" t="n"/>
      <c r="E1573" s="10">
        <f>IF(D1573="","",MIN(D1573,100))</f>
        <v/>
      </c>
      <c r="F1573" s="10" t="n"/>
      <c r="G1573" s="10">
        <f>IF(F1573="","",MIN(F1573,100))</f>
        <v/>
      </c>
      <c r="H1573" s="11">
        <f>IF(A1573="","",Universe!E1573/BDP(A1573&amp;" US Equity","HIGH_52WEEK")*100)</f>
        <v/>
      </c>
      <c r="I1573">
        <f>IF(D1573="","",D1573&gt;=5)</f>
        <v/>
      </c>
      <c r="J1573">
        <f>IF(F1573="","",F1573&gt;=5)</f>
        <v/>
      </c>
      <c r="K1573">
        <f>IF(H1573="","",H1573&gt;=75)</f>
        <v/>
      </c>
      <c r="L1573">
        <f>IF(OR(I1573="",J1573="",K1573=""),FALSE,AND(I1573,J1573,K1573))</f>
        <v/>
      </c>
    </row>
    <row r="1574">
      <c r="A1574">
        <f>Universe!A1574</f>
        <v/>
      </c>
      <c r="B1574" s="10" t="n"/>
      <c r="C1574" s="11">
        <f>IF(B1574="","",PERCENTRANK.INC($B$2:$B$2501,B1574)*100)</f>
        <v/>
      </c>
      <c r="D1574" s="10" t="n"/>
      <c r="E1574" s="10">
        <f>IF(D1574="","",MIN(D1574,100))</f>
        <v/>
      </c>
      <c r="F1574" s="10" t="n"/>
      <c r="G1574" s="10">
        <f>IF(F1574="","",MIN(F1574,100))</f>
        <v/>
      </c>
      <c r="H1574" s="11">
        <f>IF(A1574="","",Universe!E1574/BDP(A1574&amp;" US Equity","HIGH_52WEEK")*100)</f>
        <v/>
      </c>
      <c r="I1574">
        <f>IF(D1574="","",D1574&gt;=5)</f>
        <v/>
      </c>
      <c r="J1574">
        <f>IF(F1574="","",F1574&gt;=5)</f>
        <v/>
      </c>
      <c r="K1574">
        <f>IF(H1574="","",H1574&gt;=75)</f>
        <v/>
      </c>
      <c r="L1574">
        <f>IF(OR(I1574="",J1574="",K1574=""),FALSE,AND(I1574,J1574,K1574))</f>
        <v/>
      </c>
    </row>
    <row r="1575">
      <c r="A1575">
        <f>Universe!A1575</f>
        <v/>
      </c>
      <c r="B1575" s="10" t="n"/>
      <c r="C1575" s="11">
        <f>IF(B1575="","",PERCENTRANK.INC($B$2:$B$2501,B1575)*100)</f>
        <v/>
      </c>
      <c r="D1575" s="10" t="n"/>
      <c r="E1575" s="10">
        <f>IF(D1575="","",MIN(D1575,100))</f>
        <v/>
      </c>
      <c r="F1575" s="10" t="n"/>
      <c r="G1575" s="10">
        <f>IF(F1575="","",MIN(F1575,100))</f>
        <v/>
      </c>
      <c r="H1575" s="11">
        <f>IF(A1575="","",Universe!E1575/BDP(A1575&amp;" US Equity","HIGH_52WEEK")*100)</f>
        <v/>
      </c>
      <c r="I1575">
        <f>IF(D1575="","",D1575&gt;=5)</f>
        <v/>
      </c>
      <c r="J1575">
        <f>IF(F1575="","",F1575&gt;=5)</f>
        <v/>
      </c>
      <c r="K1575">
        <f>IF(H1575="","",H1575&gt;=75)</f>
        <v/>
      </c>
      <c r="L1575">
        <f>IF(OR(I1575="",J1575="",K1575=""),FALSE,AND(I1575,J1575,K1575))</f>
        <v/>
      </c>
    </row>
    <row r="1576">
      <c r="A1576">
        <f>Universe!A1576</f>
        <v/>
      </c>
      <c r="B1576" s="10" t="n"/>
      <c r="C1576" s="11">
        <f>IF(B1576="","",PERCENTRANK.INC($B$2:$B$2501,B1576)*100)</f>
        <v/>
      </c>
      <c r="D1576" s="10" t="n"/>
      <c r="E1576" s="10">
        <f>IF(D1576="","",MIN(D1576,100))</f>
        <v/>
      </c>
      <c r="F1576" s="10" t="n"/>
      <c r="G1576" s="10">
        <f>IF(F1576="","",MIN(F1576,100))</f>
        <v/>
      </c>
      <c r="H1576" s="11">
        <f>IF(A1576="","",Universe!E1576/BDP(A1576&amp;" US Equity","HIGH_52WEEK")*100)</f>
        <v/>
      </c>
      <c r="I1576">
        <f>IF(D1576="","",D1576&gt;=5)</f>
        <v/>
      </c>
      <c r="J1576">
        <f>IF(F1576="","",F1576&gt;=5)</f>
        <v/>
      </c>
      <c r="K1576">
        <f>IF(H1576="","",H1576&gt;=75)</f>
        <v/>
      </c>
      <c r="L1576">
        <f>IF(OR(I1576="",J1576="",K1576=""),FALSE,AND(I1576,J1576,K1576))</f>
        <v/>
      </c>
    </row>
    <row r="1577">
      <c r="A1577">
        <f>Universe!A1577</f>
        <v/>
      </c>
      <c r="B1577" s="10" t="n"/>
      <c r="C1577" s="11">
        <f>IF(B1577="","",PERCENTRANK.INC($B$2:$B$2501,B1577)*100)</f>
        <v/>
      </c>
      <c r="D1577" s="10" t="n"/>
      <c r="E1577" s="10">
        <f>IF(D1577="","",MIN(D1577,100))</f>
        <v/>
      </c>
      <c r="F1577" s="10" t="n"/>
      <c r="G1577" s="10">
        <f>IF(F1577="","",MIN(F1577,100))</f>
        <v/>
      </c>
      <c r="H1577" s="11">
        <f>IF(A1577="","",Universe!E1577/BDP(A1577&amp;" US Equity","HIGH_52WEEK")*100)</f>
        <v/>
      </c>
      <c r="I1577">
        <f>IF(D1577="","",D1577&gt;=5)</f>
        <v/>
      </c>
      <c r="J1577">
        <f>IF(F1577="","",F1577&gt;=5)</f>
        <v/>
      </c>
      <c r="K1577">
        <f>IF(H1577="","",H1577&gt;=75)</f>
        <v/>
      </c>
      <c r="L1577">
        <f>IF(OR(I1577="",J1577="",K1577=""),FALSE,AND(I1577,J1577,K1577))</f>
        <v/>
      </c>
    </row>
    <row r="1578">
      <c r="A1578">
        <f>Universe!A1578</f>
        <v/>
      </c>
      <c r="B1578" s="10" t="n"/>
      <c r="C1578" s="11">
        <f>IF(B1578="","",PERCENTRANK.INC($B$2:$B$2501,B1578)*100)</f>
        <v/>
      </c>
      <c r="D1578" s="10" t="n"/>
      <c r="E1578" s="10">
        <f>IF(D1578="","",MIN(D1578,100))</f>
        <v/>
      </c>
      <c r="F1578" s="10" t="n"/>
      <c r="G1578" s="10">
        <f>IF(F1578="","",MIN(F1578,100))</f>
        <v/>
      </c>
      <c r="H1578" s="11">
        <f>IF(A1578="","",Universe!E1578/BDP(A1578&amp;" US Equity","HIGH_52WEEK")*100)</f>
        <v/>
      </c>
      <c r="I1578">
        <f>IF(D1578="","",D1578&gt;=5)</f>
        <v/>
      </c>
      <c r="J1578">
        <f>IF(F1578="","",F1578&gt;=5)</f>
        <v/>
      </c>
      <c r="K1578">
        <f>IF(H1578="","",H1578&gt;=75)</f>
        <v/>
      </c>
      <c r="L1578">
        <f>IF(OR(I1578="",J1578="",K1578=""),FALSE,AND(I1578,J1578,K1578))</f>
        <v/>
      </c>
    </row>
    <row r="1579">
      <c r="A1579">
        <f>Universe!A1579</f>
        <v/>
      </c>
      <c r="B1579" s="10" t="n"/>
      <c r="C1579" s="11">
        <f>IF(B1579="","",PERCENTRANK.INC($B$2:$B$2501,B1579)*100)</f>
        <v/>
      </c>
      <c r="D1579" s="10" t="n"/>
      <c r="E1579" s="10">
        <f>IF(D1579="","",MIN(D1579,100))</f>
        <v/>
      </c>
      <c r="F1579" s="10" t="n"/>
      <c r="G1579" s="10">
        <f>IF(F1579="","",MIN(F1579,100))</f>
        <v/>
      </c>
      <c r="H1579" s="11">
        <f>IF(A1579="","",Universe!E1579/BDP(A1579&amp;" US Equity","HIGH_52WEEK")*100)</f>
        <v/>
      </c>
      <c r="I1579">
        <f>IF(D1579="","",D1579&gt;=5)</f>
        <v/>
      </c>
      <c r="J1579">
        <f>IF(F1579="","",F1579&gt;=5)</f>
        <v/>
      </c>
      <c r="K1579">
        <f>IF(H1579="","",H1579&gt;=75)</f>
        <v/>
      </c>
      <c r="L1579">
        <f>IF(OR(I1579="",J1579="",K1579=""),FALSE,AND(I1579,J1579,K1579))</f>
        <v/>
      </c>
    </row>
    <row r="1580">
      <c r="A1580">
        <f>Universe!A1580</f>
        <v/>
      </c>
      <c r="B1580" s="10" t="n"/>
      <c r="C1580" s="11">
        <f>IF(B1580="","",PERCENTRANK.INC($B$2:$B$2501,B1580)*100)</f>
        <v/>
      </c>
      <c r="D1580" s="10" t="n"/>
      <c r="E1580" s="10">
        <f>IF(D1580="","",MIN(D1580,100))</f>
        <v/>
      </c>
      <c r="F1580" s="10" t="n"/>
      <c r="G1580" s="10">
        <f>IF(F1580="","",MIN(F1580,100))</f>
        <v/>
      </c>
      <c r="H1580" s="11">
        <f>IF(A1580="","",Universe!E1580/BDP(A1580&amp;" US Equity","HIGH_52WEEK")*100)</f>
        <v/>
      </c>
      <c r="I1580">
        <f>IF(D1580="","",D1580&gt;=5)</f>
        <v/>
      </c>
      <c r="J1580">
        <f>IF(F1580="","",F1580&gt;=5)</f>
        <v/>
      </c>
      <c r="K1580">
        <f>IF(H1580="","",H1580&gt;=75)</f>
        <v/>
      </c>
      <c r="L1580">
        <f>IF(OR(I1580="",J1580="",K1580=""),FALSE,AND(I1580,J1580,K1580))</f>
        <v/>
      </c>
    </row>
    <row r="1581">
      <c r="A1581">
        <f>Universe!A1581</f>
        <v/>
      </c>
      <c r="B1581" s="10" t="n"/>
      <c r="C1581" s="11">
        <f>IF(B1581="","",PERCENTRANK.INC($B$2:$B$2501,B1581)*100)</f>
        <v/>
      </c>
      <c r="D1581" s="10" t="n"/>
      <c r="E1581" s="10">
        <f>IF(D1581="","",MIN(D1581,100))</f>
        <v/>
      </c>
      <c r="F1581" s="10" t="n"/>
      <c r="G1581" s="10">
        <f>IF(F1581="","",MIN(F1581,100))</f>
        <v/>
      </c>
      <c r="H1581" s="11">
        <f>IF(A1581="","",Universe!E1581/BDP(A1581&amp;" US Equity","HIGH_52WEEK")*100)</f>
        <v/>
      </c>
      <c r="I1581">
        <f>IF(D1581="","",D1581&gt;=5)</f>
        <v/>
      </c>
      <c r="J1581">
        <f>IF(F1581="","",F1581&gt;=5)</f>
        <v/>
      </c>
      <c r="K1581">
        <f>IF(H1581="","",H1581&gt;=75)</f>
        <v/>
      </c>
      <c r="L1581">
        <f>IF(OR(I1581="",J1581="",K1581=""),FALSE,AND(I1581,J1581,K1581))</f>
        <v/>
      </c>
    </row>
    <row r="1582">
      <c r="A1582">
        <f>Universe!A1582</f>
        <v/>
      </c>
      <c r="B1582" s="10" t="n"/>
      <c r="C1582" s="11">
        <f>IF(B1582="","",PERCENTRANK.INC($B$2:$B$2501,B1582)*100)</f>
        <v/>
      </c>
      <c r="D1582" s="10" t="n"/>
      <c r="E1582" s="10">
        <f>IF(D1582="","",MIN(D1582,100))</f>
        <v/>
      </c>
      <c r="F1582" s="10" t="n"/>
      <c r="G1582" s="10">
        <f>IF(F1582="","",MIN(F1582,100))</f>
        <v/>
      </c>
      <c r="H1582" s="11">
        <f>IF(A1582="","",Universe!E1582/BDP(A1582&amp;" US Equity","HIGH_52WEEK")*100)</f>
        <v/>
      </c>
      <c r="I1582">
        <f>IF(D1582="","",D1582&gt;=5)</f>
        <v/>
      </c>
      <c r="J1582">
        <f>IF(F1582="","",F1582&gt;=5)</f>
        <v/>
      </c>
      <c r="K1582">
        <f>IF(H1582="","",H1582&gt;=75)</f>
        <v/>
      </c>
      <c r="L1582">
        <f>IF(OR(I1582="",J1582="",K1582=""),FALSE,AND(I1582,J1582,K1582))</f>
        <v/>
      </c>
    </row>
    <row r="1583">
      <c r="A1583">
        <f>Universe!A1583</f>
        <v/>
      </c>
      <c r="B1583" s="10" t="n"/>
      <c r="C1583" s="11">
        <f>IF(B1583="","",PERCENTRANK.INC($B$2:$B$2501,B1583)*100)</f>
        <v/>
      </c>
      <c r="D1583" s="10" t="n"/>
      <c r="E1583" s="10">
        <f>IF(D1583="","",MIN(D1583,100))</f>
        <v/>
      </c>
      <c r="F1583" s="10" t="n"/>
      <c r="G1583" s="10">
        <f>IF(F1583="","",MIN(F1583,100))</f>
        <v/>
      </c>
      <c r="H1583" s="11">
        <f>IF(A1583="","",Universe!E1583/BDP(A1583&amp;" US Equity","HIGH_52WEEK")*100)</f>
        <v/>
      </c>
      <c r="I1583">
        <f>IF(D1583="","",D1583&gt;=5)</f>
        <v/>
      </c>
      <c r="J1583">
        <f>IF(F1583="","",F1583&gt;=5)</f>
        <v/>
      </c>
      <c r="K1583">
        <f>IF(H1583="","",H1583&gt;=75)</f>
        <v/>
      </c>
      <c r="L1583">
        <f>IF(OR(I1583="",J1583="",K1583=""),FALSE,AND(I1583,J1583,K1583))</f>
        <v/>
      </c>
    </row>
    <row r="1584">
      <c r="A1584">
        <f>Universe!A1584</f>
        <v/>
      </c>
      <c r="B1584" s="10" t="n"/>
      <c r="C1584" s="11">
        <f>IF(B1584="","",PERCENTRANK.INC($B$2:$B$2501,B1584)*100)</f>
        <v/>
      </c>
      <c r="D1584" s="10" t="n"/>
      <c r="E1584" s="10">
        <f>IF(D1584="","",MIN(D1584,100))</f>
        <v/>
      </c>
      <c r="F1584" s="10" t="n"/>
      <c r="G1584" s="10">
        <f>IF(F1584="","",MIN(F1584,100))</f>
        <v/>
      </c>
      <c r="H1584" s="11">
        <f>IF(A1584="","",Universe!E1584/BDP(A1584&amp;" US Equity","HIGH_52WEEK")*100)</f>
        <v/>
      </c>
      <c r="I1584">
        <f>IF(D1584="","",D1584&gt;=5)</f>
        <v/>
      </c>
      <c r="J1584">
        <f>IF(F1584="","",F1584&gt;=5)</f>
        <v/>
      </c>
      <c r="K1584">
        <f>IF(H1584="","",H1584&gt;=75)</f>
        <v/>
      </c>
      <c r="L1584">
        <f>IF(OR(I1584="",J1584="",K1584=""),FALSE,AND(I1584,J1584,K1584))</f>
        <v/>
      </c>
    </row>
    <row r="1585">
      <c r="A1585">
        <f>Universe!A1585</f>
        <v/>
      </c>
      <c r="B1585" s="10" t="n"/>
      <c r="C1585" s="11">
        <f>IF(B1585="","",PERCENTRANK.INC($B$2:$B$2501,B1585)*100)</f>
        <v/>
      </c>
      <c r="D1585" s="10" t="n"/>
      <c r="E1585" s="10">
        <f>IF(D1585="","",MIN(D1585,100))</f>
        <v/>
      </c>
      <c r="F1585" s="10" t="n"/>
      <c r="G1585" s="10">
        <f>IF(F1585="","",MIN(F1585,100))</f>
        <v/>
      </c>
      <c r="H1585" s="11">
        <f>IF(A1585="","",Universe!E1585/BDP(A1585&amp;" US Equity","HIGH_52WEEK")*100)</f>
        <v/>
      </c>
      <c r="I1585">
        <f>IF(D1585="","",D1585&gt;=5)</f>
        <v/>
      </c>
      <c r="J1585">
        <f>IF(F1585="","",F1585&gt;=5)</f>
        <v/>
      </c>
      <c r="K1585">
        <f>IF(H1585="","",H1585&gt;=75)</f>
        <v/>
      </c>
      <c r="L1585">
        <f>IF(OR(I1585="",J1585="",K1585=""),FALSE,AND(I1585,J1585,K1585))</f>
        <v/>
      </c>
    </row>
    <row r="1586">
      <c r="A1586">
        <f>Universe!A1586</f>
        <v/>
      </c>
      <c r="B1586" s="10" t="n"/>
      <c r="C1586" s="11">
        <f>IF(B1586="","",PERCENTRANK.INC($B$2:$B$2501,B1586)*100)</f>
        <v/>
      </c>
      <c r="D1586" s="10" t="n"/>
      <c r="E1586" s="10">
        <f>IF(D1586="","",MIN(D1586,100))</f>
        <v/>
      </c>
      <c r="F1586" s="10" t="n"/>
      <c r="G1586" s="10">
        <f>IF(F1586="","",MIN(F1586,100))</f>
        <v/>
      </c>
      <c r="H1586" s="11">
        <f>IF(A1586="","",Universe!E1586/BDP(A1586&amp;" US Equity","HIGH_52WEEK")*100)</f>
        <v/>
      </c>
      <c r="I1586">
        <f>IF(D1586="","",D1586&gt;=5)</f>
        <v/>
      </c>
      <c r="J1586">
        <f>IF(F1586="","",F1586&gt;=5)</f>
        <v/>
      </c>
      <c r="K1586">
        <f>IF(H1586="","",H1586&gt;=75)</f>
        <v/>
      </c>
      <c r="L1586">
        <f>IF(OR(I1586="",J1586="",K1586=""),FALSE,AND(I1586,J1586,K1586))</f>
        <v/>
      </c>
    </row>
    <row r="1587">
      <c r="A1587">
        <f>Universe!A1587</f>
        <v/>
      </c>
      <c r="B1587" s="10" t="n"/>
      <c r="C1587" s="11">
        <f>IF(B1587="","",PERCENTRANK.INC($B$2:$B$2501,B1587)*100)</f>
        <v/>
      </c>
      <c r="D1587" s="10" t="n"/>
      <c r="E1587" s="10">
        <f>IF(D1587="","",MIN(D1587,100))</f>
        <v/>
      </c>
      <c r="F1587" s="10" t="n"/>
      <c r="G1587" s="10">
        <f>IF(F1587="","",MIN(F1587,100))</f>
        <v/>
      </c>
      <c r="H1587" s="11">
        <f>IF(A1587="","",Universe!E1587/BDP(A1587&amp;" US Equity","HIGH_52WEEK")*100)</f>
        <v/>
      </c>
      <c r="I1587">
        <f>IF(D1587="","",D1587&gt;=5)</f>
        <v/>
      </c>
      <c r="J1587">
        <f>IF(F1587="","",F1587&gt;=5)</f>
        <v/>
      </c>
      <c r="K1587">
        <f>IF(H1587="","",H1587&gt;=75)</f>
        <v/>
      </c>
      <c r="L1587">
        <f>IF(OR(I1587="",J1587="",K1587=""),FALSE,AND(I1587,J1587,K1587))</f>
        <v/>
      </c>
    </row>
    <row r="1588">
      <c r="A1588">
        <f>Universe!A1588</f>
        <v/>
      </c>
      <c r="B1588" s="10" t="n"/>
      <c r="C1588" s="11">
        <f>IF(B1588="","",PERCENTRANK.INC($B$2:$B$2501,B1588)*100)</f>
        <v/>
      </c>
      <c r="D1588" s="10" t="n"/>
      <c r="E1588" s="10">
        <f>IF(D1588="","",MIN(D1588,100))</f>
        <v/>
      </c>
      <c r="F1588" s="10" t="n"/>
      <c r="G1588" s="10">
        <f>IF(F1588="","",MIN(F1588,100))</f>
        <v/>
      </c>
      <c r="H1588" s="11">
        <f>IF(A1588="","",Universe!E1588/BDP(A1588&amp;" US Equity","HIGH_52WEEK")*100)</f>
        <v/>
      </c>
      <c r="I1588">
        <f>IF(D1588="","",D1588&gt;=5)</f>
        <v/>
      </c>
      <c r="J1588">
        <f>IF(F1588="","",F1588&gt;=5)</f>
        <v/>
      </c>
      <c r="K1588">
        <f>IF(H1588="","",H1588&gt;=75)</f>
        <v/>
      </c>
      <c r="L1588">
        <f>IF(OR(I1588="",J1588="",K1588=""),FALSE,AND(I1588,J1588,K1588))</f>
        <v/>
      </c>
    </row>
    <row r="1589">
      <c r="A1589">
        <f>Universe!A1589</f>
        <v/>
      </c>
      <c r="B1589" s="10" t="n"/>
      <c r="C1589" s="11">
        <f>IF(B1589="","",PERCENTRANK.INC($B$2:$B$2501,B1589)*100)</f>
        <v/>
      </c>
      <c r="D1589" s="10" t="n"/>
      <c r="E1589" s="10">
        <f>IF(D1589="","",MIN(D1589,100))</f>
        <v/>
      </c>
      <c r="F1589" s="10" t="n"/>
      <c r="G1589" s="10">
        <f>IF(F1589="","",MIN(F1589,100))</f>
        <v/>
      </c>
      <c r="H1589" s="11">
        <f>IF(A1589="","",Universe!E1589/BDP(A1589&amp;" US Equity","HIGH_52WEEK")*100)</f>
        <v/>
      </c>
      <c r="I1589">
        <f>IF(D1589="","",D1589&gt;=5)</f>
        <v/>
      </c>
      <c r="J1589">
        <f>IF(F1589="","",F1589&gt;=5)</f>
        <v/>
      </c>
      <c r="K1589">
        <f>IF(H1589="","",H1589&gt;=75)</f>
        <v/>
      </c>
      <c r="L1589">
        <f>IF(OR(I1589="",J1589="",K1589=""),FALSE,AND(I1589,J1589,K1589))</f>
        <v/>
      </c>
    </row>
    <row r="1590">
      <c r="A1590">
        <f>Universe!A1590</f>
        <v/>
      </c>
      <c r="B1590" s="10" t="n"/>
      <c r="C1590" s="11">
        <f>IF(B1590="","",PERCENTRANK.INC($B$2:$B$2501,B1590)*100)</f>
        <v/>
      </c>
      <c r="D1590" s="10" t="n"/>
      <c r="E1590" s="10">
        <f>IF(D1590="","",MIN(D1590,100))</f>
        <v/>
      </c>
      <c r="F1590" s="10" t="n"/>
      <c r="G1590" s="10">
        <f>IF(F1590="","",MIN(F1590,100))</f>
        <v/>
      </c>
      <c r="H1590" s="11">
        <f>IF(A1590="","",Universe!E1590/BDP(A1590&amp;" US Equity","HIGH_52WEEK")*100)</f>
        <v/>
      </c>
      <c r="I1590">
        <f>IF(D1590="","",D1590&gt;=5)</f>
        <v/>
      </c>
      <c r="J1590">
        <f>IF(F1590="","",F1590&gt;=5)</f>
        <v/>
      </c>
      <c r="K1590">
        <f>IF(H1590="","",H1590&gt;=75)</f>
        <v/>
      </c>
      <c r="L1590">
        <f>IF(OR(I1590="",J1590="",K1590=""),FALSE,AND(I1590,J1590,K1590))</f>
        <v/>
      </c>
    </row>
    <row r="1591">
      <c r="A1591">
        <f>Universe!A1591</f>
        <v/>
      </c>
      <c r="B1591" s="10" t="n"/>
      <c r="C1591" s="11">
        <f>IF(B1591="","",PERCENTRANK.INC($B$2:$B$2501,B1591)*100)</f>
        <v/>
      </c>
      <c r="D1591" s="10" t="n"/>
      <c r="E1591" s="10">
        <f>IF(D1591="","",MIN(D1591,100))</f>
        <v/>
      </c>
      <c r="F1591" s="10" t="n"/>
      <c r="G1591" s="10">
        <f>IF(F1591="","",MIN(F1591,100))</f>
        <v/>
      </c>
      <c r="H1591" s="11">
        <f>IF(A1591="","",Universe!E1591/BDP(A1591&amp;" US Equity","HIGH_52WEEK")*100)</f>
        <v/>
      </c>
      <c r="I1591">
        <f>IF(D1591="","",D1591&gt;=5)</f>
        <v/>
      </c>
      <c r="J1591">
        <f>IF(F1591="","",F1591&gt;=5)</f>
        <v/>
      </c>
      <c r="K1591">
        <f>IF(H1591="","",H1591&gt;=75)</f>
        <v/>
      </c>
      <c r="L1591">
        <f>IF(OR(I1591="",J1591="",K1591=""),FALSE,AND(I1591,J1591,K1591))</f>
        <v/>
      </c>
    </row>
    <row r="1592">
      <c r="A1592">
        <f>Universe!A1592</f>
        <v/>
      </c>
      <c r="B1592" s="10" t="n"/>
      <c r="C1592" s="11">
        <f>IF(B1592="","",PERCENTRANK.INC($B$2:$B$2501,B1592)*100)</f>
        <v/>
      </c>
      <c r="D1592" s="10" t="n"/>
      <c r="E1592" s="10">
        <f>IF(D1592="","",MIN(D1592,100))</f>
        <v/>
      </c>
      <c r="F1592" s="10" t="n"/>
      <c r="G1592" s="10">
        <f>IF(F1592="","",MIN(F1592,100))</f>
        <v/>
      </c>
      <c r="H1592" s="11">
        <f>IF(A1592="","",Universe!E1592/BDP(A1592&amp;" US Equity","HIGH_52WEEK")*100)</f>
        <v/>
      </c>
      <c r="I1592">
        <f>IF(D1592="","",D1592&gt;=5)</f>
        <v/>
      </c>
      <c r="J1592">
        <f>IF(F1592="","",F1592&gt;=5)</f>
        <v/>
      </c>
      <c r="K1592">
        <f>IF(H1592="","",H1592&gt;=75)</f>
        <v/>
      </c>
      <c r="L1592">
        <f>IF(OR(I1592="",J1592="",K1592=""),FALSE,AND(I1592,J1592,K1592))</f>
        <v/>
      </c>
    </row>
    <row r="1593">
      <c r="A1593">
        <f>Universe!A1593</f>
        <v/>
      </c>
      <c r="B1593" s="10" t="n"/>
      <c r="C1593" s="11">
        <f>IF(B1593="","",PERCENTRANK.INC($B$2:$B$2501,B1593)*100)</f>
        <v/>
      </c>
      <c r="D1593" s="10" t="n"/>
      <c r="E1593" s="10">
        <f>IF(D1593="","",MIN(D1593,100))</f>
        <v/>
      </c>
      <c r="F1593" s="10" t="n"/>
      <c r="G1593" s="10">
        <f>IF(F1593="","",MIN(F1593,100))</f>
        <v/>
      </c>
      <c r="H1593" s="11">
        <f>IF(A1593="","",Universe!E1593/BDP(A1593&amp;" US Equity","HIGH_52WEEK")*100)</f>
        <v/>
      </c>
      <c r="I1593">
        <f>IF(D1593="","",D1593&gt;=5)</f>
        <v/>
      </c>
      <c r="J1593">
        <f>IF(F1593="","",F1593&gt;=5)</f>
        <v/>
      </c>
      <c r="K1593">
        <f>IF(H1593="","",H1593&gt;=75)</f>
        <v/>
      </c>
      <c r="L1593">
        <f>IF(OR(I1593="",J1593="",K1593=""),FALSE,AND(I1593,J1593,K1593))</f>
        <v/>
      </c>
    </row>
    <row r="1594">
      <c r="A1594">
        <f>Universe!A1594</f>
        <v/>
      </c>
      <c r="B1594" s="10" t="n"/>
      <c r="C1594" s="11">
        <f>IF(B1594="","",PERCENTRANK.INC($B$2:$B$2501,B1594)*100)</f>
        <v/>
      </c>
      <c r="D1594" s="10" t="n"/>
      <c r="E1594" s="10">
        <f>IF(D1594="","",MIN(D1594,100))</f>
        <v/>
      </c>
      <c r="F1594" s="10" t="n"/>
      <c r="G1594" s="10">
        <f>IF(F1594="","",MIN(F1594,100))</f>
        <v/>
      </c>
      <c r="H1594" s="11">
        <f>IF(A1594="","",Universe!E1594/BDP(A1594&amp;" US Equity","HIGH_52WEEK")*100)</f>
        <v/>
      </c>
      <c r="I1594">
        <f>IF(D1594="","",D1594&gt;=5)</f>
        <v/>
      </c>
      <c r="J1594">
        <f>IF(F1594="","",F1594&gt;=5)</f>
        <v/>
      </c>
      <c r="K1594">
        <f>IF(H1594="","",H1594&gt;=75)</f>
        <v/>
      </c>
      <c r="L1594">
        <f>IF(OR(I1594="",J1594="",K1594=""),FALSE,AND(I1594,J1594,K1594))</f>
        <v/>
      </c>
    </row>
    <row r="1595">
      <c r="A1595">
        <f>Universe!A1595</f>
        <v/>
      </c>
      <c r="B1595" s="10" t="n"/>
      <c r="C1595" s="11">
        <f>IF(B1595="","",PERCENTRANK.INC($B$2:$B$2501,B1595)*100)</f>
        <v/>
      </c>
      <c r="D1595" s="10" t="n"/>
      <c r="E1595" s="10">
        <f>IF(D1595="","",MIN(D1595,100))</f>
        <v/>
      </c>
      <c r="F1595" s="10" t="n"/>
      <c r="G1595" s="10">
        <f>IF(F1595="","",MIN(F1595,100))</f>
        <v/>
      </c>
      <c r="H1595" s="11">
        <f>IF(A1595="","",Universe!E1595/BDP(A1595&amp;" US Equity","HIGH_52WEEK")*100)</f>
        <v/>
      </c>
      <c r="I1595">
        <f>IF(D1595="","",D1595&gt;=5)</f>
        <v/>
      </c>
      <c r="J1595">
        <f>IF(F1595="","",F1595&gt;=5)</f>
        <v/>
      </c>
      <c r="K1595">
        <f>IF(H1595="","",H1595&gt;=75)</f>
        <v/>
      </c>
      <c r="L1595">
        <f>IF(OR(I1595="",J1595="",K1595=""),FALSE,AND(I1595,J1595,K1595))</f>
        <v/>
      </c>
    </row>
    <row r="1596">
      <c r="A1596">
        <f>Universe!A1596</f>
        <v/>
      </c>
      <c r="B1596" s="10" t="n"/>
      <c r="C1596" s="11">
        <f>IF(B1596="","",PERCENTRANK.INC($B$2:$B$2501,B1596)*100)</f>
        <v/>
      </c>
      <c r="D1596" s="10" t="n"/>
      <c r="E1596" s="10">
        <f>IF(D1596="","",MIN(D1596,100))</f>
        <v/>
      </c>
      <c r="F1596" s="10" t="n"/>
      <c r="G1596" s="10">
        <f>IF(F1596="","",MIN(F1596,100))</f>
        <v/>
      </c>
      <c r="H1596" s="11">
        <f>IF(A1596="","",Universe!E1596/BDP(A1596&amp;" US Equity","HIGH_52WEEK")*100)</f>
        <v/>
      </c>
      <c r="I1596">
        <f>IF(D1596="","",D1596&gt;=5)</f>
        <v/>
      </c>
      <c r="J1596">
        <f>IF(F1596="","",F1596&gt;=5)</f>
        <v/>
      </c>
      <c r="K1596">
        <f>IF(H1596="","",H1596&gt;=75)</f>
        <v/>
      </c>
      <c r="L1596">
        <f>IF(OR(I1596="",J1596="",K1596=""),FALSE,AND(I1596,J1596,K1596))</f>
        <v/>
      </c>
    </row>
    <row r="1597">
      <c r="A1597">
        <f>Universe!A1597</f>
        <v/>
      </c>
      <c r="B1597" s="10" t="n"/>
      <c r="C1597" s="11">
        <f>IF(B1597="","",PERCENTRANK.INC($B$2:$B$2501,B1597)*100)</f>
        <v/>
      </c>
      <c r="D1597" s="10" t="n"/>
      <c r="E1597" s="10">
        <f>IF(D1597="","",MIN(D1597,100))</f>
        <v/>
      </c>
      <c r="F1597" s="10" t="n"/>
      <c r="G1597" s="10">
        <f>IF(F1597="","",MIN(F1597,100))</f>
        <v/>
      </c>
      <c r="H1597" s="11">
        <f>IF(A1597="","",Universe!E1597/BDP(A1597&amp;" US Equity","HIGH_52WEEK")*100)</f>
        <v/>
      </c>
      <c r="I1597">
        <f>IF(D1597="","",D1597&gt;=5)</f>
        <v/>
      </c>
      <c r="J1597">
        <f>IF(F1597="","",F1597&gt;=5)</f>
        <v/>
      </c>
      <c r="K1597">
        <f>IF(H1597="","",H1597&gt;=75)</f>
        <v/>
      </c>
      <c r="L1597">
        <f>IF(OR(I1597="",J1597="",K1597=""),FALSE,AND(I1597,J1597,K1597))</f>
        <v/>
      </c>
    </row>
    <row r="1598">
      <c r="A1598">
        <f>Universe!A1598</f>
        <v/>
      </c>
      <c r="B1598" s="10" t="n"/>
      <c r="C1598" s="11">
        <f>IF(B1598="","",PERCENTRANK.INC($B$2:$B$2501,B1598)*100)</f>
        <v/>
      </c>
      <c r="D1598" s="10" t="n"/>
      <c r="E1598" s="10">
        <f>IF(D1598="","",MIN(D1598,100))</f>
        <v/>
      </c>
      <c r="F1598" s="10" t="n"/>
      <c r="G1598" s="10">
        <f>IF(F1598="","",MIN(F1598,100))</f>
        <v/>
      </c>
      <c r="H1598" s="11">
        <f>IF(A1598="","",Universe!E1598/BDP(A1598&amp;" US Equity","HIGH_52WEEK")*100)</f>
        <v/>
      </c>
      <c r="I1598">
        <f>IF(D1598="","",D1598&gt;=5)</f>
        <v/>
      </c>
      <c r="J1598">
        <f>IF(F1598="","",F1598&gt;=5)</f>
        <v/>
      </c>
      <c r="K1598">
        <f>IF(H1598="","",H1598&gt;=75)</f>
        <v/>
      </c>
      <c r="L1598">
        <f>IF(OR(I1598="",J1598="",K1598=""),FALSE,AND(I1598,J1598,K1598))</f>
        <v/>
      </c>
    </row>
    <row r="1599">
      <c r="A1599">
        <f>Universe!A1599</f>
        <v/>
      </c>
      <c r="B1599" s="10" t="n"/>
      <c r="C1599" s="11">
        <f>IF(B1599="","",PERCENTRANK.INC($B$2:$B$2501,B1599)*100)</f>
        <v/>
      </c>
      <c r="D1599" s="10" t="n"/>
      <c r="E1599" s="10">
        <f>IF(D1599="","",MIN(D1599,100))</f>
        <v/>
      </c>
      <c r="F1599" s="10" t="n"/>
      <c r="G1599" s="10">
        <f>IF(F1599="","",MIN(F1599,100))</f>
        <v/>
      </c>
      <c r="H1599" s="11">
        <f>IF(A1599="","",Universe!E1599/BDP(A1599&amp;" US Equity","HIGH_52WEEK")*100)</f>
        <v/>
      </c>
      <c r="I1599">
        <f>IF(D1599="","",D1599&gt;=5)</f>
        <v/>
      </c>
      <c r="J1599">
        <f>IF(F1599="","",F1599&gt;=5)</f>
        <v/>
      </c>
      <c r="K1599">
        <f>IF(H1599="","",H1599&gt;=75)</f>
        <v/>
      </c>
      <c r="L1599">
        <f>IF(OR(I1599="",J1599="",K1599=""),FALSE,AND(I1599,J1599,K1599))</f>
        <v/>
      </c>
    </row>
    <row r="1600">
      <c r="A1600">
        <f>Universe!A1600</f>
        <v/>
      </c>
      <c r="B1600" s="10" t="n"/>
      <c r="C1600" s="11">
        <f>IF(B1600="","",PERCENTRANK.INC($B$2:$B$2501,B1600)*100)</f>
        <v/>
      </c>
      <c r="D1600" s="10" t="n"/>
      <c r="E1600" s="10">
        <f>IF(D1600="","",MIN(D1600,100))</f>
        <v/>
      </c>
      <c r="F1600" s="10" t="n"/>
      <c r="G1600" s="10">
        <f>IF(F1600="","",MIN(F1600,100))</f>
        <v/>
      </c>
      <c r="H1600" s="11">
        <f>IF(A1600="","",Universe!E1600/BDP(A1600&amp;" US Equity","HIGH_52WEEK")*100)</f>
        <v/>
      </c>
      <c r="I1600">
        <f>IF(D1600="","",D1600&gt;=5)</f>
        <v/>
      </c>
      <c r="J1600">
        <f>IF(F1600="","",F1600&gt;=5)</f>
        <v/>
      </c>
      <c r="K1600">
        <f>IF(H1600="","",H1600&gt;=75)</f>
        <v/>
      </c>
      <c r="L1600">
        <f>IF(OR(I1600="",J1600="",K1600=""),FALSE,AND(I1600,J1600,K1600))</f>
        <v/>
      </c>
    </row>
    <row r="1601">
      <c r="A1601">
        <f>Universe!A1601</f>
        <v/>
      </c>
      <c r="B1601" s="10" t="n"/>
      <c r="C1601" s="11">
        <f>IF(B1601="","",PERCENTRANK.INC($B$2:$B$2501,B1601)*100)</f>
        <v/>
      </c>
      <c r="D1601" s="10" t="n"/>
      <c r="E1601" s="10">
        <f>IF(D1601="","",MIN(D1601,100))</f>
        <v/>
      </c>
      <c r="F1601" s="10" t="n"/>
      <c r="G1601" s="10">
        <f>IF(F1601="","",MIN(F1601,100))</f>
        <v/>
      </c>
      <c r="H1601" s="11">
        <f>IF(A1601="","",Universe!E1601/BDP(A1601&amp;" US Equity","HIGH_52WEEK")*100)</f>
        <v/>
      </c>
      <c r="I1601">
        <f>IF(D1601="","",D1601&gt;=5)</f>
        <v/>
      </c>
      <c r="J1601">
        <f>IF(F1601="","",F1601&gt;=5)</f>
        <v/>
      </c>
      <c r="K1601">
        <f>IF(H1601="","",H1601&gt;=75)</f>
        <v/>
      </c>
      <c r="L1601">
        <f>IF(OR(I1601="",J1601="",K1601=""),FALSE,AND(I1601,J1601,K1601))</f>
        <v/>
      </c>
    </row>
    <row r="1602">
      <c r="A1602">
        <f>Universe!A1602</f>
        <v/>
      </c>
      <c r="B1602" s="10" t="n"/>
      <c r="C1602" s="11">
        <f>IF(B1602="","",PERCENTRANK.INC($B$2:$B$2501,B1602)*100)</f>
        <v/>
      </c>
      <c r="D1602" s="10" t="n"/>
      <c r="E1602" s="10">
        <f>IF(D1602="","",MIN(D1602,100))</f>
        <v/>
      </c>
      <c r="F1602" s="10" t="n"/>
      <c r="G1602" s="10">
        <f>IF(F1602="","",MIN(F1602,100))</f>
        <v/>
      </c>
      <c r="H1602" s="11">
        <f>IF(A1602="","",Universe!E1602/BDP(A1602&amp;" US Equity","HIGH_52WEEK")*100)</f>
        <v/>
      </c>
      <c r="I1602">
        <f>IF(D1602="","",D1602&gt;=5)</f>
        <v/>
      </c>
      <c r="J1602">
        <f>IF(F1602="","",F1602&gt;=5)</f>
        <v/>
      </c>
      <c r="K1602">
        <f>IF(H1602="","",H1602&gt;=75)</f>
        <v/>
      </c>
      <c r="L1602">
        <f>IF(OR(I1602="",J1602="",K1602=""),FALSE,AND(I1602,J1602,K1602))</f>
        <v/>
      </c>
    </row>
    <row r="1603">
      <c r="A1603">
        <f>Universe!A1603</f>
        <v/>
      </c>
      <c r="B1603" s="10" t="n"/>
      <c r="C1603" s="11">
        <f>IF(B1603="","",PERCENTRANK.INC($B$2:$B$2501,B1603)*100)</f>
        <v/>
      </c>
      <c r="D1603" s="10" t="n"/>
      <c r="E1603" s="10">
        <f>IF(D1603="","",MIN(D1603,100))</f>
        <v/>
      </c>
      <c r="F1603" s="10" t="n"/>
      <c r="G1603" s="10">
        <f>IF(F1603="","",MIN(F1603,100))</f>
        <v/>
      </c>
      <c r="H1603" s="11">
        <f>IF(A1603="","",Universe!E1603/BDP(A1603&amp;" US Equity","HIGH_52WEEK")*100)</f>
        <v/>
      </c>
      <c r="I1603">
        <f>IF(D1603="","",D1603&gt;=5)</f>
        <v/>
      </c>
      <c r="J1603">
        <f>IF(F1603="","",F1603&gt;=5)</f>
        <v/>
      </c>
      <c r="K1603">
        <f>IF(H1603="","",H1603&gt;=75)</f>
        <v/>
      </c>
      <c r="L1603">
        <f>IF(OR(I1603="",J1603="",K1603=""),FALSE,AND(I1603,J1603,K1603))</f>
        <v/>
      </c>
    </row>
    <row r="1604">
      <c r="A1604">
        <f>Universe!A1604</f>
        <v/>
      </c>
      <c r="B1604" s="10" t="n"/>
      <c r="C1604" s="11">
        <f>IF(B1604="","",PERCENTRANK.INC($B$2:$B$2501,B1604)*100)</f>
        <v/>
      </c>
      <c r="D1604" s="10" t="n"/>
      <c r="E1604" s="10">
        <f>IF(D1604="","",MIN(D1604,100))</f>
        <v/>
      </c>
      <c r="F1604" s="10" t="n"/>
      <c r="G1604" s="10">
        <f>IF(F1604="","",MIN(F1604,100))</f>
        <v/>
      </c>
      <c r="H1604" s="11">
        <f>IF(A1604="","",Universe!E1604/BDP(A1604&amp;" US Equity","HIGH_52WEEK")*100)</f>
        <v/>
      </c>
      <c r="I1604">
        <f>IF(D1604="","",D1604&gt;=5)</f>
        <v/>
      </c>
      <c r="J1604">
        <f>IF(F1604="","",F1604&gt;=5)</f>
        <v/>
      </c>
      <c r="K1604">
        <f>IF(H1604="","",H1604&gt;=75)</f>
        <v/>
      </c>
      <c r="L1604">
        <f>IF(OR(I1604="",J1604="",K1604=""),FALSE,AND(I1604,J1604,K1604))</f>
        <v/>
      </c>
    </row>
    <row r="1605">
      <c r="A1605">
        <f>Universe!A1605</f>
        <v/>
      </c>
      <c r="B1605" s="10" t="n"/>
      <c r="C1605" s="11">
        <f>IF(B1605="","",PERCENTRANK.INC($B$2:$B$2501,B1605)*100)</f>
        <v/>
      </c>
      <c r="D1605" s="10" t="n"/>
      <c r="E1605" s="10">
        <f>IF(D1605="","",MIN(D1605,100))</f>
        <v/>
      </c>
      <c r="F1605" s="10" t="n"/>
      <c r="G1605" s="10">
        <f>IF(F1605="","",MIN(F1605,100))</f>
        <v/>
      </c>
      <c r="H1605" s="11">
        <f>IF(A1605="","",Universe!E1605/BDP(A1605&amp;" US Equity","HIGH_52WEEK")*100)</f>
        <v/>
      </c>
      <c r="I1605">
        <f>IF(D1605="","",D1605&gt;=5)</f>
        <v/>
      </c>
      <c r="J1605">
        <f>IF(F1605="","",F1605&gt;=5)</f>
        <v/>
      </c>
      <c r="K1605">
        <f>IF(H1605="","",H1605&gt;=75)</f>
        <v/>
      </c>
      <c r="L1605">
        <f>IF(OR(I1605="",J1605="",K1605=""),FALSE,AND(I1605,J1605,K1605))</f>
        <v/>
      </c>
    </row>
    <row r="1606">
      <c r="A1606">
        <f>Universe!A1606</f>
        <v/>
      </c>
      <c r="B1606" s="10" t="n"/>
      <c r="C1606" s="11">
        <f>IF(B1606="","",PERCENTRANK.INC($B$2:$B$2501,B1606)*100)</f>
        <v/>
      </c>
      <c r="D1606" s="10" t="n"/>
      <c r="E1606" s="10">
        <f>IF(D1606="","",MIN(D1606,100))</f>
        <v/>
      </c>
      <c r="F1606" s="10" t="n"/>
      <c r="G1606" s="10">
        <f>IF(F1606="","",MIN(F1606,100))</f>
        <v/>
      </c>
      <c r="H1606" s="11">
        <f>IF(A1606="","",Universe!E1606/BDP(A1606&amp;" US Equity","HIGH_52WEEK")*100)</f>
        <v/>
      </c>
      <c r="I1606">
        <f>IF(D1606="","",D1606&gt;=5)</f>
        <v/>
      </c>
      <c r="J1606">
        <f>IF(F1606="","",F1606&gt;=5)</f>
        <v/>
      </c>
      <c r="K1606">
        <f>IF(H1606="","",H1606&gt;=75)</f>
        <v/>
      </c>
      <c r="L1606">
        <f>IF(OR(I1606="",J1606="",K1606=""),FALSE,AND(I1606,J1606,K1606))</f>
        <v/>
      </c>
    </row>
    <row r="1607">
      <c r="A1607">
        <f>Universe!A1607</f>
        <v/>
      </c>
      <c r="B1607" s="10" t="n"/>
      <c r="C1607" s="11">
        <f>IF(B1607="","",PERCENTRANK.INC($B$2:$B$2501,B1607)*100)</f>
        <v/>
      </c>
      <c r="D1607" s="10" t="n"/>
      <c r="E1607" s="10">
        <f>IF(D1607="","",MIN(D1607,100))</f>
        <v/>
      </c>
      <c r="F1607" s="10" t="n"/>
      <c r="G1607" s="10">
        <f>IF(F1607="","",MIN(F1607,100))</f>
        <v/>
      </c>
      <c r="H1607" s="11">
        <f>IF(A1607="","",Universe!E1607/BDP(A1607&amp;" US Equity","HIGH_52WEEK")*100)</f>
        <v/>
      </c>
      <c r="I1607">
        <f>IF(D1607="","",D1607&gt;=5)</f>
        <v/>
      </c>
      <c r="J1607">
        <f>IF(F1607="","",F1607&gt;=5)</f>
        <v/>
      </c>
      <c r="K1607">
        <f>IF(H1607="","",H1607&gt;=75)</f>
        <v/>
      </c>
      <c r="L1607">
        <f>IF(OR(I1607="",J1607="",K1607=""),FALSE,AND(I1607,J1607,K1607))</f>
        <v/>
      </c>
    </row>
    <row r="1608">
      <c r="A1608">
        <f>Universe!A1608</f>
        <v/>
      </c>
      <c r="B1608" s="10" t="n"/>
      <c r="C1608" s="11">
        <f>IF(B1608="","",PERCENTRANK.INC($B$2:$B$2501,B1608)*100)</f>
        <v/>
      </c>
      <c r="D1608" s="10" t="n"/>
      <c r="E1608" s="10">
        <f>IF(D1608="","",MIN(D1608,100))</f>
        <v/>
      </c>
      <c r="F1608" s="10" t="n"/>
      <c r="G1608" s="10">
        <f>IF(F1608="","",MIN(F1608,100))</f>
        <v/>
      </c>
      <c r="H1608" s="11">
        <f>IF(A1608="","",Universe!E1608/BDP(A1608&amp;" US Equity","HIGH_52WEEK")*100)</f>
        <v/>
      </c>
      <c r="I1608">
        <f>IF(D1608="","",D1608&gt;=5)</f>
        <v/>
      </c>
      <c r="J1608">
        <f>IF(F1608="","",F1608&gt;=5)</f>
        <v/>
      </c>
      <c r="K1608">
        <f>IF(H1608="","",H1608&gt;=75)</f>
        <v/>
      </c>
      <c r="L1608">
        <f>IF(OR(I1608="",J1608="",K1608=""),FALSE,AND(I1608,J1608,K1608))</f>
        <v/>
      </c>
    </row>
    <row r="1609">
      <c r="A1609">
        <f>Universe!A1609</f>
        <v/>
      </c>
      <c r="B1609" s="10" t="n"/>
      <c r="C1609" s="11">
        <f>IF(B1609="","",PERCENTRANK.INC($B$2:$B$2501,B1609)*100)</f>
        <v/>
      </c>
      <c r="D1609" s="10" t="n"/>
      <c r="E1609" s="10">
        <f>IF(D1609="","",MIN(D1609,100))</f>
        <v/>
      </c>
      <c r="F1609" s="10" t="n"/>
      <c r="G1609" s="10">
        <f>IF(F1609="","",MIN(F1609,100))</f>
        <v/>
      </c>
      <c r="H1609" s="11">
        <f>IF(A1609="","",Universe!E1609/BDP(A1609&amp;" US Equity","HIGH_52WEEK")*100)</f>
        <v/>
      </c>
      <c r="I1609">
        <f>IF(D1609="","",D1609&gt;=5)</f>
        <v/>
      </c>
      <c r="J1609">
        <f>IF(F1609="","",F1609&gt;=5)</f>
        <v/>
      </c>
      <c r="K1609">
        <f>IF(H1609="","",H1609&gt;=75)</f>
        <v/>
      </c>
      <c r="L1609">
        <f>IF(OR(I1609="",J1609="",K1609=""),FALSE,AND(I1609,J1609,K1609))</f>
        <v/>
      </c>
    </row>
    <row r="1610">
      <c r="A1610">
        <f>Universe!A1610</f>
        <v/>
      </c>
      <c r="B1610" s="10" t="n"/>
      <c r="C1610" s="11">
        <f>IF(B1610="","",PERCENTRANK.INC($B$2:$B$2501,B1610)*100)</f>
        <v/>
      </c>
      <c r="D1610" s="10" t="n"/>
      <c r="E1610" s="10">
        <f>IF(D1610="","",MIN(D1610,100))</f>
        <v/>
      </c>
      <c r="F1610" s="10" t="n"/>
      <c r="G1610" s="10">
        <f>IF(F1610="","",MIN(F1610,100))</f>
        <v/>
      </c>
      <c r="H1610" s="11">
        <f>IF(A1610="","",Universe!E1610/BDP(A1610&amp;" US Equity","HIGH_52WEEK")*100)</f>
        <v/>
      </c>
      <c r="I1610">
        <f>IF(D1610="","",D1610&gt;=5)</f>
        <v/>
      </c>
      <c r="J1610">
        <f>IF(F1610="","",F1610&gt;=5)</f>
        <v/>
      </c>
      <c r="K1610">
        <f>IF(H1610="","",H1610&gt;=75)</f>
        <v/>
      </c>
      <c r="L1610">
        <f>IF(OR(I1610="",J1610="",K1610=""),FALSE,AND(I1610,J1610,K1610))</f>
        <v/>
      </c>
    </row>
    <row r="1611">
      <c r="A1611">
        <f>Universe!A1611</f>
        <v/>
      </c>
      <c r="B1611" s="10" t="n"/>
      <c r="C1611" s="11">
        <f>IF(B1611="","",PERCENTRANK.INC($B$2:$B$2501,B1611)*100)</f>
        <v/>
      </c>
      <c r="D1611" s="10" t="n"/>
      <c r="E1611" s="10">
        <f>IF(D1611="","",MIN(D1611,100))</f>
        <v/>
      </c>
      <c r="F1611" s="10" t="n"/>
      <c r="G1611" s="10">
        <f>IF(F1611="","",MIN(F1611,100))</f>
        <v/>
      </c>
      <c r="H1611" s="11">
        <f>IF(A1611="","",Universe!E1611/BDP(A1611&amp;" US Equity","HIGH_52WEEK")*100)</f>
        <v/>
      </c>
      <c r="I1611">
        <f>IF(D1611="","",D1611&gt;=5)</f>
        <v/>
      </c>
      <c r="J1611">
        <f>IF(F1611="","",F1611&gt;=5)</f>
        <v/>
      </c>
      <c r="K1611">
        <f>IF(H1611="","",H1611&gt;=75)</f>
        <v/>
      </c>
      <c r="L1611">
        <f>IF(OR(I1611="",J1611="",K1611=""),FALSE,AND(I1611,J1611,K1611))</f>
        <v/>
      </c>
    </row>
    <row r="1612">
      <c r="A1612">
        <f>Universe!A1612</f>
        <v/>
      </c>
      <c r="B1612" s="10" t="n"/>
      <c r="C1612" s="11">
        <f>IF(B1612="","",PERCENTRANK.INC($B$2:$B$2501,B1612)*100)</f>
        <v/>
      </c>
      <c r="D1612" s="10" t="n"/>
      <c r="E1612" s="10">
        <f>IF(D1612="","",MIN(D1612,100))</f>
        <v/>
      </c>
      <c r="F1612" s="10" t="n"/>
      <c r="G1612" s="10">
        <f>IF(F1612="","",MIN(F1612,100))</f>
        <v/>
      </c>
      <c r="H1612" s="11">
        <f>IF(A1612="","",Universe!E1612/BDP(A1612&amp;" US Equity","HIGH_52WEEK")*100)</f>
        <v/>
      </c>
      <c r="I1612">
        <f>IF(D1612="","",D1612&gt;=5)</f>
        <v/>
      </c>
      <c r="J1612">
        <f>IF(F1612="","",F1612&gt;=5)</f>
        <v/>
      </c>
      <c r="K1612">
        <f>IF(H1612="","",H1612&gt;=75)</f>
        <v/>
      </c>
      <c r="L1612">
        <f>IF(OR(I1612="",J1612="",K1612=""),FALSE,AND(I1612,J1612,K1612))</f>
        <v/>
      </c>
    </row>
    <row r="1613">
      <c r="A1613">
        <f>Universe!A1613</f>
        <v/>
      </c>
      <c r="B1613" s="10" t="n"/>
      <c r="C1613" s="11">
        <f>IF(B1613="","",PERCENTRANK.INC($B$2:$B$2501,B1613)*100)</f>
        <v/>
      </c>
      <c r="D1613" s="10" t="n"/>
      <c r="E1613" s="10">
        <f>IF(D1613="","",MIN(D1613,100))</f>
        <v/>
      </c>
      <c r="F1613" s="10" t="n"/>
      <c r="G1613" s="10">
        <f>IF(F1613="","",MIN(F1613,100))</f>
        <v/>
      </c>
      <c r="H1613" s="11">
        <f>IF(A1613="","",Universe!E1613/BDP(A1613&amp;" US Equity","HIGH_52WEEK")*100)</f>
        <v/>
      </c>
      <c r="I1613">
        <f>IF(D1613="","",D1613&gt;=5)</f>
        <v/>
      </c>
      <c r="J1613">
        <f>IF(F1613="","",F1613&gt;=5)</f>
        <v/>
      </c>
      <c r="K1613">
        <f>IF(H1613="","",H1613&gt;=75)</f>
        <v/>
      </c>
      <c r="L1613">
        <f>IF(OR(I1613="",J1613="",K1613=""),FALSE,AND(I1613,J1613,K1613))</f>
        <v/>
      </c>
    </row>
    <row r="1614">
      <c r="A1614">
        <f>Universe!A1614</f>
        <v/>
      </c>
      <c r="B1614" s="10" t="n"/>
      <c r="C1614" s="11">
        <f>IF(B1614="","",PERCENTRANK.INC($B$2:$B$2501,B1614)*100)</f>
        <v/>
      </c>
      <c r="D1614" s="10" t="n"/>
      <c r="E1614" s="10">
        <f>IF(D1614="","",MIN(D1614,100))</f>
        <v/>
      </c>
      <c r="F1614" s="10" t="n"/>
      <c r="G1614" s="10">
        <f>IF(F1614="","",MIN(F1614,100))</f>
        <v/>
      </c>
      <c r="H1614" s="11">
        <f>IF(A1614="","",Universe!E1614/BDP(A1614&amp;" US Equity","HIGH_52WEEK")*100)</f>
        <v/>
      </c>
      <c r="I1614">
        <f>IF(D1614="","",D1614&gt;=5)</f>
        <v/>
      </c>
      <c r="J1614">
        <f>IF(F1614="","",F1614&gt;=5)</f>
        <v/>
      </c>
      <c r="K1614">
        <f>IF(H1614="","",H1614&gt;=75)</f>
        <v/>
      </c>
      <c r="L1614">
        <f>IF(OR(I1614="",J1614="",K1614=""),FALSE,AND(I1614,J1614,K1614))</f>
        <v/>
      </c>
    </row>
    <row r="1615">
      <c r="A1615">
        <f>Universe!A1615</f>
        <v/>
      </c>
      <c r="B1615" s="10" t="n"/>
      <c r="C1615" s="11">
        <f>IF(B1615="","",PERCENTRANK.INC($B$2:$B$2501,B1615)*100)</f>
        <v/>
      </c>
      <c r="D1615" s="10" t="n"/>
      <c r="E1615" s="10">
        <f>IF(D1615="","",MIN(D1615,100))</f>
        <v/>
      </c>
      <c r="F1615" s="10" t="n"/>
      <c r="G1615" s="10">
        <f>IF(F1615="","",MIN(F1615,100))</f>
        <v/>
      </c>
      <c r="H1615" s="11">
        <f>IF(A1615="","",Universe!E1615/BDP(A1615&amp;" US Equity","HIGH_52WEEK")*100)</f>
        <v/>
      </c>
      <c r="I1615">
        <f>IF(D1615="","",D1615&gt;=5)</f>
        <v/>
      </c>
      <c r="J1615">
        <f>IF(F1615="","",F1615&gt;=5)</f>
        <v/>
      </c>
      <c r="K1615">
        <f>IF(H1615="","",H1615&gt;=75)</f>
        <v/>
      </c>
      <c r="L1615">
        <f>IF(OR(I1615="",J1615="",K1615=""),FALSE,AND(I1615,J1615,K1615))</f>
        <v/>
      </c>
    </row>
    <row r="1616">
      <c r="A1616">
        <f>Universe!A1616</f>
        <v/>
      </c>
      <c r="B1616" s="10" t="n"/>
      <c r="C1616" s="11">
        <f>IF(B1616="","",PERCENTRANK.INC($B$2:$B$2501,B1616)*100)</f>
        <v/>
      </c>
      <c r="D1616" s="10" t="n"/>
      <c r="E1616" s="10">
        <f>IF(D1616="","",MIN(D1616,100))</f>
        <v/>
      </c>
      <c r="F1616" s="10" t="n"/>
      <c r="G1616" s="10">
        <f>IF(F1616="","",MIN(F1616,100))</f>
        <v/>
      </c>
      <c r="H1616" s="11">
        <f>IF(A1616="","",Universe!E1616/BDP(A1616&amp;" US Equity","HIGH_52WEEK")*100)</f>
        <v/>
      </c>
      <c r="I1616">
        <f>IF(D1616="","",D1616&gt;=5)</f>
        <v/>
      </c>
      <c r="J1616">
        <f>IF(F1616="","",F1616&gt;=5)</f>
        <v/>
      </c>
      <c r="K1616">
        <f>IF(H1616="","",H1616&gt;=75)</f>
        <v/>
      </c>
      <c r="L1616">
        <f>IF(OR(I1616="",J1616="",K1616=""),FALSE,AND(I1616,J1616,K1616))</f>
        <v/>
      </c>
    </row>
    <row r="1617">
      <c r="A1617">
        <f>Universe!A1617</f>
        <v/>
      </c>
      <c r="B1617" s="10" t="n"/>
      <c r="C1617" s="11">
        <f>IF(B1617="","",PERCENTRANK.INC($B$2:$B$2501,B1617)*100)</f>
        <v/>
      </c>
      <c r="D1617" s="10" t="n"/>
      <c r="E1617" s="10">
        <f>IF(D1617="","",MIN(D1617,100))</f>
        <v/>
      </c>
      <c r="F1617" s="10" t="n"/>
      <c r="G1617" s="10">
        <f>IF(F1617="","",MIN(F1617,100))</f>
        <v/>
      </c>
      <c r="H1617" s="11">
        <f>IF(A1617="","",Universe!E1617/BDP(A1617&amp;" US Equity","HIGH_52WEEK")*100)</f>
        <v/>
      </c>
      <c r="I1617">
        <f>IF(D1617="","",D1617&gt;=5)</f>
        <v/>
      </c>
      <c r="J1617">
        <f>IF(F1617="","",F1617&gt;=5)</f>
        <v/>
      </c>
      <c r="K1617">
        <f>IF(H1617="","",H1617&gt;=75)</f>
        <v/>
      </c>
      <c r="L1617">
        <f>IF(OR(I1617="",J1617="",K1617=""),FALSE,AND(I1617,J1617,K1617))</f>
        <v/>
      </c>
    </row>
    <row r="1618">
      <c r="A1618">
        <f>Universe!A1618</f>
        <v/>
      </c>
      <c r="B1618" s="10" t="n"/>
      <c r="C1618" s="11">
        <f>IF(B1618="","",PERCENTRANK.INC($B$2:$B$2501,B1618)*100)</f>
        <v/>
      </c>
      <c r="D1618" s="10" t="n"/>
      <c r="E1618" s="10">
        <f>IF(D1618="","",MIN(D1618,100))</f>
        <v/>
      </c>
      <c r="F1618" s="10" t="n"/>
      <c r="G1618" s="10">
        <f>IF(F1618="","",MIN(F1618,100))</f>
        <v/>
      </c>
      <c r="H1618" s="11">
        <f>IF(A1618="","",Universe!E1618/BDP(A1618&amp;" US Equity","HIGH_52WEEK")*100)</f>
        <v/>
      </c>
      <c r="I1618">
        <f>IF(D1618="","",D1618&gt;=5)</f>
        <v/>
      </c>
      <c r="J1618">
        <f>IF(F1618="","",F1618&gt;=5)</f>
        <v/>
      </c>
      <c r="K1618">
        <f>IF(H1618="","",H1618&gt;=75)</f>
        <v/>
      </c>
      <c r="L1618">
        <f>IF(OR(I1618="",J1618="",K1618=""),FALSE,AND(I1618,J1618,K1618))</f>
        <v/>
      </c>
    </row>
    <row r="1619">
      <c r="A1619">
        <f>Universe!A1619</f>
        <v/>
      </c>
      <c r="B1619" s="10" t="n"/>
      <c r="C1619" s="11">
        <f>IF(B1619="","",PERCENTRANK.INC($B$2:$B$2501,B1619)*100)</f>
        <v/>
      </c>
      <c r="D1619" s="10" t="n"/>
      <c r="E1619" s="10">
        <f>IF(D1619="","",MIN(D1619,100))</f>
        <v/>
      </c>
      <c r="F1619" s="10" t="n"/>
      <c r="G1619" s="10">
        <f>IF(F1619="","",MIN(F1619,100))</f>
        <v/>
      </c>
      <c r="H1619" s="11">
        <f>IF(A1619="","",Universe!E1619/BDP(A1619&amp;" US Equity","HIGH_52WEEK")*100)</f>
        <v/>
      </c>
      <c r="I1619">
        <f>IF(D1619="","",D1619&gt;=5)</f>
        <v/>
      </c>
      <c r="J1619">
        <f>IF(F1619="","",F1619&gt;=5)</f>
        <v/>
      </c>
      <c r="K1619">
        <f>IF(H1619="","",H1619&gt;=75)</f>
        <v/>
      </c>
      <c r="L1619">
        <f>IF(OR(I1619="",J1619="",K1619=""),FALSE,AND(I1619,J1619,K1619))</f>
        <v/>
      </c>
    </row>
    <row r="1620">
      <c r="A1620">
        <f>Universe!A1620</f>
        <v/>
      </c>
      <c r="B1620" s="10" t="n"/>
      <c r="C1620" s="11">
        <f>IF(B1620="","",PERCENTRANK.INC($B$2:$B$2501,B1620)*100)</f>
        <v/>
      </c>
      <c r="D1620" s="10" t="n"/>
      <c r="E1620" s="10">
        <f>IF(D1620="","",MIN(D1620,100))</f>
        <v/>
      </c>
      <c r="F1620" s="10" t="n"/>
      <c r="G1620" s="10">
        <f>IF(F1620="","",MIN(F1620,100))</f>
        <v/>
      </c>
      <c r="H1620" s="11">
        <f>IF(A1620="","",Universe!E1620/BDP(A1620&amp;" US Equity","HIGH_52WEEK")*100)</f>
        <v/>
      </c>
      <c r="I1620">
        <f>IF(D1620="","",D1620&gt;=5)</f>
        <v/>
      </c>
      <c r="J1620">
        <f>IF(F1620="","",F1620&gt;=5)</f>
        <v/>
      </c>
      <c r="K1620">
        <f>IF(H1620="","",H1620&gt;=75)</f>
        <v/>
      </c>
      <c r="L1620">
        <f>IF(OR(I1620="",J1620="",K1620=""),FALSE,AND(I1620,J1620,K1620))</f>
        <v/>
      </c>
    </row>
    <row r="1621">
      <c r="A1621">
        <f>Universe!A1621</f>
        <v/>
      </c>
      <c r="B1621" s="10" t="n"/>
      <c r="C1621" s="11">
        <f>IF(B1621="","",PERCENTRANK.INC($B$2:$B$2501,B1621)*100)</f>
        <v/>
      </c>
      <c r="D1621" s="10" t="n"/>
      <c r="E1621" s="10">
        <f>IF(D1621="","",MIN(D1621,100))</f>
        <v/>
      </c>
      <c r="F1621" s="10" t="n"/>
      <c r="G1621" s="10">
        <f>IF(F1621="","",MIN(F1621,100))</f>
        <v/>
      </c>
      <c r="H1621" s="11">
        <f>IF(A1621="","",Universe!E1621/BDP(A1621&amp;" US Equity","HIGH_52WEEK")*100)</f>
        <v/>
      </c>
      <c r="I1621">
        <f>IF(D1621="","",D1621&gt;=5)</f>
        <v/>
      </c>
      <c r="J1621">
        <f>IF(F1621="","",F1621&gt;=5)</f>
        <v/>
      </c>
      <c r="K1621">
        <f>IF(H1621="","",H1621&gt;=75)</f>
        <v/>
      </c>
      <c r="L1621">
        <f>IF(OR(I1621="",J1621="",K1621=""),FALSE,AND(I1621,J1621,K1621))</f>
        <v/>
      </c>
    </row>
    <row r="1622">
      <c r="A1622">
        <f>Universe!A1622</f>
        <v/>
      </c>
      <c r="B1622" s="10" t="n"/>
      <c r="C1622" s="11">
        <f>IF(B1622="","",PERCENTRANK.INC($B$2:$B$2501,B1622)*100)</f>
        <v/>
      </c>
      <c r="D1622" s="10" t="n"/>
      <c r="E1622" s="10">
        <f>IF(D1622="","",MIN(D1622,100))</f>
        <v/>
      </c>
      <c r="F1622" s="10" t="n"/>
      <c r="G1622" s="10">
        <f>IF(F1622="","",MIN(F1622,100))</f>
        <v/>
      </c>
      <c r="H1622" s="11">
        <f>IF(A1622="","",Universe!E1622/BDP(A1622&amp;" US Equity","HIGH_52WEEK")*100)</f>
        <v/>
      </c>
      <c r="I1622">
        <f>IF(D1622="","",D1622&gt;=5)</f>
        <v/>
      </c>
      <c r="J1622">
        <f>IF(F1622="","",F1622&gt;=5)</f>
        <v/>
      </c>
      <c r="K1622">
        <f>IF(H1622="","",H1622&gt;=75)</f>
        <v/>
      </c>
      <c r="L1622">
        <f>IF(OR(I1622="",J1622="",K1622=""),FALSE,AND(I1622,J1622,K1622))</f>
        <v/>
      </c>
    </row>
    <row r="1623">
      <c r="A1623">
        <f>Universe!A1623</f>
        <v/>
      </c>
      <c r="B1623" s="10" t="n"/>
      <c r="C1623" s="11">
        <f>IF(B1623="","",PERCENTRANK.INC($B$2:$B$2501,B1623)*100)</f>
        <v/>
      </c>
      <c r="D1623" s="10" t="n"/>
      <c r="E1623" s="10">
        <f>IF(D1623="","",MIN(D1623,100))</f>
        <v/>
      </c>
      <c r="F1623" s="10" t="n"/>
      <c r="G1623" s="10">
        <f>IF(F1623="","",MIN(F1623,100))</f>
        <v/>
      </c>
      <c r="H1623" s="11">
        <f>IF(A1623="","",Universe!E1623/BDP(A1623&amp;" US Equity","HIGH_52WEEK")*100)</f>
        <v/>
      </c>
      <c r="I1623">
        <f>IF(D1623="","",D1623&gt;=5)</f>
        <v/>
      </c>
      <c r="J1623">
        <f>IF(F1623="","",F1623&gt;=5)</f>
        <v/>
      </c>
      <c r="K1623">
        <f>IF(H1623="","",H1623&gt;=75)</f>
        <v/>
      </c>
      <c r="L1623">
        <f>IF(OR(I1623="",J1623="",K1623=""),FALSE,AND(I1623,J1623,K1623))</f>
        <v/>
      </c>
    </row>
    <row r="1624">
      <c r="A1624">
        <f>Universe!A1624</f>
        <v/>
      </c>
      <c r="B1624" s="10" t="n"/>
      <c r="C1624" s="11">
        <f>IF(B1624="","",PERCENTRANK.INC($B$2:$B$2501,B1624)*100)</f>
        <v/>
      </c>
      <c r="D1624" s="10" t="n"/>
      <c r="E1624" s="10">
        <f>IF(D1624="","",MIN(D1624,100))</f>
        <v/>
      </c>
      <c r="F1624" s="10" t="n"/>
      <c r="G1624" s="10">
        <f>IF(F1624="","",MIN(F1624,100))</f>
        <v/>
      </c>
      <c r="H1624" s="11">
        <f>IF(A1624="","",Universe!E1624/BDP(A1624&amp;" US Equity","HIGH_52WEEK")*100)</f>
        <v/>
      </c>
      <c r="I1624">
        <f>IF(D1624="","",D1624&gt;=5)</f>
        <v/>
      </c>
      <c r="J1624">
        <f>IF(F1624="","",F1624&gt;=5)</f>
        <v/>
      </c>
      <c r="K1624">
        <f>IF(H1624="","",H1624&gt;=75)</f>
        <v/>
      </c>
      <c r="L1624">
        <f>IF(OR(I1624="",J1624="",K1624=""),FALSE,AND(I1624,J1624,K1624))</f>
        <v/>
      </c>
    </row>
    <row r="1625">
      <c r="A1625">
        <f>Universe!A1625</f>
        <v/>
      </c>
      <c r="B1625" s="10" t="n"/>
      <c r="C1625" s="11">
        <f>IF(B1625="","",PERCENTRANK.INC($B$2:$B$2501,B1625)*100)</f>
        <v/>
      </c>
      <c r="D1625" s="10" t="n"/>
      <c r="E1625" s="10">
        <f>IF(D1625="","",MIN(D1625,100))</f>
        <v/>
      </c>
      <c r="F1625" s="10" t="n"/>
      <c r="G1625" s="10">
        <f>IF(F1625="","",MIN(F1625,100))</f>
        <v/>
      </c>
      <c r="H1625" s="11">
        <f>IF(A1625="","",Universe!E1625/BDP(A1625&amp;" US Equity","HIGH_52WEEK")*100)</f>
        <v/>
      </c>
      <c r="I1625">
        <f>IF(D1625="","",D1625&gt;=5)</f>
        <v/>
      </c>
      <c r="J1625">
        <f>IF(F1625="","",F1625&gt;=5)</f>
        <v/>
      </c>
      <c r="K1625">
        <f>IF(H1625="","",H1625&gt;=75)</f>
        <v/>
      </c>
      <c r="L1625">
        <f>IF(OR(I1625="",J1625="",K1625=""),FALSE,AND(I1625,J1625,K1625))</f>
        <v/>
      </c>
    </row>
    <row r="1626">
      <c r="A1626">
        <f>Universe!A1626</f>
        <v/>
      </c>
      <c r="B1626" s="10" t="n"/>
      <c r="C1626" s="11">
        <f>IF(B1626="","",PERCENTRANK.INC($B$2:$B$2501,B1626)*100)</f>
        <v/>
      </c>
      <c r="D1626" s="10" t="n"/>
      <c r="E1626" s="10">
        <f>IF(D1626="","",MIN(D1626,100))</f>
        <v/>
      </c>
      <c r="F1626" s="10" t="n"/>
      <c r="G1626" s="10">
        <f>IF(F1626="","",MIN(F1626,100))</f>
        <v/>
      </c>
      <c r="H1626" s="11">
        <f>IF(A1626="","",Universe!E1626/BDP(A1626&amp;" US Equity","HIGH_52WEEK")*100)</f>
        <v/>
      </c>
      <c r="I1626">
        <f>IF(D1626="","",D1626&gt;=5)</f>
        <v/>
      </c>
      <c r="J1626">
        <f>IF(F1626="","",F1626&gt;=5)</f>
        <v/>
      </c>
      <c r="K1626">
        <f>IF(H1626="","",H1626&gt;=75)</f>
        <v/>
      </c>
      <c r="L1626">
        <f>IF(OR(I1626="",J1626="",K1626=""),FALSE,AND(I1626,J1626,K1626))</f>
        <v/>
      </c>
    </row>
    <row r="1627">
      <c r="A1627">
        <f>Universe!A1627</f>
        <v/>
      </c>
      <c r="B1627" s="10" t="n"/>
      <c r="C1627" s="11">
        <f>IF(B1627="","",PERCENTRANK.INC($B$2:$B$2501,B1627)*100)</f>
        <v/>
      </c>
      <c r="D1627" s="10" t="n"/>
      <c r="E1627" s="10">
        <f>IF(D1627="","",MIN(D1627,100))</f>
        <v/>
      </c>
      <c r="F1627" s="10" t="n"/>
      <c r="G1627" s="10">
        <f>IF(F1627="","",MIN(F1627,100))</f>
        <v/>
      </c>
      <c r="H1627" s="11">
        <f>IF(A1627="","",Universe!E1627/BDP(A1627&amp;" US Equity","HIGH_52WEEK")*100)</f>
        <v/>
      </c>
      <c r="I1627">
        <f>IF(D1627="","",D1627&gt;=5)</f>
        <v/>
      </c>
      <c r="J1627">
        <f>IF(F1627="","",F1627&gt;=5)</f>
        <v/>
      </c>
      <c r="K1627">
        <f>IF(H1627="","",H1627&gt;=75)</f>
        <v/>
      </c>
      <c r="L1627">
        <f>IF(OR(I1627="",J1627="",K1627=""),FALSE,AND(I1627,J1627,K1627))</f>
        <v/>
      </c>
    </row>
    <row r="1628">
      <c r="A1628">
        <f>Universe!A1628</f>
        <v/>
      </c>
      <c r="B1628" s="10" t="n"/>
      <c r="C1628" s="11">
        <f>IF(B1628="","",PERCENTRANK.INC($B$2:$B$2501,B1628)*100)</f>
        <v/>
      </c>
      <c r="D1628" s="10" t="n"/>
      <c r="E1628" s="10">
        <f>IF(D1628="","",MIN(D1628,100))</f>
        <v/>
      </c>
      <c r="F1628" s="10" t="n"/>
      <c r="G1628" s="10">
        <f>IF(F1628="","",MIN(F1628,100))</f>
        <v/>
      </c>
      <c r="H1628" s="11">
        <f>IF(A1628="","",Universe!E1628/BDP(A1628&amp;" US Equity","HIGH_52WEEK")*100)</f>
        <v/>
      </c>
      <c r="I1628">
        <f>IF(D1628="","",D1628&gt;=5)</f>
        <v/>
      </c>
      <c r="J1628">
        <f>IF(F1628="","",F1628&gt;=5)</f>
        <v/>
      </c>
      <c r="K1628">
        <f>IF(H1628="","",H1628&gt;=75)</f>
        <v/>
      </c>
      <c r="L1628">
        <f>IF(OR(I1628="",J1628="",K1628=""),FALSE,AND(I1628,J1628,K1628))</f>
        <v/>
      </c>
    </row>
    <row r="1629">
      <c r="A1629">
        <f>Universe!A1629</f>
        <v/>
      </c>
      <c r="B1629" s="10" t="n"/>
      <c r="C1629" s="11">
        <f>IF(B1629="","",PERCENTRANK.INC($B$2:$B$2501,B1629)*100)</f>
        <v/>
      </c>
      <c r="D1629" s="10" t="n"/>
      <c r="E1629" s="10">
        <f>IF(D1629="","",MIN(D1629,100))</f>
        <v/>
      </c>
      <c r="F1629" s="10" t="n"/>
      <c r="G1629" s="10">
        <f>IF(F1629="","",MIN(F1629,100))</f>
        <v/>
      </c>
      <c r="H1629" s="11">
        <f>IF(A1629="","",Universe!E1629/BDP(A1629&amp;" US Equity","HIGH_52WEEK")*100)</f>
        <v/>
      </c>
      <c r="I1629">
        <f>IF(D1629="","",D1629&gt;=5)</f>
        <v/>
      </c>
      <c r="J1629">
        <f>IF(F1629="","",F1629&gt;=5)</f>
        <v/>
      </c>
      <c r="K1629">
        <f>IF(H1629="","",H1629&gt;=75)</f>
        <v/>
      </c>
      <c r="L1629">
        <f>IF(OR(I1629="",J1629="",K1629=""),FALSE,AND(I1629,J1629,K1629))</f>
        <v/>
      </c>
    </row>
    <row r="1630">
      <c r="A1630">
        <f>Universe!A1630</f>
        <v/>
      </c>
      <c r="B1630" s="10" t="n"/>
      <c r="C1630" s="11">
        <f>IF(B1630="","",PERCENTRANK.INC($B$2:$B$2501,B1630)*100)</f>
        <v/>
      </c>
      <c r="D1630" s="10" t="n"/>
      <c r="E1630" s="10">
        <f>IF(D1630="","",MIN(D1630,100))</f>
        <v/>
      </c>
      <c r="F1630" s="10" t="n"/>
      <c r="G1630" s="10">
        <f>IF(F1630="","",MIN(F1630,100))</f>
        <v/>
      </c>
      <c r="H1630" s="11">
        <f>IF(A1630="","",Universe!E1630/BDP(A1630&amp;" US Equity","HIGH_52WEEK")*100)</f>
        <v/>
      </c>
      <c r="I1630">
        <f>IF(D1630="","",D1630&gt;=5)</f>
        <v/>
      </c>
      <c r="J1630">
        <f>IF(F1630="","",F1630&gt;=5)</f>
        <v/>
      </c>
      <c r="K1630">
        <f>IF(H1630="","",H1630&gt;=75)</f>
        <v/>
      </c>
      <c r="L1630">
        <f>IF(OR(I1630="",J1630="",K1630=""),FALSE,AND(I1630,J1630,K1630))</f>
        <v/>
      </c>
    </row>
    <row r="1631">
      <c r="A1631">
        <f>Universe!A1631</f>
        <v/>
      </c>
      <c r="B1631" s="10" t="n"/>
      <c r="C1631" s="11">
        <f>IF(B1631="","",PERCENTRANK.INC($B$2:$B$2501,B1631)*100)</f>
        <v/>
      </c>
      <c r="D1631" s="10" t="n"/>
      <c r="E1631" s="10">
        <f>IF(D1631="","",MIN(D1631,100))</f>
        <v/>
      </c>
      <c r="F1631" s="10" t="n"/>
      <c r="G1631" s="10">
        <f>IF(F1631="","",MIN(F1631,100))</f>
        <v/>
      </c>
      <c r="H1631" s="11">
        <f>IF(A1631="","",Universe!E1631/BDP(A1631&amp;" US Equity","HIGH_52WEEK")*100)</f>
        <v/>
      </c>
      <c r="I1631">
        <f>IF(D1631="","",D1631&gt;=5)</f>
        <v/>
      </c>
      <c r="J1631">
        <f>IF(F1631="","",F1631&gt;=5)</f>
        <v/>
      </c>
      <c r="K1631">
        <f>IF(H1631="","",H1631&gt;=75)</f>
        <v/>
      </c>
      <c r="L1631">
        <f>IF(OR(I1631="",J1631="",K1631=""),FALSE,AND(I1631,J1631,K1631))</f>
        <v/>
      </c>
    </row>
    <row r="1632">
      <c r="A1632">
        <f>Universe!A1632</f>
        <v/>
      </c>
      <c r="B1632" s="10" t="n"/>
      <c r="C1632" s="11">
        <f>IF(B1632="","",PERCENTRANK.INC($B$2:$B$2501,B1632)*100)</f>
        <v/>
      </c>
      <c r="D1632" s="10" t="n"/>
      <c r="E1632" s="10">
        <f>IF(D1632="","",MIN(D1632,100))</f>
        <v/>
      </c>
      <c r="F1632" s="10" t="n"/>
      <c r="G1632" s="10">
        <f>IF(F1632="","",MIN(F1632,100))</f>
        <v/>
      </c>
      <c r="H1632" s="11">
        <f>IF(A1632="","",Universe!E1632/BDP(A1632&amp;" US Equity","HIGH_52WEEK")*100)</f>
        <v/>
      </c>
      <c r="I1632">
        <f>IF(D1632="","",D1632&gt;=5)</f>
        <v/>
      </c>
      <c r="J1632">
        <f>IF(F1632="","",F1632&gt;=5)</f>
        <v/>
      </c>
      <c r="K1632">
        <f>IF(H1632="","",H1632&gt;=75)</f>
        <v/>
      </c>
      <c r="L1632">
        <f>IF(OR(I1632="",J1632="",K1632=""),FALSE,AND(I1632,J1632,K1632))</f>
        <v/>
      </c>
    </row>
    <row r="1633">
      <c r="A1633">
        <f>Universe!A1633</f>
        <v/>
      </c>
      <c r="B1633" s="10" t="n"/>
      <c r="C1633" s="11">
        <f>IF(B1633="","",PERCENTRANK.INC($B$2:$B$2501,B1633)*100)</f>
        <v/>
      </c>
      <c r="D1633" s="10" t="n"/>
      <c r="E1633" s="10">
        <f>IF(D1633="","",MIN(D1633,100))</f>
        <v/>
      </c>
      <c r="F1633" s="10" t="n"/>
      <c r="G1633" s="10">
        <f>IF(F1633="","",MIN(F1633,100))</f>
        <v/>
      </c>
      <c r="H1633" s="11">
        <f>IF(A1633="","",Universe!E1633/BDP(A1633&amp;" US Equity","HIGH_52WEEK")*100)</f>
        <v/>
      </c>
      <c r="I1633">
        <f>IF(D1633="","",D1633&gt;=5)</f>
        <v/>
      </c>
      <c r="J1633">
        <f>IF(F1633="","",F1633&gt;=5)</f>
        <v/>
      </c>
      <c r="K1633">
        <f>IF(H1633="","",H1633&gt;=75)</f>
        <v/>
      </c>
      <c r="L1633">
        <f>IF(OR(I1633="",J1633="",K1633=""),FALSE,AND(I1633,J1633,K1633))</f>
        <v/>
      </c>
    </row>
    <row r="1634">
      <c r="A1634">
        <f>Universe!A1634</f>
        <v/>
      </c>
      <c r="B1634" s="10" t="n"/>
      <c r="C1634" s="11">
        <f>IF(B1634="","",PERCENTRANK.INC($B$2:$B$2501,B1634)*100)</f>
        <v/>
      </c>
      <c r="D1634" s="10" t="n"/>
      <c r="E1634" s="10">
        <f>IF(D1634="","",MIN(D1634,100))</f>
        <v/>
      </c>
      <c r="F1634" s="10" t="n"/>
      <c r="G1634" s="10">
        <f>IF(F1634="","",MIN(F1634,100))</f>
        <v/>
      </c>
      <c r="H1634" s="11">
        <f>IF(A1634="","",Universe!E1634/BDP(A1634&amp;" US Equity","HIGH_52WEEK")*100)</f>
        <v/>
      </c>
      <c r="I1634">
        <f>IF(D1634="","",D1634&gt;=5)</f>
        <v/>
      </c>
      <c r="J1634">
        <f>IF(F1634="","",F1634&gt;=5)</f>
        <v/>
      </c>
      <c r="K1634">
        <f>IF(H1634="","",H1634&gt;=75)</f>
        <v/>
      </c>
      <c r="L1634">
        <f>IF(OR(I1634="",J1634="",K1634=""),FALSE,AND(I1634,J1634,K1634))</f>
        <v/>
      </c>
    </row>
    <row r="1635">
      <c r="A1635">
        <f>Universe!A1635</f>
        <v/>
      </c>
      <c r="B1635" s="10" t="n"/>
      <c r="C1635" s="11">
        <f>IF(B1635="","",PERCENTRANK.INC($B$2:$B$2501,B1635)*100)</f>
        <v/>
      </c>
      <c r="D1635" s="10" t="n"/>
      <c r="E1635" s="10">
        <f>IF(D1635="","",MIN(D1635,100))</f>
        <v/>
      </c>
      <c r="F1635" s="10" t="n"/>
      <c r="G1635" s="10">
        <f>IF(F1635="","",MIN(F1635,100))</f>
        <v/>
      </c>
      <c r="H1635" s="11">
        <f>IF(A1635="","",Universe!E1635/BDP(A1635&amp;" US Equity","HIGH_52WEEK")*100)</f>
        <v/>
      </c>
      <c r="I1635">
        <f>IF(D1635="","",D1635&gt;=5)</f>
        <v/>
      </c>
      <c r="J1635">
        <f>IF(F1635="","",F1635&gt;=5)</f>
        <v/>
      </c>
      <c r="K1635">
        <f>IF(H1635="","",H1635&gt;=75)</f>
        <v/>
      </c>
      <c r="L1635">
        <f>IF(OR(I1635="",J1635="",K1635=""),FALSE,AND(I1635,J1635,K1635))</f>
        <v/>
      </c>
    </row>
    <row r="1636">
      <c r="A1636">
        <f>Universe!A1636</f>
        <v/>
      </c>
      <c r="B1636" s="10" t="n"/>
      <c r="C1636" s="11">
        <f>IF(B1636="","",PERCENTRANK.INC($B$2:$B$2501,B1636)*100)</f>
        <v/>
      </c>
      <c r="D1636" s="10" t="n"/>
      <c r="E1636" s="10">
        <f>IF(D1636="","",MIN(D1636,100))</f>
        <v/>
      </c>
      <c r="F1636" s="10" t="n"/>
      <c r="G1636" s="10">
        <f>IF(F1636="","",MIN(F1636,100))</f>
        <v/>
      </c>
      <c r="H1636" s="11">
        <f>IF(A1636="","",Universe!E1636/BDP(A1636&amp;" US Equity","HIGH_52WEEK")*100)</f>
        <v/>
      </c>
      <c r="I1636">
        <f>IF(D1636="","",D1636&gt;=5)</f>
        <v/>
      </c>
      <c r="J1636">
        <f>IF(F1636="","",F1636&gt;=5)</f>
        <v/>
      </c>
      <c r="K1636">
        <f>IF(H1636="","",H1636&gt;=75)</f>
        <v/>
      </c>
      <c r="L1636">
        <f>IF(OR(I1636="",J1636="",K1636=""),FALSE,AND(I1636,J1636,K1636))</f>
        <v/>
      </c>
    </row>
    <row r="1637">
      <c r="A1637">
        <f>Universe!A1637</f>
        <v/>
      </c>
      <c r="B1637" s="10" t="n"/>
      <c r="C1637" s="11">
        <f>IF(B1637="","",PERCENTRANK.INC($B$2:$B$2501,B1637)*100)</f>
        <v/>
      </c>
      <c r="D1637" s="10" t="n"/>
      <c r="E1637" s="10">
        <f>IF(D1637="","",MIN(D1637,100))</f>
        <v/>
      </c>
      <c r="F1637" s="10" t="n"/>
      <c r="G1637" s="10">
        <f>IF(F1637="","",MIN(F1637,100))</f>
        <v/>
      </c>
      <c r="H1637" s="11">
        <f>IF(A1637="","",Universe!E1637/BDP(A1637&amp;" US Equity","HIGH_52WEEK")*100)</f>
        <v/>
      </c>
      <c r="I1637">
        <f>IF(D1637="","",D1637&gt;=5)</f>
        <v/>
      </c>
      <c r="J1637">
        <f>IF(F1637="","",F1637&gt;=5)</f>
        <v/>
      </c>
      <c r="K1637">
        <f>IF(H1637="","",H1637&gt;=75)</f>
        <v/>
      </c>
      <c r="L1637">
        <f>IF(OR(I1637="",J1637="",K1637=""),FALSE,AND(I1637,J1637,K1637))</f>
        <v/>
      </c>
    </row>
    <row r="1638">
      <c r="A1638">
        <f>Universe!A1638</f>
        <v/>
      </c>
      <c r="B1638" s="10" t="n"/>
      <c r="C1638" s="11">
        <f>IF(B1638="","",PERCENTRANK.INC($B$2:$B$2501,B1638)*100)</f>
        <v/>
      </c>
      <c r="D1638" s="10" t="n"/>
      <c r="E1638" s="10">
        <f>IF(D1638="","",MIN(D1638,100))</f>
        <v/>
      </c>
      <c r="F1638" s="10" t="n"/>
      <c r="G1638" s="10">
        <f>IF(F1638="","",MIN(F1638,100))</f>
        <v/>
      </c>
      <c r="H1638" s="11">
        <f>IF(A1638="","",Universe!E1638/BDP(A1638&amp;" US Equity","HIGH_52WEEK")*100)</f>
        <v/>
      </c>
      <c r="I1638">
        <f>IF(D1638="","",D1638&gt;=5)</f>
        <v/>
      </c>
      <c r="J1638">
        <f>IF(F1638="","",F1638&gt;=5)</f>
        <v/>
      </c>
      <c r="K1638">
        <f>IF(H1638="","",H1638&gt;=75)</f>
        <v/>
      </c>
      <c r="L1638">
        <f>IF(OR(I1638="",J1638="",K1638=""),FALSE,AND(I1638,J1638,K1638))</f>
        <v/>
      </c>
    </row>
    <row r="1639">
      <c r="A1639">
        <f>Universe!A1639</f>
        <v/>
      </c>
      <c r="B1639" s="10" t="n"/>
      <c r="C1639" s="11">
        <f>IF(B1639="","",PERCENTRANK.INC($B$2:$B$2501,B1639)*100)</f>
        <v/>
      </c>
      <c r="D1639" s="10" t="n"/>
      <c r="E1639" s="10">
        <f>IF(D1639="","",MIN(D1639,100))</f>
        <v/>
      </c>
      <c r="F1639" s="10" t="n"/>
      <c r="G1639" s="10">
        <f>IF(F1639="","",MIN(F1639,100))</f>
        <v/>
      </c>
      <c r="H1639" s="11">
        <f>IF(A1639="","",Universe!E1639/BDP(A1639&amp;" US Equity","HIGH_52WEEK")*100)</f>
        <v/>
      </c>
      <c r="I1639">
        <f>IF(D1639="","",D1639&gt;=5)</f>
        <v/>
      </c>
      <c r="J1639">
        <f>IF(F1639="","",F1639&gt;=5)</f>
        <v/>
      </c>
      <c r="K1639">
        <f>IF(H1639="","",H1639&gt;=75)</f>
        <v/>
      </c>
      <c r="L1639">
        <f>IF(OR(I1639="",J1639="",K1639=""),FALSE,AND(I1639,J1639,K1639))</f>
        <v/>
      </c>
    </row>
    <row r="1640">
      <c r="A1640">
        <f>Universe!A1640</f>
        <v/>
      </c>
      <c r="B1640" s="10" t="n"/>
      <c r="C1640" s="11">
        <f>IF(B1640="","",PERCENTRANK.INC($B$2:$B$2501,B1640)*100)</f>
        <v/>
      </c>
      <c r="D1640" s="10" t="n"/>
      <c r="E1640" s="10">
        <f>IF(D1640="","",MIN(D1640,100))</f>
        <v/>
      </c>
      <c r="F1640" s="10" t="n"/>
      <c r="G1640" s="10">
        <f>IF(F1640="","",MIN(F1640,100))</f>
        <v/>
      </c>
      <c r="H1640" s="11">
        <f>IF(A1640="","",Universe!E1640/BDP(A1640&amp;" US Equity","HIGH_52WEEK")*100)</f>
        <v/>
      </c>
      <c r="I1640">
        <f>IF(D1640="","",D1640&gt;=5)</f>
        <v/>
      </c>
      <c r="J1640">
        <f>IF(F1640="","",F1640&gt;=5)</f>
        <v/>
      </c>
      <c r="K1640">
        <f>IF(H1640="","",H1640&gt;=75)</f>
        <v/>
      </c>
      <c r="L1640">
        <f>IF(OR(I1640="",J1640="",K1640=""),FALSE,AND(I1640,J1640,K1640))</f>
        <v/>
      </c>
    </row>
    <row r="1641">
      <c r="A1641">
        <f>Universe!A1641</f>
        <v/>
      </c>
      <c r="B1641" s="10" t="n"/>
      <c r="C1641" s="11">
        <f>IF(B1641="","",PERCENTRANK.INC($B$2:$B$2501,B1641)*100)</f>
        <v/>
      </c>
      <c r="D1641" s="10" t="n"/>
      <c r="E1641" s="10">
        <f>IF(D1641="","",MIN(D1641,100))</f>
        <v/>
      </c>
      <c r="F1641" s="10" t="n"/>
      <c r="G1641" s="10">
        <f>IF(F1641="","",MIN(F1641,100))</f>
        <v/>
      </c>
      <c r="H1641" s="11">
        <f>IF(A1641="","",Universe!E1641/BDP(A1641&amp;" US Equity","HIGH_52WEEK")*100)</f>
        <v/>
      </c>
      <c r="I1641">
        <f>IF(D1641="","",D1641&gt;=5)</f>
        <v/>
      </c>
      <c r="J1641">
        <f>IF(F1641="","",F1641&gt;=5)</f>
        <v/>
      </c>
      <c r="K1641">
        <f>IF(H1641="","",H1641&gt;=75)</f>
        <v/>
      </c>
      <c r="L1641">
        <f>IF(OR(I1641="",J1641="",K1641=""),FALSE,AND(I1641,J1641,K1641))</f>
        <v/>
      </c>
    </row>
    <row r="1642">
      <c r="A1642">
        <f>Universe!A1642</f>
        <v/>
      </c>
      <c r="B1642" s="10" t="n"/>
      <c r="C1642" s="11">
        <f>IF(B1642="","",PERCENTRANK.INC($B$2:$B$2501,B1642)*100)</f>
        <v/>
      </c>
      <c r="D1642" s="10" t="n"/>
      <c r="E1642" s="10">
        <f>IF(D1642="","",MIN(D1642,100))</f>
        <v/>
      </c>
      <c r="F1642" s="10" t="n"/>
      <c r="G1642" s="10">
        <f>IF(F1642="","",MIN(F1642,100))</f>
        <v/>
      </c>
      <c r="H1642" s="11">
        <f>IF(A1642="","",Universe!E1642/BDP(A1642&amp;" US Equity","HIGH_52WEEK")*100)</f>
        <v/>
      </c>
      <c r="I1642">
        <f>IF(D1642="","",D1642&gt;=5)</f>
        <v/>
      </c>
      <c r="J1642">
        <f>IF(F1642="","",F1642&gt;=5)</f>
        <v/>
      </c>
      <c r="K1642">
        <f>IF(H1642="","",H1642&gt;=75)</f>
        <v/>
      </c>
      <c r="L1642">
        <f>IF(OR(I1642="",J1642="",K1642=""),FALSE,AND(I1642,J1642,K1642))</f>
        <v/>
      </c>
    </row>
    <row r="1643">
      <c r="A1643">
        <f>Universe!A1643</f>
        <v/>
      </c>
      <c r="B1643" s="10" t="n"/>
      <c r="C1643" s="11">
        <f>IF(B1643="","",PERCENTRANK.INC($B$2:$B$2501,B1643)*100)</f>
        <v/>
      </c>
      <c r="D1643" s="10" t="n"/>
      <c r="E1643" s="10">
        <f>IF(D1643="","",MIN(D1643,100))</f>
        <v/>
      </c>
      <c r="F1643" s="10" t="n"/>
      <c r="G1643" s="10">
        <f>IF(F1643="","",MIN(F1643,100))</f>
        <v/>
      </c>
      <c r="H1643" s="11">
        <f>IF(A1643="","",Universe!E1643/BDP(A1643&amp;" US Equity","HIGH_52WEEK")*100)</f>
        <v/>
      </c>
      <c r="I1643">
        <f>IF(D1643="","",D1643&gt;=5)</f>
        <v/>
      </c>
      <c r="J1643">
        <f>IF(F1643="","",F1643&gt;=5)</f>
        <v/>
      </c>
      <c r="K1643">
        <f>IF(H1643="","",H1643&gt;=75)</f>
        <v/>
      </c>
      <c r="L1643">
        <f>IF(OR(I1643="",J1643="",K1643=""),FALSE,AND(I1643,J1643,K1643))</f>
        <v/>
      </c>
    </row>
    <row r="1644">
      <c r="A1644">
        <f>Universe!A1644</f>
        <v/>
      </c>
      <c r="B1644" s="10" t="n"/>
      <c r="C1644" s="11">
        <f>IF(B1644="","",PERCENTRANK.INC($B$2:$B$2501,B1644)*100)</f>
        <v/>
      </c>
      <c r="D1644" s="10" t="n"/>
      <c r="E1644" s="10">
        <f>IF(D1644="","",MIN(D1644,100))</f>
        <v/>
      </c>
      <c r="F1644" s="10" t="n"/>
      <c r="G1644" s="10">
        <f>IF(F1644="","",MIN(F1644,100))</f>
        <v/>
      </c>
      <c r="H1644" s="11">
        <f>IF(A1644="","",Universe!E1644/BDP(A1644&amp;" US Equity","HIGH_52WEEK")*100)</f>
        <v/>
      </c>
      <c r="I1644">
        <f>IF(D1644="","",D1644&gt;=5)</f>
        <v/>
      </c>
      <c r="J1644">
        <f>IF(F1644="","",F1644&gt;=5)</f>
        <v/>
      </c>
      <c r="K1644">
        <f>IF(H1644="","",H1644&gt;=75)</f>
        <v/>
      </c>
      <c r="L1644">
        <f>IF(OR(I1644="",J1644="",K1644=""),FALSE,AND(I1644,J1644,K1644))</f>
        <v/>
      </c>
    </row>
    <row r="1645">
      <c r="A1645">
        <f>Universe!A1645</f>
        <v/>
      </c>
      <c r="B1645" s="10" t="n"/>
      <c r="C1645" s="11">
        <f>IF(B1645="","",PERCENTRANK.INC($B$2:$B$2501,B1645)*100)</f>
        <v/>
      </c>
      <c r="D1645" s="10" t="n"/>
      <c r="E1645" s="10">
        <f>IF(D1645="","",MIN(D1645,100))</f>
        <v/>
      </c>
      <c r="F1645" s="10" t="n"/>
      <c r="G1645" s="10">
        <f>IF(F1645="","",MIN(F1645,100))</f>
        <v/>
      </c>
      <c r="H1645" s="11">
        <f>IF(A1645="","",Universe!E1645/BDP(A1645&amp;" US Equity","HIGH_52WEEK")*100)</f>
        <v/>
      </c>
      <c r="I1645">
        <f>IF(D1645="","",D1645&gt;=5)</f>
        <v/>
      </c>
      <c r="J1645">
        <f>IF(F1645="","",F1645&gt;=5)</f>
        <v/>
      </c>
      <c r="K1645">
        <f>IF(H1645="","",H1645&gt;=75)</f>
        <v/>
      </c>
      <c r="L1645">
        <f>IF(OR(I1645="",J1645="",K1645=""),FALSE,AND(I1645,J1645,K1645))</f>
        <v/>
      </c>
    </row>
    <row r="1646">
      <c r="A1646">
        <f>Universe!A1646</f>
        <v/>
      </c>
      <c r="B1646" s="10" t="n"/>
      <c r="C1646" s="11">
        <f>IF(B1646="","",PERCENTRANK.INC($B$2:$B$2501,B1646)*100)</f>
        <v/>
      </c>
      <c r="D1646" s="10" t="n"/>
      <c r="E1646" s="10">
        <f>IF(D1646="","",MIN(D1646,100))</f>
        <v/>
      </c>
      <c r="F1646" s="10" t="n"/>
      <c r="G1646" s="10">
        <f>IF(F1646="","",MIN(F1646,100))</f>
        <v/>
      </c>
      <c r="H1646" s="11">
        <f>IF(A1646="","",Universe!E1646/BDP(A1646&amp;" US Equity","HIGH_52WEEK")*100)</f>
        <v/>
      </c>
      <c r="I1646">
        <f>IF(D1646="","",D1646&gt;=5)</f>
        <v/>
      </c>
      <c r="J1646">
        <f>IF(F1646="","",F1646&gt;=5)</f>
        <v/>
      </c>
      <c r="K1646">
        <f>IF(H1646="","",H1646&gt;=75)</f>
        <v/>
      </c>
      <c r="L1646">
        <f>IF(OR(I1646="",J1646="",K1646=""),FALSE,AND(I1646,J1646,K1646))</f>
        <v/>
      </c>
    </row>
    <row r="1647">
      <c r="A1647">
        <f>Universe!A1647</f>
        <v/>
      </c>
      <c r="B1647" s="10" t="n"/>
      <c r="C1647" s="11">
        <f>IF(B1647="","",PERCENTRANK.INC($B$2:$B$2501,B1647)*100)</f>
        <v/>
      </c>
      <c r="D1647" s="10" t="n"/>
      <c r="E1647" s="10">
        <f>IF(D1647="","",MIN(D1647,100))</f>
        <v/>
      </c>
      <c r="F1647" s="10" t="n"/>
      <c r="G1647" s="10">
        <f>IF(F1647="","",MIN(F1647,100))</f>
        <v/>
      </c>
      <c r="H1647" s="11">
        <f>IF(A1647="","",Universe!E1647/BDP(A1647&amp;" US Equity","HIGH_52WEEK")*100)</f>
        <v/>
      </c>
      <c r="I1647">
        <f>IF(D1647="","",D1647&gt;=5)</f>
        <v/>
      </c>
      <c r="J1647">
        <f>IF(F1647="","",F1647&gt;=5)</f>
        <v/>
      </c>
      <c r="K1647">
        <f>IF(H1647="","",H1647&gt;=75)</f>
        <v/>
      </c>
      <c r="L1647">
        <f>IF(OR(I1647="",J1647="",K1647=""),FALSE,AND(I1647,J1647,K1647))</f>
        <v/>
      </c>
    </row>
    <row r="1648">
      <c r="A1648">
        <f>Universe!A1648</f>
        <v/>
      </c>
      <c r="B1648" s="10" t="n"/>
      <c r="C1648" s="11">
        <f>IF(B1648="","",PERCENTRANK.INC($B$2:$B$2501,B1648)*100)</f>
        <v/>
      </c>
      <c r="D1648" s="10" t="n"/>
      <c r="E1648" s="10">
        <f>IF(D1648="","",MIN(D1648,100))</f>
        <v/>
      </c>
      <c r="F1648" s="10" t="n"/>
      <c r="G1648" s="10">
        <f>IF(F1648="","",MIN(F1648,100))</f>
        <v/>
      </c>
      <c r="H1648" s="11">
        <f>IF(A1648="","",Universe!E1648/BDP(A1648&amp;" US Equity","HIGH_52WEEK")*100)</f>
        <v/>
      </c>
      <c r="I1648">
        <f>IF(D1648="","",D1648&gt;=5)</f>
        <v/>
      </c>
      <c r="J1648">
        <f>IF(F1648="","",F1648&gt;=5)</f>
        <v/>
      </c>
      <c r="K1648">
        <f>IF(H1648="","",H1648&gt;=75)</f>
        <v/>
      </c>
      <c r="L1648">
        <f>IF(OR(I1648="",J1648="",K1648=""),FALSE,AND(I1648,J1648,K1648))</f>
        <v/>
      </c>
    </row>
    <row r="1649">
      <c r="A1649">
        <f>Universe!A1649</f>
        <v/>
      </c>
      <c r="B1649" s="10" t="n"/>
      <c r="C1649" s="11">
        <f>IF(B1649="","",PERCENTRANK.INC($B$2:$B$2501,B1649)*100)</f>
        <v/>
      </c>
      <c r="D1649" s="10" t="n"/>
      <c r="E1649" s="10">
        <f>IF(D1649="","",MIN(D1649,100))</f>
        <v/>
      </c>
      <c r="F1649" s="10" t="n"/>
      <c r="G1649" s="10">
        <f>IF(F1649="","",MIN(F1649,100))</f>
        <v/>
      </c>
      <c r="H1649" s="11">
        <f>IF(A1649="","",Universe!E1649/BDP(A1649&amp;" US Equity","HIGH_52WEEK")*100)</f>
        <v/>
      </c>
      <c r="I1649">
        <f>IF(D1649="","",D1649&gt;=5)</f>
        <v/>
      </c>
      <c r="J1649">
        <f>IF(F1649="","",F1649&gt;=5)</f>
        <v/>
      </c>
      <c r="K1649">
        <f>IF(H1649="","",H1649&gt;=75)</f>
        <v/>
      </c>
      <c r="L1649">
        <f>IF(OR(I1649="",J1649="",K1649=""),FALSE,AND(I1649,J1649,K1649))</f>
        <v/>
      </c>
    </row>
    <row r="1650">
      <c r="A1650">
        <f>Universe!A1650</f>
        <v/>
      </c>
      <c r="B1650" s="10" t="n"/>
      <c r="C1650" s="11">
        <f>IF(B1650="","",PERCENTRANK.INC($B$2:$B$2501,B1650)*100)</f>
        <v/>
      </c>
      <c r="D1650" s="10" t="n"/>
      <c r="E1650" s="10">
        <f>IF(D1650="","",MIN(D1650,100))</f>
        <v/>
      </c>
      <c r="F1650" s="10" t="n"/>
      <c r="G1650" s="10">
        <f>IF(F1650="","",MIN(F1650,100))</f>
        <v/>
      </c>
      <c r="H1650" s="11">
        <f>IF(A1650="","",Universe!E1650/BDP(A1650&amp;" US Equity","HIGH_52WEEK")*100)</f>
        <v/>
      </c>
      <c r="I1650">
        <f>IF(D1650="","",D1650&gt;=5)</f>
        <v/>
      </c>
      <c r="J1650">
        <f>IF(F1650="","",F1650&gt;=5)</f>
        <v/>
      </c>
      <c r="K1650">
        <f>IF(H1650="","",H1650&gt;=75)</f>
        <v/>
      </c>
      <c r="L1650">
        <f>IF(OR(I1650="",J1650="",K1650=""),FALSE,AND(I1650,J1650,K1650))</f>
        <v/>
      </c>
    </row>
    <row r="1651">
      <c r="A1651">
        <f>Universe!A1651</f>
        <v/>
      </c>
      <c r="B1651" s="10" t="n"/>
      <c r="C1651" s="11">
        <f>IF(B1651="","",PERCENTRANK.INC($B$2:$B$2501,B1651)*100)</f>
        <v/>
      </c>
      <c r="D1651" s="10" t="n"/>
      <c r="E1651" s="10">
        <f>IF(D1651="","",MIN(D1651,100))</f>
        <v/>
      </c>
      <c r="F1651" s="10" t="n"/>
      <c r="G1651" s="10">
        <f>IF(F1651="","",MIN(F1651,100))</f>
        <v/>
      </c>
      <c r="H1651" s="11">
        <f>IF(A1651="","",Universe!E1651/BDP(A1651&amp;" US Equity","HIGH_52WEEK")*100)</f>
        <v/>
      </c>
      <c r="I1651">
        <f>IF(D1651="","",D1651&gt;=5)</f>
        <v/>
      </c>
      <c r="J1651">
        <f>IF(F1651="","",F1651&gt;=5)</f>
        <v/>
      </c>
      <c r="K1651">
        <f>IF(H1651="","",H1651&gt;=75)</f>
        <v/>
      </c>
      <c r="L1651">
        <f>IF(OR(I1651="",J1651="",K1651=""),FALSE,AND(I1651,J1651,K1651))</f>
        <v/>
      </c>
    </row>
    <row r="1652">
      <c r="A1652">
        <f>Universe!A1652</f>
        <v/>
      </c>
      <c r="B1652" s="10" t="n"/>
      <c r="C1652" s="11">
        <f>IF(B1652="","",PERCENTRANK.INC($B$2:$B$2501,B1652)*100)</f>
        <v/>
      </c>
      <c r="D1652" s="10" t="n"/>
      <c r="E1652" s="10">
        <f>IF(D1652="","",MIN(D1652,100))</f>
        <v/>
      </c>
      <c r="F1652" s="10" t="n"/>
      <c r="G1652" s="10">
        <f>IF(F1652="","",MIN(F1652,100))</f>
        <v/>
      </c>
      <c r="H1652" s="11">
        <f>IF(A1652="","",Universe!E1652/BDP(A1652&amp;" US Equity","HIGH_52WEEK")*100)</f>
        <v/>
      </c>
      <c r="I1652">
        <f>IF(D1652="","",D1652&gt;=5)</f>
        <v/>
      </c>
      <c r="J1652">
        <f>IF(F1652="","",F1652&gt;=5)</f>
        <v/>
      </c>
      <c r="K1652">
        <f>IF(H1652="","",H1652&gt;=75)</f>
        <v/>
      </c>
      <c r="L1652">
        <f>IF(OR(I1652="",J1652="",K1652=""),FALSE,AND(I1652,J1652,K1652))</f>
        <v/>
      </c>
    </row>
    <row r="1653">
      <c r="A1653">
        <f>Universe!A1653</f>
        <v/>
      </c>
      <c r="B1653" s="10" t="n"/>
      <c r="C1653" s="11">
        <f>IF(B1653="","",PERCENTRANK.INC($B$2:$B$2501,B1653)*100)</f>
        <v/>
      </c>
      <c r="D1653" s="10" t="n"/>
      <c r="E1653" s="10">
        <f>IF(D1653="","",MIN(D1653,100))</f>
        <v/>
      </c>
      <c r="F1653" s="10" t="n"/>
      <c r="G1653" s="10">
        <f>IF(F1653="","",MIN(F1653,100))</f>
        <v/>
      </c>
      <c r="H1653" s="11">
        <f>IF(A1653="","",Universe!E1653/BDP(A1653&amp;" US Equity","HIGH_52WEEK")*100)</f>
        <v/>
      </c>
      <c r="I1653">
        <f>IF(D1653="","",D1653&gt;=5)</f>
        <v/>
      </c>
      <c r="J1653">
        <f>IF(F1653="","",F1653&gt;=5)</f>
        <v/>
      </c>
      <c r="K1653">
        <f>IF(H1653="","",H1653&gt;=75)</f>
        <v/>
      </c>
      <c r="L1653">
        <f>IF(OR(I1653="",J1653="",K1653=""),FALSE,AND(I1653,J1653,K1653))</f>
        <v/>
      </c>
    </row>
    <row r="1654">
      <c r="A1654">
        <f>Universe!A1654</f>
        <v/>
      </c>
      <c r="B1654" s="10" t="n"/>
      <c r="C1654" s="11">
        <f>IF(B1654="","",PERCENTRANK.INC($B$2:$B$2501,B1654)*100)</f>
        <v/>
      </c>
      <c r="D1654" s="10" t="n"/>
      <c r="E1654" s="10">
        <f>IF(D1654="","",MIN(D1654,100))</f>
        <v/>
      </c>
      <c r="F1654" s="10" t="n"/>
      <c r="G1654" s="10">
        <f>IF(F1654="","",MIN(F1654,100))</f>
        <v/>
      </c>
      <c r="H1654" s="11">
        <f>IF(A1654="","",Universe!E1654/BDP(A1654&amp;" US Equity","HIGH_52WEEK")*100)</f>
        <v/>
      </c>
      <c r="I1654">
        <f>IF(D1654="","",D1654&gt;=5)</f>
        <v/>
      </c>
      <c r="J1654">
        <f>IF(F1654="","",F1654&gt;=5)</f>
        <v/>
      </c>
      <c r="K1654">
        <f>IF(H1654="","",H1654&gt;=75)</f>
        <v/>
      </c>
      <c r="L1654">
        <f>IF(OR(I1654="",J1654="",K1654=""),FALSE,AND(I1654,J1654,K1654))</f>
        <v/>
      </c>
    </row>
    <row r="1655">
      <c r="A1655">
        <f>Universe!A1655</f>
        <v/>
      </c>
      <c r="B1655" s="10" t="n"/>
      <c r="C1655" s="11">
        <f>IF(B1655="","",PERCENTRANK.INC($B$2:$B$2501,B1655)*100)</f>
        <v/>
      </c>
      <c r="D1655" s="10" t="n"/>
      <c r="E1655" s="10">
        <f>IF(D1655="","",MIN(D1655,100))</f>
        <v/>
      </c>
      <c r="F1655" s="10" t="n"/>
      <c r="G1655" s="10">
        <f>IF(F1655="","",MIN(F1655,100))</f>
        <v/>
      </c>
      <c r="H1655" s="11">
        <f>IF(A1655="","",Universe!E1655/BDP(A1655&amp;" US Equity","HIGH_52WEEK")*100)</f>
        <v/>
      </c>
      <c r="I1655">
        <f>IF(D1655="","",D1655&gt;=5)</f>
        <v/>
      </c>
      <c r="J1655">
        <f>IF(F1655="","",F1655&gt;=5)</f>
        <v/>
      </c>
      <c r="K1655">
        <f>IF(H1655="","",H1655&gt;=75)</f>
        <v/>
      </c>
      <c r="L1655">
        <f>IF(OR(I1655="",J1655="",K1655=""),FALSE,AND(I1655,J1655,K1655))</f>
        <v/>
      </c>
    </row>
    <row r="1656">
      <c r="A1656">
        <f>Universe!A1656</f>
        <v/>
      </c>
      <c r="B1656" s="10" t="n"/>
      <c r="C1656" s="11">
        <f>IF(B1656="","",PERCENTRANK.INC($B$2:$B$2501,B1656)*100)</f>
        <v/>
      </c>
      <c r="D1656" s="10" t="n"/>
      <c r="E1656" s="10">
        <f>IF(D1656="","",MIN(D1656,100))</f>
        <v/>
      </c>
      <c r="F1656" s="10" t="n"/>
      <c r="G1656" s="10">
        <f>IF(F1656="","",MIN(F1656,100))</f>
        <v/>
      </c>
      <c r="H1656" s="11">
        <f>IF(A1656="","",Universe!E1656/BDP(A1656&amp;" US Equity","HIGH_52WEEK")*100)</f>
        <v/>
      </c>
      <c r="I1656">
        <f>IF(D1656="","",D1656&gt;=5)</f>
        <v/>
      </c>
      <c r="J1656">
        <f>IF(F1656="","",F1656&gt;=5)</f>
        <v/>
      </c>
      <c r="K1656">
        <f>IF(H1656="","",H1656&gt;=75)</f>
        <v/>
      </c>
      <c r="L1656">
        <f>IF(OR(I1656="",J1656="",K1656=""),FALSE,AND(I1656,J1656,K1656))</f>
        <v/>
      </c>
    </row>
    <row r="1657">
      <c r="A1657">
        <f>Universe!A1657</f>
        <v/>
      </c>
      <c r="B1657" s="10" t="n"/>
      <c r="C1657" s="11">
        <f>IF(B1657="","",PERCENTRANK.INC($B$2:$B$2501,B1657)*100)</f>
        <v/>
      </c>
      <c r="D1657" s="10" t="n"/>
      <c r="E1657" s="10">
        <f>IF(D1657="","",MIN(D1657,100))</f>
        <v/>
      </c>
      <c r="F1657" s="10" t="n"/>
      <c r="G1657" s="10">
        <f>IF(F1657="","",MIN(F1657,100))</f>
        <v/>
      </c>
      <c r="H1657" s="11">
        <f>IF(A1657="","",Universe!E1657/BDP(A1657&amp;" US Equity","HIGH_52WEEK")*100)</f>
        <v/>
      </c>
      <c r="I1657">
        <f>IF(D1657="","",D1657&gt;=5)</f>
        <v/>
      </c>
      <c r="J1657">
        <f>IF(F1657="","",F1657&gt;=5)</f>
        <v/>
      </c>
      <c r="K1657">
        <f>IF(H1657="","",H1657&gt;=75)</f>
        <v/>
      </c>
      <c r="L1657">
        <f>IF(OR(I1657="",J1657="",K1657=""),FALSE,AND(I1657,J1657,K1657))</f>
        <v/>
      </c>
    </row>
    <row r="1658">
      <c r="A1658">
        <f>Universe!A1658</f>
        <v/>
      </c>
      <c r="B1658" s="10" t="n"/>
      <c r="C1658" s="11">
        <f>IF(B1658="","",PERCENTRANK.INC($B$2:$B$2501,B1658)*100)</f>
        <v/>
      </c>
      <c r="D1658" s="10" t="n"/>
      <c r="E1658" s="10">
        <f>IF(D1658="","",MIN(D1658,100))</f>
        <v/>
      </c>
      <c r="F1658" s="10" t="n"/>
      <c r="G1658" s="10">
        <f>IF(F1658="","",MIN(F1658,100))</f>
        <v/>
      </c>
      <c r="H1658" s="11">
        <f>IF(A1658="","",Universe!E1658/BDP(A1658&amp;" US Equity","HIGH_52WEEK")*100)</f>
        <v/>
      </c>
      <c r="I1658">
        <f>IF(D1658="","",D1658&gt;=5)</f>
        <v/>
      </c>
      <c r="J1658">
        <f>IF(F1658="","",F1658&gt;=5)</f>
        <v/>
      </c>
      <c r="K1658">
        <f>IF(H1658="","",H1658&gt;=75)</f>
        <v/>
      </c>
      <c r="L1658">
        <f>IF(OR(I1658="",J1658="",K1658=""),FALSE,AND(I1658,J1658,K1658))</f>
        <v/>
      </c>
    </row>
    <row r="1659">
      <c r="A1659">
        <f>Universe!A1659</f>
        <v/>
      </c>
      <c r="B1659" s="10" t="n"/>
      <c r="C1659" s="11">
        <f>IF(B1659="","",PERCENTRANK.INC($B$2:$B$2501,B1659)*100)</f>
        <v/>
      </c>
      <c r="D1659" s="10" t="n"/>
      <c r="E1659" s="10">
        <f>IF(D1659="","",MIN(D1659,100))</f>
        <v/>
      </c>
      <c r="F1659" s="10" t="n"/>
      <c r="G1659" s="10">
        <f>IF(F1659="","",MIN(F1659,100))</f>
        <v/>
      </c>
      <c r="H1659" s="11">
        <f>IF(A1659="","",Universe!E1659/BDP(A1659&amp;" US Equity","HIGH_52WEEK")*100)</f>
        <v/>
      </c>
      <c r="I1659">
        <f>IF(D1659="","",D1659&gt;=5)</f>
        <v/>
      </c>
      <c r="J1659">
        <f>IF(F1659="","",F1659&gt;=5)</f>
        <v/>
      </c>
      <c r="K1659">
        <f>IF(H1659="","",H1659&gt;=75)</f>
        <v/>
      </c>
      <c r="L1659">
        <f>IF(OR(I1659="",J1659="",K1659=""),FALSE,AND(I1659,J1659,K1659))</f>
        <v/>
      </c>
    </row>
    <row r="1660">
      <c r="A1660">
        <f>Universe!A1660</f>
        <v/>
      </c>
      <c r="B1660" s="10" t="n"/>
      <c r="C1660" s="11">
        <f>IF(B1660="","",PERCENTRANK.INC($B$2:$B$2501,B1660)*100)</f>
        <v/>
      </c>
      <c r="D1660" s="10" t="n"/>
      <c r="E1660" s="10">
        <f>IF(D1660="","",MIN(D1660,100))</f>
        <v/>
      </c>
      <c r="F1660" s="10" t="n"/>
      <c r="G1660" s="10">
        <f>IF(F1660="","",MIN(F1660,100))</f>
        <v/>
      </c>
      <c r="H1660" s="11">
        <f>IF(A1660="","",Universe!E1660/BDP(A1660&amp;" US Equity","HIGH_52WEEK")*100)</f>
        <v/>
      </c>
      <c r="I1660">
        <f>IF(D1660="","",D1660&gt;=5)</f>
        <v/>
      </c>
      <c r="J1660">
        <f>IF(F1660="","",F1660&gt;=5)</f>
        <v/>
      </c>
      <c r="K1660">
        <f>IF(H1660="","",H1660&gt;=75)</f>
        <v/>
      </c>
      <c r="L1660">
        <f>IF(OR(I1660="",J1660="",K1660=""),FALSE,AND(I1660,J1660,K1660))</f>
        <v/>
      </c>
    </row>
    <row r="1661">
      <c r="A1661">
        <f>Universe!A1661</f>
        <v/>
      </c>
      <c r="B1661" s="10" t="n"/>
      <c r="C1661" s="11">
        <f>IF(B1661="","",PERCENTRANK.INC($B$2:$B$2501,B1661)*100)</f>
        <v/>
      </c>
      <c r="D1661" s="10" t="n"/>
      <c r="E1661" s="10">
        <f>IF(D1661="","",MIN(D1661,100))</f>
        <v/>
      </c>
      <c r="F1661" s="10" t="n"/>
      <c r="G1661" s="10">
        <f>IF(F1661="","",MIN(F1661,100))</f>
        <v/>
      </c>
      <c r="H1661" s="11">
        <f>IF(A1661="","",Universe!E1661/BDP(A1661&amp;" US Equity","HIGH_52WEEK")*100)</f>
        <v/>
      </c>
      <c r="I1661">
        <f>IF(D1661="","",D1661&gt;=5)</f>
        <v/>
      </c>
      <c r="J1661">
        <f>IF(F1661="","",F1661&gt;=5)</f>
        <v/>
      </c>
      <c r="K1661">
        <f>IF(H1661="","",H1661&gt;=75)</f>
        <v/>
      </c>
      <c r="L1661">
        <f>IF(OR(I1661="",J1661="",K1661=""),FALSE,AND(I1661,J1661,K1661))</f>
        <v/>
      </c>
    </row>
    <row r="1662">
      <c r="A1662">
        <f>Universe!A1662</f>
        <v/>
      </c>
      <c r="B1662" s="10" t="n"/>
      <c r="C1662" s="11">
        <f>IF(B1662="","",PERCENTRANK.INC($B$2:$B$2501,B1662)*100)</f>
        <v/>
      </c>
      <c r="D1662" s="10" t="n"/>
      <c r="E1662" s="10">
        <f>IF(D1662="","",MIN(D1662,100))</f>
        <v/>
      </c>
      <c r="F1662" s="10" t="n"/>
      <c r="G1662" s="10">
        <f>IF(F1662="","",MIN(F1662,100))</f>
        <v/>
      </c>
      <c r="H1662" s="11">
        <f>IF(A1662="","",Universe!E1662/BDP(A1662&amp;" US Equity","HIGH_52WEEK")*100)</f>
        <v/>
      </c>
      <c r="I1662">
        <f>IF(D1662="","",D1662&gt;=5)</f>
        <v/>
      </c>
      <c r="J1662">
        <f>IF(F1662="","",F1662&gt;=5)</f>
        <v/>
      </c>
      <c r="K1662">
        <f>IF(H1662="","",H1662&gt;=75)</f>
        <v/>
      </c>
      <c r="L1662">
        <f>IF(OR(I1662="",J1662="",K1662=""),FALSE,AND(I1662,J1662,K1662))</f>
        <v/>
      </c>
    </row>
    <row r="1663">
      <c r="A1663">
        <f>Universe!A1663</f>
        <v/>
      </c>
      <c r="B1663" s="10" t="n"/>
      <c r="C1663" s="11">
        <f>IF(B1663="","",PERCENTRANK.INC($B$2:$B$2501,B1663)*100)</f>
        <v/>
      </c>
      <c r="D1663" s="10" t="n"/>
      <c r="E1663" s="10">
        <f>IF(D1663="","",MIN(D1663,100))</f>
        <v/>
      </c>
      <c r="F1663" s="10" t="n"/>
      <c r="G1663" s="10">
        <f>IF(F1663="","",MIN(F1663,100))</f>
        <v/>
      </c>
      <c r="H1663" s="11">
        <f>IF(A1663="","",Universe!E1663/BDP(A1663&amp;" US Equity","HIGH_52WEEK")*100)</f>
        <v/>
      </c>
      <c r="I1663">
        <f>IF(D1663="","",D1663&gt;=5)</f>
        <v/>
      </c>
      <c r="J1663">
        <f>IF(F1663="","",F1663&gt;=5)</f>
        <v/>
      </c>
      <c r="K1663">
        <f>IF(H1663="","",H1663&gt;=75)</f>
        <v/>
      </c>
      <c r="L1663">
        <f>IF(OR(I1663="",J1663="",K1663=""),FALSE,AND(I1663,J1663,K1663))</f>
        <v/>
      </c>
    </row>
    <row r="1664">
      <c r="A1664">
        <f>Universe!A1664</f>
        <v/>
      </c>
      <c r="B1664" s="10" t="n"/>
      <c r="C1664" s="11">
        <f>IF(B1664="","",PERCENTRANK.INC($B$2:$B$2501,B1664)*100)</f>
        <v/>
      </c>
      <c r="D1664" s="10" t="n"/>
      <c r="E1664" s="10">
        <f>IF(D1664="","",MIN(D1664,100))</f>
        <v/>
      </c>
      <c r="F1664" s="10" t="n"/>
      <c r="G1664" s="10">
        <f>IF(F1664="","",MIN(F1664,100))</f>
        <v/>
      </c>
      <c r="H1664" s="11">
        <f>IF(A1664="","",Universe!E1664/BDP(A1664&amp;" US Equity","HIGH_52WEEK")*100)</f>
        <v/>
      </c>
      <c r="I1664">
        <f>IF(D1664="","",D1664&gt;=5)</f>
        <v/>
      </c>
      <c r="J1664">
        <f>IF(F1664="","",F1664&gt;=5)</f>
        <v/>
      </c>
      <c r="K1664">
        <f>IF(H1664="","",H1664&gt;=75)</f>
        <v/>
      </c>
      <c r="L1664">
        <f>IF(OR(I1664="",J1664="",K1664=""),FALSE,AND(I1664,J1664,K1664))</f>
        <v/>
      </c>
    </row>
    <row r="1665">
      <c r="A1665">
        <f>Universe!A1665</f>
        <v/>
      </c>
      <c r="B1665" s="10" t="n"/>
      <c r="C1665" s="11">
        <f>IF(B1665="","",PERCENTRANK.INC($B$2:$B$2501,B1665)*100)</f>
        <v/>
      </c>
      <c r="D1665" s="10" t="n"/>
      <c r="E1665" s="10">
        <f>IF(D1665="","",MIN(D1665,100))</f>
        <v/>
      </c>
      <c r="F1665" s="10" t="n"/>
      <c r="G1665" s="10">
        <f>IF(F1665="","",MIN(F1665,100))</f>
        <v/>
      </c>
      <c r="H1665" s="11">
        <f>IF(A1665="","",Universe!E1665/BDP(A1665&amp;" US Equity","HIGH_52WEEK")*100)</f>
        <v/>
      </c>
      <c r="I1665">
        <f>IF(D1665="","",D1665&gt;=5)</f>
        <v/>
      </c>
      <c r="J1665">
        <f>IF(F1665="","",F1665&gt;=5)</f>
        <v/>
      </c>
      <c r="K1665">
        <f>IF(H1665="","",H1665&gt;=75)</f>
        <v/>
      </c>
      <c r="L1665">
        <f>IF(OR(I1665="",J1665="",K1665=""),FALSE,AND(I1665,J1665,K1665))</f>
        <v/>
      </c>
    </row>
    <row r="1666">
      <c r="A1666">
        <f>Universe!A1666</f>
        <v/>
      </c>
      <c r="B1666" s="10" t="n"/>
      <c r="C1666" s="11">
        <f>IF(B1666="","",PERCENTRANK.INC($B$2:$B$2501,B1666)*100)</f>
        <v/>
      </c>
      <c r="D1666" s="10" t="n"/>
      <c r="E1666" s="10">
        <f>IF(D1666="","",MIN(D1666,100))</f>
        <v/>
      </c>
      <c r="F1666" s="10" t="n"/>
      <c r="G1666" s="10">
        <f>IF(F1666="","",MIN(F1666,100))</f>
        <v/>
      </c>
      <c r="H1666" s="11">
        <f>IF(A1666="","",Universe!E1666/BDP(A1666&amp;" US Equity","HIGH_52WEEK")*100)</f>
        <v/>
      </c>
      <c r="I1666">
        <f>IF(D1666="","",D1666&gt;=5)</f>
        <v/>
      </c>
      <c r="J1666">
        <f>IF(F1666="","",F1666&gt;=5)</f>
        <v/>
      </c>
      <c r="K1666">
        <f>IF(H1666="","",H1666&gt;=75)</f>
        <v/>
      </c>
      <c r="L1666">
        <f>IF(OR(I1666="",J1666="",K1666=""),FALSE,AND(I1666,J1666,K1666))</f>
        <v/>
      </c>
    </row>
    <row r="1667">
      <c r="A1667">
        <f>Universe!A1667</f>
        <v/>
      </c>
      <c r="B1667" s="10" t="n"/>
      <c r="C1667" s="11">
        <f>IF(B1667="","",PERCENTRANK.INC($B$2:$B$2501,B1667)*100)</f>
        <v/>
      </c>
      <c r="D1667" s="10" t="n"/>
      <c r="E1667" s="10">
        <f>IF(D1667="","",MIN(D1667,100))</f>
        <v/>
      </c>
      <c r="F1667" s="10" t="n"/>
      <c r="G1667" s="10">
        <f>IF(F1667="","",MIN(F1667,100))</f>
        <v/>
      </c>
      <c r="H1667" s="11">
        <f>IF(A1667="","",Universe!E1667/BDP(A1667&amp;" US Equity","HIGH_52WEEK")*100)</f>
        <v/>
      </c>
      <c r="I1667">
        <f>IF(D1667="","",D1667&gt;=5)</f>
        <v/>
      </c>
      <c r="J1667">
        <f>IF(F1667="","",F1667&gt;=5)</f>
        <v/>
      </c>
      <c r="K1667">
        <f>IF(H1667="","",H1667&gt;=75)</f>
        <v/>
      </c>
      <c r="L1667">
        <f>IF(OR(I1667="",J1667="",K1667=""),FALSE,AND(I1667,J1667,K1667))</f>
        <v/>
      </c>
    </row>
    <row r="1668">
      <c r="A1668">
        <f>Universe!A1668</f>
        <v/>
      </c>
      <c r="B1668" s="10" t="n"/>
      <c r="C1668" s="11">
        <f>IF(B1668="","",PERCENTRANK.INC($B$2:$B$2501,B1668)*100)</f>
        <v/>
      </c>
      <c r="D1668" s="10" t="n"/>
      <c r="E1668" s="10">
        <f>IF(D1668="","",MIN(D1668,100))</f>
        <v/>
      </c>
      <c r="F1668" s="10" t="n"/>
      <c r="G1668" s="10">
        <f>IF(F1668="","",MIN(F1668,100))</f>
        <v/>
      </c>
      <c r="H1668" s="11">
        <f>IF(A1668="","",Universe!E1668/BDP(A1668&amp;" US Equity","HIGH_52WEEK")*100)</f>
        <v/>
      </c>
      <c r="I1668">
        <f>IF(D1668="","",D1668&gt;=5)</f>
        <v/>
      </c>
      <c r="J1668">
        <f>IF(F1668="","",F1668&gt;=5)</f>
        <v/>
      </c>
      <c r="K1668">
        <f>IF(H1668="","",H1668&gt;=75)</f>
        <v/>
      </c>
      <c r="L1668">
        <f>IF(OR(I1668="",J1668="",K1668=""),FALSE,AND(I1668,J1668,K1668))</f>
        <v/>
      </c>
    </row>
    <row r="1669">
      <c r="A1669">
        <f>Universe!A1669</f>
        <v/>
      </c>
      <c r="B1669" s="10" t="n"/>
      <c r="C1669" s="11">
        <f>IF(B1669="","",PERCENTRANK.INC($B$2:$B$2501,B1669)*100)</f>
        <v/>
      </c>
      <c r="D1669" s="10" t="n"/>
      <c r="E1669" s="10">
        <f>IF(D1669="","",MIN(D1669,100))</f>
        <v/>
      </c>
      <c r="F1669" s="10" t="n"/>
      <c r="G1669" s="10">
        <f>IF(F1669="","",MIN(F1669,100))</f>
        <v/>
      </c>
      <c r="H1669" s="11">
        <f>IF(A1669="","",Universe!E1669/BDP(A1669&amp;" US Equity","HIGH_52WEEK")*100)</f>
        <v/>
      </c>
      <c r="I1669">
        <f>IF(D1669="","",D1669&gt;=5)</f>
        <v/>
      </c>
      <c r="J1669">
        <f>IF(F1669="","",F1669&gt;=5)</f>
        <v/>
      </c>
      <c r="K1669">
        <f>IF(H1669="","",H1669&gt;=75)</f>
        <v/>
      </c>
      <c r="L1669">
        <f>IF(OR(I1669="",J1669="",K1669=""),FALSE,AND(I1669,J1669,K1669))</f>
        <v/>
      </c>
    </row>
    <row r="1670">
      <c r="A1670">
        <f>Universe!A1670</f>
        <v/>
      </c>
      <c r="B1670" s="10" t="n"/>
      <c r="C1670" s="11">
        <f>IF(B1670="","",PERCENTRANK.INC($B$2:$B$2501,B1670)*100)</f>
        <v/>
      </c>
      <c r="D1670" s="10" t="n"/>
      <c r="E1670" s="10">
        <f>IF(D1670="","",MIN(D1670,100))</f>
        <v/>
      </c>
      <c r="F1670" s="10" t="n"/>
      <c r="G1670" s="10">
        <f>IF(F1670="","",MIN(F1670,100))</f>
        <v/>
      </c>
      <c r="H1670" s="11">
        <f>IF(A1670="","",Universe!E1670/BDP(A1670&amp;" US Equity","HIGH_52WEEK")*100)</f>
        <v/>
      </c>
      <c r="I1670">
        <f>IF(D1670="","",D1670&gt;=5)</f>
        <v/>
      </c>
      <c r="J1670">
        <f>IF(F1670="","",F1670&gt;=5)</f>
        <v/>
      </c>
      <c r="K1670">
        <f>IF(H1670="","",H1670&gt;=75)</f>
        <v/>
      </c>
      <c r="L1670">
        <f>IF(OR(I1670="",J1670="",K1670=""),FALSE,AND(I1670,J1670,K1670))</f>
        <v/>
      </c>
    </row>
    <row r="1671">
      <c r="A1671">
        <f>Universe!A1671</f>
        <v/>
      </c>
      <c r="B1671" s="10" t="n"/>
      <c r="C1671" s="11">
        <f>IF(B1671="","",PERCENTRANK.INC($B$2:$B$2501,B1671)*100)</f>
        <v/>
      </c>
      <c r="D1671" s="10" t="n"/>
      <c r="E1671" s="10">
        <f>IF(D1671="","",MIN(D1671,100))</f>
        <v/>
      </c>
      <c r="F1671" s="10" t="n"/>
      <c r="G1671" s="10">
        <f>IF(F1671="","",MIN(F1671,100))</f>
        <v/>
      </c>
      <c r="H1671" s="11">
        <f>IF(A1671="","",Universe!E1671/BDP(A1671&amp;" US Equity","HIGH_52WEEK")*100)</f>
        <v/>
      </c>
      <c r="I1671">
        <f>IF(D1671="","",D1671&gt;=5)</f>
        <v/>
      </c>
      <c r="J1671">
        <f>IF(F1671="","",F1671&gt;=5)</f>
        <v/>
      </c>
      <c r="K1671">
        <f>IF(H1671="","",H1671&gt;=75)</f>
        <v/>
      </c>
      <c r="L1671">
        <f>IF(OR(I1671="",J1671="",K1671=""),FALSE,AND(I1671,J1671,K1671))</f>
        <v/>
      </c>
    </row>
    <row r="1672">
      <c r="A1672">
        <f>Universe!A1672</f>
        <v/>
      </c>
      <c r="B1672" s="10" t="n"/>
      <c r="C1672" s="11">
        <f>IF(B1672="","",PERCENTRANK.INC($B$2:$B$2501,B1672)*100)</f>
        <v/>
      </c>
      <c r="D1672" s="10" t="n"/>
      <c r="E1672" s="10">
        <f>IF(D1672="","",MIN(D1672,100))</f>
        <v/>
      </c>
      <c r="F1672" s="10" t="n"/>
      <c r="G1672" s="10">
        <f>IF(F1672="","",MIN(F1672,100))</f>
        <v/>
      </c>
      <c r="H1672" s="11">
        <f>IF(A1672="","",Universe!E1672/BDP(A1672&amp;" US Equity","HIGH_52WEEK")*100)</f>
        <v/>
      </c>
      <c r="I1672">
        <f>IF(D1672="","",D1672&gt;=5)</f>
        <v/>
      </c>
      <c r="J1672">
        <f>IF(F1672="","",F1672&gt;=5)</f>
        <v/>
      </c>
      <c r="K1672">
        <f>IF(H1672="","",H1672&gt;=75)</f>
        <v/>
      </c>
      <c r="L1672">
        <f>IF(OR(I1672="",J1672="",K1672=""),FALSE,AND(I1672,J1672,K1672))</f>
        <v/>
      </c>
    </row>
    <row r="1673">
      <c r="A1673">
        <f>Universe!A1673</f>
        <v/>
      </c>
      <c r="B1673" s="10" t="n"/>
      <c r="C1673" s="11">
        <f>IF(B1673="","",PERCENTRANK.INC($B$2:$B$2501,B1673)*100)</f>
        <v/>
      </c>
      <c r="D1673" s="10" t="n"/>
      <c r="E1673" s="10">
        <f>IF(D1673="","",MIN(D1673,100))</f>
        <v/>
      </c>
      <c r="F1673" s="10" t="n"/>
      <c r="G1673" s="10">
        <f>IF(F1673="","",MIN(F1673,100))</f>
        <v/>
      </c>
      <c r="H1673" s="11">
        <f>IF(A1673="","",Universe!E1673/BDP(A1673&amp;" US Equity","HIGH_52WEEK")*100)</f>
        <v/>
      </c>
      <c r="I1673">
        <f>IF(D1673="","",D1673&gt;=5)</f>
        <v/>
      </c>
      <c r="J1673">
        <f>IF(F1673="","",F1673&gt;=5)</f>
        <v/>
      </c>
      <c r="K1673">
        <f>IF(H1673="","",H1673&gt;=75)</f>
        <v/>
      </c>
      <c r="L1673">
        <f>IF(OR(I1673="",J1673="",K1673=""),FALSE,AND(I1673,J1673,K1673))</f>
        <v/>
      </c>
    </row>
    <row r="1674">
      <c r="A1674">
        <f>Universe!A1674</f>
        <v/>
      </c>
      <c r="B1674" s="10" t="n"/>
      <c r="C1674" s="11">
        <f>IF(B1674="","",PERCENTRANK.INC($B$2:$B$2501,B1674)*100)</f>
        <v/>
      </c>
      <c r="D1674" s="10" t="n"/>
      <c r="E1674" s="10">
        <f>IF(D1674="","",MIN(D1674,100))</f>
        <v/>
      </c>
      <c r="F1674" s="10" t="n"/>
      <c r="G1674" s="10">
        <f>IF(F1674="","",MIN(F1674,100))</f>
        <v/>
      </c>
      <c r="H1674" s="11">
        <f>IF(A1674="","",Universe!E1674/BDP(A1674&amp;" US Equity","HIGH_52WEEK")*100)</f>
        <v/>
      </c>
      <c r="I1674">
        <f>IF(D1674="","",D1674&gt;=5)</f>
        <v/>
      </c>
      <c r="J1674">
        <f>IF(F1674="","",F1674&gt;=5)</f>
        <v/>
      </c>
      <c r="K1674">
        <f>IF(H1674="","",H1674&gt;=75)</f>
        <v/>
      </c>
      <c r="L1674">
        <f>IF(OR(I1674="",J1674="",K1674=""),FALSE,AND(I1674,J1674,K1674))</f>
        <v/>
      </c>
    </row>
    <row r="1675">
      <c r="A1675">
        <f>Universe!A1675</f>
        <v/>
      </c>
      <c r="B1675" s="10" t="n"/>
      <c r="C1675" s="11">
        <f>IF(B1675="","",PERCENTRANK.INC($B$2:$B$2501,B1675)*100)</f>
        <v/>
      </c>
      <c r="D1675" s="10" t="n"/>
      <c r="E1675" s="10">
        <f>IF(D1675="","",MIN(D1675,100))</f>
        <v/>
      </c>
      <c r="F1675" s="10" t="n"/>
      <c r="G1675" s="10">
        <f>IF(F1675="","",MIN(F1675,100))</f>
        <v/>
      </c>
      <c r="H1675" s="11">
        <f>IF(A1675="","",Universe!E1675/BDP(A1675&amp;" US Equity","HIGH_52WEEK")*100)</f>
        <v/>
      </c>
      <c r="I1675">
        <f>IF(D1675="","",D1675&gt;=5)</f>
        <v/>
      </c>
      <c r="J1675">
        <f>IF(F1675="","",F1675&gt;=5)</f>
        <v/>
      </c>
      <c r="K1675">
        <f>IF(H1675="","",H1675&gt;=75)</f>
        <v/>
      </c>
      <c r="L1675">
        <f>IF(OR(I1675="",J1675="",K1675=""),FALSE,AND(I1675,J1675,K1675))</f>
        <v/>
      </c>
    </row>
    <row r="1676">
      <c r="A1676">
        <f>Universe!A1676</f>
        <v/>
      </c>
      <c r="B1676" s="10" t="n"/>
      <c r="C1676" s="11">
        <f>IF(B1676="","",PERCENTRANK.INC($B$2:$B$2501,B1676)*100)</f>
        <v/>
      </c>
      <c r="D1676" s="10" t="n"/>
      <c r="E1676" s="10">
        <f>IF(D1676="","",MIN(D1676,100))</f>
        <v/>
      </c>
      <c r="F1676" s="10" t="n"/>
      <c r="G1676" s="10">
        <f>IF(F1676="","",MIN(F1676,100))</f>
        <v/>
      </c>
      <c r="H1676" s="11">
        <f>IF(A1676="","",Universe!E1676/BDP(A1676&amp;" US Equity","HIGH_52WEEK")*100)</f>
        <v/>
      </c>
      <c r="I1676">
        <f>IF(D1676="","",D1676&gt;=5)</f>
        <v/>
      </c>
      <c r="J1676">
        <f>IF(F1676="","",F1676&gt;=5)</f>
        <v/>
      </c>
      <c r="K1676">
        <f>IF(H1676="","",H1676&gt;=75)</f>
        <v/>
      </c>
      <c r="L1676">
        <f>IF(OR(I1676="",J1676="",K1676=""),FALSE,AND(I1676,J1676,K1676))</f>
        <v/>
      </c>
    </row>
    <row r="1677">
      <c r="A1677">
        <f>Universe!A1677</f>
        <v/>
      </c>
      <c r="B1677" s="10" t="n"/>
      <c r="C1677" s="11">
        <f>IF(B1677="","",PERCENTRANK.INC($B$2:$B$2501,B1677)*100)</f>
        <v/>
      </c>
      <c r="D1677" s="10" t="n"/>
      <c r="E1677" s="10">
        <f>IF(D1677="","",MIN(D1677,100))</f>
        <v/>
      </c>
      <c r="F1677" s="10" t="n"/>
      <c r="G1677" s="10">
        <f>IF(F1677="","",MIN(F1677,100))</f>
        <v/>
      </c>
      <c r="H1677" s="11">
        <f>IF(A1677="","",Universe!E1677/BDP(A1677&amp;" US Equity","HIGH_52WEEK")*100)</f>
        <v/>
      </c>
      <c r="I1677">
        <f>IF(D1677="","",D1677&gt;=5)</f>
        <v/>
      </c>
      <c r="J1677">
        <f>IF(F1677="","",F1677&gt;=5)</f>
        <v/>
      </c>
      <c r="K1677">
        <f>IF(H1677="","",H1677&gt;=75)</f>
        <v/>
      </c>
      <c r="L1677">
        <f>IF(OR(I1677="",J1677="",K1677=""),FALSE,AND(I1677,J1677,K1677))</f>
        <v/>
      </c>
    </row>
    <row r="1678">
      <c r="A1678">
        <f>Universe!A1678</f>
        <v/>
      </c>
      <c r="B1678" s="10" t="n"/>
      <c r="C1678" s="11">
        <f>IF(B1678="","",PERCENTRANK.INC($B$2:$B$2501,B1678)*100)</f>
        <v/>
      </c>
      <c r="D1678" s="10" t="n"/>
      <c r="E1678" s="10">
        <f>IF(D1678="","",MIN(D1678,100))</f>
        <v/>
      </c>
      <c r="F1678" s="10" t="n"/>
      <c r="G1678" s="10">
        <f>IF(F1678="","",MIN(F1678,100))</f>
        <v/>
      </c>
      <c r="H1678" s="11">
        <f>IF(A1678="","",Universe!E1678/BDP(A1678&amp;" US Equity","HIGH_52WEEK")*100)</f>
        <v/>
      </c>
      <c r="I1678">
        <f>IF(D1678="","",D1678&gt;=5)</f>
        <v/>
      </c>
      <c r="J1678">
        <f>IF(F1678="","",F1678&gt;=5)</f>
        <v/>
      </c>
      <c r="K1678">
        <f>IF(H1678="","",H1678&gt;=75)</f>
        <v/>
      </c>
      <c r="L1678">
        <f>IF(OR(I1678="",J1678="",K1678=""),FALSE,AND(I1678,J1678,K1678))</f>
        <v/>
      </c>
    </row>
    <row r="1679">
      <c r="A1679">
        <f>Universe!A1679</f>
        <v/>
      </c>
      <c r="B1679" s="10" t="n"/>
      <c r="C1679" s="11">
        <f>IF(B1679="","",PERCENTRANK.INC($B$2:$B$2501,B1679)*100)</f>
        <v/>
      </c>
      <c r="D1679" s="10" t="n"/>
      <c r="E1679" s="10">
        <f>IF(D1679="","",MIN(D1679,100))</f>
        <v/>
      </c>
      <c r="F1679" s="10" t="n"/>
      <c r="G1679" s="10">
        <f>IF(F1679="","",MIN(F1679,100))</f>
        <v/>
      </c>
      <c r="H1679" s="11">
        <f>IF(A1679="","",Universe!E1679/BDP(A1679&amp;" US Equity","HIGH_52WEEK")*100)</f>
        <v/>
      </c>
      <c r="I1679">
        <f>IF(D1679="","",D1679&gt;=5)</f>
        <v/>
      </c>
      <c r="J1679">
        <f>IF(F1679="","",F1679&gt;=5)</f>
        <v/>
      </c>
      <c r="K1679">
        <f>IF(H1679="","",H1679&gt;=75)</f>
        <v/>
      </c>
      <c r="L1679">
        <f>IF(OR(I1679="",J1679="",K1679=""),FALSE,AND(I1679,J1679,K1679))</f>
        <v/>
      </c>
    </row>
    <row r="1680">
      <c r="A1680">
        <f>Universe!A1680</f>
        <v/>
      </c>
      <c r="B1680" s="10" t="n"/>
      <c r="C1680" s="11">
        <f>IF(B1680="","",PERCENTRANK.INC($B$2:$B$2501,B1680)*100)</f>
        <v/>
      </c>
      <c r="D1680" s="10" t="n"/>
      <c r="E1680" s="10">
        <f>IF(D1680="","",MIN(D1680,100))</f>
        <v/>
      </c>
      <c r="F1680" s="10" t="n"/>
      <c r="G1680" s="10">
        <f>IF(F1680="","",MIN(F1680,100))</f>
        <v/>
      </c>
      <c r="H1680" s="11">
        <f>IF(A1680="","",Universe!E1680/BDP(A1680&amp;" US Equity","HIGH_52WEEK")*100)</f>
        <v/>
      </c>
      <c r="I1680">
        <f>IF(D1680="","",D1680&gt;=5)</f>
        <v/>
      </c>
      <c r="J1680">
        <f>IF(F1680="","",F1680&gt;=5)</f>
        <v/>
      </c>
      <c r="K1680">
        <f>IF(H1680="","",H1680&gt;=75)</f>
        <v/>
      </c>
      <c r="L1680">
        <f>IF(OR(I1680="",J1680="",K1680=""),FALSE,AND(I1680,J1680,K1680))</f>
        <v/>
      </c>
    </row>
    <row r="1681">
      <c r="A1681">
        <f>Universe!A1681</f>
        <v/>
      </c>
      <c r="B1681" s="10" t="n"/>
      <c r="C1681" s="11">
        <f>IF(B1681="","",PERCENTRANK.INC($B$2:$B$2501,B1681)*100)</f>
        <v/>
      </c>
      <c r="D1681" s="10" t="n"/>
      <c r="E1681" s="10">
        <f>IF(D1681="","",MIN(D1681,100))</f>
        <v/>
      </c>
      <c r="F1681" s="10" t="n"/>
      <c r="G1681" s="10">
        <f>IF(F1681="","",MIN(F1681,100))</f>
        <v/>
      </c>
      <c r="H1681" s="11">
        <f>IF(A1681="","",Universe!E1681/BDP(A1681&amp;" US Equity","HIGH_52WEEK")*100)</f>
        <v/>
      </c>
      <c r="I1681">
        <f>IF(D1681="","",D1681&gt;=5)</f>
        <v/>
      </c>
      <c r="J1681">
        <f>IF(F1681="","",F1681&gt;=5)</f>
        <v/>
      </c>
      <c r="K1681">
        <f>IF(H1681="","",H1681&gt;=75)</f>
        <v/>
      </c>
      <c r="L1681">
        <f>IF(OR(I1681="",J1681="",K1681=""),FALSE,AND(I1681,J1681,K1681))</f>
        <v/>
      </c>
    </row>
    <row r="1682">
      <c r="A1682">
        <f>Universe!A1682</f>
        <v/>
      </c>
      <c r="B1682" s="10" t="n"/>
      <c r="C1682" s="11">
        <f>IF(B1682="","",PERCENTRANK.INC($B$2:$B$2501,B1682)*100)</f>
        <v/>
      </c>
      <c r="D1682" s="10" t="n"/>
      <c r="E1682" s="10">
        <f>IF(D1682="","",MIN(D1682,100))</f>
        <v/>
      </c>
      <c r="F1682" s="10" t="n"/>
      <c r="G1682" s="10">
        <f>IF(F1682="","",MIN(F1682,100))</f>
        <v/>
      </c>
      <c r="H1682" s="11">
        <f>IF(A1682="","",Universe!E1682/BDP(A1682&amp;" US Equity","HIGH_52WEEK")*100)</f>
        <v/>
      </c>
      <c r="I1682">
        <f>IF(D1682="","",D1682&gt;=5)</f>
        <v/>
      </c>
      <c r="J1682">
        <f>IF(F1682="","",F1682&gt;=5)</f>
        <v/>
      </c>
      <c r="K1682">
        <f>IF(H1682="","",H1682&gt;=75)</f>
        <v/>
      </c>
      <c r="L1682">
        <f>IF(OR(I1682="",J1682="",K1682=""),FALSE,AND(I1682,J1682,K1682))</f>
        <v/>
      </c>
    </row>
    <row r="1683">
      <c r="A1683">
        <f>Universe!A1683</f>
        <v/>
      </c>
      <c r="B1683" s="10" t="n"/>
      <c r="C1683" s="11">
        <f>IF(B1683="","",PERCENTRANK.INC($B$2:$B$2501,B1683)*100)</f>
        <v/>
      </c>
      <c r="D1683" s="10" t="n"/>
      <c r="E1683" s="10">
        <f>IF(D1683="","",MIN(D1683,100))</f>
        <v/>
      </c>
      <c r="F1683" s="10" t="n"/>
      <c r="G1683" s="10">
        <f>IF(F1683="","",MIN(F1683,100))</f>
        <v/>
      </c>
      <c r="H1683" s="11">
        <f>IF(A1683="","",Universe!E1683/BDP(A1683&amp;" US Equity","HIGH_52WEEK")*100)</f>
        <v/>
      </c>
      <c r="I1683">
        <f>IF(D1683="","",D1683&gt;=5)</f>
        <v/>
      </c>
      <c r="J1683">
        <f>IF(F1683="","",F1683&gt;=5)</f>
        <v/>
      </c>
      <c r="K1683">
        <f>IF(H1683="","",H1683&gt;=75)</f>
        <v/>
      </c>
      <c r="L1683">
        <f>IF(OR(I1683="",J1683="",K1683=""),FALSE,AND(I1683,J1683,K1683))</f>
        <v/>
      </c>
    </row>
    <row r="1684">
      <c r="A1684">
        <f>Universe!A1684</f>
        <v/>
      </c>
      <c r="B1684" s="10" t="n"/>
      <c r="C1684" s="11">
        <f>IF(B1684="","",PERCENTRANK.INC($B$2:$B$2501,B1684)*100)</f>
        <v/>
      </c>
      <c r="D1684" s="10" t="n"/>
      <c r="E1684" s="10">
        <f>IF(D1684="","",MIN(D1684,100))</f>
        <v/>
      </c>
      <c r="F1684" s="10" t="n"/>
      <c r="G1684" s="10">
        <f>IF(F1684="","",MIN(F1684,100))</f>
        <v/>
      </c>
      <c r="H1684" s="11">
        <f>IF(A1684="","",Universe!E1684/BDP(A1684&amp;" US Equity","HIGH_52WEEK")*100)</f>
        <v/>
      </c>
      <c r="I1684">
        <f>IF(D1684="","",D1684&gt;=5)</f>
        <v/>
      </c>
      <c r="J1684">
        <f>IF(F1684="","",F1684&gt;=5)</f>
        <v/>
      </c>
      <c r="K1684">
        <f>IF(H1684="","",H1684&gt;=75)</f>
        <v/>
      </c>
      <c r="L1684">
        <f>IF(OR(I1684="",J1684="",K1684=""),FALSE,AND(I1684,J1684,K1684))</f>
        <v/>
      </c>
    </row>
    <row r="1685">
      <c r="A1685">
        <f>Universe!A1685</f>
        <v/>
      </c>
      <c r="B1685" s="10" t="n"/>
      <c r="C1685" s="11">
        <f>IF(B1685="","",PERCENTRANK.INC($B$2:$B$2501,B1685)*100)</f>
        <v/>
      </c>
      <c r="D1685" s="10" t="n"/>
      <c r="E1685" s="10">
        <f>IF(D1685="","",MIN(D1685,100))</f>
        <v/>
      </c>
      <c r="F1685" s="10" t="n"/>
      <c r="G1685" s="10">
        <f>IF(F1685="","",MIN(F1685,100))</f>
        <v/>
      </c>
      <c r="H1685" s="11">
        <f>IF(A1685="","",Universe!E1685/BDP(A1685&amp;" US Equity","HIGH_52WEEK")*100)</f>
        <v/>
      </c>
      <c r="I1685">
        <f>IF(D1685="","",D1685&gt;=5)</f>
        <v/>
      </c>
      <c r="J1685">
        <f>IF(F1685="","",F1685&gt;=5)</f>
        <v/>
      </c>
      <c r="K1685">
        <f>IF(H1685="","",H1685&gt;=75)</f>
        <v/>
      </c>
      <c r="L1685">
        <f>IF(OR(I1685="",J1685="",K1685=""),FALSE,AND(I1685,J1685,K1685))</f>
        <v/>
      </c>
    </row>
    <row r="1686">
      <c r="A1686">
        <f>Universe!A1686</f>
        <v/>
      </c>
      <c r="B1686" s="10" t="n"/>
      <c r="C1686" s="11">
        <f>IF(B1686="","",PERCENTRANK.INC($B$2:$B$2501,B1686)*100)</f>
        <v/>
      </c>
      <c r="D1686" s="10" t="n"/>
      <c r="E1686" s="10">
        <f>IF(D1686="","",MIN(D1686,100))</f>
        <v/>
      </c>
      <c r="F1686" s="10" t="n"/>
      <c r="G1686" s="10">
        <f>IF(F1686="","",MIN(F1686,100))</f>
        <v/>
      </c>
      <c r="H1686" s="11">
        <f>IF(A1686="","",Universe!E1686/BDP(A1686&amp;" US Equity","HIGH_52WEEK")*100)</f>
        <v/>
      </c>
      <c r="I1686">
        <f>IF(D1686="","",D1686&gt;=5)</f>
        <v/>
      </c>
      <c r="J1686">
        <f>IF(F1686="","",F1686&gt;=5)</f>
        <v/>
      </c>
      <c r="K1686">
        <f>IF(H1686="","",H1686&gt;=75)</f>
        <v/>
      </c>
      <c r="L1686">
        <f>IF(OR(I1686="",J1686="",K1686=""),FALSE,AND(I1686,J1686,K1686))</f>
        <v/>
      </c>
    </row>
    <row r="1687">
      <c r="A1687">
        <f>Universe!A1687</f>
        <v/>
      </c>
      <c r="B1687" s="10" t="n"/>
      <c r="C1687" s="11">
        <f>IF(B1687="","",PERCENTRANK.INC($B$2:$B$2501,B1687)*100)</f>
        <v/>
      </c>
      <c r="D1687" s="10" t="n"/>
      <c r="E1687" s="10">
        <f>IF(D1687="","",MIN(D1687,100))</f>
        <v/>
      </c>
      <c r="F1687" s="10" t="n"/>
      <c r="G1687" s="10">
        <f>IF(F1687="","",MIN(F1687,100))</f>
        <v/>
      </c>
      <c r="H1687" s="11">
        <f>IF(A1687="","",Universe!E1687/BDP(A1687&amp;" US Equity","HIGH_52WEEK")*100)</f>
        <v/>
      </c>
      <c r="I1687">
        <f>IF(D1687="","",D1687&gt;=5)</f>
        <v/>
      </c>
      <c r="J1687">
        <f>IF(F1687="","",F1687&gt;=5)</f>
        <v/>
      </c>
      <c r="K1687">
        <f>IF(H1687="","",H1687&gt;=75)</f>
        <v/>
      </c>
      <c r="L1687">
        <f>IF(OR(I1687="",J1687="",K1687=""),FALSE,AND(I1687,J1687,K1687))</f>
        <v/>
      </c>
    </row>
    <row r="1688">
      <c r="A1688">
        <f>Universe!A1688</f>
        <v/>
      </c>
      <c r="B1688" s="10" t="n"/>
      <c r="C1688" s="11">
        <f>IF(B1688="","",PERCENTRANK.INC($B$2:$B$2501,B1688)*100)</f>
        <v/>
      </c>
      <c r="D1688" s="10" t="n"/>
      <c r="E1688" s="10">
        <f>IF(D1688="","",MIN(D1688,100))</f>
        <v/>
      </c>
      <c r="F1688" s="10" t="n"/>
      <c r="G1688" s="10">
        <f>IF(F1688="","",MIN(F1688,100))</f>
        <v/>
      </c>
      <c r="H1688" s="11">
        <f>IF(A1688="","",Universe!E1688/BDP(A1688&amp;" US Equity","HIGH_52WEEK")*100)</f>
        <v/>
      </c>
      <c r="I1688">
        <f>IF(D1688="","",D1688&gt;=5)</f>
        <v/>
      </c>
      <c r="J1688">
        <f>IF(F1688="","",F1688&gt;=5)</f>
        <v/>
      </c>
      <c r="K1688">
        <f>IF(H1688="","",H1688&gt;=75)</f>
        <v/>
      </c>
      <c r="L1688">
        <f>IF(OR(I1688="",J1688="",K1688=""),FALSE,AND(I1688,J1688,K1688))</f>
        <v/>
      </c>
    </row>
    <row r="1689">
      <c r="A1689">
        <f>Universe!A1689</f>
        <v/>
      </c>
      <c r="B1689" s="10" t="n"/>
      <c r="C1689" s="11">
        <f>IF(B1689="","",PERCENTRANK.INC($B$2:$B$2501,B1689)*100)</f>
        <v/>
      </c>
      <c r="D1689" s="10" t="n"/>
      <c r="E1689" s="10">
        <f>IF(D1689="","",MIN(D1689,100))</f>
        <v/>
      </c>
      <c r="F1689" s="10" t="n"/>
      <c r="G1689" s="10">
        <f>IF(F1689="","",MIN(F1689,100))</f>
        <v/>
      </c>
      <c r="H1689" s="11">
        <f>IF(A1689="","",Universe!E1689/BDP(A1689&amp;" US Equity","HIGH_52WEEK")*100)</f>
        <v/>
      </c>
      <c r="I1689">
        <f>IF(D1689="","",D1689&gt;=5)</f>
        <v/>
      </c>
      <c r="J1689">
        <f>IF(F1689="","",F1689&gt;=5)</f>
        <v/>
      </c>
      <c r="K1689">
        <f>IF(H1689="","",H1689&gt;=75)</f>
        <v/>
      </c>
      <c r="L1689">
        <f>IF(OR(I1689="",J1689="",K1689=""),FALSE,AND(I1689,J1689,K1689))</f>
        <v/>
      </c>
    </row>
    <row r="1690">
      <c r="A1690">
        <f>Universe!A1690</f>
        <v/>
      </c>
      <c r="B1690" s="10" t="n"/>
      <c r="C1690" s="11">
        <f>IF(B1690="","",PERCENTRANK.INC($B$2:$B$2501,B1690)*100)</f>
        <v/>
      </c>
      <c r="D1690" s="10" t="n"/>
      <c r="E1690" s="10">
        <f>IF(D1690="","",MIN(D1690,100))</f>
        <v/>
      </c>
      <c r="F1690" s="10" t="n"/>
      <c r="G1690" s="10">
        <f>IF(F1690="","",MIN(F1690,100))</f>
        <v/>
      </c>
      <c r="H1690" s="11">
        <f>IF(A1690="","",Universe!E1690/BDP(A1690&amp;" US Equity","HIGH_52WEEK")*100)</f>
        <v/>
      </c>
      <c r="I1690">
        <f>IF(D1690="","",D1690&gt;=5)</f>
        <v/>
      </c>
      <c r="J1690">
        <f>IF(F1690="","",F1690&gt;=5)</f>
        <v/>
      </c>
      <c r="K1690">
        <f>IF(H1690="","",H1690&gt;=75)</f>
        <v/>
      </c>
      <c r="L1690">
        <f>IF(OR(I1690="",J1690="",K1690=""),FALSE,AND(I1690,J1690,K1690))</f>
        <v/>
      </c>
    </row>
    <row r="1691">
      <c r="A1691">
        <f>Universe!A1691</f>
        <v/>
      </c>
      <c r="B1691" s="10" t="n"/>
      <c r="C1691" s="11">
        <f>IF(B1691="","",PERCENTRANK.INC($B$2:$B$2501,B1691)*100)</f>
        <v/>
      </c>
      <c r="D1691" s="10" t="n"/>
      <c r="E1691" s="10">
        <f>IF(D1691="","",MIN(D1691,100))</f>
        <v/>
      </c>
      <c r="F1691" s="10" t="n"/>
      <c r="G1691" s="10">
        <f>IF(F1691="","",MIN(F1691,100))</f>
        <v/>
      </c>
      <c r="H1691" s="11">
        <f>IF(A1691="","",Universe!E1691/BDP(A1691&amp;" US Equity","HIGH_52WEEK")*100)</f>
        <v/>
      </c>
      <c r="I1691">
        <f>IF(D1691="","",D1691&gt;=5)</f>
        <v/>
      </c>
      <c r="J1691">
        <f>IF(F1691="","",F1691&gt;=5)</f>
        <v/>
      </c>
      <c r="K1691">
        <f>IF(H1691="","",H1691&gt;=75)</f>
        <v/>
      </c>
      <c r="L1691">
        <f>IF(OR(I1691="",J1691="",K1691=""),FALSE,AND(I1691,J1691,K1691))</f>
        <v/>
      </c>
    </row>
    <row r="1692">
      <c r="A1692">
        <f>Universe!A1692</f>
        <v/>
      </c>
      <c r="B1692" s="10" t="n"/>
      <c r="C1692" s="11">
        <f>IF(B1692="","",PERCENTRANK.INC($B$2:$B$2501,B1692)*100)</f>
        <v/>
      </c>
      <c r="D1692" s="10" t="n"/>
      <c r="E1692" s="10">
        <f>IF(D1692="","",MIN(D1692,100))</f>
        <v/>
      </c>
      <c r="F1692" s="10" t="n"/>
      <c r="G1692" s="10">
        <f>IF(F1692="","",MIN(F1692,100))</f>
        <v/>
      </c>
      <c r="H1692" s="11">
        <f>IF(A1692="","",Universe!E1692/BDP(A1692&amp;" US Equity","HIGH_52WEEK")*100)</f>
        <v/>
      </c>
      <c r="I1692">
        <f>IF(D1692="","",D1692&gt;=5)</f>
        <v/>
      </c>
      <c r="J1692">
        <f>IF(F1692="","",F1692&gt;=5)</f>
        <v/>
      </c>
      <c r="K1692">
        <f>IF(H1692="","",H1692&gt;=75)</f>
        <v/>
      </c>
      <c r="L1692">
        <f>IF(OR(I1692="",J1692="",K1692=""),FALSE,AND(I1692,J1692,K1692))</f>
        <v/>
      </c>
    </row>
    <row r="1693">
      <c r="A1693">
        <f>Universe!A1693</f>
        <v/>
      </c>
      <c r="B1693" s="10" t="n"/>
      <c r="C1693" s="11">
        <f>IF(B1693="","",PERCENTRANK.INC($B$2:$B$2501,B1693)*100)</f>
        <v/>
      </c>
      <c r="D1693" s="10" t="n"/>
      <c r="E1693" s="10">
        <f>IF(D1693="","",MIN(D1693,100))</f>
        <v/>
      </c>
      <c r="F1693" s="10" t="n"/>
      <c r="G1693" s="10">
        <f>IF(F1693="","",MIN(F1693,100))</f>
        <v/>
      </c>
      <c r="H1693" s="11">
        <f>IF(A1693="","",Universe!E1693/BDP(A1693&amp;" US Equity","HIGH_52WEEK")*100)</f>
        <v/>
      </c>
      <c r="I1693">
        <f>IF(D1693="","",D1693&gt;=5)</f>
        <v/>
      </c>
      <c r="J1693">
        <f>IF(F1693="","",F1693&gt;=5)</f>
        <v/>
      </c>
      <c r="K1693">
        <f>IF(H1693="","",H1693&gt;=75)</f>
        <v/>
      </c>
      <c r="L1693">
        <f>IF(OR(I1693="",J1693="",K1693=""),FALSE,AND(I1693,J1693,K1693))</f>
        <v/>
      </c>
    </row>
    <row r="1694">
      <c r="A1694">
        <f>Universe!A1694</f>
        <v/>
      </c>
      <c r="B1694" s="10" t="n"/>
      <c r="C1694" s="11">
        <f>IF(B1694="","",PERCENTRANK.INC($B$2:$B$2501,B1694)*100)</f>
        <v/>
      </c>
      <c r="D1694" s="10" t="n"/>
      <c r="E1694" s="10">
        <f>IF(D1694="","",MIN(D1694,100))</f>
        <v/>
      </c>
      <c r="F1694" s="10" t="n"/>
      <c r="G1694" s="10">
        <f>IF(F1694="","",MIN(F1694,100))</f>
        <v/>
      </c>
      <c r="H1694" s="11">
        <f>IF(A1694="","",Universe!E1694/BDP(A1694&amp;" US Equity","HIGH_52WEEK")*100)</f>
        <v/>
      </c>
      <c r="I1694">
        <f>IF(D1694="","",D1694&gt;=5)</f>
        <v/>
      </c>
      <c r="J1694">
        <f>IF(F1694="","",F1694&gt;=5)</f>
        <v/>
      </c>
      <c r="K1694">
        <f>IF(H1694="","",H1694&gt;=75)</f>
        <v/>
      </c>
      <c r="L1694">
        <f>IF(OR(I1694="",J1694="",K1694=""),FALSE,AND(I1694,J1694,K1694))</f>
        <v/>
      </c>
    </row>
    <row r="1695">
      <c r="A1695">
        <f>Universe!A1695</f>
        <v/>
      </c>
      <c r="B1695" s="10" t="n"/>
      <c r="C1695" s="11">
        <f>IF(B1695="","",PERCENTRANK.INC($B$2:$B$2501,B1695)*100)</f>
        <v/>
      </c>
      <c r="D1695" s="10" t="n"/>
      <c r="E1695" s="10">
        <f>IF(D1695="","",MIN(D1695,100))</f>
        <v/>
      </c>
      <c r="F1695" s="10" t="n"/>
      <c r="G1695" s="10">
        <f>IF(F1695="","",MIN(F1695,100))</f>
        <v/>
      </c>
      <c r="H1695" s="11">
        <f>IF(A1695="","",Universe!E1695/BDP(A1695&amp;" US Equity","HIGH_52WEEK")*100)</f>
        <v/>
      </c>
      <c r="I1695">
        <f>IF(D1695="","",D1695&gt;=5)</f>
        <v/>
      </c>
      <c r="J1695">
        <f>IF(F1695="","",F1695&gt;=5)</f>
        <v/>
      </c>
      <c r="K1695">
        <f>IF(H1695="","",H1695&gt;=75)</f>
        <v/>
      </c>
      <c r="L1695">
        <f>IF(OR(I1695="",J1695="",K1695=""),FALSE,AND(I1695,J1695,K1695))</f>
        <v/>
      </c>
    </row>
    <row r="1696">
      <c r="A1696">
        <f>Universe!A1696</f>
        <v/>
      </c>
      <c r="B1696" s="10" t="n"/>
      <c r="C1696" s="11">
        <f>IF(B1696="","",PERCENTRANK.INC($B$2:$B$2501,B1696)*100)</f>
        <v/>
      </c>
      <c r="D1696" s="10" t="n"/>
      <c r="E1696" s="10">
        <f>IF(D1696="","",MIN(D1696,100))</f>
        <v/>
      </c>
      <c r="F1696" s="10" t="n"/>
      <c r="G1696" s="10">
        <f>IF(F1696="","",MIN(F1696,100))</f>
        <v/>
      </c>
      <c r="H1696" s="11">
        <f>IF(A1696="","",Universe!E1696/BDP(A1696&amp;" US Equity","HIGH_52WEEK")*100)</f>
        <v/>
      </c>
      <c r="I1696">
        <f>IF(D1696="","",D1696&gt;=5)</f>
        <v/>
      </c>
      <c r="J1696">
        <f>IF(F1696="","",F1696&gt;=5)</f>
        <v/>
      </c>
      <c r="K1696">
        <f>IF(H1696="","",H1696&gt;=75)</f>
        <v/>
      </c>
      <c r="L1696">
        <f>IF(OR(I1696="",J1696="",K1696=""),FALSE,AND(I1696,J1696,K1696))</f>
        <v/>
      </c>
    </row>
    <row r="1697">
      <c r="A1697">
        <f>Universe!A1697</f>
        <v/>
      </c>
      <c r="B1697" s="10" t="n"/>
      <c r="C1697" s="11">
        <f>IF(B1697="","",PERCENTRANK.INC($B$2:$B$2501,B1697)*100)</f>
        <v/>
      </c>
      <c r="D1697" s="10" t="n"/>
      <c r="E1697" s="10">
        <f>IF(D1697="","",MIN(D1697,100))</f>
        <v/>
      </c>
      <c r="F1697" s="10" t="n"/>
      <c r="G1697" s="10">
        <f>IF(F1697="","",MIN(F1697,100))</f>
        <v/>
      </c>
      <c r="H1697" s="11">
        <f>IF(A1697="","",Universe!E1697/BDP(A1697&amp;" US Equity","HIGH_52WEEK")*100)</f>
        <v/>
      </c>
      <c r="I1697">
        <f>IF(D1697="","",D1697&gt;=5)</f>
        <v/>
      </c>
      <c r="J1697">
        <f>IF(F1697="","",F1697&gt;=5)</f>
        <v/>
      </c>
      <c r="K1697">
        <f>IF(H1697="","",H1697&gt;=75)</f>
        <v/>
      </c>
      <c r="L1697">
        <f>IF(OR(I1697="",J1697="",K1697=""),FALSE,AND(I1697,J1697,K1697))</f>
        <v/>
      </c>
    </row>
    <row r="1698">
      <c r="A1698">
        <f>Universe!A1698</f>
        <v/>
      </c>
      <c r="B1698" s="10" t="n"/>
      <c r="C1698" s="11">
        <f>IF(B1698="","",PERCENTRANK.INC($B$2:$B$2501,B1698)*100)</f>
        <v/>
      </c>
      <c r="D1698" s="10" t="n"/>
      <c r="E1698" s="10">
        <f>IF(D1698="","",MIN(D1698,100))</f>
        <v/>
      </c>
      <c r="F1698" s="10" t="n"/>
      <c r="G1698" s="10">
        <f>IF(F1698="","",MIN(F1698,100))</f>
        <v/>
      </c>
      <c r="H1698" s="11">
        <f>IF(A1698="","",Universe!E1698/BDP(A1698&amp;" US Equity","HIGH_52WEEK")*100)</f>
        <v/>
      </c>
      <c r="I1698">
        <f>IF(D1698="","",D1698&gt;=5)</f>
        <v/>
      </c>
      <c r="J1698">
        <f>IF(F1698="","",F1698&gt;=5)</f>
        <v/>
      </c>
      <c r="K1698">
        <f>IF(H1698="","",H1698&gt;=75)</f>
        <v/>
      </c>
      <c r="L1698">
        <f>IF(OR(I1698="",J1698="",K1698=""),FALSE,AND(I1698,J1698,K1698))</f>
        <v/>
      </c>
    </row>
    <row r="1699">
      <c r="A1699">
        <f>Universe!A1699</f>
        <v/>
      </c>
      <c r="B1699" s="10" t="n"/>
      <c r="C1699" s="11">
        <f>IF(B1699="","",PERCENTRANK.INC($B$2:$B$2501,B1699)*100)</f>
        <v/>
      </c>
      <c r="D1699" s="10" t="n"/>
      <c r="E1699" s="10">
        <f>IF(D1699="","",MIN(D1699,100))</f>
        <v/>
      </c>
      <c r="F1699" s="10" t="n"/>
      <c r="G1699" s="10">
        <f>IF(F1699="","",MIN(F1699,100))</f>
        <v/>
      </c>
      <c r="H1699" s="11">
        <f>IF(A1699="","",Universe!E1699/BDP(A1699&amp;" US Equity","HIGH_52WEEK")*100)</f>
        <v/>
      </c>
      <c r="I1699">
        <f>IF(D1699="","",D1699&gt;=5)</f>
        <v/>
      </c>
      <c r="J1699">
        <f>IF(F1699="","",F1699&gt;=5)</f>
        <v/>
      </c>
      <c r="K1699">
        <f>IF(H1699="","",H1699&gt;=75)</f>
        <v/>
      </c>
      <c r="L1699">
        <f>IF(OR(I1699="",J1699="",K1699=""),FALSE,AND(I1699,J1699,K1699))</f>
        <v/>
      </c>
    </row>
    <row r="1700">
      <c r="A1700">
        <f>Universe!A1700</f>
        <v/>
      </c>
      <c r="B1700" s="10" t="n"/>
      <c r="C1700" s="11">
        <f>IF(B1700="","",PERCENTRANK.INC($B$2:$B$2501,B1700)*100)</f>
        <v/>
      </c>
      <c r="D1700" s="10" t="n"/>
      <c r="E1700" s="10">
        <f>IF(D1700="","",MIN(D1700,100))</f>
        <v/>
      </c>
      <c r="F1700" s="10" t="n"/>
      <c r="G1700" s="10">
        <f>IF(F1700="","",MIN(F1700,100))</f>
        <v/>
      </c>
      <c r="H1700" s="11">
        <f>IF(A1700="","",Universe!E1700/BDP(A1700&amp;" US Equity","HIGH_52WEEK")*100)</f>
        <v/>
      </c>
      <c r="I1700">
        <f>IF(D1700="","",D1700&gt;=5)</f>
        <v/>
      </c>
      <c r="J1700">
        <f>IF(F1700="","",F1700&gt;=5)</f>
        <v/>
      </c>
      <c r="K1700">
        <f>IF(H1700="","",H1700&gt;=75)</f>
        <v/>
      </c>
      <c r="L1700">
        <f>IF(OR(I1700="",J1700="",K1700=""),FALSE,AND(I1700,J1700,K1700))</f>
        <v/>
      </c>
    </row>
    <row r="1701">
      <c r="A1701">
        <f>Universe!A1701</f>
        <v/>
      </c>
      <c r="B1701" s="10" t="n"/>
      <c r="C1701" s="11">
        <f>IF(B1701="","",PERCENTRANK.INC($B$2:$B$2501,B1701)*100)</f>
        <v/>
      </c>
      <c r="D1701" s="10" t="n"/>
      <c r="E1701" s="10">
        <f>IF(D1701="","",MIN(D1701,100))</f>
        <v/>
      </c>
      <c r="F1701" s="10" t="n"/>
      <c r="G1701" s="10">
        <f>IF(F1701="","",MIN(F1701,100))</f>
        <v/>
      </c>
      <c r="H1701" s="11">
        <f>IF(A1701="","",Universe!E1701/BDP(A1701&amp;" US Equity","HIGH_52WEEK")*100)</f>
        <v/>
      </c>
      <c r="I1701">
        <f>IF(D1701="","",D1701&gt;=5)</f>
        <v/>
      </c>
      <c r="J1701">
        <f>IF(F1701="","",F1701&gt;=5)</f>
        <v/>
      </c>
      <c r="K1701">
        <f>IF(H1701="","",H1701&gt;=75)</f>
        <v/>
      </c>
      <c r="L1701">
        <f>IF(OR(I1701="",J1701="",K1701=""),FALSE,AND(I1701,J1701,K1701))</f>
        <v/>
      </c>
    </row>
    <row r="1702">
      <c r="A1702">
        <f>Universe!A1702</f>
        <v/>
      </c>
      <c r="B1702" s="10" t="n"/>
      <c r="C1702" s="11">
        <f>IF(B1702="","",PERCENTRANK.INC($B$2:$B$2501,B1702)*100)</f>
        <v/>
      </c>
      <c r="D1702" s="10" t="n"/>
      <c r="E1702" s="10">
        <f>IF(D1702="","",MIN(D1702,100))</f>
        <v/>
      </c>
      <c r="F1702" s="10" t="n"/>
      <c r="G1702" s="10">
        <f>IF(F1702="","",MIN(F1702,100))</f>
        <v/>
      </c>
      <c r="H1702" s="11">
        <f>IF(A1702="","",Universe!E1702/BDP(A1702&amp;" US Equity","HIGH_52WEEK")*100)</f>
        <v/>
      </c>
      <c r="I1702">
        <f>IF(D1702="","",D1702&gt;=5)</f>
        <v/>
      </c>
      <c r="J1702">
        <f>IF(F1702="","",F1702&gt;=5)</f>
        <v/>
      </c>
      <c r="K1702">
        <f>IF(H1702="","",H1702&gt;=75)</f>
        <v/>
      </c>
      <c r="L1702">
        <f>IF(OR(I1702="",J1702="",K1702=""),FALSE,AND(I1702,J1702,K1702))</f>
        <v/>
      </c>
    </row>
    <row r="1703">
      <c r="A1703">
        <f>Universe!A1703</f>
        <v/>
      </c>
      <c r="B1703" s="10" t="n"/>
      <c r="C1703" s="11">
        <f>IF(B1703="","",PERCENTRANK.INC($B$2:$B$2501,B1703)*100)</f>
        <v/>
      </c>
      <c r="D1703" s="10" t="n"/>
      <c r="E1703" s="10">
        <f>IF(D1703="","",MIN(D1703,100))</f>
        <v/>
      </c>
      <c r="F1703" s="10" t="n"/>
      <c r="G1703" s="10">
        <f>IF(F1703="","",MIN(F1703,100))</f>
        <v/>
      </c>
      <c r="H1703" s="11">
        <f>IF(A1703="","",Universe!E1703/BDP(A1703&amp;" US Equity","HIGH_52WEEK")*100)</f>
        <v/>
      </c>
      <c r="I1703">
        <f>IF(D1703="","",D1703&gt;=5)</f>
        <v/>
      </c>
      <c r="J1703">
        <f>IF(F1703="","",F1703&gt;=5)</f>
        <v/>
      </c>
      <c r="K1703">
        <f>IF(H1703="","",H1703&gt;=75)</f>
        <v/>
      </c>
      <c r="L1703">
        <f>IF(OR(I1703="",J1703="",K1703=""),FALSE,AND(I1703,J1703,K1703))</f>
        <v/>
      </c>
    </row>
    <row r="1704">
      <c r="A1704">
        <f>Universe!A1704</f>
        <v/>
      </c>
      <c r="B1704" s="10" t="n"/>
      <c r="C1704" s="11">
        <f>IF(B1704="","",PERCENTRANK.INC($B$2:$B$2501,B1704)*100)</f>
        <v/>
      </c>
      <c r="D1704" s="10" t="n"/>
      <c r="E1704" s="10">
        <f>IF(D1704="","",MIN(D1704,100))</f>
        <v/>
      </c>
      <c r="F1704" s="10" t="n"/>
      <c r="G1704" s="10">
        <f>IF(F1704="","",MIN(F1704,100))</f>
        <v/>
      </c>
      <c r="H1704" s="11">
        <f>IF(A1704="","",Universe!E1704/BDP(A1704&amp;" US Equity","HIGH_52WEEK")*100)</f>
        <v/>
      </c>
      <c r="I1704">
        <f>IF(D1704="","",D1704&gt;=5)</f>
        <v/>
      </c>
      <c r="J1704">
        <f>IF(F1704="","",F1704&gt;=5)</f>
        <v/>
      </c>
      <c r="K1704">
        <f>IF(H1704="","",H1704&gt;=75)</f>
        <v/>
      </c>
      <c r="L1704">
        <f>IF(OR(I1704="",J1704="",K1704=""),FALSE,AND(I1704,J1704,K1704))</f>
        <v/>
      </c>
    </row>
    <row r="1705">
      <c r="A1705">
        <f>Universe!A1705</f>
        <v/>
      </c>
      <c r="B1705" s="10" t="n"/>
      <c r="C1705" s="11">
        <f>IF(B1705="","",PERCENTRANK.INC($B$2:$B$2501,B1705)*100)</f>
        <v/>
      </c>
      <c r="D1705" s="10" t="n"/>
      <c r="E1705" s="10">
        <f>IF(D1705="","",MIN(D1705,100))</f>
        <v/>
      </c>
      <c r="F1705" s="10" t="n"/>
      <c r="G1705" s="10">
        <f>IF(F1705="","",MIN(F1705,100))</f>
        <v/>
      </c>
      <c r="H1705" s="11">
        <f>IF(A1705="","",Universe!E1705/BDP(A1705&amp;" US Equity","HIGH_52WEEK")*100)</f>
        <v/>
      </c>
      <c r="I1705">
        <f>IF(D1705="","",D1705&gt;=5)</f>
        <v/>
      </c>
      <c r="J1705">
        <f>IF(F1705="","",F1705&gt;=5)</f>
        <v/>
      </c>
      <c r="K1705">
        <f>IF(H1705="","",H1705&gt;=75)</f>
        <v/>
      </c>
      <c r="L1705">
        <f>IF(OR(I1705="",J1705="",K1705=""),FALSE,AND(I1705,J1705,K1705))</f>
        <v/>
      </c>
    </row>
    <row r="1706">
      <c r="A1706">
        <f>Universe!A1706</f>
        <v/>
      </c>
      <c r="B1706" s="10" t="n"/>
      <c r="C1706" s="11">
        <f>IF(B1706="","",PERCENTRANK.INC($B$2:$B$2501,B1706)*100)</f>
        <v/>
      </c>
      <c r="D1706" s="10" t="n"/>
      <c r="E1706" s="10">
        <f>IF(D1706="","",MIN(D1706,100))</f>
        <v/>
      </c>
      <c r="F1706" s="10" t="n"/>
      <c r="G1706" s="10">
        <f>IF(F1706="","",MIN(F1706,100))</f>
        <v/>
      </c>
      <c r="H1706" s="11">
        <f>IF(A1706="","",Universe!E1706/BDP(A1706&amp;" US Equity","HIGH_52WEEK")*100)</f>
        <v/>
      </c>
      <c r="I1706">
        <f>IF(D1706="","",D1706&gt;=5)</f>
        <v/>
      </c>
      <c r="J1706">
        <f>IF(F1706="","",F1706&gt;=5)</f>
        <v/>
      </c>
      <c r="K1706">
        <f>IF(H1706="","",H1706&gt;=75)</f>
        <v/>
      </c>
      <c r="L1706">
        <f>IF(OR(I1706="",J1706="",K1706=""),FALSE,AND(I1706,J1706,K1706))</f>
        <v/>
      </c>
    </row>
    <row r="1707">
      <c r="A1707">
        <f>Universe!A1707</f>
        <v/>
      </c>
      <c r="B1707" s="10" t="n"/>
      <c r="C1707" s="11">
        <f>IF(B1707="","",PERCENTRANK.INC($B$2:$B$2501,B1707)*100)</f>
        <v/>
      </c>
      <c r="D1707" s="10" t="n"/>
      <c r="E1707" s="10">
        <f>IF(D1707="","",MIN(D1707,100))</f>
        <v/>
      </c>
      <c r="F1707" s="10" t="n"/>
      <c r="G1707" s="10">
        <f>IF(F1707="","",MIN(F1707,100))</f>
        <v/>
      </c>
      <c r="H1707" s="11">
        <f>IF(A1707="","",Universe!E1707/BDP(A1707&amp;" US Equity","HIGH_52WEEK")*100)</f>
        <v/>
      </c>
      <c r="I1707">
        <f>IF(D1707="","",D1707&gt;=5)</f>
        <v/>
      </c>
      <c r="J1707">
        <f>IF(F1707="","",F1707&gt;=5)</f>
        <v/>
      </c>
      <c r="K1707">
        <f>IF(H1707="","",H1707&gt;=75)</f>
        <v/>
      </c>
      <c r="L1707">
        <f>IF(OR(I1707="",J1707="",K1707=""),FALSE,AND(I1707,J1707,K1707))</f>
        <v/>
      </c>
    </row>
    <row r="1708">
      <c r="A1708">
        <f>Universe!A1708</f>
        <v/>
      </c>
      <c r="B1708" s="10" t="n"/>
      <c r="C1708" s="11">
        <f>IF(B1708="","",PERCENTRANK.INC($B$2:$B$2501,B1708)*100)</f>
        <v/>
      </c>
      <c r="D1708" s="10" t="n"/>
      <c r="E1708" s="10">
        <f>IF(D1708="","",MIN(D1708,100))</f>
        <v/>
      </c>
      <c r="F1708" s="10" t="n"/>
      <c r="G1708" s="10">
        <f>IF(F1708="","",MIN(F1708,100))</f>
        <v/>
      </c>
      <c r="H1708" s="11">
        <f>IF(A1708="","",Universe!E1708/BDP(A1708&amp;" US Equity","HIGH_52WEEK")*100)</f>
        <v/>
      </c>
      <c r="I1708">
        <f>IF(D1708="","",D1708&gt;=5)</f>
        <v/>
      </c>
      <c r="J1708">
        <f>IF(F1708="","",F1708&gt;=5)</f>
        <v/>
      </c>
      <c r="K1708">
        <f>IF(H1708="","",H1708&gt;=75)</f>
        <v/>
      </c>
      <c r="L1708">
        <f>IF(OR(I1708="",J1708="",K1708=""),FALSE,AND(I1708,J1708,K1708))</f>
        <v/>
      </c>
    </row>
    <row r="1709">
      <c r="A1709">
        <f>Universe!A1709</f>
        <v/>
      </c>
      <c r="B1709" s="10" t="n"/>
      <c r="C1709" s="11">
        <f>IF(B1709="","",PERCENTRANK.INC($B$2:$B$2501,B1709)*100)</f>
        <v/>
      </c>
      <c r="D1709" s="10" t="n"/>
      <c r="E1709" s="10">
        <f>IF(D1709="","",MIN(D1709,100))</f>
        <v/>
      </c>
      <c r="F1709" s="10" t="n"/>
      <c r="G1709" s="10">
        <f>IF(F1709="","",MIN(F1709,100))</f>
        <v/>
      </c>
      <c r="H1709" s="11">
        <f>IF(A1709="","",Universe!E1709/BDP(A1709&amp;" US Equity","HIGH_52WEEK")*100)</f>
        <v/>
      </c>
      <c r="I1709">
        <f>IF(D1709="","",D1709&gt;=5)</f>
        <v/>
      </c>
      <c r="J1709">
        <f>IF(F1709="","",F1709&gt;=5)</f>
        <v/>
      </c>
      <c r="K1709">
        <f>IF(H1709="","",H1709&gt;=75)</f>
        <v/>
      </c>
      <c r="L1709">
        <f>IF(OR(I1709="",J1709="",K1709=""),FALSE,AND(I1709,J1709,K1709))</f>
        <v/>
      </c>
    </row>
    <row r="1710">
      <c r="A1710">
        <f>Universe!A1710</f>
        <v/>
      </c>
      <c r="B1710" s="10" t="n"/>
      <c r="C1710" s="11">
        <f>IF(B1710="","",PERCENTRANK.INC($B$2:$B$2501,B1710)*100)</f>
        <v/>
      </c>
      <c r="D1710" s="10" t="n"/>
      <c r="E1710" s="10">
        <f>IF(D1710="","",MIN(D1710,100))</f>
        <v/>
      </c>
      <c r="F1710" s="10" t="n"/>
      <c r="G1710" s="10">
        <f>IF(F1710="","",MIN(F1710,100))</f>
        <v/>
      </c>
      <c r="H1710" s="11">
        <f>IF(A1710="","",Universe!E1710/BDP(A1710&amp;" US Equity","HIGH_52WEEK")*100)</f>
        <v/>
      </c>
      <c r="I1710">
        <f>IF(D1710="","",D1710&gt;=5)</f>
        <v/>
      </c>
      <c r="J1710">
        <f>IF(F1710="","",F1710&gt;=5)</f>
        <v/>
      </c>
      <c r="K1710">
        <f>IF(H1710="","",H1710&gt;=75)</f>
        <v/>
      </c>
      <c r="L1710">
        <f>IF(OR(I1710="",J1710="",K1710=""),FALSE,AND(I1710,J1710,K1710))</f>
        <v/>
      </c>
    </row>
    <row r="1711">
      <c r="A1711">
        <f>Universe!A1711</f>
        <v/>
      </c>
      <c r="B1711" s="10" t="n"/>
      <c r="C1711" s="11">
        <f>IF(B1711="","",PERCENTRANK.INC($B$2:$B$2501,B1711)*100)</f>
        <v/>
      </c>
      <c r="D1711" s="10" t="n"/>
      <c r="E1711" s="10">
        <f>IF(D1711="","",MIN(D1711,100))</f>
        <v/>
      </c>
      <c r="F1711" s="10" t="n"/>
      <c r="G1711" s="10">
        <f>IF(F1711="","",MIN(F1711,100))</f>
        <v/>
      </c>
      <c r="H1711" s="11">
        <f>IF(A1711="","",Universe!E1711/BDP(A1711&amp;" US Equity","HIGH_52WEEK")*100)</f>
        <v/>
      </c>
      <c r="I1711">
        <f>IF(D1711="","",D1711&gt;=5)</f>
        <v/>
      </c>
      <c r="J1711">
        <f>IF(F1711="","",F1711&gt;=5)</f>
        <v/>
      </c>
      <c r="K1711">
        <f>IF(H1711="","",H1711&gt;=75)</f>
        <v/>
      </c>
      <c r="L1711">
        <f>IF(OR(I1711="",J1711="",K1711=""),FALSE,AND(I1711,J1711,K1711))</f>
        <v/>
      </c>
    </row>
    <row r="1712">
      <c r="A1712">
        <f>Universe!A1712</f>
        <v/>
      </c>
      <c r="B1712" s="10" t="n"/>
      <c r="C1712" s="11">
        <f>IF(B1712="","",PERCENTRANK.INC($B$2:$B$2501,B1712)*100)</f>
        <v/>
      </c>
      <c r="D1712" s="10" t="n"/>
      <c r="E1712" s="10">
        <f>IF(D1712="","",MIN(D1712,100))</f>
        <v/>
      </c>
      <c r="F1712" s="10" t="n"/>
      <c r="G1712" s="10">
        <f>IF(F1712="","",MIN(F1712,100))</f>
        <v/>
      </c>
      <c r="H1712" s="11">
        <f>IF(A1712="","",Universe!E1712/BDP(A1712&amp;" US Equity","HIGH_52WEEK")*100)</f>
        <v/>
      </c>
      <c r="I1712">
        <f>IF(D1712="","",D1712&gt;=5)</f>
        <v/>
      </c>
      <c r="J1712">
        <f>IF(F1712="","",F1712&gt;=5)</f>
        <v/>
      </c>
      <c r="K1712">
        <f>IF(H1712="","",H1712&gt;=75)</f>
        <v/>
      </c>
      <c r="L1712">
        <f>IF(OR(I1712="",J1712="",K1712=""),FALSE,AND(I1712,J1712,K1712))</f>
        <v/>
      </c>
    </row>
    <row r="1713">
      <c r="A1713">
        <f>Universe!A1713</f>
        <v/>
      </c>
      <c r="B1713" s="10" t="n"/>
      <c r="C1713" s="11">
        <f>IF(B1713="","",PERCENTRANK.INC($B$2:$B$2501,B1713)*100)</f>
        <v/>
      </c>
      <c r="D1713" s="10" t="n"/>
      <c r="E1713" s="10">
        <f>IF(D1713="","",MIN(D1713,100))</f>
        <v/>
      </c>
      <c r="F1713" s="10" t="n"/>
      <c r="G1713" s="10">
        <f>IF(F1713="","",MIN(F1713,100))</f>
        <v/>
      </c>
      <c r="H1713" s="11">
        <f>IF(A1713="","",Universe!E1713/BDP(A1713&amp;" US Equity","HIGH_52WEEK")*100)</f>
        <v/>
      </c>
      <c r="I1713">
        <f>IF(D1713="","",D1713&gt;=5)</f>
        <v/>
      </c>
      <c r="J1713">
        <f>IF(F1713="","",F1713&gt;=5)</f>
        <v/>
      </c>
      <c r="K1713">
        <f>IF(H1713="","",H1713&gt;=75)</f>
        <v/>
      </c>
      <c r="L1713">
        <f>IF(OR(I1713="",J1713="",K1713=""),FALSE,AND(I1713,J1713,K1713))</f>
        <v/>
      </c>
    </row>
    <row r="1714">
      <c r="A1714">
        <f>Universe!A1714</f>
        <v/>
      </c>
      <c r="B1714" s="10" t="n"/>
      <c r="C1714" s="11">
        <f>IF(B1714="","",PERCENTRANK.INC($B$2:$B$2501,B1714)*100)</f>
        <v/>
      </c>
      <c r="D1714" s="10" t="n"/>
      <c r="E1714" s="10">
        <f>IF(D1714="","",MIN(D1714,100))</f>
        <v/>
      </c>
      <c r="F1714" s="10" t="n"/>
      <c r="G1714" s="10">
        <f>IF(F1714="","",MIN(F1714,100))</f>
        <v/>
      </c>
      <c r="H1714" s="11">
        <f>IF(A1714="","",Universe!E1714/BDP(A1714&amp;" US Equity","HIGH_52WEEK")*100)</f>
        <v/>
      </c>
      <c r="I1714">
        <f>IF(D1714="","",D1714&gt;=5)</f>
        <v/>
      </c>
      <c r="J1714">
        <f>IF(F1714="","",F1714&gt;=5)</f>
        <v/>
      </c>
      <c r="K1714">
        <f>IF(H1714="","",H1714&gt;=75)</f>
        <v/>
      </c>
      <c r="L1714">
        <f>IF(OR(I1714="",J1714="",K1714=""),FALSE,AND(I1714,J1714,K1714))</f>
        <v/>
      </c>
    </row>
    <row r="1715">
      <c r="A1715">
        <f>Universe!A1715</f>
        <v/>
      </c>
      <c r="B1715" s="10" t="n"/>
      <c r="C1715" s="11">
        <f>IF(B1715="","",PERCENTRANK.INC($B$2:$B$2501,B1715)*100)</f>
        <v/>
      </c>
      <c r="D1715" s="10" t="n"/>
      <c r="E1715" s="10">
        <f>IF(D1715="","",MIN(D1715,100))</f>
        <v/>
      </c>
      <c r="F1715" s="10" t="n"/>
      <c r="G1715" s="10">
        <f>IF(F1715="","",MIN(F1715,100))</f>
        <v/>
      </c>
      <c r="H1715" s="11">
        <f>IF(A1715="","",Universe!E1715/BDP(A1715&amp;" US Equity","HIGH_52WEEK")*100)</f>
        <v/>
      </c>
      <c r="I1715">
        <f>IF(D1715="","",D1715&gt;=5)</f>
        <v/>
      </c>
      <c r="J1715">
        <f>IF(F1715="","",F1715&gt;=5)</f>
        <v/>
      </c>
      <c r="K1715">
        <f>IF(H1715="","",H1715&gt;=75)</f>
        <v/>
      </c>
      <c r="L1715">
        <f>IF(OR(I1715="",J1715="",K1715=""),FALSE,AND(I1715,J1715,K1715))</f>
        <v/>
      </c>
    </row>
    <row r="1716">
      <c r="A1716">
        <f>Universe!A1716</f>
        <v/>
      </c>
      <c r="B1716" s="10" t="n"/>
      <c r="C1716" s="11">
        <f>IF(B1716="","",PERCENTRANK.INC($B$2:$B$2501,B1716)*100)</f>
        <v/>
      </c>
      <c r="D1716" s="10" t="n"/>
      <c r="E1716" s="10">
        <f>IF(D1716="","",MIN(D1716,100))</f>
        <v/>
      </c>
      <c r="F1716" s="10" t="n"/>
      <c r="G1716" s="10">
        <f>IF(F1716="","",MIN(F1716,100))</f>
        <v/>
      </c>
      <c r="H1716" s="11">
        <f>IF(A1716="","",Universe!E1716/BDP(A1716&amp;" US Equity","HIGH_52WEEK")*100)</f>
        <v/>
      </c>
      <c r="I1716">
        <f>IF(D1716="","",D1716&gt;=5)</f>
        <v/>
      </c>
      <c r="J1716">
        <f>IF(F1716="","",F1716&gt;=5)</f>
        <v/>
      </c>
      <c r="K1716">
        <f>IF(H1716="","",H1716&gt;=75)</f>
        <v/>
      </c>
      <c r="L1716">
        <f>IF(OR(I1716="",J1716="",K1716=""),FALSE,AND(I1716,J1716,K1716))</f>
        <v/>
      </c>
    </row>
    <row r="1717">
      <c r="A1717">
        <f>Universe!A1717</f>
        <v/>
      </c>
      <c r="B1717" s="10" t="n"/>
      <c r="C1717" s="11">
        <f>IF(B1717="","",PERCENTRANK.INC($B$2:$B$2501,B1717)*100)</f>
        <v/>
      </c>
      <c r="D1717" s="10" t="n"/>
      <c r="E1717" s="10">
        <f>IF(D1717="","",MIN(D1717,100))</f>
        <v/>
      </c>
      <c r="F1717" s="10" t="n"/>
      <c r="G1717" s="10">
        <f>IF(F1717="","",MIN(F1717,100))</f>
        <v/>
      </c>
      <c r="H1717" s="11">
        <f>IF(A1717="","",Universe!E1717/BDP(A1717&amp;" US Equity","HIGH_52WEEK")*100)</f>
        <v/>
      </c>
      <c r="I1717">
        <f>IF(D1717="","",D1717&gt;=5)</f>
        <v/>
      </c>
      <c r="J1717">
        <f>IF(F1717="","",F1717&gt;=5)</f>
        <v/>
      </c>
      <c r="K1717">
        <f>IF(H1717="","",H1717&gt;=75)</f>
        <v/>
      </c>
      <c r="L1717">
        <f>IF(OR(I1717="",J1717="",K1717=""),FALSE,AND(I1717,J1717,K1717))</f>
        <v/>
      </c>
    </row>
    <row r="1718">
      <c r="A1718">
        <f>Universe!A1718</f>
        <v/>
      </c>
      <c r="B1718" s="10" t="n"/>
      <c r="C1718" s="11">
        <f>IF(B1718="","",PERCENTRANK.INC($B$2:$B$2501,B1718)*100)</f>
        <v/>
      </c>
      <c r="D1718" s="10" t="n"/>
      <c r="E1718" s="10">
        <f>IF(D1718="","",MIN(D1718,100))</f>
        <v/>
      </c>
      <c r="F1718" s="10" t="n"/>
      <c r="G1718" s="10">
        <f>IF(F1718="","",MIN(F1718,100))</f>
        <v/>
      </c>
      <c r="H1718" s="11">
        <f>IF(A1718="","",Universe!E1718/BDP(A1718&amp;" US Equity","HIGH_52WEEK")*100)</f>
        <v/>
      </c>
      <c r="I1718">
        <f>IF(D1718="","",D1718&gt;=5)</f>
        <v/>
      </c>
      <c r="J1718">
        <f>IF(F1718="","",F1718&gt;=5)</f>
        <v/>
      </c>
      <c r="K1718">
        <f>IF(H1718="","",H1718&gt;=75)</f>
        <v/>
      </c>
      <c r="L1718">
        <f>IF(OR(I1718="",J1718="",K1718=""),FALSE,AND(I1718,J1718,K1718))</f>
        <v/>
      </c>
    </row>
    <row r="1719">
      <c r="A1719">
        <f>Universe!A1719</f>
        <v/>
      </c>
      <c r="B1719" s="10" t="n"/>
      <c r="C1719" s="11">
        <f>IF(B1719="","",PERCENTRANK.INC($B$2:$B$2501,B1719)*100)</f>
        <v/>
      </c>
      <c r="D1719" s="10" t="n"/>
      <c r="E1719" s="10">
        <f>IF(D1719="","",MIN(D1719,100))</f>
        <v/>
      </c>
      <c r="F1719" s="10" t="n"/>
      <c r="G1719" s="10">
        <f>IF(F1719="","",MIN(F1719,100))</f>
        <v/>
      </c>
      <c r="H1719" s="11">
        <f>IF(A1719="","",Universe!E1719/BDP(A1719&amp;" US Equity","HIGH_52WEEK")*100)</f>
        <v/>
      </c>
      <c r="I1719">
        <f>IF(D1719="","",D1719&gt;=5)</f>
        <v/>
      </c>
      <c r="J1719">
        <f>IF(F1719="","",F1719&gt;=5)</f>
        <v/>
      </c>
      <c r="K1719">
        <f>IF(H1719="","",H1719&gt;=75)</f>
        <v/>
      </c>
      <c r="L1719">
        <f>IF(OR(I1719="",J1719="",K1719=""),FALSE,AND(I1719,J1719,K1719))</f>
        <v/>
      </c>
    </row>
    <row r="1720">
      <c r="A1720">
        <f>Universe!A1720</f>
        <v/>
      </c>
      <c r="B1720" s="10" t="n"/>
      <c r="C1720" s="11">
        <f>IF(B1720="","",PERCENTRANK.INC($B$2:$B$2501,B1720)*100)</f>
        <v/>
      </c>
      <c r="D1720" s="10" t="n"/>
      <c r="E1720" s="10">
        <f>IF(D1720="","",MIN(D1720,100))</f>
        <v/>
      </c>
      <c r="F1720" s="10" t="n"/>
      <c r="G1720" s="10">
        <f>IF(F1720="","",MIN(F1720,100))</f>
        <v/>
      </c>
      <c r="H1720" s="11">
        <f>IF(A1720="","",Universe!E1720/BDP(A1720&amp;" US Equity","HIGH_52WEEK")*100)</f>
        <v/>
      </c>
      <c r="I1720">
        <f>IF(D1720="","",D1720&gt;=5)</f>
        <v/>
      </c>
      <c r="J1720">
        <f>IF(F1720="","",F1720&gt;=5)</f>
        <v/>
      </c>
      <c r="K1720">
        <f>IF(H1720="","",H1720&gt;=75)</f>
        <v/>
      </c>
      <c r="L1720">
        <f>IF(OR(I1720="",J1720="",K1720=""),FALSE,AND(I1720,J1720,K1720))</f>
        <v/>
      </c>
    </row>
    <row r="1721">
      <c r="A1721">
        <f>Universe!A1721</f>
        <v/>
      </c>
      <c r="B1721" s="10" t="n"/>
      <c r="C1721" s="11">
        <f>IF(B1721="","",PERCENTRANK.INC($B$2:$B$2501,B1721)*100)</f>
        <v/>
      </c>
      <c r="D1721" s="10" t="n"/>
      <c r="E1721" s="10">
        <f>IF(D1721="","",MIN(D1721,100))</f>
        <v/>
      </c>
      <c r="F1721" s="10" t="n"/>
      <c r="G1721" s="10">
        <f>IF(F1721="","",MIN(F1721,100))</f>
        <v/>
      </c>
      <c r="H1721" s="11">
        <f>IF(A1721="","",Universe!E1721/BDP(A1721&amp;" US Equity","HIGH_52WEEK")*100)</f>
        <v/>
      </c>
      <c r="I1721">
        <f>IF(D1721="","",D1721&gt;=5)</f>
        <v/>
      </c>
      <c r="J1721">
        <f>IF(F1721="","",F1721&gt;=5)</f>
        <v/>
      </c>
      <c r="K1721">
        <f>IF(H1721="","",H1721&gt;=75)</f>
        <v/>
      </c>
      <c r="L1721">
        <f>IF(OR(I1721="",J1721="",K1721=""),FALSE,AND(I1721,J1721,K1721))</f>
        <v/>
      </c>
    </row>
    <row r="1722">
      <c r="A1722">
        <f>Universe!A1722</f>
        <v/>
      </c>
      <c r="B1722" s="10" t="n"/>
      <c r="C1722" s="11">
        <f>IF(B1722="","",PERCENTRANK.INC($B$2:$B$2501,B1722)*100)</f>
        <v/>
      </c>
      <c r="D1722" s="10" t="n"/>
      <c r="E1722" s="10">
        <f>IF(D1722="","",MIN(D1722,100))</f>
        <v/>
      </c>
      <c r="F1722" s="10" t="n"/>
      <c r="G1722" s="10">
        <f>IF(F1722="","",MIN(F1722,100))</f>
        <v/>
      </c>
      <c r="H1722" s="11">
        <f>IF(A1722="","",Universe!E1722/BDP(A1722&amp;" US Equity","HIGH_52WEEK")*100)</f>
        <v/>
      </c>
      <c r="I1722">
        <f>IF(D1722="","",D1722&gt;=5)</f>
        <v/>
      </c>
      <c r="J1722">
        <f>IF(F1722="","",F1722&gt;=5)</f>
        <v/>
      </c>
      <c r="K1722">
        <f>IF(H1722="","",H1722&gt;=75)</f>
        <v/>
      </c>
      <c r="L1722">
        <f>IF(OR(I1722="",J1722="",K1722=""),FALSE,AND(I1722,J1722,K1722))</f>
        <v/>
      </c>
    </row>
    <row r="1723">
      <c r="A1723">
        <f>Universe!A1723</f>
        <v/>
      </c>
      <c r="B1723" s="10" t="n"/>
      <c r="C1723" s="11">
        <f>IF(B1723="","",PERCENTRANK.INC($B$2:$B$2501,B1723)*100)</f>
        <v/>
      </c>
      <c r="D1723" s="10" t="n"/>
      <c r="E1723" s="10">
        <f>IF(D1723="","",MIN(D1723,100))</f>
        <v/>
      </c>
      <c r="F1723" s="10" t="n"/>
      <c r="G1723" s="10">
        <f>IF(F1723="","",MIN(F1723,100))</f>
        <v/>
      </c>
      <c r="H1723" s="11">
        <f>IF(A1723="","",Universe!E1723/BDP(A1723&amp;" US Equity","HIGH_52WEEK")*100)</f>
        <v/>
      </c>
      <c r="I1723">
        <f>IF(D1723="","",D1723&gt;=5)</f>
        <v/>
      </c>
      <c r="J1723">
        <f>IF(F1723="","",F1723&gt;=5)</f>
        <v/>
      </c>
      <c r="K1723">
        <f>IF(H1723="","",H1723&gt;=75)</f>
        <v/>
      </c>
      <c r="L1723">
        <f>IF(OR(I1723="",J1723="",K1723=""),FALSE,AND(I1723,J1723,K1723))</f>
        <v/>
      </c>
    </row>
    <row r="1724">
      <c r="A1724">
        <f>Universe!A1724</f>
        <v/>
      </c>
      <c r="B1724" s="10" t="n"/>
      <c r="C1724" s="11">
        <f>IF(B1724="","",PERCENTRANK.INC($B$2:$B$2501,B1724)*100)</f>
        <v/>
      </c>
      <c r="D1724" s="10" t="n"/>
      <c r="E1724" s="10">
        <f>IF(D1724="","",MIN(D1724,100))</f>
        <v/>
      </c>
      <c r="F1724" s="10" t="n"/>
      <c r="G1724" s="10">
        <f>IF(F1724="","",MIN(F1724,100))</f>
        <v/>
      </c>
      <c r="H1724" s="11">
        <f>IF(A1724="","",Universe!E1724/BDP(A1724&amp;" US Equity","HIGH_52WEEK")*100)</f>
        <v/>
      </c>
      <c r="I1724">
        <f>IF(D1724="","",D1724&gt;=5)</f>
        <v/>
      </c>
      <c r="J1724">
        <f>IF(F1724="","",F1724&gt;=5)</f>
        <v/>
      </c>
      <c r="K1724">
        <f>IF(H1724="","",H1724&gt;=75)</f>
        <v/>
      </c>
      <c r="L1724">
        <f>IF(OR(I1724="",J1724="",K1724=""),FALSE,AND(I1724,J1724,K1724))</f>
        <v/>
      </c>
    </row>
    <row r="1725">
      <c r="A1725">
        <f>Universe!A1725</f>
        <v/>
      </c>
      <c r="B1725" s="10" t="n"/>
      <c r="C1725" s="11">
        <f>IF(B1725="","",PERCENTRANK.INC($B$2:$B$2501,B1725)*100)</f>
        <v/>
      </c>
      <c r="D1725" s="10" t="n"/>
      <c r="E1725" s="10">
        <f>IF(D1725="","",MIN(D1725,100))</f>
        <v/>
      </c>
      <c r="F1725" s="10" t="n"/>
      <c r="G1725" s="10">
        <f>IF(F1725="","",MIN(F1725,100))</f>
        <v/>
      </c>
      <c r="H1725" s="11">
        <f>IF(A1725="","",Universe!E1725/BDP(A1725&amp;" US Equity","HIGH_52WEEK")*100)</f>
        <v/>
      </c>
      <c r="I1725">
        <f>IF(D1725="","",D1725&gt;=5)</f>
        <v/>
      </c>
      <c r="J1725">
        <f>IF(F1725="","",F1725&gt;=5)</f>
        <v/>
      </c>
      <c r="K1725">
        <f>IF(H1725="","",H1725&gt;=75)</f>
        <v/>
      </c>
      <c r="L1725">
        <f>IF(OR(I1725="",J1725="",K1725=""),FALSE,AND(I1725,J1725,K1725))</f>
        <v/>
      </c>
    </row>
    <row r="1726">
      <c r="A1726">
        <f>Universe!A1726</f>
        <v/>
      </c>
      <c r="B1726" s="10" t="n"/>
      <c r="C1726" s="11">
        <f>IF(B1726="","",PERCENTRANK.INC($B$2:$B$2501,B1726)*100)</f>
        <v/>
      </c>
      <c r="D1726" s="10" t="n"/>
      <c r="E1726" s="10">
        <f>IF(D1726="","",MIN(D1726,100))</f>
        <v/>
      </c>
      <c r="F1726" s="10" t="n"/>
      <c r="G1726" s="10">
        <f>IF(F1726="","",MIN(F1726,100))</f>
        <v/>
      </c>
      <c r="H1726" s="11">
        <f>IF(A1726="","",Universe!E1726/BDP(A1726&amp;" US Equity","HIGH_52WEEK")*100)</f>
        <v/>
      </c>
      <c r="I1726">
        <f>IF(D1726="","",D1726&gt;=5)</f>
        <v/>
      </c>
      <c r="J1726">
        <f>IF(F1726="","",F1726&gt;=5)</f>
        <v/>
      </c>
      <c r="K1726">
        <f>IF(H1726="","",H1726&gt;=75)</f>
        <v/>
      </c>
      <c r="L1726">
        <f>IF(OR(I1726="",J1726="",K1726=""),FALSE,AND(I1726,J1726,K1726))</f>
        <v/>
      </c>
    </row>
    <row r="1727">
      <c r="A1727">
        <f>Universe!A1727</f>
        <v/>
      </c>
      <c r="B1727" s="10" t="n"/>
      <c r="C1727" s="11">
        <f>IF(B1727="","",PERCENTRANK.INC($B$2:$B$2501,B1727)*100)</f>
        <v/>
      </c>
      <c r="D1727" s="10" t="n"/>
      <c r="E1727" s="10">
        <f>IF(D1727="","",MIN(D1727,100))</f>
        <v/>
      </c>
      <c r="F1727" s="10" t="n"/>
      <c r="G1727" s="10">
        <f>IF(F1727="","",MIN(F1727,100))</f>
        <v/>
      </c>
      <c r="H1727" s="11">
        <f>IF(A1727="","",Universe!E1727/BDP(A1727&amp;" US Equity","HIGH_52WEEK")*100)</f>
        <v/>
      </c>
      <c r="I1727">
        <f>IF(D1727="","",D1727&gt;=5)</f>
        <v/>
      </c>
      <c r="J1727">
        <f>IF(F1727="","",F1727&gt;=5)</f>
        <v/>
      </c>
      <c r="K1727">
        <f>IF(H1727="","",H1727&gt;=75)</f>
        <v/>
      </c>
      <c r="L1727">
        <f>IF(OR(I1727="",J1727="",K1727=""),FALSE,AND(I1727,J1727,K1727))</f>
        <v/>
      </c>
    </row>
    <row r="1728">
      <c r="A1728">
        <f>Universe!A1728</f>
        <v/>
      </c>
      <c r="B1728" s="10" t="n"/>
      <c r="C1728" s="11">
        <f>IF(B1728="","",PERCENTRANK.INC($B$2:$B$2501,B1728)*100)</f>
        <v/>
      </c>
      <c r="D1728" s="10" t="n"/>
      <c r="E1728" s="10">
        <f>IF(D1728="","",MIN(D1728,100))</f>
        <v/>
      </c>
      <c r="F1728" s="10" t="n"/>
      <c r="G1728" s="10">
        <f>IF(F1728="","",MIN(F1728,100))</f>
        <v/>
      </c>
      <c r="H1728" s="11">
        <f>IF(A1728="","",Universe!E1728/BDP(A1728&amp;" US Equity","HIGH_52WEEK")*100)</f>
        <v/>
      </c>
      <c r="I1728">
        <f>IF(D1728="","",D1728&gt;=5)</f>
        <v/>
      </c>
      <c r="J1728">
        <f>IF(F1728="","",F1728&gt;=5)</f>
        <v/>
      </c>
      <c r="K1728">
        <f>IF(H1728="","",H1728&gt;=75)</f>
        <v/>
      </c>
      <c r="L1728">
        <f>IF(OR(I1728="",J1728="",K1728=""),FALSE,AND(I1728,J1728,K1728))</f>
        <v/>
      </c>
    </row>
    <row r="1729">
      <c r="A1729">
        <f>Universe!A1729</f>
        <v/>
      </c>
      <c r="B1729" s="10" t="n"/>
      <c r="C1729" s="11">
        <f>IF(B1729="","",PERCENTRANK.INC($B$2:$B$2501,B1729)*100)</f>
        <v/>
      </c>
      <c r="D1729" s="10" t="n"/>
      <c r="E1729" s="10">
        <f>IF(D1729="","",MIN(D1729,100))</f>
        <v/>
      </c>
      <c r="F1729" s="10" t="n"/>
      <c r="G1729" s="10">
        <f>IF(F1729="","",MIN(F1729,100))</f>
        <v/>
      </c>
      <c r="H1729" s="11">
        <f>IF(A1729="","",Universe!E1729/BDP(A1729&amp;" US Equity","HIGH_52WEEK")*100)</f>
        <v/>
      </c>
      <c r="I1729">
        <f>IF(D1729="","",D1729&gt;=5)</f>
        <v/>
      </c>
      <c r="J1729">
        <f>IF(F1729="","",F1729&gt;=5)</f>
        <v/>
      </c>
      <c r="K1729">
        <f>IF(H1729="","",H1729&gt;=75)</f>
        <v/>
      </c>
      <c r="L1729">
        <f>IF(OR(I1729="",J1729="",K1729=""),FALSE,AND(I1729,J1729,K1729))</f>
        <v/>
      </c>
    </row>
    <row r="1730">
      <c r="A1730">
        <f>Universe!A1730</f>
        <v/>
      </c>
      <c r="B1730" s="10" t="n"/>
      <c r="C1730" s="11">
        <f>IF(B1730="","",PERCENTRANK.INC($B$2:$B$2501,B1730)*100)</f>
        <v/>
      </c>
      <c r="D1730" s="10" t="n"/>
      <c r="E1730" s="10">
        <f>IF(D1730="","",MIN(D1730,100))</f>
        <v/>
      </c>
      <c r="F1730" s="10" t="n"/>
      <c r="G1730" s="10">
        <f>IF(F1730="","",MIN(F1730,100))</f>
        <v/>
      </c>
      <c r="H1730" s="11">
        <f>IF(A1730="","",Universe!E1730/BDP(A1730&amp;" US Equity","HIGH_52WEEK")*100)</f>
        <v/>
      </c>
      <c r="I1730">
        <f>IF(D1730="","",D1730&gt;=5)</f>
        <v/>
      </c>
      <c r="J1730">
        <f>IF(F1730="","",F1730&gt;=5)</f>
        <v/>
      </c>
      <c r="K1730">
        <f>IF(H1730="","",H1730&gt;=75)</f>
        <v/>
      </c>
      <c r="L1730">
        <f>IF(OR(I1730="",J1730="",K1730=""),FALSE,AND(I1730,J1730,K1730))</f>
        <v/>
      </c>
    </row>
    <row r="1731">
      <c r="A1731">
        <f>Universe!A1731</f>
        <v/>
      </c>
      <c r="B1731" s="10" t="n"/>
      <c r="C1731" s="11">
        <f>IF(B1731="","",PERCENTRANK.INC($B$2:$B$2501,B1731)*100)</f>
        <v/>
      </c>
      <c r="D1731" s="10" t="n"/>
      <c r="E1731" s="10">
        <f>IF(D1731="","",MIN(D1731,100))</f>
        <v/>
      </c>
      <c r="F1731" s="10" t="n"/>
      <c r="G1731" s="10">
        <f>IF(F1731="","",MIN(F1731,100))</f>
        <v/>
      </c>
      <c r="H1731" s="11">
        <f>IF(A1731="","",Universe!E1731/BDP(A1731&amp;" US Equity","HIGH_52WEEK")*100)</f>
        <v/>
      </c>
      <c r="I1731">
        <f>IF(D1731="","",D1731&gt;=5)</f>
        <v/>
      </c>
      <c r="J1731">
        <f>IF(F1731="","",F1731&gt;=5)</f>
        <v/>
      </c>
      <c r="K1731">
        <f>IF(H1731="","",H1731&gt;=75)</f>
        <v/>
      </c>
      <c r="L1731">
        <f>IF(OR(I1731="",J1731="",K1731=""),FALSE,AND(I1731,J1731,K1731))</f>
        <v/>
      </c>
    </row>
    <row r="1732">
      <c r="A1732">
        <f>Universe!A1732</f>
        <v/>
      </c>
      <c r="B1732" s="10" t="n"/>
      <c r="C1732" s="11">
        <f>IF(B1732="","",PERCENTRANK.INC($B$2:$B$2501,B1732)*100)</f>
        <v/>
      </c>
      <c r="D1732" s="10" t="n"/>
      <c r="E1732" s="10">
        <f>IF(D1732="","",MIN(D1732,100))</f>
        <v/>
      </c>
      <c r="F1732" s="10" t="n"/>
      <c r="G1732" s="10">
        <f>IF(F1732="","",MIN(F1732,100))</f>
        <v/>
      </c>
      <c r="H1732" s="11">
        <f>IF(A1732="","",Universe!E1732/BDP(A1732&amp;" US Equity","HIGH_52WEEK")*100)</f>
        <v/>
      </c>
      <c r="I1732">
        <f>IF(D1732="","",D1732&gt;=5)</f>
        <v/>
      </c>
      <c r="J1732">
        <f>IF(F1732="","",F1732&gt;=5)</f>
        <v/>
      </c>
      <c r="K1732">
        <f>IF(H1732="","",H1732&gt;=75)</f>
        <v/>
      </c>
      <c r="L1732">
        <f>IF(OR(I1732="",J1732="",K1732=""),FALSE,AND(I1732,J1732,K1732))</f>
        <v/>
      </c>
    </row>
    <row r="1733">
      <c r="A1733">
        <f>Universe!A1733</f>
        <v/>
      </c>
      <c r="B1733" s="10" t="n"/>
      <c r="C1733" s="11">
        <f>IF(B1733="","",PERCENTRANK.INC($B$2:$B$2501,B1733)*100)</f>
        <v/>
      </c>
      <c r="D1733" s="10" t="n"/>
      <c r="E1733" s="10">
        <f>IF(D1733="","",MIN(D1733,100))</f>
        <v/>
      </c>
      <c r="F1733" s="10" t="n"/>
      <c r="G1733" s="10">
        <f>IF(F1733="","",MIN(F1733,100))</f>
        <v/>
      </c>
      <c r="H1733" s="11">
        <f>IF(A1733="","",Universe!E1733/BDP(A1733&amp;" US Equity","HIGH_52WEEK")*100)</f>
        <v/>
      </c>
      <c r="I1733">
        <f>IF(D1733="","",D1733&gt;=5)</f>
        <v/>
      </c>
      <c r="J1733">
        <f>IF(F1733="","",F1733&gt;=5)</f>
        <v/>
      </c>
      <c r="K1733">
        <f>IF(H1733="","",H1733&gt;=75)</f>
        <v/>
      </c>
      <c r="L1733">
        <f>IF(OR(I1733="",J1733="",K1733=""),FALSE,AND(I1733,J1733,K1733))</f>
        <v/>
      </c>
    </row>
    <row r="1734">
      <c r="A1734">
        <f>Universe!A1734</f>
        <v/>
      </c>
      <c r="B1734" s="10" t="n"/>
      <c r="C1734" s="11">
        <f>IF(B1734="","",PERCENTRANK.INC($B$2:$B$2501,B1734)*100)</f>
        <v/>
      </c>
      <c r="D1734" s="10" t="n"/>
      <c r="E1734" s="10">
        <f>IF(D1734="","",MIN(D1734,100))</f>
        <v/>
      </c>
      <c r="F1734" s="10" t="n"/>
      <c r="G1734" s="10">
        <f>IF(F1734="","",MIN(F1734,100))</f>
        <v/>
      </c>
      <c r="H1734" s="11">
        <f>IF(A1734="","",Universe!E1734/BDP(A1734&amp;" US Equity","HIGH_52WEEK")*100)</f>
        <v/>
      </c>
      <c r="I1734">
        <f>IF(D1734="","",D1734&gt;=5)</f>
        <v/>
      </c>
      <c r="J1734">
        <f>IF(F1734="","",F1734&gt;=5)</f>
        <v/>
      </c>
      <c r="K1734">
        <f>IF(H1734="","",H1734&gt;=75)</f>
        <v/>
      </c>
      <c r="L1734">
        <f>IF(OR(I1734="",J1734="",K1734=""),FALSE,AND(I1734,J1734,K1734))</f>
        <v/>
      </c>
    </row>
    <row r="1735">
      <c r="A1735">
        <f>Universe!A1735</f>
        <v/>
      </c>
      <c r="B1735" s="10" t="n"/>
      <c r="C1735" s="11">
        <f>IF(B1735="","",PERCENTRANK.INC($B$2:$B$2501,B1735)*100)</f>
        <v/>
      </c>
      <c r="D1735" s="10" t="n"/>
      <c r="E1735" s="10">
        <f>IF(D1735="","",MIN(D1735,100))</f>
        <v/>
      </c>
      <c r="F1735" s="10" t="n"/>
      <c r="G1735" s="10">
        <f>IF(F1735="","",MIN(F1735,100))</f>
        <v/>
      </c>
      <c r="H1735" s="11">
        <f>IF(A1735="","",Universe!E1735/BDP(A1735&amp;" US Equity","HIGH_52WEEK")*100)</f>
        <v/>
      </c>
      <c r="I1735">
        <f>IF(D1735="","",D1735&gt;=5)</f>
        <v/>
      </c>
      <c r="J1735">
        <f>IF(F1735="","",F1735&gt;=5)</f>
        <v/>
      </c>
      <c r="K1735">
        <f>IF(H1735="","",H1735&gt;=75)</f>
        <v/>
      </c>
      <c r="L1735">
        <f>IF(OR(I1735="",J1735="",K1735=""),FALSE,AND(I1735,J1735,K1735))</f>
        <v/>
      </c>
    </row>
    <row r="1736">
      <c r="A1736">
        <f>Universe!A1736</f>
        <v/>
      </c>
      <c r="B1736" s="10" t="n"/>
      <c r="C1736" s="11">
        <f>IF(B1736="","",PERCENTRANK.INC($B$2:$B$2501,B1736)*100)</f>
        <v/>
      </c>
      <c r="D1736" s="10" t="n"/>
      <c r="E1736" s="10">
        <f>IF(D1736="","",MIN(D1736,100))</f>
        <v/>
      </c>
      <c r="F1736" s="10" t="n"/>
      <c r="G1736" s="10">
        <f>IF(F1736="","",MIN(F1736,100))</f>
        <v/>
      </c>
      <c r="H1736" s="11">
        <f>IF(A1736="","",Universe!E1736/BDP(A1736&amp;" US Equity","HIGH_52WEEK")*100)</f>
        <v/>
      </c>
      <c r="I1736">
        <f>IF(D1736="","",D1736&gt;=5)</f>
        <v/>
      </c>
      <c r="J1736">
        <f>IF(F1736="","",F1736&gt;=5)</f>
        <v/>
      </c>
      <c r="K1736">
        <f>IF(H1736="","",H1736&gt;=75)</f>
        <v/>
      </c>
      <c r="L1736">
        <f>IF(OR(I1736="",J1736="",K1736=""),FALSE,AND(I1736,J1736,K1736))</f>
        <v/>
      </c>
    </row>
    <row r="1737">
      <c r="A1737">
        <f>Universe!A1737</f>
        <v/>
      </c>
      <c r="B1737" s="10" t="n"/>
      <c r="C1737" s="11">
        <f>IF(B1737="","",PERCENTRANK.INC($B$2:$B$2501,B1737)*100)</f>
        <v/>
      </c>
      <c r="D1737" s="10" t="n"/>
      <c r="E1737" s="10">
        <f>IF(D1737="","",MIN(D1737,100))</f>
        <v/>
      </c>
      <c r="F1737" s="10" t="n"/>
      <c r="G1737" s="10">
        <f>IF(F1737="","",MIN(F1737,100))</f>
        <v/>
      </c>
      <c r="H1737" s="11">
        <f>IF(A1737="","",Universe!E1737/BDP(A1737&amp;" US Equity","HIGH_52WEEK")*100)</f>
        <v/>
      </c>
      <c r="I1737">
        <f>IF(D1737="","",D1737&gt;=5)</f>
        <v/>
      </c>
      <c r="J1737">
        <f>IF(F1737="","",F1737&gt;=5)</f>
        <v/>
      </c>
      <c r="K1737">
        <f>IF(H1737="","",H1737&gt;=75)</f>
        <v/>
      </c>
      <c r="L1737">
        <f>IF(OR(I1737="",J1737="",K1737=""),FALSE,AND(I1737,J1737,K1737))</f>
        <v/>
      </c>
    </row>
    <row r="1738">
      <c r="A1738">
        <f>Universe!A1738</f>
        <v/>
      </c>
      <c r="B1738" s="10" t="n"/>
      <c r="C1738" s="11">
        <f>IF(B1738="","",PERCENTRANK.INC($B$2:$B$2501,B1738)*100)</f>
        <v/>
      </c>
      <c r="D1738" s="10" t="n"/>
      <c r="E1738" s="10">
        <f>IF(D1738="","",MIN(D1738,100))</f>
        <v/>
      </c>
      <c r="F1738" s="10" t="n"/>
      <c r="G1738" s="10">
        <f>IF(F1738="","",MIN(F1738,100))</f>
        <v/>
      </c>
      <c r="H1738" s="11">
        <f>IF(A1738="","",Universe!E1738/BDP(A1738&amp;" US Equity","HIGH_52WEEK")*100)</f>
        <v/>
      </c>
      <c r="I1738">
        <f>IF(D1738="","",D1738&gt;=5)</f>
        <v/>
      </c>
      <c r="J1738">
        <f>IF(F1738="","",F1738&gt;=5)</f>
        <v/>
      </c>
      <c r="K1738">
        <f>IF(H1738="","",H1738&gt;=75)</f>
        <v/>
      </c>
      <c r="L1738">
        <f>IF(OR(I1738="",J1738="",K1738=""),FALSE,AND(I1738,J1738,K1738))</f>
        <v/>
      </c>
    </row>
    <row r="1739">
      <c r="A1739">
        <f>Universe!A1739</f>
        <v/>
      </c>
      <c r="B1739" s="10" t="n"/>
      <c r="C1739" s="11">
        <f>IF(B1739="","",PERCENTRANK.INC($B$2:$B$2501,B1739)*100)</f>
        <v/>
      </c>
      <c r="D1739" s="10" t="n"/>
      <c r="E1739" s="10">
        <f>IF(D1739="","",MIN(D1739,100))</f>
        <v/>
      </c>
      <c r="F1739" s="10" t="n"/>
      <c r="G1739" s="10">
        <f>IF(F1739="","",MIN(F1739,100))</f>
        <v/>
      </c>
      <c r="H1739" s="11">
        <f>IF(A1739="","",Universe!E1739/BDP(A1739&amp;" US Equity","HIGH_52WEEK")*100)</f>
        <v/>
      </c>
      <c r="I1739">
        <f>IF(D1739="","",D1739&gt;=5)</f>
        <v/>
      </c>
      <c r="J1739">
        <f>IF(F1739="","",F1739&gt;=5)</f>
        <v/>
      </c>
      <c r="K1739">
        <f>IF(H1739="","",H1739&gt;=75)</f>
        <v/>
      </c>
      <c r="L1739">
        <f>IF(OR(I1739="",J1739="",K1739=""),FALSE,AND(I1739,J1739,K1739))</f>
        <v/>
      </c>
    </row>
    <row r="1740">
      <c r="A1740">
        <f>Universe!A1740</f>
        <v/>
      </c>
      <c r="B1740" s="10" t="n"/>
      <c r="C1740" s="11">
        <f>IF(B1740="","",PERCENTRANK.INC($B$2:$B$2501,B1740)*100)</f>
        <v/>
      </c>
      <c r="D1740" s="10" t="n"/>
      <c r="E1740" s="10">
        <f>IF(D1740="","",MIN(D1740,100))</f>
        <v/>
      </c>
      <c r="F1740" s="10" t="n"/>
      <c r="G1740" s="10">
        <f>IF(F1740="","",MIN(F1740,100))</f>
        <v/>
      </c>
      <c r="H1740" s="11">
        <f>IF(A1740="","",Universe!E1740/BDP(A1740&amp;" US Equity","HIGH_52WEEK")*100)</f>
        <v/>
      </c>
      <c r="I1740">
        <f>IF(D1740="","",D1740&gt;=5)</f>
        <v/>
      </c>
      <c r="J1740">
        <f>IF(F1740="","",F1740&gt;=5)</f>
        <v/>
      </c>
      <c r="K1740">
        <f>IF(H1740="","",H1740&gt;=75)</f>
        <v/>
      </c>
      <c r="L1740">
        <f>IF(OR(I1740="",J1740="",K1740=""),FALSE,AND(I1740,J1740,K1740))</f>
        <v/>
      </c>
    </row>
    <row r="1741">
      <c r="A1741">
        <f>Universe!A1741</f>
        <v/>
      </c>
      <c r="B1741" s="10" t="n"/>
      <c r="C1741" s="11">
        <f>IF(B1741="","",PERCENTRANK.INC($B$2:$B$2501,B1741)*100)</f>
        <v/>
      </c>
      <c r="D1741" s="10" t="n"/>
      <c r="E1741" s="10">
        <f>IF(D1741="","",MIN(D1741,100))</f>
        <v/>
      </c>
      <c r="F1741" s="10" t="n"/>
      <c r="G1741" s="10">
        <f>IF(F1741="","",MIN(F1741,100))</f>
        <v/>
      </c>
      <c r="H1741" s="11">
        <f>IF(A1741="","",Universe!E1741/BDP(A1741&amp;" US Equity","HIGH_52WEEK")*100)</f>
        <v/>
      </c>
      <c r="I1741">
        <f>IF(D1741="","",D1741&gt;=5)</f>
        <v/>
      </c>
      <c r="J1741">
        <f>IF(F1741="","",F1741&gt;=5)</f>
        <v/>
      </c>
      <c r="K1741">
        <f>IF(H1741="","",H1741&gt;=75)</f>
        <v/>
      </c>
      <c r="L1741">
        <f>IF(OR(I1741="",J1741="",K1741=""),FALSE,AND(I1741,J1741,K1741))</f>
        <v/>
      </c>
    </row>
    <row r="1742">
      <c r="A1742">
        <f>Universe!A1742</f>
        <v/>
      </c>
      <c r="B1742" s="10" t="n"/>
      <c r="C1742" s="11">
        <f>IF(B1742="","",PERCENTRANK.INC($B$2:$B$2501,B1742)*100)</f>
        <v/>
      </c>
      <c r="D1742" s="10" t="n"/>
      <c r="E1742" s="10">
        <f>IF(D1742="","",MIN(D1742,100))</f>
        <v/>
      </c>
      <c r="F1742" s="10" t="n"/>
      <c r="G1742" s="10">
        <f>IF(F1742="","",MIN(F1742,100))</f>
        <v/>
      </c>
      <c r="H1742" s="11">
        <f>IF(A1742="","",Universe!E1742/BDP(A1742&amp;" US Equity","HIGH_52WEEK")*100)</f>
        <v/>
      </c>
      <c r="I1742">
        <f>IF(D1742="","",D1742&gt;=5)</f>
        <v/>
      </c>
      <c r="J1742">
        <f>IF(F1742="","",F1742&gt;=5)</f>
        <v/>
      </c>
      <c r="K1742">
        <f>IF(H1742="","",H1742&gt;=75)</f>
        <v/>
      </c>
      <c r="L1742">
        <f>IF(OR(I1742="",J1742="",K1742=""),FALSE,AND(I1742,J1742,K1742))</f>
        <v/>
      </c>
    </row>
    <row r="1743">
      <c r="A1743">
        <f>Universe!A1743</f>
        <v/>
      </c>
      <c r="B1743" s="10" t="n"/>
      <c r="C1743" s="11">
        <f>IF(B1743="","",PERCENTRANK.INC($B$2:$B$2501,B1743)*100)</f>
        <v/>
      </c>
      <c r="D1743" s="10" t="n"/>
      <c r="E1743" s="10">
        <f>IF(D1743="","",MIN(D1743,100))</f>
        <v/>
      </c>
      <c r="F1743" s="10" t="n"/>
      <c r="G1743" s="10">
        <f>IF(F1743="","",MIN(F1743,100))</f>
        <v/>
      </c>
      <c r="H1743" s="11">
        <f>IF(A1743="","",Universe!E1743/BDP(A1743&amp;" US Equity","HIGH_52WEEK")*100)</f>
        <v/>
      </c>
      <c r="I1743">
        <f>IF(D1743="","",D1743&gt;=5)</f>
        <v/>
      </c>
      <c r="J1743">
        <f>IF(F1743="","",F1743&gt;=5)</f>
        <v/>
      </c>
      <c r="K1743">
        <f>IF(H1743="","",H1743&gt;=75)</f>
        <v/>
      </c>
      <c r="L1743">
        <f>IF(OR(I1743="",J1743="",K1743=""),FALSE,AND(I1743,J1743,K1743))</f>
        <v/>
      </c>
    </row>
    <row r="1744">
      <c r="A1744">
        <f>Universe!A1744</f>
        <v/>
      </c>
      <c r="B1744" s="10" t="n"/>
      <c r="C1744" s="11">
        <f>IF(B1744="","",PERCENTRANK.INC($B$2:$B$2501,B1744)*100)</f>
        <v/>
      </c>
      <c r="D1744" s="10" t="n"/>
      <c r="E1744" s="10">
        <f>IF(D1744="","",MIN(D1744,100))</f>
        <v/>
      </c>
      <c r="F1744" s="10" t="n"/>
      <c r="G1744" s="10">
        <f>IF(F1744="","",MIN(F1744,100))</f>
        <v/>
      </c>
      <c r="H1744" s="11">
        <f>IF(A1744="","",Universe!E1744/BDP(A1744&amp;" US Equity","HIGH_52WEEK")*100)</f>
        <v/>
      </c>
      <c r="I1744">
        <f>IF(D1744="","",D1744&gt;=5)</f>
        <v/>
      </c>
      <c r="J1744">
        <f>IF(F1744="","",F1744&gt;=5)</f>
        <v/>
      </c>
      <c r="K1744">
        <f>IF(H1744="","",H1744&gt;=75)</f>
        <v/>
      </c>
      <c r="L1744">
        <f>IF(OR(I1744="",J1744="",K1744=""),FALSE,AND(I1744,J1744,K1744))</f>
        <v/>
      </c>
    </row>
    <row r="1745">
      <c r="A1745">
        <f>Universe!A1745</f>
        <v/>
      </c>
      <c r="B1745" s="10" t="n"/>
      <c r="C1745" s="11">
        <f>IF(B1745="","",PERCENTRANK.INC($B$2:$B$2501,B1745)*100)</f>
        <v/>
      </c>
      <c r="D1745" s="10" t="n"/>
      <c r="E1745" s="10">
        <f>IF(D1745="","",MIN(D1745,100))</f>
        <v/>
      </c>
      <c r="F1745" s="10" t="n"/>
      <c r="G1745" s="10">
        <f>IF(F1745="","",MIN(F1745,100))</f>
        <v/>
      </c>
      <c r="H1745" s="11">
        <f>IF(A1745="","",Universe!E1745/BDP(A1745&amp;" US Equity","HIGH_52WEEK")*100)</f>
        <v/>
      </c>
      <c r="I1745">
        <f>IF(D1745="","",D1745&gt;=5)</f>
        <v/>
      </c>
      <c r="J1745">
        <f>IF(F1745="","",F1745&gt;=5)</f>
        <v/>
      </c>
      <c r="K1745">
        <f>IF(H1745="","",H1745&gt;=75)</f>
        <v/>
      </c>
      <c r="L1745">
        <f>IF(OR(I1745="",J1745="",K1745=""),FALSE,AND(I1745,J1745,K1745))</f>
        <v/>
      </c>
    </row>
    <row r="1746">
      <c r="A1746">
        <f>Universe!A1746</f>
        <v/>
      </c>
      <c r="B1746" s="10" t="n"/>
      <c r="C1746" s="11">
        <f>IF(B1746="","",PERCENTRANK.INC($B$2:$B$2501,B1746)*100)</f>
        <v/>
      </c>
      <c r="D1746" s="10" t="n"/>
      <c r="E1746" s="10">
        <f>IF(D1746="","",MIN(D1746,100))</f>
        <v/>
      </c>
      <c r="F1746" s="10" t="n"/>
      <c r="G1746" s="10">
        <f>IF(F1746="","",MIN(F1746,100))</f>
        <v/>
      </c>
      <c r="H1746" s="11">
        <f>IF(A1746="","",Universe!E1746/BDP(A1746&amp;" US Equity","HIGH_52WEEK")*100)</f>
        <v/>
      </c>
      <c r="I1746">
        <f>IF(D1746="","",D1746&gt;=5)</f>
        <v/>
      </c>
      <c r="J1746">
        <f>IF(F1746="","",F1746&gt;=5)</f>
        <v/>
      </c>
      <c r="K1746">
        <f>IF(H1746="","",H1746&gt;=75)</f>
        <v/>
      </c>
      <c r="L1746">
        <f>IF(OR(I1746="",J1746="",K1746=""),FALSE,AND(I1746,J1746,K1746))</f>
        <v/>
      </c>
    </row>
    <row r="1747">
      <c r="A1747">
        <f>Universe!A1747</f>
        <v/>
      </c>
      <c r="B1747" s="10" t="n"/>
      <c r="C1747" s="11">
        <f>IF(B1747="","",PERCENTRANK.INC($B$2:$B$2501,B1747)*100)</f>
        <v/>
      </c>
      <c r="D1747" s="10" t="n"/>
      <c r="E1747" s="10">
        <f>IF(D1747="","",MIN(D1747,100))</f>
        <v/>
      </c>
      <c r="F1747" s="10" t="n"/>
      <c r="G1747" s="10">
        <f>IF(F1747="","",MIN(F1747,100))</f>
        <v/>
      </c>
      <c r="H1747" s="11">
        <f>IF(A1747="","",Universe!E1747/BDP(A1747&amp;" US Equity","HIGH_52WEEK")*100)</f>
        <v/>
      </c>
      <c r="I1747">
        <f>IF(D1747="","",D1747&gt;=5)</f>
        <v/>
      </c>
      <c r="J1747">
        <f>IF(F1747="","",F1747&gt;=5)</f>
        <v/>
      </c>
      <c r="K1747">
        <f>IF(H1747="","",H1747&gt;=75)</f>
        <v/>
      </c>
      <c r="L1747">
        <f>IF(OR(I1747="",J1747="",K1747=""),FALSE,AND(I1747,J1747,K1747))</f>
        <v/>
      </c>
    </row>
    <row r="1748">
      <c r="A1748">
        <f>Universe!A1748</f>
        <v/>
      </c>
      <c r="B1748" s="10" t="n"/>
      <c r="C1748" s="11">
        <f>IF(B1748="","",PERCENTRANK.INC($B$2:$B$2501,B1748)*100)</f>
        <v/>
      </c>
      <c r="D1748" s="10" t="n"/>
      <c r="E1748" s="10">
        <f>IF(D1748="","",MIN(D1748,100))</f>
        <v/>
      </c>
      <c r="F1748" s="10" t="n"/>
      <c r="G1748" s="10">
        <f>IF(F1748="","",MIN(F1748,100))</f>
        <v/>
      </c>
      <c r="H1748" s="11">
        <f>IF(A1748="","",Universe!E1748/BDP(A1748&amp;" US Equity","HIGH_52WEEK")*100)</f>
        <v/>
      </c>
      <c r="I1748">
        <f>IF(D1748="","",D1748&gt;=5)</f>
        <v/>
      </c>
      <c r="J1748">
        <f>IF(F1748="","",F1748&gt;=5)</f>
        <v/>
      </c>
      <c r="K1748">
        <f>IF(H1748="","",H1748&gt;=75)</f>
        <v/>
      </c>
      <c r="L1748">
        <f>IF(OR(I1748="",J1748="",K1748=""),FALSE,AND(I1748,J1748,K1748))</f>
        <v/>
      </c>
    </row>
    <row r="1749">
      <c r="A1749">
        <f>Universe!A1749</f>
        <v/>
      </c>
      <c r="B1749" s="10" t="n"/>
      <c r="C1749" s="11">
        <f>IF(B1749="","",PERCENTRANK.INC($B$2:$B$2501,B1749)*100)</f>
        <v/>
      </c>
      <c r="D1749" s="10" t="n"/>
      <c r="E1749" s="10">
        <f>IF(D1749="","",MIN(D1749,100))</f>
        <v/>
      </c>
      <c r="F1749" s="10" t="n"/>
      <c r="G1749" s="10">
        <f>IF(F1749="","",MIN(F1749,100))</f>
        <v/>
      </c>
      <c r="H1749" s="11">
        <f>IF(A1749="","",Universe!E1749/BDP(A1749&amp;" US Equity","HIGH_52WEEK")*100)</f>
        <v/>
      </c>
      <c r="I1749">
        <f>IF(D1749="","",D1749&gt;=5)</f>
        <v/>
      </c>
      <c r="J1749">
        <f>IF(F1749="","",F1749&gt;=5)</f>
        <v/>
      </c>
      <c r="K1749">
        <f>IF(H1749="","",H1749&gt;=75)</f>
        <v/>
      </c>
      <c r="L1749">
        <f>IF(OR(I1749="",J1749="",K1749=""),FALSE,AND(I1749,J1749,K1749))</f>
        <v/>
      </c>
    </row>
    <row r="1750">
      <c r="A1750">
        <f>Universe!A1750</f>
        <v/>
      </c>
      <c r="B1750" s="10" t="n"/>
      <c r="C1750" s="11">
        <f>IF(B1750="","",PERCENTRANK.INC($B$2:$B$2501,B1750)*100)</f>
        <v/>
      </c>
      <c r="D1750" s="10" t="n"/>
      <c r="E1750" s="10">
        <f>IF(D1750="","",MIN(D1750,100))</f>
        <v/>
      </c>
      <c r="F1750" s="10" t="n"/>
      <c r="G1750" s="10">
        <f>IF(F1750="","",MIN(F1750,100))</f>
        <v/>
      </c>
      <c r="H1750" s="11">
        <f>IF(A1750="","",Universe!E1750/BDP(A1750&amp;" US Equity","HIGH_52WEEK")*100)</f>
        <v/>
      </c>
      <c r="I1750">
        <f>IF(D1750="","",D1750&gt;=5)</f>
        <v/>
      </c>
      <c r="J1750">
        <f>IF(F1750="","",F1750&gt;=5)</f>
        <v/>
      </c>
      <c r="K1750">
        <f>IF(H1750="","",H1750&gt;=75)</f>
        <v/>
      </c>
      <c r="L1750">
        <f>IF(OR(I1750="",J1750="",K1750=""),FALSE,AND(I1750,J1750,K1750))</f>
        <v/>
      </c>
    </row>
    <row r="1751">
      <c r="A1751">
        <f>Universe!A1751</f>
        <v/>
      </c>
      <c r="B1751" s="10" t="n"/>
      <c r="C1751" s="11">
        <f>IF(B1751="","",PERCENTRANK.INC($B$2:$B$2501,B1751)*100)</f>
        <v/>
      </c>
      <c r="D1751" s="10" t="n"/>
      <c r="E1751" s="10">
        <f>IF(D1751="","",MIN(D1751,100))</f>
        <v/>
      </c>
      <c r="F1751" s="10" t="n"/>
      <c r="G1751" s="10">
        <f>IF(F1751="","",MIN(F1751,100))</f>
        <v/>
      </c>
      <c r="H1751" s="11">
        <f>IF(A1751="","",Universe!E1751/BDP(A1751&amp;" US Equity","HIGH_52WEEK")*100)</f>
        <v/>
      </c>
      <c r="I1751">
        <f>IF(D1751="","",D1751&gt;=5)</f>
        <v/>
      </c>
      <c r="J1751">
        <f>IF(F1751="","",F1751&gt;=5)</f>
        <v/>
      </c>
      <c r="K1751">
        <f>IF(H1751="","",H1751&gt;=75)</f>
        <v/>
      </c>
      <c r="L1751">
        <f>IF(OR(I1751="",J1751="",K1751=""),FALSE,AND(I1751,J1751,K1751))</f>
        <v/>
      </c>
    </row>
    <row r="1752">
      <c r="A1752">
        <f>Universe!A1752</f>
        <v/>
      </c>
      <c r="B1752" s="10" t="n"/>
      <c r="C1752" s="11">
        <f>IF(B1752="","",PERCENTRANK.INC($B$2:$B$2501,B1752)*100)</f>
        <v/>
      </c>
      <c r="D1752" s="10" t="n"/>
      <c r="E1752" s="10">
        <f>IF(D1752="","",MIN(D1752,100))</f>
        <v/>
      </c>
      <c r="F1752" s="10" t="n"/>
      <c r="G1752" s="10">
        <f>IF(F1752="","",MIN(F1752,100))</f>
        <v/>
      </c>
      <c r="H1752" s="11">
        <f>IF(A1752="","",Universe!E1752/BDP(A1752&amp;" US Equity","HIGH_52WEEK")*100)</f>
        <v/>
      </c>
      <c r="I1752">
        <f>IF(D1752="","",D1752&gt;=5)</f>
        <v/>
      </c>
      <c r="J1752">
        <f>IF(F1752="","",F1752&gt;=5)</f>
        <v/>
      </c>
      <c r="K1752">
        <f>IF(H1752="","",H1752&gt;=75)</f>
        <v/>
      </c>
      <c r="L1752">
        <f>IF(OR(I1752="",J1752="",K1752=""),FALSE,AND(I1752,J1752,K1752))</f>
        <v/>
      </c>
    </row>
    <row r="1753">
      <c r="A1753">
        <f>Universe!A1753</f>
        <v/>
      </c>
      <c r="B1753" s="10" t="n"/>
      <c r="C1753" s="11">
        <f>IF(B1753="","",PERCENTRANK.INC($B$2:$B$2501,B1753)*100)</f>
        <v/>
      </c>
      <c r="D1753" s="10" t="n"/>
      <c r="E1753" s="10">
        <f>IF(D1753="","",MIN(D1753,100))</f>
        <v/>
      </c>
      <c r="F1753" s="10" t="n"/>
      <c r="G1753" s="10">
        <f>IF(F1753="","",MIN(F1753,100))</f>
        <v/>
      </c>
      <c r="H1753" s="11">
        <f>IF(A1753="","",Universe!E1753/BDP(A1753&amp;" US Equity","HIGH_52WEEK")*100)</f>
        <v/>
      </c>
      <c r="I1753">
        <f>IF(D1753="","",D1753&gt;=5)</f>
        <v/>
      </c>
      <c r="J1753">
        <f>IF(F1753="","",F1753&gt;=5)</f>
        <v/>
      </c>
      <c r="K1753">
        <f>IF(H1753="","",H1753&gt;=75)</f>
        <v/>
      </c>
      <c r="L1753">
        <f>IF(OR(I1753="",J1753="",K1753=""),FALSE,AND(I1753,J1753,K1753))</f>
        <v/>
      </c>
    </row>
    <row r="1754">
      <c r="A1754">
        <f>Universe!A1754</f>
        <v/>
      </c>
      <c r="B1754" s="10" t="n"/>
      <c r="C1754" s="11">
        <f>IF(B1754="","",PERCENTRANK.INC($B$2:$B$2501,B1754)*100)</f>
        <v/>
      </c>
      <c r="D1754" s="10" t="n"/>
      <c r="E1754" s="10">
        <f>IF(D1754="","",MIN(D1754,100))</f>
        <v/>
      </c>
      <c r="F1754" s="10" t="n"/>
      <c r="G1754" s="10">
        <f>IF(F1754="","",MIN(F1754,100))</f>
        <v/>
      </c>
      <c r="H1754" s="11">
        <f>IF(A1754="","",Universe!E1754/BDP(A1754&amp;" US Equity","HIGH_52WEEK")*100)</f>
        <v/>
      </c>
      <c r="I1754">
        <f>IF(D1754="","",D1754&gt;=5)</f>
        <v/>
      </c>
      <c r="J1754">
        <f>IF(F1754="","",F1754&gt;=5)</f>
        <v/>
      </c>
      <c r="K1754">
        <f>IF(H1754="","",H1754&gt;=75)</f>
        <v/>
      </c>
      <c r="L1754">
        <f>IF(OR(I1754="",J1754="",K1754=""),FALSE,AND(I1754,J1754,K1754))</f>
        <v/>
      </c>
    </row>
    <row r="1755">
      <c r="A1755">
        <f>Universe!A1755</f>
        <v/>
      </c>
      <c r="B1755" s="10" t="n"/>
      <c r="C1755" s="11">
        <f>IF(B1755="","",PERCENTRANK.INC($B$2:$B$2501,B1755)*100)</f>
        <v/>
      </c>
      <c r="D1755" s="10" t="n"/>
      <c r="E1755" s="10">
        <f>IF(D1755="","",MIN(D1755,100))</f>
        <v/>
      </c>
      <c r="F1755" s="10" t="n"/>
      <c r="G1755" s="10">
        <f>IF(F1755="","",MIN(F1755,100))</f>
        <v/>
      </c>
      <c r="H1755" s="11">
        <f>IF(A1755="","",Universe!E1755/BDP(A1755&amp;" US Equity","HIGH_52WEEK")*100)</f>
        <v/>
      </c>
      <c r="I1755">
        <f>IF(D1755="","",D1755&gt;=5)</f>
        <v/>
      </c>
      <c r="J1755">
        <f>IF(F1755="","",F1755&gt;=5)</f>
        <v/>
      </c>
      <c r="K1755">
        <f>IF(H1755="","",H1755&gt;=75)</f>
        <v/>
      </c>
      <c r="L1755">
        <f>IF(OR(I1755="",J1755="",K1755=""),FALSE,AND(I1755,J1755,K1755))</f>
        <v/>
      </c>
    </row>
    <row r="1756">
      <c r="A1756">
        <f>Universe!A1756</f>
        <v/>
      </c>
      <c r="B1756" s="10" t="n"/>
      <c r="C1756" s="11">
        <f>IF(B1756="","",PERCENTRANK.INC($B$2:$B$2501,B1756)*100)</f>
        <v/>
      </c>
      <c r="D1756" s="10" t="n"/>
      <c r="E1756" s="10">
        <f>IF(D1756="","",MIN(D1756,100))</f>
        <v/>
      </c>
      <c r="F1756" s="10" t="n"/>
      <c r="G1756" s="10">
        <f>IF(F1756="","",MIN(F1756,100))</f>
        <v/>
      </c>
      <c r="H1756" s="11">
        <f>IF(A1756="","",Universe!E1756/BDP(A1756&amp;" US Equity","HIGH_52WEEK")*100)</f>
        <v/>
      </c>
      <c r="I1756">
        <f>IF(D1756="","",D1756&gt;=5)</f>
        <v/>
      </c>
      <c r="J1756">
        <f>IF(F1756="","",F1756&gt;=5)</f>
        <v/>
      </c>
      <c r="K1756">
        <f>IF(H1756="","",H1756&gt;=75)</f>
        <v/>
      </c>
      <c r="L1756">
        <f>IF(OR(I1756="",J1756="",K1756=""),FALSE,AND(I1756,J1756,K1756))</f>
        <v/>
      </c>
    </row>
    <row r="1757">
      <c r="A1757">
        <f>Universe!A1757</f>
        <v/>
      </c>
      <c r="B1757" s="10" t="n"/>
      <c r="C1757" s="11">
        <f>IF(B1757="","",PERCENTRANK.INC($B$2:$B$2501,B1757)*100)</f>
        <v/>
      </c>
      <c r="D1757" s="10" t="n"/>
      <c r="E1757" s="10">
        <f>IF(D1757="","",MIN(D1757,100))</f>
        <v/>
      </c>
      <c r="F1757" s="10" t="n"/>
      <c r="G1757" s="10">
        <f>IF(F1757="","",MIN(F1757,100))</f>
        <v/>
      </c>
      <c r="H1757" s="11">
        <f>IF(A1757="","",Universe!E1757/BDP(A1757&amp;" US Equity","HIGH_52WEEK")*100)</f>
        <v/>
      </c>
      <c r="I1757">
        <f>IF(D1757="","",D1757&gt;=5)</f>
        <v/>
      </c>
      <c r="J1757">
        <f>IF(F1757="","",F1757&gt;=5)</f>
        <v/>
      </c>
      <c r="K1757">
        <f>IF(H1757="","",H1757&gt;=75)</f>
        <v/>
      </c>
      <c r="L1757">
        <f>IF(OR(I1757="",J1757="",K1757=""),FALSE,AND(I1757,J1757,K1757))</f>
        <v/>
      </c>
    </row>
    <row r="1758">
      <c r="A1758">
        <f>Universe!A1758</f>
        <v/>
      </c>
      <c r="B1758" s="10" t="n"/>
      <c r="C1758" s="11">
        <f>IF(B1758="","",PERCENTRANK.INC($B$2:$B$2501,B1758)*100)</f>
        <v/>
      </c>
      <c r="D1758" s="10" t="n"/>
      <c r="E1758" s="10">
        <f>IF(D1758="","",MIN(D1758,100))</f>
        <v/>
      </c>
      <c r="F1758" s="10" t="n"/>
      <c r="G1758" s="10">
        <f>IF(F1758="","",MIN(F1758,100))</f>
        <v/>
      </c>
      <c r="H1758" s="11">
        <f>IF(A1758="","",Universe!E1758/BDP(A1758&amp;" US Equity","HIGH_52WEEK")*100)</f>
        <v/>
      </c>
      <c r="I1758">
        <f>IF(D1758="","",D1758&gt;=5)</f>
        <v/>
      </c>
      <c r="J1758">
        <f>IF(F1758="","",F1758&gt;=5)</f>
        <v/>
      </c>
      <c r="K1758">
        <f>IF(H1758="","",H1758&gt;=75)</f>
        <v/>
      </c>
      <c r="L1758">
        <f>IF(OR(I1758="",J1758="",K1758=""),FALSE,AND(I1758,J1758,K1758))</f>
        <v/>
      </c>
    </row>
    <row r="1759">
      <c r="A1759">
        <f>Universe!A1759</f>
        <v/>
      </c>
      <c r="B1759" s="10" t="n"/>
      <c r="C1759" s="11">
        <f>IF(B1759="","",PERCENTRANK.INC($B$2:$B$2501,B1759)*100)</f>
        <v/>
      </c>
      <c r="D1759" s="10" t="n"/>
      <c r="E1759" s="10">
        <f>IF(D1759="","",MIN(D1759,100))</f>
        <v/>
      </c>
      <c r="F1759" s="10" t="n"/>
      <c r="G1759" s="10">
        <f>IF(F1759="","",MIN(F1759,100))</f>
        <v/>
      </c>
      <c r="H1759" s="11">
        <f>IF(A1759="","",Universe!E1759/BDP(A1759&amp;" US Equity","HIGH_52WEEK")*100)</f>
        <v/>
      </c>
      <c r="I1759">
        <f>IF(D1759="","",D1759&gt;=5)</f>
        <v/>
      </c>
      <c r="J1759">
        <f>IF(F1759="","",F1759&gt;=5)</f>
        <v/>
      </c>
      <c r="K1759">
        <f>IF(H1759="","",H1759&gt;=75)</f>
        <v/>
      </c>
      <c r="L1759">
        <f>IF(OR(I1759="",J1759="",K1759=""),FALSE,AND(I1759,J1759,K1759))</f>
        <v/>
      </c>
    </row>
    <row r="1760">
      <c r="A1760">
        <f>Universe!A1760</f>
        <v/>
      </c>
      <c r="B1760" s="10" t="n"/>
      <c r="C1760" s="11">
        <f>IF(B1760="","",PERCENTRANK.INC($B$2:$B$2501,B1760)*100)</f>
        <v/>
      </c>
      <c r="D1760" s="10" t="n"/>
      <c r="E1760" s="10">
        <f>IF(D1760="","",MIN(D1760,100))</f>
        <v/>
      </c>
      <c r="F1760" s="10" t="n"/>
      <c r="G1760" s="10">
        <f>IF(F1760="","",MIN(F1760,100))</f>
        <v/>
      </c>
      <c r="H1760" s="11">
        <f>IF(A1760="","",Universe!E1760/BDP(A1760&amp;" US Equity","HIGH_52WEEK")*100)</f>
        <v/>
      </c>
      <c r="I1760">
        <f>IF(D1760="","",D1760&gt;=5)</f>
        <v/>
      </c>
      <c r="J1760">
        <f>IF(F1760="","",F1760&gt;=5)</f>
        <v/>
      </c>
      <c r="K1760">
        <f>IF(H1760="","",H1760&gt;=75)</f>
        <v/>
      </c>
      <c r="L1760">
        <f>IF(OR(I1760="",J1760="",K1760=""),FALSE,AND(I1760,J1760,K1760))</f>
        <v/>
      </c>
    </row>
    <row r="1761">
      <c r="A1761">
        <f>Universe!A1761</f>
        <v/>
      </c>
      <c r="B1761" s="10" t="n"/>
      <c r="C1761" s="11">
        <f>IF(B1761="","",PERCENTRANK.INC($B$2:$B$2501,B1761)*100)</f>
        <v/>
      </c>
      <c r="D1761" s="10" t="n"/>
      <c r="E1761" s="10">
        <f>IF(D1761="","",MIN(D1761,100))</f>
        <v/>
      </c>
      <c r="F1761" s="10" t="n"/>
      <c r="G1761" s="10">
        <f>IF(F1761="","",MIN(F1761,100))</f>
        <v/>
      </c>
      <c r="H1761" s="11">
        <f>IF(A1761="","",Universe!E1761/BDP(A1761&amp;" US Equity","HIGH_52WEEK")*100)</f>
        <v/>
      </c>
      <c r="I1761">
        <f>IF(D1761="","",D1761&gt;=5)</f>
        <v/>
      </c>
      <c r="J1761">
        <f>IF(F1761="","",F1761&gt;=5)</f>
        <v/>
      </c>
      <c r="K1761">
        <f>IF(H1761="","",H1761&gt;=75)</f>
        <v/>
      </c>
      <c r="L1761">
        <f>IF(OR(I1761="",J1761="",K1761=""),FALSE,AND(I1761,J1761,K1761))</f>
        <v/>
      </c>
    </row>
    <row r="1762">
      <c r="A1762">
        <f>Universe!A1762</f>
        <v/>
      </c>
      <c r="B1762" s="10" t="n"/>
      <c r="C1762" s="11">
        <f>IF(B1762="","",PERCENTRANK.INC($B$2:$B$2501,B1762)*100)</f>
        <v/>
      </c>
      <c r="D1762" s="10" t="n"/>
      <c r="E1762" s="10">
        <f>IF(D1762="","",MIN(D1762,100))</f>
        <v/>
      </c>
      <c r="F1762" s="10" t="n"/>
      <c r="G1762" s="10">
        <f>IF(F1762="","",MIN(F1762,100))</f>
        <v/>
      </c>
      <c r="H1762" s="11">
        <f>IF(A1762="","",Universe!E1762/BDP(A1762&amp;" US Equity","HIGH_52WEEK")*100)</f>
        <v/>
      </c>
      <c r="I1762">
        <f>IF(D1762="","",D1762&gt;=5)</f>
        <v/>
      </c>
      <c r="J1762">
        <f>IF(F1762="","",F1762&gt;=5)</f>
        <v/>
      </c>
      <c r="K1762">
        <f>IF(H1762="","",H1762&gt;=75)</f>
        <v/>
      </c>
      <c r="L1762">
        <f>IF(OR(I1762="",J1762="",K1762=""),FALSE,AND(I1762,J1762,K1762))</f>
        <v/>
      </c>
    </row>
    <row r="1763">
      <c r="A1763">
        <f>Universe!A1763</f>
        <v/>
      </c>
      <c r="B1763" s="10" t="n"/>
      <c r="C1763" s="11">
        <f>IF(B1763="","",PERCENTRANK.INC($B$2:$B$2501,B1763)*100)</f>
        <v/>
      </c>
      <c r="D1763" s="10" t="n"/>
      <c r="E1763" s="10">
        <f>IF(D1763="","",MIN(D1763,100))</f>
        <v/>
      </c>
      <c r="F1763" s="10" t="n"/>
      <c r="G1763" s="10">
        <f>IF(F1763="","",MIN(F1763,100))</f>
        <v/>
      </c>
      <c r="H1763" s="11">
        <f>IF(A1763="","",Universe!E1763/BDP(A1763&amp;" US Equity","HIGH_52WEEK")*100)</f>
        <v/>
      </c>
      <c r="I1763">
        <f>IF(D1763="","",D1763&gt;=5)</f>
        <v/>
      </c>
      <c r="J1763">
        <f>IF(F1763="","",F1763&gt;=5)</f>
        <v/>
      </c>
      <c r="K1763">
        <f>IF(H1763="","",H1763&gt;=75)</f>
        <v/>
      </c>
      <c r="L1763">
        <f>IF(OR(I1763="",J1763="",K1763=""),FALSE,AND(I1763,J1763,K1763))</f>
        <v/>
      </c>
    </row>
    <row r="1764">
      <c r="A1764">
        <f>Universe!A1764</f>
        <v/>
      </c>
      <c r="B1764" s="10" t="n"/>
      <c r="C1764" s="11">
        <f>IF(B1764="","",PERCENTRANK.INC($B$2:$B$2501,B1764)*100)</f>
        <v/>
      </c>
      <c r="D1764" s="10" t="n"/>
      <c r="E1764" s="10">
        <f>IF(D1764="","",MIN(D1764,100))</f>
        <v/>
      </c>
      <c r="F1764" s="10" t="n"/>
      <c r="G1764" s="10">
        <f>IF(F1764="","",MIN(F1764,100))</f>
        <v/>
      </c>
      <c r="H1764" s="11">
        <f>IF(A1764="","",Universe!E1764/BDP(A1764&amp;" US Equity","HIGH_52WEEK")*100)</f>
        <v/>
      </c>
      <c r="I1764">
        <f>IF(D1764="","",D1764&gt;=5)</f>
        <v/>
      </c>
      <c r="J1764">
        <f>IF(F1764="","",F1764&gt;=5)</f>
        <v/>
      </c>
      <c r="K1764">
        <f>IF(H1764="","",H1764&gt;=75)</f>
        <v/>
      </c>
      <c r="L1764">
        <f>IF(OR(I1764="",J1764="",K1764=""),FALSE,AND(I1764,J1764,K1764))</f>
        <v/>
      </c>
    </row>
    <row r="1765">
      <c r="A1765">
        <f>Universe!A1765</f>
        <v/>
      </c>
      <c r="B1765" s="10" t="n"/>
      <c r="C1765" s="11">
        <f>IF(B1765="","",PERCENTRANK.INC($B$2:$B$2501,B1765)*100)</f>
        <v/>
      </c>
      <c r="D1765" s="10" t="n"/>
      <c r="E1765" s="10">
        <f>IF(D1765="","",MIN(D1765,100))</f>
        <v/>
      </c>
      <c r="F1765" s="10" t="n"/>
      <c r="G1765" s="10">
        <f>IF(F1765="","",MIN(F1765,100))</f>
        <v/>
      </c>
      <c r="H1765" s="11">
        <f>IF(A1765="","",Universe!E1765/BDP(A1765&amp;" US Equity","HIGH_52WEEK")*100)</f>
        <v/>
      </c>
      <c r="I1765">
        <f>IF(D1765="","",D1765&gt;=5)</f>
        <v/>
      </c>
      <c r="J1765">
        <f>IF(F1765="","",F1765&gt;=5)</f>
        <v/>
      </c>
      <c r="K1765">
        <f>IF(H1765="","",H1765&gt;=75)</f>
        <v/>
      </c>
      <c r="L1765">
        <f>IF(OR(I1765="",J1765="",K1765=""),FALSE,AND(I1765,J1765,K1765))</f>
        <v/>
      </c>
    </row>
    <row r="1766">
      <c r="A1766">
        <f>Universe!A1766</f>
        <v/>
      </c>
      <c r="B1766" s="10" t="n"/>
      <c r="C1766" s="11">
        <f>IF(B1766="","",PERCENTRANK.INC($B$2:$B$2501,B1766)*100)</f>
        <v/>
      </c>
      <c r="D1766" s="10" t="n"/>
      <c r="E1766" s="10">
        <f>IF(D1766="","",MIN(D1766,100))</f>
        <v/>
      </c>
      <c r="F1766" s="10" t="n"/>
      <c r="G1766" s="10">
        <f>IF(F1766="","",MIN(F1766,100))</f>
        <v/>
      </c>
      <c r="H1766" s="11">
        <f>IF(A1766="","",Universe!E1766/BDP(A1766&amp;" US Equity","HIGH_52WEEK")*100)</f>
        <v/>
      </c>
      <c r="I1766">
        <f>IF(D1766="","",D1766&gt;=5)</f>
        <v/>
      </c>
      <c r="J1766">
        <f>IF(F1766="","",F1766&gt;=5)</f>
        <v/>
      </c>
      <c r="K1766">
        <f>IF(H1766="","",H1766&gt;=75)</f>
        <v/>
      </c>
      <c r="L1766">
        <f>IF(OR(I1766="",J1766="",K1766=""),FALSE,AND(I1766,J1766,K1766))</f>
        <v/>
      </c>
    </row>
    <row r="1767">
      <c r="A1767">
        <f>Universe!A1767</f>
        <v/>
      </c>
      <c r="B1767" s="10" t="n"/>
      <c r="C1767" s="11">
        <f>IF(B1767="","",PERCENTRANK.INC($B$2:$B$2501,B1767)*100)</f>
        <v/>
      </c>
      <c r="D1767" s="10" t="n"/>
      <c r="E1767" s="10">
        <f>IF(D1767="","",MIN(D1767,100))</f>
        <v/>
      </c>
      <c r="F1767" s="10" t="n"/>
      <c r="G1767" s="10">
        <f>IF(F1767="","",MIN(F1767,100))</f>
        <v/>
      </c>
      <c r="H1767" s="11">
        <f>IF(A1767="","",Universe!E1767/BDP(A1767&amp;" US Equity","HIGH_52WEEK")*100)</f>
        <v/>
      </c>
      <c r="I1767">
        <f>IF(D1767="","",D1767&gt;=5)</f>
        <v/>
      </c>
      <c r="J1767">
        <f>IF(F1767="","",F1767&gt;=5)</f>
        <v/>
      </c>
      <c r="K1767">
        <f>IF(H1767="","",H1767&gt;=75)</f>
        <v/>
      </c>
      <c r="L1767">
        <f>IF(OR(I1767="",J1767="",K1767=""),FALSE,AND(I1767,J1767,K1767))</f>
        <v/>
      </c>
    </row>
    <row r="1768">
      <c r="A1768">
        <f>Universe!A1768</f>
        <v/>
      </c>
      <c r="B1768" s="10" t="n"/>
      <c r="C1768" s="11">
        <f>IF(B1768="","",PERCENTRANK.INC($B$2:$B$2501,B1768)*100)</f>
        <v/>
      </c>
      <c r="D1768" s="10" t="n"/>
      <c r="E1768" s="10">
        <f>IF(D1768="","",MIN(D1768,100))</f>
        <v/>
      </c>
      <c r="F1768" s="10" t="n"/>
      <c r="G1768" s="10">
        <f>IF(F1768="","",MIN(F1768,100))</f>
        <v/>
      </c>
      <c r="H1768" s="11">
        <f>IF(A1768="","",Universe!E1768/BDP(A1768&amp;" US Equity","HIGH_52WEEK")*100)</f>
        <v/>
      </c>
      <c r="I1768">
        <f>IF(D1768="","",D1768&gt;=5)</f>
        <v/>
      </c>
      <c r="J1768">
        <f>IF(F1768="","",F1768&gt;=5)</f>
        <v/>
      </c>
      <c r="K1768">
        <f>IF(H1768="","",H1768&gt;=75)</f>
        <v/>
      </c>
      <c r="L1768">
        <f>IF(OR(I1768="",J1768="",K1768=""),FALSE,AND(I1768,J1768,K1768))</f>
        <v/>
      </c>
    </row>
    <row r="1769">
      <c r="A1769">
        <f>Universe!A1769</f>
        <v/>
      </c>
      <c r="B1769" s="10" t="n"/>
      <c r="C1769" s="11">
        <f>IF(B1769="","",PERCENTRANK.INC($B$2:$B$2501,B1769)*100)</f>
        <v/>
      </c>
      <c r="D1769" s="10" t="n"/>
      <c r="E1769" s="10">
        <f>IF(D1769="","",MIN(D1769,100))</f>
        <v/>
      </c>
      <c r="F1769" s="10" t="n"/>
      <c r="G1769" s="10">
        <f>IF(F1769="","",MIN(F1769,100))</f>
        <v/>
      </c>
      <c r="H1769" s="11">
        <f>IF(A1769="","",Universe!E1769/BDP(A1769&amp;" US Equity","HIGH_52WEEK")*100)</f>
        <v/>
      </c>
      <c r="I1769">
        <f>IF(D1769="","",D1769&gt;=5)</f>
        <v/>
      </c>
      <c r="J1769">
        <f>IF(F1769="","",F1769&gt;=5)</f>
        <v/>
      </c>
      <c r="K1769">
        <f>IF(H1769="","",H1769&gt;=75)</f>
        <v/>
      </c>
      <c r="L1769">
        <f>IF(OR(I1769="",J1769="",K1769=""),FALSE,AND(I1769,J1769,K1769))</f>
        <v/>
      </c>
    </row>
    <row r="1770">
      <c r="A1770">
        <f>Universe!A1770</f>
        <v/>
      </c>
      <c r="B1770" s="10" t="n"/>
      <c r="C1770" s="11">
        <f>IF(B1770="","",PERCENTRANK.INC($B$2:$B$2501,B1770)*100)</f>
        <v/>
      </c>
      <c r="D1770" s="10" t="n"/>
      <c r="E1770" s="10">
        <f>IF(D1770="","",MIN(D1770,100))</f>
        <v/>
      </c>
      <c r="F1770" s="10" t="n"/>
      <c r="G1770" s="10">
        <f>IF(F1770="","",MIN(F1770,100))</f>
        <v/>
      </c>
      <c r="H1770" s="11">
        <f>IF(A1770="","",Universe!E1770/BDP(A1770&amp;" US Equity","HIGH_52WEEK")*100)</f>
        <v/>
      </c>
      <c r="I1770">
        <f>IF(D1770="","",D1770&gt;=5)</f>
        <v/>
      </c>
      <c r="J1770">
        <f>IF(F1770="","",F1770&gt;=5)</f>
        <v/>
      </c>
      <c r="K1770">
        <f>IF(H1770="","",H1770&gt;=75)</f>
        <v/>
      </c>
      <c r="L1770">
        <f>IF(OR(I1770="",J1770="",K1770=""),FALSE,AND(I1770,J1770,K1770))</f>
        <v/>
      </c>
    </row>
    <row r="1771">
      <c r="A1771">
        <f>Universe!A1771</f>
        <v/>
      </c>
      <c r="B1771" s="10" t="n"/>
      <c r="C1771" s="11">
        <f>IF(B1771="","",PERCENTRANK.INC($B$2:$B$2501,B1771)*100)</f>
        <v/>
      </c>
      <c r="D1771" s="10" t="n"/>
      <c r="E1771" s="10">
        <f>IF(D1771="","",MIN(D1771,100))</f>
        <v/>
      </c>
      <c r="F1771" s="10" t="n"/>
      <c r="G1771" s="10">
        <f>IF(F1771="","",MIN(F1771,100))</f>
        <v/>
      </c>
      <c r="H1771" s="11">
        <f>IF(A1771="","",Universe!E1771/BDP(A1771&amp;" US Equity","HIGH_52WEEK")*100)</f>
        <v/>
      </c>
      <c r="I1771">
        <f>IF(D1771="","",D1771&gt;=5)</f>
        <v/>
      </c>
      <c r="J1771">
        <f>IF(F1771="","",F1771&gt;=5)</f>
        <v/>
      </c>
      <c r="K1771">
        <f>IF(H1771="","",H1771&gt;=75)</f>
        <v/>
      </c>
      <c r="L1771">
        <f>IF(OR(I1771="",J1771="",K1771=""),FALSE,AND(I1771,J1771,K1771))</f>
        <v/>
      </c>
    </row>
    <row r="1772">
      <c r="A1772">
        <f>Universe!A1772</f>
        <v/>
      </c>
      <c r="B1772" s="10" t="n"/>
      <c r="C1772" s="11">
        <f>IF(B1772="","",PERCENTRANK.INC($B$2:$B$2501,B1772)*100)</f>
        <v/>
      </c>
      <c r="D1772" s="10" t="n"/>
      <c r="E1772" s="10">
        <f>IF(D1772="","",MIN(D1772,100))</f>
        <v/>
      </c>
      <c r="F1772" s="10" t="n"/>
      <c r="G1772" s="10">
        <f>IF(F1772="","",MIN(F1772,100))</f>
        <v/>
      </c>
      <c r="H1772" s="11">
        <f>IF(A1772="","",Universe!E1772/BDP(A1772&amp;" US Equity","HIGH_52WEEK")*100)</f>
        <v/>
      </c>
      <c r="I1772">
        <f>IF(D1772="","",D1772&gt;=5)</f>
        <v/>
      </c>
      <c r="J1772">
        <f>IF(F1772="","",F1772&gt;=5)</f>
        <v/>
      </c>
      <c r="K1772">
        <f>IF(H1772="","",H1772&gt;=75)</f>
        <v/>
      </c>
      <c r="L1772">
        <f>IF(OR(I1772="",J1772="",K1772=""),FALSE,AND(I1772,J1772,K1772))</f>
        <v/>
      </c>
    </row>
    <row r="1773">
      <c r="A1773">
        <f>Universe!A1773</f>
        <v/>
      </c>
      <c r="B1773" s="10" t="n"/>
      <c r="C1773" s="11">
        <f>IF(B1773="","",PERCENTRANK.INC($B$2:$B$2501,B1773)*100)</f>
        <v/>
      </c>
      <c r="D1773" s="10" t="n"/>
      <c r="E1773" s="10">
        <f>IF(D1773="","",MIN(D1773,100))</f>
        <v/>
      </c>
      <c r="F1773" s="10" t="n"/>
      <c r="G1773" s="10">
        <f>IF(F1773="","",MIN(F1773,100))</f>
        <v/>
      </c>
      <c r="H1773" s="11">
        <f>IF(A1773="","",Universe!E1773/BDP(A1773&amp;" US Equity","HIGH_52WEEK")*100)</f>
        <v/>
      </c>
      <c r="I1773">
        <f>IF(D1773="","",D1773&gt;=5)</f>
        <v/>
      </c>
      <c r="J1773">
        <f>IF(F1773="","",F1773&gt;=5)</f>
        <v/>
      </c>
      <c r="K1773">
        <f>IF(H1773="","",H1773&gt;=75)</f>
        <v/>
      </c>
      <c r="L1773">
        <f>IF(OR(I1773="",J1773="",K1773=""),FALSE,AND(I1773,J1773,K1773))</f>
        <v/>
      </c>
    </row>
    <row r="1774">
      <c r="A1774">
        <f>Universe!A1774</f>
        <v/>
      </c>
      <c r="B1774" s="10" t="n"/>
      <c r="C1774" s="11">
        <f>IF(B1774="","",PERCENTRANK.INC($B$2:$B$2501,B1774)*100)</f>
        <v/>
      </c>
      <c r="D1774" s="10" t="n"/>
      <c r="E1774" s="10">
        <f>IF(D1774="","",MIN(D1774,100))</f>
        <v/>
      </c>
      <c r="F1774" s="10" t="n"/>
      <c r="G1774" s="10">
        <f>IF(F1774="","",MIN(F1774,100))</f>
        <v/>
      </c>
      <c r="H1774" s="11">
        <f>IF(A1774="","",Universe!E1774/BDP(A1774&amp;" US Equity","HIGH_52WEEK")*100)</f>
        <v/>
      </c>
      <c r="I1774">
        <f>IF(D1774="","",D1774&gt;=5)</f>
        <v/>
      </c>
      <c r="J1774">
        <f>IF(F1774="","",F1774&gt;=5)</f>
        <v/>
      </c>
      <c r="K1774">
        <f>IF(H1774="","",H1774&gt;=75)</f>
        <v/>
      </c>
      <c r="L1774">
        <f>IF(OR(I1774="",J1774="",K1774=""),FALSE,AND(I1774,J1774,K1774))</f>
        <v/>
      </c>
    </row>
    <row r="1775">
      <c r="A1775">
        <f>Universe!A1775</f>
        <v/>
      </c>
      <c r="B1775" s="10" t="n"/>
      <c r="C1775" s="11">
        <f>IF(B1775="","",PERCENTRANK.INC($B$2:$B$2501,B1775)*100)</f>
        <v/>
      </c>
      <c r="D1775" s="10" t="n"/>
      <c r="E1775" s="10">
        <f>IF(D1775="","",MIN(D1775,100))</f>
        <v/>
      </c>
      <c r="F1775" s="10" t="n"/>
      <c r="G1775" s="10">
        <f>IF(F1775="","",MIN(F1775,100))</f>
        <v/>
      </c>
      <c r="H1775" s="11">
        <f>IF(A1775="","",Universe!E1775/BDP(A1775&amp;" US Equity","HIGH_52WEEK")*100)</f>
        <v/>
      </c>
      <c r="I1775">
        <f>IF(D1775="","",D1775&gt;=5)</f>
        <v/>
      </c>
      <c r="J1775">
        <f>IF(F1775="","",F1775&gt;=5)</f>
        <v/>
      </c>
      <c r="K1775">
        <f>IF(H1775="","",H1775&gt;=75)</f>
        <v/>
      </c>
      <c r="L1775">
        <f>IF(OR(I1775="",J1775="",K1775=""),FALSE,AND(I1775,J1775,K1775))</f>
        <v/>
      </c>
    </row>
    <row r="1776">
      <c r="A1776">
        <f>Universe!A1776</f>
        <v/>
      </c>
      <c r="B1776" s="10" t="n"/>
      <c r="C1776" s="11">
        <f>IF(B1776="","",PERCENTRANK.INC($B$2:$B$2501,B1776)*100)</f>
        <v/>
      </c>
      <c r="D1776" s="10" t="n"/>
      <c r="E1776" s="10">
        <f>IF(D1776="","",MIN(D1776,100))</f>
        <v/>
      </c>
      <c r="F1776" s="10" t="n"/>
      <c r="G1776" s="10">
        <f>IF(F1776="","",MIN(F1776,100))</f>
        <v/>
      </c>
      <c r="H1776" s="11">
        <f>IF(A1776="","",Universe!E1776/BDP(A1776&amp;" US Equity","HIGH_52WEEK")*100)</f>
        <v/>
      </c>
      <c r="I1776">
        <f>IF(D1776="","",D1776&gt;=5)</f>
        <v/>
      </c>
      <c r="J1776">
        <f>IF(F1776="","",F1776&gt;=5)</f>
        <v/>
      </c>
      <c r="K1776">
        <f>IF(H1776="","",H1776&gt;=75)</f>
        <v/>
      </c>
      <c r="L1776">
        <f>IF(OR(I1776="",J1776="",K1776=""),FALSE,AND(I1776,J1776,K1776))</f>
        <v/>
      </c>
    </row>
    <row r="1777">
      <c r="A1777">
        <f>Universe!A1777</f>
        <v/>
      </c>
      <c r="B1777" s="10" t="n"/>
      <c r="C1777" s="11">
        <f>IF(B1777="","",PERCENTRANK.INC($B$2:$B$2501,B1777)*100)</f>
        <v/>
      </c>
      <c r="D1777" s="10" t="n"/>
      <c r="E1777" s="10">
        <f>IF(D1777="","",MIN(D1777,100))</f>
        <v/>
      </c>
      <c r="F1777" s="10" t="n"/>
      <c r="G1777" s="10">
        <f>IF(F1777="","",MIN(F1777,100))</f>
        <v/>
      </c>
      <c r="H1777" s="11">
        <f>IF(A1777="","",Universe!E1777/BDP(A1777&amp;" US Equity","HIGH_52WEEK")*100)</f>
        <v/>
      </c>
      <c r="I1777">
        <f>IF(D1777="","",D1777&gt;=5)</f>
        <v/>
      </c>
      <c r="J1777">
        <f>IF(F1777="","",F1777&gt;=5)</f>
        <v/>
      </c>
      <c r="K1777">
        <f>IF(H1777="","",H1777&gt;=75)</f>
        <v/>
      </c>
      <c r="L1777">
        <f>IF(OR(I1777="",J1777="",K1777=""),FALSE,AND(I1777,J1777,K1777))</f>
        <v/>
      </c>
    </row>
    <row r="1778">
      <c r="A1778">
        <f>Universe!A1778</f>
        <v/>
      </c>
      <c r="B1778" s="10" t="n"/>
      <c r="C1778" s="11">
        <f>IF(B1778="","",PERCENTRANK.INC($B$2:$B$2501,B1778)*100)</f>
        <v/>
      </c>
      <c r="D1778" s="10" t="n"/>
      <c r="E1778" s="10">
        <f>IF(D1778="","",MIN(D1778,100))</f>
        <v/>
      </c>
      <c r="F1778" s="10" t="n"/>
      <c r="G1778" s="10">
        <f>IF(F1778="","",MIN(F1778,100))</f>
        <v/>
      </c>
      <c r="H1778" s="11">
        <f>IF(A1778="","",Universe!E1778/BDP(A1778&amp;" US Equity","HIGH_52WEEK")*100)</f>
        <v/>
      </c>
      <c r="I1778">
        <f>IF(D1778="","",D1778&gt;=5)</f>
        <v/>
      </c>
      <c r="J1778">
        <f>IF(F1778="","",F1778&gt;=5)</f>
        <v/>
      </c>
      <c r="K1778">
        <f>IF(H1778="","",H1778&gt;=75)</f>
        <v/>
      </c>
      <c r="L1778">
        <f>IF(OR(I1778="",J1778="",K1778=""),FALSE,AND(I1778,J1778,K1778))</f>
        <v/>
      </c>
    </row>
    <row r="1779">
      <c r="A1779">
        <f>Universe!A1779</f>
        <v/>
      </c>
      <c r="B1779" s="10" t="n"/>
      <c r="C1779" s="11">
        <f>IF(B1779="","",PERCENTRANK.INC($B$2:$B$2501,B1779)*100)</f>
        <v/>
      </c>
      <c r="D1779" s="10" t="n"/>
      <c r="E1779" s="10">
        <f>IF(D1779="","",MIN(D1779,100))</f>
        <v/>
      </c>
      <c r="F1779" s="10" t="n"/>
      <c r="G1779" s="10">
        <f>IF(F1779="","",MIN(F1779,100))</f>
        <v/>
      </c>
      <c r="H1779" s="11">
        <f>IF(A1779="","",Universe!E1779/BDP(A1779&amp;" US Equity","HIGH_52WEEK")*100)</f>
        <v/>
      </c>
      <c r="I1779">
        <f>IF(D1779="","",D1779&gt;=5)</f>
        <v/>
      </c>
      <c r="J1779">
        <f>IF(F1779="","",F1779&gt;=5)</f>
        <v/>
      </c>
      <c r="K1779">
        <f>IF(H1779="","",H1779&gt;=75)</f>
        <v/>
      </c>
      <c r="L1779">
        <f>IF(OR(I1779="",J1779="",K1779=""),FALSE,AND(I1779,J1779,K1779))</f>
        <v/>
      </c>
    </row>
    <row r="1780">
      <c r="A1780">
        <f>Universe!A1780</f>
        <v/>
      </c>
      <c r="B1780" s="10" t="n"/>
      <c r="C1780" s="11">
        <f>IF(B1780="","",PERCENTRANK.INC($B$2:$B$2501,B1780)*100)</f>
        <v/>
      </c>
      <c r="D1780" s="10" t="n"/>
      <c r="E1780" s="10">
        <f>IF(D1780="","",MIN(D1780,100))</f>
        <v/>
      </c>
      <c r="F1780" s="10" t="n"/>
      <c r="G1780" s="10">
        <f>IF(F1780="","",MIN(F1780,100))</f>
        <v/>
      </c>
      <c r="H1780" s="11">
        <f>IF(A1780="","",Universe!E1780/BDP(A1780&amp;" US Equity","HIGH_52WEEK")*100)</f>
        <v/>
      </c>
      <c r="I1780">
        <f>IF(D1780="","",D1780&gt;=5)</f>
        <v/>
      </c>
      <c r="J1780">
        <f>IF(F1780="","",F1780&gt;=5)</f>
        <v/>
      </c>
      <c r="K1780">
        <f>IF(H1780="","",H1780&gt;=75)</f>
        <v/>
      </c>
      <c r="L1780">
        <f>IF(OR(I1780="",J1780="",K1780=""),FALSE,AND(I1780,J1780,K1780))</f>
        <v/>
      </c>
    </row>
    <row r="1781">
      <c r="A1781">
        <f>Universe!A1781</f>
        <v/>
      </c>
      <c r="B1781" s="10" t="n"/>
      <c r="C1781" s="11">
        <f>IF(B1781="","",PERCENTRANK.INC($B$2:$B$2501,B1781)*100)</f>
        <v/>
      </c>
      <c r="D1781" s="10" t="n"/>
      <c r="E1781" s="10">
        <f>IF(D1781="","",MIN(D1781,100))</f>
        <v/>
      </c>
      <c r="F1781" s="10" t="n"/>
      <c r="G1781" s="10">
        <f>IF(F1781="","",MIN(F1781,100))</f>
        <v/>
      </c>
      <c r="H1781" s="11">
        <f>IF(A1781="","",Universe!E1781/BDP(A1781&amp;" US Equity","HIGH_52WEEK")*100)</f>
        <v/>
      </c>
      <c r="I1781">
        <f>IF(D1781="","",D1781&gt;=5)</f>
        <v/>
      </c>
      <c r="J1781">
        <f>IF(F1781="","",F1781&gt;=5)</f>
        <v/>
      </c>
      <c r="K1781">
        <f>IF(H1781="","",H1781&gt;=75)</f>
        <v/>
      </c>
      <c r="L1781">
        <f>IF(OR(I1781="",J1781="",K1781=""),FALSE,AND(I1781,J1781,K1781))</f>
        <v/>
      </c>
    </row>
    <row r="1782">
      <c r="A1782">
        <f>Universe!A1782</f>
        <v/>
      </c>
      <c r="B1782" s="10" t="n"/>
      <c r="C1782" s="11">
        <f>IF(B1782="","",PERCENTRANK.INC($B$2:$B$2501,B1782)*100)</f>
        <v/>
      </c>
      <c r="D1782" s="10" t="n"/>
      <c r="E1782" s="10">
        <f>IF(D1782="","",MIN(D1782,100))</f>
        <v/>
      </c>
      <c r="F1782" s="10" t="n"/>
      <c r="G1782" s="10">
        <f>IF(F1782="","",MIN(F1782,100))</f>
        <v/>
      </c>
      <c r="H1782" s="11">
        <f>IF(A1782="","",Universe!E1782/BDP(A1782&amp;" US Equity","HIGH_52WEEK")*100)</f>
        <v/>
      </c>
      <c r="I1782">
        <f>IF(D1782="","",D1782&gt;=5)</f>
        <v/>
      </c>
      <c r="J1782">
        <f>IF(F1782="","",F1782&gt;=5)</f>
        <v/>
      </c>
      <c r="K1782">
        <f>IF(H1782="","",H1782&gt;=75)</f>
        <v/>
      </c>
      <c r="L1782">
        <f>IF(OR(I1782="",J1782="",K1782=""),FALSE,AND(I1782,J1782,K1782))</f>
        <v/>
      </c>
    </row>
    <row r="1783">
      <c r="A1783">
        <f>Universe!A1783</f>
        <v/>
      </c>
      <c r="B1783" s="10" t="n"/>
      <c r="C1783" s="11">
        <f>IF(B1783="","",PERCENTRANK.INC($B$2:$B$2501,B1783)*100)</f>
        <v/>
      </c>
      <c r="D1783" s="10" t="n"/>
      <c r="E1783" s="10">
        <f>IF(D1783="","",MIN(D1783,100))</f>
        <v/>
      </c>
      <c r="F1783" s="10" t="n"/>
      <c r="G1783" s="10">
        <f>IF(F1783="","",MIN(F1783,100))</f>
        <v/>
      </c>
      <c r="H1783" s="11">
        <f>IF(A1783="","",Universe!E1783/BDP(A1783&amp;" US Equity","HIGH_52WEEK")*100)</f>
        <v/>
      </c>
      <c r="I1783">
        <f>IF(D1783="","",D1783&gt;=5)</f>
        <v/>
      </c>
      <c r="J1783">
        <f>IF(F1783="","",F1783&gt;=5)</f>
        <v/>
      </c>
      <c r="K1783">
        <f>IF(H1783="","",H1783&gt;=75)</f>
        <v/>
      </c>
      <c r="L1783">
        <f>IF(OR(I1783="",J1783="",K1783=""),FALSE,AND(I1783,J1783,K1783))</f>
        <v/>
      </c>
    </row>
    <row r="1784">
      <c r="A1784">
        <f>Universe!A1784</f>
        <v/>
      </c>
      <c r="B1784" s="10" t="n"/>
      <c r="C1784" s="11">
        <f>IF(B1784="","",PERCENTRANK.INC($B$2:$B$2501,B1784)*100)</f>
        <v/>
      </c>
      <c r="D1784" s="10" t="n"/>
      <c r="E1784" s="10">
        <f>IF(D1784="","",MIN(D1784,100))</f>
        <v/>
      </c>
      <c r="F1784" s="10" t="n"/>
      <c r="G1784" s="10">
        <f>IF(F1784="","",MIN(F1784,100))</f>
        <v/>
      </c>
      <c r="H1784" s="11">
        <f>IF(A1784="","",Universe!E1784/BDP(A1784&amp;" US Equity","HIGH_52WEEK")*100)</f>
        <v/>
      </c>
      <c r="I1784">
        <f>IF(D1784="","",D1784&gt;=5)</f>
        <v/>
      </c>
      <c r="J1784">
        <f>IF(F1784="","",F1784&gt;=5)</f>
        <v/>
      </c>
      <c r="K1784">
        <f>IF(H1784="","",H1784&gt;=75)</f>
        <v/>
      </c>
      <c r="L1784">
        <f>IF(OR(I1784="",J1784="",K1784=""),FALSE,AND(I1784,J1784,K1784))</f>
        <v/>
      </c>
    </row>
    <row r="1785">
      <c r="A1785">
        <f>Universe!A1785</f>
        <v/>
      </c>
      <c r="B1785" s="10" t="n"/>
      <c r="C1785" s="11">
        <f>IF(B1785="","",PERCENTRANK.INC($B$2:$B$2501,B1785)*100)</f>
        <v/>
      </c>
      <c r="D1785" s="10" t="n"/>
      <c r="E1785" s="10">
        <f>IF(D1785="","",MIN(D1785,100))</f>
        <v/>
      </c>
      <c r="F1785" s="10" t="n"/>
      <c r="G1785" s="10">
        <f>IF(F1785="","",MIN(F1785,100))</f>
        <v/>
      </c>
      <c r="H1785" s="11">
        <f>IF(A1785="","",Universe!E1785/BDP(A1785&amp;" US Equity","HIGH_52WEEK")*100)</f>
        <v/>
      </c>
      <c r="I1785">
        <f>IF(D1785="","",D1785&gt;=5)</f>
        <v/>
      </c>
      <c r="J1785">
        <f>IF(F1785="","",F1785&gt;=5)</f>
        <v/>
      </c>
      <c r="K1785">
        <f>IF(H1785="","",H1785&gt;=75)</f>
        <v/>
      </c>
      <c r="L1785">
        <f>IF(OR(I1785="",J1785="",K1785=""),FALSE,AND(I1785,J1785,K1785))</f>
        <v/>
      </c>
    </row>
    <row r="1786">
      <c r="A1786">
        <f>Universe!A1786</f>
        <v/>
      </c>
      <c r="B1786" s="10" t="n"/>
      <c r="C1786" s="11">
        <f>IF(B1786="","",PERCENTRANK.INC($B$2:$B$2501,B1786)*100)</f>
        <v/>
      </c>
      <c r="D1786" s="10" t="n"/>
      <c r="E1786" s="10">
        <f>IF(D1786="","",MIN(D1786,100))</f>
        <v/>
      </c>
      <c r="F1786" s="10" t="n"/>
      <c r="G1786" s="10">
        <f>IF(F1786="","",MIN(F1786,100))</f>
        <v/>
      </c>
      <c r="H1786" s="11">
        <f>IF(A1786="","",Universe!E1786/BDP(A1786&amp;" US Equity","HIGH_52WEEK")*100)</f>
        <v/>
      </c>
      <c r="I1786">
        <f>IF(D1786="","",D1786&gt;=5)</f>
        <v/>
      </c>
      <c r="J1786">
        <f>IF(F1786="","",F1786&gt;=5)</f>
        <v/>
      </c>
      <c r="K1786">
        <f>IF(H1786="","",H1786&gt;=75)</f>
        <v/>
      </c>
      <c r="L1786">
        <f>IF(OR(I1786="",J1786="",K1786=""),FALSE,AND(I1786,J1786,K1786))</f>
        <v/>
      </c>
    </row>
    <row r="1787">
      <c r="A1787">
        <f>Universe!A1787</f>
        <v/>
      </c>
      <c r="B1787" s="10" t="n"/>
      <c r="C1787" s="11">
        <f>IF(B1787="","",PERCENTRANK.INC($B$2:$B$2501,B1787)*100)</f>
        <v/>
      </c>
      <c r="D1787" s="10" t="n"/>
      <c r="E1787" s="10">
        <f>IF(D1787="","",MIN(D1787,100))</f>
        <v/>
      </c>
      <c r="F1787" s="10" t="n"/>
      <c r="G1787" s="10">
        <f>IF(F1787="","",MIN(F1787,100))</f>
        <v/>
      </c>
      <c r="H1787" s="11">
        <f>IF(A1787="","",Universe!E1787/BDP(A1787&amp;" US Equity","HIGH_52WEEK")*100)</f>
        <v/>
      </c>
      <c r="I1787">
        <f>IF(D1787="","",D1787&gt;=5)</f>
        <v/>
      </c>
      <c r="J1787">
        <f>IF(F1787="","",F1787&gt;=5)</f>
        <v/>
      </c>
      <c r="K1787">
        <f>IF(H1787="","",H1787&gt;=75)</f>
        <v/>
      </c>
      <c r="L1787">
        <f>IF(OR(I1787="",J1787="",K1787=""),FALSE,AND(I1787,J1787,K1787))</f>
        <v/>
      </c>
    </row>
    <row r="1788">
      <c r="A1788">
        <f>Universe!A1788</f>
        <v/>
      </c>
      <c r="B1788" s="10" t="n"/>
      <c r="C1788" s="11">
        <f>IF(B1788="","",PERCENTRANK.INC($B$2:$B$2501,B1788)*100)</f>
        <v/>
      </c>
      <c r="D1788" s="10" t="n"/>
      <c r="E1788" s="10">
        <f>IF(D1788="","",MIN(D1788,100))</f>
        <v/>
      </c>
      <c r="F1788" s="10" t="n"/>
      <c r="G1788" s="10">
        <f>IF(F1788="","",MIN(F1788,100))</f>
        <v/>
      </c>
      <c r="H1788" s="11">
        <f>IF(A1788="","",Universe!E1788/BDP(A1788&amp;" US Equity","HIGH_52WEEK")*100)</f>
        <v/>
      </c>
      <c r="I1788">
        <f>IF(D1788="","",D1788&gt;=5)</f>
        <v/>
      </c>
      <c r="J1788">
        <f>IF(F1788="","",F1788&gt;=5)</f>
        <v/>
      </c>
      <c r="K1788">
        <f>IF(H1788="","",H1788&gt;=75)</f>
        <v/>
      </c>
      <c r="L1788">
        <f>IF(OR(I1788="",J1788="",K1788=""),FALSE,AND(I1788,J1788,K1788))</f>
        <v/>
      </c>
    </row>
    <row r="1789">
      <c r="A1789">
        <f>Universe!A1789</f>
        <v/>
      </c>
      <c r="B1789" s="10" t="n"/>
      <c r="C1789" s="11">
        <f>IF(B1789="","",PERCENTRANK.INC($B$2:$B$2501,B1789)*100)</f>
        <v/>
      </c>
      <c r="D1789" s="10" t="n"/>
      <c r="E1789" s="10">
        <f>IF(D1789="","",MIN(D1789,100))</f>
        <v/>
      </c>
      <c r="F1789" s="10" t="n"/>
      <c r="G1789" s="10">
        <f>IF(F1789="","",MIN(F1789,100))</f>
        <v/>
      </c>
      <c r="H1789" s="11">
        <f>IF(A1789="","",Universe!E1789/BDP(A1789&amp;" US Equity","HIGH_52WEEK")*100)</f>
        <v/>
      </c>
      <c r="I1789">
        <f>IF(D1789="","",D1789&gt;=5)</f>
        <v/>
      </c>
      <c r="J1789">
        <f>IF(F1789="","",F1789&gt;=5)</f>
        <v/>
      </c>
      <c r="K1789">
        <f>IF(H1789="","",H1789&gt;=75)</f>
        <v/>
      </c>
      <c r="L1789">
        <f>IF(OR(I1789="",J1789="",K1789=""),FALSE,AND(I1789,J1789,K1789))</f>
        <v/>
      </c>
    </row>
    <row r="1790">
      <c r="A1790">
        <f>Universe!A1790</f>
        <v/>
      </c>
      <c r="B1790" s="10" t="n"/>
      <c r="C1790" s="11">
        <f>IF(B1790="","",PERCENTRANK.INC($B$2:$B$2501,B1790)*100)</f>
        <v/>
      </c>
      <c r="D1790" s="10" t="n"/>
      <c r="E1790" s="10">
        <f>IF(D1790="","",MIN(D1790,100))</f>
        <v/>
      </c>
      <c r="F1790" s="10" t="n"/>
      <c r="G1790" s="10">
        <f>IF(F1790="","",MIN(F1790,100))</f>
        <v/>
      </c>
      <c r="H1790" s="11">
        <f>IF(A1790="","",Universe!E1790/BDP(A1790&amp;" US Equity","HIGH_52WEEK")*100)</f>
        <v/>
      </c>
      <c r="I1790">
        <f>IF(D1790="","",D1790&gt;=5)</f>
        <v/>
      </c>
      <c r="J1790">
        <f>IF(F1790="","",F1790&gt;=5)</f>
        <v/>
      </c>
      <c r="K1790">
        <f>IF(H1790="","",H1790&gt;=75)</f>
        <v/>
      </c>
      <c r="L1790">
        <f>IF(OR(I1790="",J1790="",K1790=""),FALSE,AND(I1790,J1790,K1790))</f>
        <v/>
      </c>
    </row>
    <row r="1791">
      <c r="A1791">
        <f>Universe!A1791</f>
        <v/>
      </c>
      <c r="B1791" s="10" t="n"/>
      <c r="C1791" s="11">
        <f>IF(B1791="","",PERCENTRANK.INC($B$2:$B$2501,B1791)*100)</f>
        <v/>
      </c>
      <c r="D1791" s="10" t="n"/>
      <c r="E1791" s="10">
        <f>IF(D1791="","",MIN(D1791,100))</f>
        <v/>
      </c>
      <c r="F1791" s="10" t="n"/>
      <c r="G1791" s="10">
        <f>IF(F1791="","",MIN(F1791,100))</f>
        <v/>
      </c>
      <c r="H1791" s="11">
        <f>IF(A1791="","",Universe!E1791/BDP(A1791&amp;" US Equity","HIGH_52WEEK")*100)</f>
        <v/>
      </c>
      <c r="I1791">
        <f>IF(D1791="","",D1791&gt;=5)</f>
        <v/>
      </c>
      <c r="J1791">
        <f>IF(F1791="","",F1791&gt;=5)</f>
        <v/>
      </c>
      <c r="K1791">
        <f>IF(H1791="","",H1791&gt;=75)</f>
        <v/>
      </c>
      <c r="L1791">
        <f>IF(OR(I1791="",J1791="",K1791=""),FALSE,AND(I1791,J1791,K1791))</f>
        <v/>
      </c>
    </row>
    <row r="1792">
      <c r="A1792">
        <f>Universe!A1792</f>
        <v/>
      </c>
      <c r="B1792" s="10" t="n"/>
      <c r="C1792" s="11">
        <f>IF(B1792="","",PERCENTRANK.INC($B$2:$B$2501,B1792)*100)</f>
        <v/>
      </c>
      <c r="D1792" s="10" t="n"/>
      <c r="E1792" s="10">
        <f>IF(D1792="","",MIN(D1792,100))</f>
        <v/>
      </c>
      <c r="F1792" s="10" t="n"/>
      <c r="G1792" s="10">
        <f>IF(F1792="","",MIN(F1792,100))</f>
        <v/>
      </c>
      <c r="H1792" s="11">
        <f>IF(A1792="","",Universe!E1792/BDP(A1792&amp;" US Equity","HIGH_52WEEK")*100)</f>
        <v/>
      </c>
      <c r="I1792">
        <f>IF(D1792="","",D1792&gt;=5)</f>
        <v/>
      </c>
      <c r="J1792">
        <f>IF(F1792="","",F1792&gt;=5)</f>
        <v/>
      </c>
      <c r="K1792">
        <f>IF(H1792="","",H1792&gt;=75)</f>
        <v/>
      </c>
      <c r="L1792">
        <f>IF(OR(I1792="",J1792="",K1792=""),FALSE,AND(I1792,J1792,K1792))</f>
        <v/>
      </c>
    </row>
    <row r="1793">
      <c r="A1793">
        <f>Universe!A1793</f>
        <v/>
      </c>
      <c r="B1793" s="10" t="n"/>
      <c r="C1793" s="11">
        <f>IF(B1793="","",PERCENTRANK.INC($B$2:$B$2501,B1793)*100)</f>
        <v/>
      </c>
      <c r="D1793" s="10" t="n"/>
      <c r="E1793" s="10">
        <f>IF(D1793="","",MIN(D1793,100))</f>
        <v/>
      </c>
      <c r="F1793" s="10" t="n"/>
      <c r="G1793" s="10">
        <f>IF(F1793="","",MIN(F1793,100))</f>
        <v/>
      </c>
      <c r="H1793" s="11">
        <f>IF(A1793="","",Universe!E1793/BDP(A1793&amp;" US Equity","HIGH_52WEEK")*100)</f>
        <v/>
      </c>
      <c r="I1793">
        <f>IF(D1793="","",D1793&gt;=5)</f>
        <v/>
      </c>
      <c r="J1793">
        <f>IF(F1793="","",F1793&gt;=5)</f>
        <v/>
      </c>
      <c r="K1793">
        <f>IF(H1793="","",H1793&gt;=75)</f>
        <v/>
      </c>
      <c r="L1793">
        <f>IF(OR(I1793="",J1793="",K1793=""),FALSE,AND(I1793,J1793,K1793))</f>
        <v/>
      </c>
    </row>
    <row r="1794">
      <c r="A1794">
        <f>Universe!A1794</f>
        <v/>
      </c>
      <c r="B1794" s="10" t="n"/>
      <c r="C1794" s="11">
        <f>IF(B1794="","",PERCENTRANK.INC($B$2:$B$2501,B1794)*100)</f>
        <v/>
      </c>
      <c r="D1794" s="10" t="n"/>
      <c r="E1794" s="10">
        <f>IF(D1794="","",MIN(D1794,100))</f>
        <v/>
      </c>
      <c r="F1794" s="10" t="n"/>
      <c r="G1794" s="10">
        <f>IF(F1794="","",MIN(F1794,100))</f>
        <v/>
      </c>
      <c r="H1794" s="11">
        <f>IF(A1794="","",Universe!E1794/BDP(A1794&amp;" US Equity","HIGH_52WEEK")*100)</f>
        <v/>
      </c>
      <c r="I1794">
        <f>IF(D1794="","",D1794&gt;=5)</f>
        <v/>
      </c>
      <c r="J1794">
        <f>IF(F1794="","",F1794&gt;=5)</f>
        <v/>
      </c>
      <c r="K1794">
        <f>IF(H1794="","",H1794&gt;=75)</f>
        <v/>
      </c>
      <c r="L1794">
        <f>IF(OR(I1794="",J1794="",K1794=""),FALSE,AND(I1794,J1794,K1794))</f>
        <v/>
      </c>
    </row>
    <row r="1795">
      <c r="A1795">
        <f>Universe!A1795</f>
        <v/>
      </c>
      <c r="B1795" s="10" t="n"/>
      <c r="C1795" s="11">
        <f>IF(B1795="","",PERCENTRANK.INC($B$2:$B$2501,B1795)*100)</f>
        <v/>
      </c>
      <c r="D1795" s="10" t="n"/>
      <c r="E1795" s="10">
        <f>IF(D1795="","",MIN(D1795,100))</f>
        <v/>
      </c>
      <c r="F1795" s="10" t="n"/>
      <c r="G1795" s="10">
        <f>IF(F1795="","",MIN(F1795,100))</f>
        <v/>
      </c>
      <c r="H1795" s="11">
        <f>IF(A1795="","",Universe!E1795/BDP(A1795&amp;" US Equity","HIGH_52WEEK")*100)</f>
        <v/>
      </c>
      <c r="I1795">
        <f>IF(D1795="","",D1795&gt;=5)</f>
        <v/>
      </c>
      <c r="J1795">
        <f>IF(F1795="","",F1795&gt;=5)</f>
        <v/>
      </c>
      <c r="K1795">
        <f>IF(H1795="","",H1795&gt;=75)</f>
        <v/>
      </c>
      <c r="L1795">
        <f>IF(OR(I1795="",J1795="",K1795=""),FALSE,AND(I1795,J1795,K1795))</f>
        <v/>
      </c>
    </row>
    <row r="1796">
      <c r="A1796">
        <f>Universe!A1796</f>
        <v/>
      </c>
      <c r="B1796" s="10" t="n"/>
      <c r="C1796" s="11">
        <f>IF(B1796="","",PERCENTRANK.INC($B$2:$B$2501,B1796)*100)</f>
        <v/>
      </c>
      <c r="D1796" s="10" t="n"/>
      <c r="E1796" s="10">
        <f>IF(D1796="","",MIN(D1796,100))</f>
        <v/>
      </c>
      <c r="F1796" s="10" t="n"/>
      <c r="G1796" s="10">
        <f>IF(F1796="","",MIN(F1796,100))</f>
        <v/>
      </c>
      <c r="H1796" s="11">
        <f>IF(A1796="","",Universe!E1796/BDP(A1796&amp;" US Equity","HIGH_52WEEK")*100)</f>
        <v/>
      </c>
      <c r="I1796">
        <f>IF(D1796="","",D1796&gt;=5)</f>
        <v/>
      </c>
      <c r="J1796">
        <f>IF(F1796="","",F1796&gt;=5)</f>
        <v/>
      </c>
      <c r="K1796">
        <f>IF(H1796="","",H1796&gt;=75)</f>
        <v/>
      </c>
      <c r="L1796">
        <f>IF(OR(I1796="",J1796="",K1796=""),FALSE,AND(I1796,J1796,K1796))</f>
        <v/>
      </c>
    </row>
    <row r="1797">
      <c r="A1797">
        <f>Universe!A1797</f>
        <v/>
      </c>
      <c r="B1797" s="10" t="n"/>
      <c r="C1797" s="11">
        <f>IF(B1797="","",PERCENTRANK.INC($B$2:$B$2501,B1797)*100)</f>
        <v/>
      </c>
      <c r="D1797" s="10" t="n"/>
      <c r="E1797" s="10">
        <f>IF(D1797="","",MIN(D1797,100))</f>
        <v/>
      </c>
      <c r="F1797" s="10" t="n"/>
      <c r="G1797" s="10">
        <f>IF(F1797="","",MIN(F1797,100))</f>
        <v/>
      </c>
      <c r="H1797" s="11">
        <f>IF(A1797="","",Universe!E1797/BDP(A1797&amp;" US Equity","HIGH_52WEEK")*100)</f>
        <v/>
      </c>
      <c r="I1797">
        <f>IF(D1797="","",D1797&gt;=5)</f>
        <v/>
      </c>
      <c r="J1797">
        <f>IF(F1797="","",F1797&gt;=5)</f>
        <v/>
      </c>
      <c r="K1797">
        <f>IF(H1797="","",H1797&gt;=75)</f>
        <v/>
      </c>
      <c r="L1797">
        <f>IF(OR(I1797="",J1797="",K1797=""),FALSE,AND(I1797,J1797,K1797))</f>
        <v/>
      </c>
    </row>
    <row r="1798">
      <c r="A1798">
        <f>Universe!A1798</f>
        <v/>
      </c>
      <c r="B1798" s="10" t="n"/>
      <c r="C1798" s="11">
        <f>IF(B1798="","",PERCENTRANK.INC($B$2:$B$2501,B1798)*100)</f>
        <v/>
      </c>
      <c r="D1798" s="10" t="n"/>
      <c r="E1798" s="10">
        <f>IF(D1798="","",MIN(D1798,100))</f>
        <v/>
      </c>
      <c r="F1798" s="10" t="n"/>
      <c r="G1798" s="10">
        <f>IF(F1798="","",MIN(F1798,100))</f>
        <v/>
      </c>
      <c r="H1798" s="11">
        <f>IF(A1798="","",Universe!E1798/BDP(A1798&amp;" US Equity","HIGH_52WEEK")*100)</f>
        <v/>
      </c>
      <c r="I1798">
        <f>IF(D1798="","",D1798&gt;=5)</f>
        <v/>
      </c>
      <c r="J1798">
        <f>IF(F1798="","",F1798&gt;=5)</f>
        <v/>
      </c>
      <c r="K1798">
        <f>IF(H1798="","",H1798&gt;=75)</f>
        <v/>
      </c>
      <c r="L1798">
        <f>IF(OR(I1798="",J1798="",K1798=""),FALSE,AND(I1798,J1798,K1798))</f>
        <v/>
      </c>
    </row>
    <row r="1799">
      <c r="A1799">
        <f>Universe!A1799</f>
        <v/>
      </c>
      <c r="B1799" s="10" t="n"/>
      <c r="C1799" s="11">
        <f>IF(B1799="","",PERCENTRANK.INC($B$2:$B$2501,B1799)*100)</f>
        <v/>
      </c>
      <c r="D1799" s="10" t="n"/>
      <c r="E1799" s="10">
        <f>IF(D1799="","",MIN(D1799,100))</f>
        <v/>
      </c>
      <c r="F1799" s="10" t="n"/>
      <c r="G1799" s="10">
        <f>IF(F1799="","",MIN(F1799,100))</f>
        <v/>
      </c>
      <c r="H1799" s="11">
        <f>IF(A1799="","",Universe!E1799/BDP(A1799&amp;" US Equity","HIGH_52WEEK")*100)</f>
        <v/>
      </c>
      <c r="I1799">
        <f>IF(D1799="","",D1799&gt;=5)</f>
        <v/>
      </c>
      <c r="J1799">
        <f>IF(F1799="","",F1799&gt;=5)</f>
        <v/>
      </c>
      <c r="K1799">
        <f>IF(H1799="","",H1799&gt;=75)</f>
        <v/>
      </c>
      <c r="L1799">
        <f>IF(OR(I1799="",J1799="",K1799=""),FALSE,AND(I1799,J1799,K1799))</f>
        <v/>
      </c>
    </row>
    <row r="1800">
      <c r="A1800">
        <f>Universe!A1800</f>
        <v/>
      </c>
      <c r="B1800" s="10" t="n"/>
      <c r="C1800" s="11">
        <f>IF(B1800="","",PERCENTRANK.INC($B$2:$B$2501,B1800)*100)</f>
        <v/>
      </c>
      <c r="D1800" s="10" t="n"/>
      <c r="E1800" s="10">
        <f>IF(D1800="","",MIN(D1800,100))</f>
        <v/>
      </c>
      <c r="F1800" s="10" t="n"/>
      <c r="G1800" s="10">
        <f>IF(F1800="","",MIN(F1800,100))</f>
        <v/>
      </c>
      <c r="H1800" s="11">
        <f>IF(A1800="","",Universe!E1800/BDP(A1800&amp;" US Equity","HIGH_52WEEK")*100)</f>
        <v/>
      </c>
      <c r="I1800">
        <f>IF(D1800="","",D1800&gt;=5)</f>
        <v/>
      </c>
      <c r="J1800">
        <f>IF(F1800="","",F1800&gt;=5)</f>
        <v/>
      </c>
      <c r="K1800">
        <f>IF(H1800="","",H1800&gt;=75)</f>
        <v/>
      </c>
      <c r="L1800">
        <f>IF(OR(I1800="",J1800="",K1800=""),FALSE,AND(I1800,J1800,K1800))</f>
        <v/>
      </c>
    </row>
    <row r="1801">
      <c r="A1801">
        <f>Universe!A1801</f>
        <v/>
      </c>
      <c r="B1801" s="10" t="n"/>
      <c r="C1801" s="11">
        <f>IF(B1801="","",PERCENTRANK.INC($B$2:$B$2501,B1801)*100)</f>
        <v/>
      </c>
      <c r="D1801" s="10" t="n"/>
      <c r="E1801" s="10">
        <f>IF(D1801="","",MIN(D1801,100))</f>
        <v/>
      </c>
      <c r="F1801" s="10" t="n"/>
      <c r="G1801" s="10">
        <f>IF(F1801="","",MIN(F1801,100))</f>
        <v/>
      </c>
      <c r="H1801" s="11">
        <f>IF(A1801="","",Universe!E1801/BDP(A1801&amp;" US Equity","HIGH_52WEEK")*100)</f>
        <v/>
      </c>
      <c r="I1801">
        <f>IF(D1801="","",D1801&gt;=5)</f>
        <v/>
      </c>
      <c r="J1801">
        <f>IF(F1801="","",F1801&gt;=5)</f>
        <v/>
      </c>
      <c r="K1801">
        <f>IF(H1801="","",H1801&gt;=75)</f>
        <v/>
      </c>
      <c r="L1801">
        <f>IF(OR(I1801="",J1801="",K1801=""),FALSE,AND(I1801,J1801,K1801))</f>
        <v/>
      </c>
    </row>
    <row r="1802">
      <c r="A1802">
        <f>Universe!A1802</f>
        <v/>
      </c>
      <c r="B1802" s="10" t="n"/>
      <c r="C1802" s="11">
        <f>IF(B1802="","",PERCENTRANK.INC($B$2:$B$2501,B1802)*100)</f>
        <v/>
      </c>
      <c r="D1802" s="10" t="n"/>
      <c r="E1802" s="10">
        <f>IF(D1802="","",MIN(D1802,100))</f>
        <v/>
      </c>
      <c r="F1802" s="10" t="n"/>
      <c r="G1802" s="10">
        <f>IF(F1802="","",MIN(F1802,100))</f>
        <v/>
      </c>
      <c r="H1802" s="11">
        <f>IF(A1802="","",Universe!E1802/BDP(A1802&amp;" US Equity","HIGH_52WEEK")*100)</f>
        <v/>
      </c>
      <c r="I1802">
        <f>IF(D1802="","",D1802&gt;=5)</f>
        <v/>
      </c>
      <c r="J1802">
        <f>IF(F1802="","",F1802&gt;=5)</f>
        <v/>
      </c>
      <c r="K1802">
        <f>IF(H1802="","",H1802&gt;=75)</f>
        <v/>
      </c>
      <c r="L1802">
        <f>IF(OR(I1802="",J1802="",K1802=""),FALSE,AND(I1802,J1802,K1802))</f>
        <v/>
      </c>
    </row>
    <row r="1803">
      <c r="A1803">
        <f>Universe!A1803</f>
        <v/>
      </c>
      <c r="B1803" s="10" t="n"/>
      <c r="C1803" s="11">
        <f>IF(B1803="","",PERCENTRANK.INC($B$2:$B$2501,B1803)*100)</f>
        <v/>
      </c>
      <c r="D1803" s="10" t="n"/>
      <c r="E1803" s="10">
        <f>IF(D1803="","",MIN(D1803,100))</f>
        <v/>
      </c>
      <c r="F1803" s="10" t="n"/>
      <c r="G1803" s="10">
        <f>IF(F1803="","",MIN(F1803,100))</f>
        <v/>
      </c>
      <c r="H1803" s="11">
        <f>IF(A1803="","",Universe!E1803/BDP(A1803&amp;" US Equity","HIGH_52WEEK")*100)</f>
        <v/>
      </c>
      <c r="I1803">
        <f>IF(D1803="","",D1803&gt;=5)</f>
        <v/>
      </c>
      <c r="J1803">
        <f>IF(F1803="","",F1803&gt;=5)</f>
        <v/>
      </c>
      <c r="K1803">
        <f>IF(H1803="","",H1803&gt;=75)</f>
        <v/>
      </c>
      <c r="L1803">
        <f>IF(OR(I1803="",J1803="",K1803=""),FALSE,AND(I1803,J1803,K1803))</f>
        <v/>
      </c>
    </row>
    <row r="1804">
      <c r="A1804">
        <f>Universe!A1804</f>
        <v/>
      </c>
      <c r="B1804" s="10" t="n"/>
      <c r="C1804" s="11">
        <f>IF(B1804="","",PERCENTRANK.INC($B$2:$B$2501,B1804)*100)</f>
        <v/>
      </c>
      <c r="D1804" s="10" t="n"/>
      <c r="E1804" s="10">
        <f>IF(D1804="","",MIN(D1804,100))</f>
        <v/>
      </c>
      <c r="F1804" s="10" t="n"/>
      <c r="G1804" s="10">
        <f>IF(F1804="","",MIN(F1804,100))</f>
        <v/>
      </c>
      <c r="H1804" s="11">
        <f>IF(A1804="","",Universe!E1804/BDP(A1804&amp;" US Equity","HIGH_52WEEK")*100)</f>
        <v/>
      </c>
      <c r="I1804">
        <f>IF(D1804="","",D1804&gt;=5)</f>
        <v/>
      </c>
      <c r="J1804">
        <f>IF(F1804="","",F1804&gt;=5)</f>
        <v/>
      </c>
      <c r="K1804">
        <f>IF(H1804="","",H1804&gt;=75)</f>
        <v/>
      </c>
      <c r="L1804">
        <f>IF(OR(I1804="",J1804="",K1804=""),FALSE,AND(I1804,J1804,K1804))</f>
        <v/>
      </c>
    </row>
    <row r="1805">
      <c r="A1805">
        <f>Universe!A1805</f>
        <v/>
      </c>
      <c r="B1805" s="10" t="n"/>
      <c r="C1805" s="11">
        <f>IF(B1805="","",PERCENTRANK.INC($B$2:$B$2501,B1805)*100)</f>
        <v/>
      </c>
      <c r="D1805" s="10" t="n"/>
      <c r="E1805" s="10">
        <f>IF(D1805="","",MIN(D1805,100))</f>
        <v/>
      </c>
      <c r="F1805" s="10" t="n"/>
      <c r="G1805" s="10">
        <f>IF(F1805="","",MIN(F1805,100))</f>
        <v/>
      </c>
      <c r="H1805" s="11">
        <f>IF(A1805="","",Universe!E1805/BDP(A1805&amp;" US Equity","HIGH_52WEEK")*100)</f>
        <v/>
      </c>
      <c r="I1805">
        <f>IF(D1805="","",D1805&gt;=5)</f>
        <v/>
      </c>
      <c r="J1805">
        <f>IF(F1805="","",F1805&gt;=5)</f>
        <v/>
      </c>
      <c r="K1805">
        <f>IF(H1805="","",H1805&gt;=75)</f>
        <v/>
      </c>
      <c r="L1805">
        <f>IF(OR(I1805="",J1805="",K1805=""),FALSE,AND(I1805,J1805,K1805))</f>
        <v/>
      </c>
    </row>
    <row r="1806">
      <c r="A1806">
        <f>Universe!A1806</f>
        <v/>
      </c>
      <c r="B1806" s="10" t="n"/>
      <c r="C1806" s="11">
        <f>IF(B1806="","",PERCENTRANK.INC($B$2:$B$2501,B1806)*100)</f>
        <v/>
      </c>
      <c r="D1806" s="10" t="n"/>
      <c r="E1806" s="10">
        <f>IF(D1806="","",MIN(D1806,100))</f>
        <v/>
      </c>
      <c r="F1806" s="10" t="n"/>
      <c r="G1806" s="10">
        <f>IF(F1806="","",MIN(F1806,100))</f>
        <v/>
      </c>
      <c r="H1806" s="11">
        <f>IF(A1806="","",Universe!E1806/BDP(A1806&amp;" US Equity","HIGH_52WEEK")*100)</f>
        <v/>
      </c>
      <c r="I1806">
        <f>IF(D1806="","",D1806&gt;=5)</f>
        <v/>
      </c>
      <c r="J1806">
        <f>IF(F1806="","",F1806&gt;=5)</f>
        <v/>
      </c>
      <c r="K1806">
        <f>IF(H1806="","",H1806&gt;=75)</f>
        <v/>
      </c>
      <c r="L1806">
        <f>IF(OR(I1806="",J1806="",K1806=""),FALSE,AND(I1806,J1806,K1806))</f>
        <v/>
      </c>
    </row>
    <row r="1807">
      <c r="A1807">
        <f>Universe!A1807</f>
        <v/>
      </c>
      <c r="B1807" s="10" t="n"/>
      <c r="C1807" s="11">
        <f>IF(B1807="","",PERCENTRANK.INC($B$2:$B$2501,B1807)*100)</f>
        <v/>
      </c>
      <c r="D1807" s="10" t="n"/>
      <c r="E1807" s="10">
        <f>IF(D1807="","",MIN(D1807,100))</f>
        <v/>
      </c>
      <c r="F1807" s="10" t="n"/>
      <c r="G1807" s="10">
        <f>IF(F1807="","",MIN(F1807,100))</f>
        <v/>
      </c>
      <c r="H1807" s="11">
        <f>IF(A1807="","",Universe!E1807/BDP(A1807&amp;" US Equity","HIGH_52WEEK")*100)</f>
        <v/>
      </c>
      <c r="I1807">
        <f>IF(D1807="","",D1807&gt;=5)</f>
        <v/>
      </c>
      <c r="J1807">
        <f>IF(F1807="","",F1807&gt;=5)</f>
        <v/>
      </c>
      <c r="K1807">
        <f>IF(H1807="","",H1807&gt;=75)</f>
        <v/>
      </c>
      <c r="L1807">
        <f>IF(OR(I1807="",J1807="",K1807=""),FALSE,AND(I1807,J1807,K1807))</f>
        <v/>
      </c>
    </row>
    <row r="1808">
      <c r="A1808">
        <f>Universe!A1808</f>
        <v/>
      </c>
      <c r="B1808" s="10" t="n"/>
      <c r="C1808" s="11">
        <f>IF(B1808="","",PERCENTRANK.INC($B$2:$B$2501,B1808)*100)</f>
        <v/>
      </c>
      <c r="D1808" s="10" t="n"/>
      <c r="E1808" s="10">
        <f>IF(D1808="","",MIN(D1808,100))</f>
        <v/>
      </c>
      <c r="F1808" s="10" t="n"/>
      <c r="G1808" s="10">
        <f>IF(F1808="","",MIN(F1808,100))</f>
        <v/>
      </c>
      <c r="H1808" s="11">
        <f>IF(A1808="","",Universe!E1808/BDP(A1808&amp;" US Equity","HIGH_52WEEK")*100)</f>
        <v/>
      </c>
      <c r="I1808">
        <f>IF(D1808="","",D1808&gt;=5)</f>
        <v/>
      </c>
      <c r="J1808">
        <f>IF(F1808="","",F1808&gt;=5)</f>
        <v/>
      </c>
      <c r="K1808">
        <f>IF(H1808="","",H1808&gt;=75)</f>
        <v/>
      </c>
      <c r="L1808">
        <f>IF(OR(I1808="",J1808="",K1808=""),FALSE,AND(I1808,J1808,K1808))</f>
        <v/>
      </c>
    </row>
    <row r="1809">
      <c r="A1809">
        <f>Universe!A1809</f>
        <v/>
      </c>
      <c r="B1809" s="10" t="n"/>
      <c r="C1809" s="11">
        <f>IF(B1809="","",PERCENTRANK.INC($B$2:$B$2501,B1809)*100)</f>
        <v/>
      </c>
      <c r="D1809" s="10" t="n"/>
      <c r="E1809" s="10">
        <f>IF(D1809="","",MIN(D1809,100))</f>
        <v/>
      </c>
      <c r="F1809" s="10" t="n"/>
      <c r="G1809" s="10">
        <f>IF(F1809="","",MIN(F1809,100))</f>
        <v/>
      </c>
      <c r="H1809" s="11">
        <f>IF(A1809="","",Universe!E1809/BDP(A1809&amp;" US Equity","HIGH_52WEEK")*100)</f>
        <v/>
      </c>
      <c r="I1809">
        <f>IF(D1809="","",D1809&gt;=5)</f>
        <v/>
      </c>
      <c r="J1809">
        <f>IF(F1809="","",F1809&gt;=5)</f>
        <v/>
      </c>
      <c r="K1809">
        <f>IF(H1809="","",H1809&gt;=75)</f>
        <v/>
      </c>
      <c r="L1809">
        <f>IF(OR(I1809="",J1809="",K1809=""),FALSE,AND(I1809,J1809,K1809))</f>
        <v/>
      </c>
    </row>
    <row r="1810">
      <c r="A1810">
        <f>Universe!A1810</f>
        <v/>
      </c>
      <c r="B1810" s="10" t="n"/>
      <c r="C1810" s="11">
        <f>IF(B1810="","",PERCENTRANK.INC($B$2:$B$2501,B1810)*100)</f>
        <v/>
      </c>
      <c r="D1810" s="10" t="n"/>
      <c r="E1810" s="10">
        <f>IF(D1810="","",MIN(D1810,100))</f>
        <v/>
      </c>
      <c r="F1810" s="10" t="n"/>
      <c r="G1810" s="10">
        <f>IF(F1810="","",MIN(F1810,100))</f>
        <v/>
      </c>
      <c r="H1810" s="11">
        <f>IF(A1810="","",Universe!E1810/BDP(A1810&amp;" US Equity","HIGH_52WEEK")*100)</f>
        <v/>
      </c>
      <c r="I1810">
        <f>IF(D1810="","",D1810&gt;=5)</f>
        <v/>
      </c>
      <c r="J1810">
        <f>IF(F1810="","",F1810&gt;=5)</f>
        <v/>
      </c>
      <c r="K1810">
        <f>IF(H1810="","",H1810&gt;=75)</f>
        <v/>
      </c>
      <c r="L1810">
        <f>IF(OR(I1810="",J1810="",K1810=""),FALSE,AND(I1810,J1810,K1810))</f>
        <v/>
      </c>
    </row>
    <row r="1811">
      <c r="A1811">
        <f>Universe!A1811</f>
        <v/>
      </c>
      <c r="B1811" s="10" t="n"/>
      <c r="C1811" s="11">
        <f>IF(B1811="","",PERCENTRANK.INC($B$2:$B$2501,B1811)*100)</f>
        <v/>
      </c>
      <c r="D1811" s="10" t="n"/>
      <c r="E1811" s="10">
        <f>IF(D1811="","",MIN(D1811,100))</f>
        <v/>
      </c>
      <c r="F1811" s="10" t="n"/>
      <c r="G1811" s="10">
        <f>IF(F1811="","",MIN(F1811,100))</f>
        <v/>
      </c>
      <c r="H1811" s="11">
        <f>IF(A1811="","",Universe!E1811/BDP(A1811&amp;" US Equity","HIGH_52WEEK")*100)</f>
        <v/>
      </c>
      <c r="I1811">
        <f>IF(D1811="","",D1811&gt;=5)</f>
        <v/>
      </c>
      <c r="J1811">
        <f>IF(F1811="","",F1811&gt;=5)</f>
        <v/>
      </c>
      <c r="K1811">
        <f>IF(H1811="","",H1811&gt;=75)</f>
        <v/>
      </c>
      <c r="L1811">
        <f>IF(OR(I1811="",J1811="",K1811=""),FALSE,AND(I1811,J1811,K1811))</f>
        <v/>
      </c>
    </row>
    <row r="1812">
      <c r="A1812">
        <f>Universe!A1812</f>
        <v/>
      </c>
      <c r="B1812" s="10" t="n"/>
      <c r="C1812" s="11">
        <f>IF(B1812="","",PERCENTRANK.INC($B$2:$B$2501,B1812)*100)</f>
        <v/>
      </c>
      <c r="D1812" s="10" t="n"/>
      <c r="E1812" s="10">
        <f>IF(D1812="","",MIN(D1812,100))</f>
        <v/>
      </c>
      <c r="F1812" s="10" t="n"/>
      <c r="G1812" s="10">
        <f>IF(F1812="","",MIN(F1812,100))</f>
        <v/>
      </c>
      <c r="H1812" s="11">
        <f>IF(A1812="","",Universe!E1812/BDP(A1812&amp;" US Equity","HIGH_52WEEK")*100)</f>
        <v/>
      </c>
      <c r="I1812">
        <f>IF(D1812="","",D1812&gt;=5)</f>
        <v/>
      </c>
      <c r="J1812">
        <f>IF(F1812="","",F1812&gt;=5)</f>
        <v/>
      </c>
      <c r="K1812">
        <f>IF(H1812="","",H1812&gt;=75)</f>
        <v/>
      </c>
      <c r="L1812">
        <f>IF(OR(I1812="",J1812="",K1812=""),FALSE,AND(I1812,J1812,K1812))</f>
        <v/>
      </c>
    </row>
    <row r="1813">
      <c r="A1813">
        <f>Universe!A1813</f>
        <v/>
      </c>
      <c r="B1813" s="10" t="n"/>
      <c r="C1813" s="11">
        <f>IF(B1813="","",PERCENTRANK.INC($B$2:$B$2501,B1813)*100)</f>
        <v/>
      </c>
      <c r="D1813" s="10" t="n"/>
      <c r="E1813" s="10">
        <f>IF(D1813="","",MIN(D1813,100))</f>
        <v/>
      </c>
      <c r="F1813" s="10" t="n"/>
      <c r="G1813" s="10">
        <f>IF(F1813="","",MIN(F1813,100))</f>
        <v/>
      </c>
      <c r="H1813" s="11">
        <f>IF(A1813="","",Universe!E1813/BDP(A1813&amp;" US Equity","HIGH_52WEEK")*100)</f>
        <v/>
      </c>
      <c r="I1813">
        <f>IF(D1813="","",D1813&gt;=5)</f>
        <v/>
      </c>
      <c r="J1813">
        <f>IF(F1813="","",F1813&gt;=5)</f>
        <v/>
      </c>
      <c r="K1813">
        <f>IF(H1813="","",H1813&gt;=75)</f>
        <v/>
      </c>
      <c r="L1813">
        <f>IF(OR(I1813="",J1813="",K1813=""),FALSE,AND(I1813,J1813,K1813))</f>
        <v/>
      </c>
    </row>
    <row r="1814">
      <c r="A1814">
        <f>Universe!A1814</f>
        <v/>
      </c>
      <c r="B1814" s="10" t="n"/>
      <c r="C1814" s="11">
        <f>IF(B1814="","",PERCENTRANK.INC($B$2:$B$2501,B1814)*100)</f>
        <v/>
      </c>
      <c r="D1814" s="10" t="n"/>
      <c r="E1814" s="10">
        <f>IF(D1814="","",MIN(D1814,100))</f>
        <v/>
      </c>
      <c r="F1814" s="10" t="n"/>
      <c r="G1814" s="10">
        <f>IF(F1814="","",MIN(F1814,100))</f>
        <v/>
      </c>
      <c r="H1814" s="11">
        <f>IF(A1814="","",Universe!E1814/BDP(A1814&amp;" US Equity","HIGH_52WEEK")*100)</f>
        <v/>
      </c>
      <c r="I1814">
        <f>IF(D1814="","",D1814&gt;=5)</f>
        <v/>
      </c>
      <c r="J1814">
        <f>IF(F1814="","",F1814&gt;=5)</f>
        <v/>
      </c>
      <c r="K1814">
        <f>IF(H1814="","",H1814&gt;=75)</f>
        <v/>
      </c>
      <c r="L1814">
        <f>IF(OR(I1814="",J1814="",K1814=""),FALSE,AND(I1814,J1814,K1814))</f>
        <v/>
      </c>
    </row>
    <row r="1815">
      <c r="A1815">
        <f>Universe!A1815</f>
        <v/>
      </c>
      <c r="B1815" s="10" t="n"/>
      <c r="C1815" s="11">
        <f>IF(B1815="","",PERCENTRANK.INC($B$2:$B$2501,B1815)*100)</f>
        <v/>
      </c>
      <c r="D1815" s="10" t="n"/>
      <c r="E1815" s="10">
        <f>IF(D1815="","",MIN(D1815,100))</f>
        <v/>
      </c>
      <c r="F1815" s="10" t="n"/>
      <c r="G1815" s="10">
        <f>IF(F1815="","",MIN(F1815,100))</f>
        <v/>
      </c>
      <c r="H1815" s="11">
        <f>IF(A1815="","",Universe!E1815/BDP(A1815&amp;" US Equity","HIGH_52WEEK")*100)</f>
        <v/>
      </c>
      <c r="I1815">
        <f>IF(D1815="","",D1815&gt;=5)</f>
        <v/>
      </c>
      <c r="J1815">
        <f>IF(F1815="","",F1815&gt;=5)</f>
        <v/>
      </c>
      <c r="K1815">
        <f>IF(H1815="","",H1815&gt;=75)</f>
        <v/>
      </c>
      <c r="L1815">
        <f>IF(OR(I1815="",J1815="",K1815=""),FALSE,AND(I1815,J1815,K1815))</f>
        <v/>
      </c>
    </row>
    <row r="1816">
      <c r="A1816">
        <f>Universe!A1816</f>
        <v/>
      </c>
      <c r="B1816" s="10" t="n"/>
      <c r="C1816" s="11">
        <f>IF(B1816="","",PERCENTRANK.INC($B$2:$B$2501,B1816)*100)</f>
        <v/>
      </c>
      <c r="D1816" s="10" t="n"/>
      <c r="E1816" s="10">
        <f>IF(D1816="","",MIN(D1816,100))</f>
        <v/>
      </c>
      <c r="F1816" s="10" t="n"/>
      <c r="G1816" s="10">
        <f>IF(F1816="","",MIN(F1816,100))</f>
        <v/>
      </c>
      <c r="H1816" s="11">
        <f>IF(A1816="","",Universe!E1816/BDP(A1816&amp;" US Equity","HIGH_52WEEK")*100)</f>
        <v/>
      </c>
      <c r="I1816">
        <f>IF(D1816="","",D1816&gt;=5)</f>
        <v/>
      </c>
      <c r="J1816">
        <f>IF(F1816="","",F1816&gt;=5)</f>
        <v/>
      </c>
      <c r="K1816">
        <f>IF(H1816="","",H1816&gt;=75)</f>
        <v/>
      </c>
      <c r="L1816">
        <f>IF(OR(I1816="",J1816="",K1816=""),FALSE,AND(I1816,J1816,K1816))</f>
        <v/>
      </c>
    </row>
    <row r="1817">
      <c r="A1817">
        <f>Universe!A1817</f>
        <v/>
      </c>
      <c r="B1817" s="10" t="n"/>
      <c r="C1817" s="11">
        <f>IF(B1817="","",PERCENTRANK.INC($B$2:$B$2501,B1817)*100)</f>
        <v/>
      </c>
      <c r="D1817" s="10" t="n"/>
      <c r="E1817" s="10">
        <f>IF(D1817="","",MIN(D1817,100))</f>
        <v/>
      </c>
      <c r="F1817" s="10" t="n"/>
      <c r="G1817" s="10">
        <f>IF(F1817="","",MIN(F1817,100))</f>
        <v/>
      </c>
      <c r="H1817" s="11">
        <f>IF(A1817="","",Universe!E1817/BDP(A1817&amp;" US Equity","HIGH_52WEEK")*100)</f>
        <v/>
      </c>
      <c r="I1817">
        <f>IF(D1817="","",D1817&gt;=5)</f>
        <v/>
      </c>
      <c r="J1817">
        <f>IF(F1817="","",F1817&gt;=5)</f>
        <v/>
      </c>
      <c r="K1817">
        <f>IF(H1817="","",H1817&gt;=75)</f>
        <v/>
      </c>
      <c r="L1817">
        <f>IF(OR(I1817="",J1817="",K1817=""),FALSE,AND(I1817,J1817,K1817))</f>
        <v/>
      </c>
    </row>
    <row r="1818">
      <c r="A1818">
        <f>Universe!A1818</f>
        <v/>
      </c>
      <c r="B1818" s="10" t="n"/>
      <c r="C1818" s="11">
        <f>IF(B1818="","",PERCENTRANK.INC($B$2:$B$2501,B1818)*100)</f>
        <v/>
      </c>
      <c r="D1818" s="10" t="n"/>
      <c r="E1818" s="10">
        <f>IF(D1818="","",MIN(D1818,100))</f>
        <v/>
      </c>
      <c r="F1818" s="10" t="n"/>
      <c r="G1818" s="10">
        <f>IF(F1818="","",MIN(F1818,100))</f>
        <v/>
      </c>
      <c r="H1818" s="11">
        <f>IF(A1818="","",Universe!E1818/BDP(A1818&amp;" US Equity","HIGH_52WEEK")*100)</f>
        <v/>
      </c>
      <c r="I1818">
        <f>IF(D1818="","",D1818&gt;=5)</f>
        <v/>
      </c>
      <c r="J1818">
        <f>IF(F1818="","",F1818&gt;=5)</f>
        <v/>
      </c>
      <c r="K1818">
        <f>IF(H1818="","",H1818&gt;=75)</f>
        <v/>
      </c>
      <c r="L1818">
        <f>IF(OR(I1818="",J1818="",K1818=""),FALSE,AND(I1818,J1818,K1818))</f>
        <v/>
      </c>
    </row>
    <row r="1819">
      <c r="A1819">
        <f>Universe!A1819</f>
        <v/>
      </c>
      <c r="B1819" s="10" t="n"/>
      <c r="C1819" s="11">
        <f>IF(B1819="","",PERCENTRANK.INC($B$2:$B$2501,B1819)*100)</f>
        <v/>
      </c>
      <c r="D1819" s="10" t="n"/>
      <c r="E1819" s="10">
        <f>IF(D1819="","",MIN(D1819,100))</f>
        <v/>
      </c>
      <c r="F1819" s="10" t="n"/>
      <c r="G1819" s="10">
        <f>IF(F1819="","",MIN(F1819,100))</f>
        <v/>
      </c>
      <c r="H1819" s="11">
        <f>IF(A1819="","",Universe!E1819/BDP(A1819&amp;" US Equity","HIGH_52WEEK")*100)</f>
        <v/>
      </c>
      <c r="I1819">
        <f>IF(D1819="","",D1819&gt;=5)</f>
        <v/>
      </c>
      <c r="J1819">
        <f>IF(F1819="","",F1819&gt;=5)</f>
        <v/>
      </c>
      <c r="K1819">
        <f>IF(H1819="","",H1819&gt;=75)</f>
        <v/>
      </c>
      <c r="L1819">
        <f>IF(OR(I1819="",J1819="",K1819=""),FALSE,AND(I1819,J1819,K1819))</f>
        <v/>
      </c>
    </row>
    <row r="1820">
      <c r="A1820">
        <f>Universe!A1820</f>
        <v/>
      </c>
      <c r="B1820" s="10" t="n"/>
      <c r="C1820" s="11">
        <f>IF(B1820="","",PERCENTRANK.INC($B$2:$B$2501,B1820)*100)</f>
        <v/>
      </c>
      <c r="D1820" s="10" t="n"/>
      <c r="E1820" s="10">
        <f>IF(D1820="","",MIN(D1820,100))</f>
        <v/>
      </c>
      <c r="F1820" s="10" t="n"/>
      <c r="G1820" s="10">
        <f>IF(F1820="","",MIN(F1820,100))</f>
        <v/>
      </c>
      <c r="H1820" s="11">
        <f>IF(A1820="","",Universe!E1820/BDP(A1820&amp;" US Equity","HIGH_52WEEK")*100)</f>
        <v/>
      </c>
      <c r="I1820">
        <f>IF(D1820="","",D1820&gt;=5)</f>
        <v/>
      </c>
      <c r="J1820">
        <f>IF(F1820="","",F1820&gt;=5)</f>
        <v/>
      </c>
      <c r="K1820">
        <f>IF(H1820="","",H1820&gt;=75)</f>
        <v/>
      </c>
      <c r="L1820">
        <f>IF(OR(I1820="",J1820="",K1820=""),FALSE,AND(I1820,J1820,K1820))</f>
        <v/>
      </c>
    </row>
    <row r="1821">
      <c r="A1821">
        <f>Universe!A1821</f>
        <v/>
      </c>
      <c r="B1821" s="10" t="n"/>
      <c r="C1821" s="11">
        <f>IF(B1821="","",PERCENTRANK.INC($B$2:$B$2501,B1821)*100)</f>
        <v/>
      </c>
      <c r="D1821" s="10" t="n"/>
      <c r="E1821" s="10">
        <f>IF(D1821="","",MIN(D1821,100))</f>
        <v/>
      </c>
      <c r="F1821" s="10" t="n"/>
      <c r="G1821" s="10">
        <f>IF(F1821="","",MIN(F1821,100))</f>
        <v/>
      </c>
      <c r="H1821" s="11">
        <f>IF(A1821="","",Universe!E1821/BDP(A1821&amp;" US Equity","HIGH_52WEEK")*100)</f>
        <v/>
      </c>
      <c r="I1821">
        <f>IF(D1821="","",D1821&gt;=5)</f>
        <v/>
      </c>
      <c r="J1821">
        <f>IF(F1821="","",F1821&gt;=5)</f>
        <v/>
      </c>
      <c r="K1821">
        <f>IF(H1821="","",H1821&gt;=75)</f>
        <v/>
      </c>
      <c r="L1821">
        <f>IF(OR(I1821="",J1821="",K1821=""),FALSE,AND(I1821,J1821,K1821))</f>
        <v/>
      </c>
    </row>
    <row r="1822">
      <c r="A1822">
        <f>Universe!A1822</f>
        <v/>
      </c>
      <c r="B1822" s="10" t="n"/>
      <c r="C1822" s="11">
        <f>IF(B1822="","",PERCENTRANK.INC($B$2:$B$2501,B1822)*100)</f>
        <v/>
      </c>
      <c r="D1822" s="10" t="n"/>
      <c r="E1822" s="10">
        <f>IF(D1822="","",MIN(D1822,100))</f>
        <v/>
      </c>
      <c r="F1822" s="10" t="n"/>
      <c r="G1822" s="10">
        <f>IF(F1822="","",MIN(F1822,100))</f>
        <v/>
      </c>
      <c r="H1822" s="11">
        <f>IF(A1822="","",Universe!E1822/BDP(A1822&amp;" US Equity","HIGH_52WEEK")*100)</f>
        <v/>
      </c>
      <c r="I1822">
        <f>IF(D1822="","",D1822&gt;=5)</f>
        <v/>
      </c>
      <c r="J1822">
        <f>IF(F1822="","",F1822&gt;=5)</f>
        <v/>
      </c>
      <c r="K1822">
        <f>IF(H1822="","",H1822&gt;=75)</f>
        <v/>
      </c>
      <c r="L1822">
        <f>IF(OR(I1822="",J1822="",K1822=""),FALSE,AND(I1822,J1822,K1822))</f>
        <v/>
      </c>
    </row>
    <row r="1823">
      <c r="A1823">
        <f>Universe!A1823</f>
        <v/>
      </c>
      <c r="B1823" s="10" t="n"/>
      <c r="C1823" s="11">
        <f>IF(B1823="","",PERCENTRANK.INC($B$2:$B$2501,B1823)*100)</f>
        <v/>
      </c>
      <c r="D1823" s="10" t="n"/>
      <c r="E1823" s="10">
        <f>IF(D1823="","",MIN(D1823,100))</f>
        <v/>
      </c>
      <c r="F1823" s="10" t="n"/>
      <c r="G1823" s="10">
        <f>IF(F1823="","",MIN(F1823,100))</f>
        <v/>
      </c>
      <c r="H1823" s="11">
        <f>IF(A1823="","",Universe!E1823/BDP(A1823&amp;" US Equity","HIGH_52WEEK")*100)</f>
        <v/>
      </c>
      <c r="I1823">
        <f>IF(D1823="","",D1823&gt;=5)</f>
        <v/>
      </c>
      <c r="J1823">
        <f>IF(F1823="","",F1823&gt;=5)</f>
        <v/>
      </c>
      <c r="K1823">
        <f>IF(H1823="","",H1823&gt;=75)</f>
        <v/>
      </c>
      <c r="L1823">
        <f>IF(OR(I1823="",J1823="",K1823=""),FALSE,AND(I1823,J1823,K1823))</f>
        <v/>
      </c>
    </row>
    <row r="1824">
      <c r="A1824">
        <f>Universe!A1824</f>
        <v/>
      </c>
      <c r="B1824" s="10" t="n"/>
      <c r="C1824" s="11">
        <f>IF(B1824="","",PERCENTRANK.INC($B$2:$B$2501,B1824)*100)</f>
        <v/>
      </c>
      <c r="D1824" s="10" t="n"/>
      <c r="E1824" s="10">
        <f>IF(D1824="","",MIN(D1824,100))</f>
        <v/>
      </c>
      <c r="F1824" s="10" t="n"/>
      <c r="G1824" s="10">
        <f>IF(F1824="","",MIN(F1824,100))</f>
        <v/>
      </c>
      <c r="H1824" s="11">
        <f>IF(A1824="","",Universe!E1824/BDP(A1824&amp;" US Equity","HIGH_52WEEK")*100)</f>
        <v/>
      </c>
      <c r="I1824">
        <f>IF(D1824="","",D1824&gt;=5)</f>
        <v/>
      </c>
      <c r="J1824">
        <f>IF(F1824="","",F1824&gt;=5)</f>
        <v/>
      </c>
      <c r="K1824">
        <f>IF(H1824="","",H1824&gt;=75)</f>
        <v/>
      </c>
      <c r="L1824">
        <f>IF(OR(I1824="",J1824="",K1824=""),FALSE,AND(I1824,J1824,K1824))</f>
        <v/>
      </c>
    </row>
    <row r="1825">
      <c r="A1825">
        <f>Universe!A1825</f>
        <v/>
      </c>
      <c r="B1825" s="10" t="n"/>
      <c r="C1825" s="11">
        <f>IF(B1825="","",PERCENTRANK.INC($B$2:$B$2501,B1825)*100)</f>
        <v/>
      </c>
      <c r="D1825" s="10" t="n"/>
      <c r="E1825" s="10">
        <f>IF(D1825="","",MIN(D1825,100))</f>
        <v/>
      </c>
      <c r="F1825" s="10" t="n"/>
      <c r="G1825" s="10">
        <f>IF(F1825="","",MIN(F1825,100))</f>
        <v/>
      </c>
      <c r="H1825" s="11">
        <f>IF(A1825="","",Universe!E1825/BDP(A1825&amp;" US Equity","HIGH_52WEEK")*100)</f>
        <v/>
      </c>
      <c r="I1825">
        <f>IF(D1825="","",D1825&gt;=5)</f>
        <v/>
      </c>
      <c r="J1825">
        <f>IF(F1825="","",F1825&gt;=5)</f>
        <v/>
      </c>
      <c r="K1825">
        <f>IF(H1825="","",H1825&gt;=75)</f>
        <v/>
      </c>
      <c r="L1825">
        <f>IF(OR(I1825="",J1825="",K1825=""),FALSE,AND(I1825,J1825,K1825))</f>
        <v/>
      </c>
    </row>
    <row r="1826">
      <c r="A1826">
        <f>Universe!A1826</f>
        <v/>
      </c>
      <c r="B1826" s="10" t="n"/>
      <c r="C1826" s="11">
        <f>IF(B1826="","",PERCENTRANK.INC($B$2:$B$2501,B1826)*100)</f>
        <v/>
      </c>
      <c r="D1826" s="10" t="n"/>
      <c r="E1826" s="10">
        <f>IF(D1826="","",MIN(D1826,100))</f>
        <v/>
      </c>
      <c r="F1826" s="10" t="n"/>
      <c r="G1826" s="10">
        <f>IF(F1826="","",MIN(F1826,100))</f>
        <v/>
      </c>
      <c r="H1826" s="11">
        <f>IF(A1826="","",Universe!E1826/BDP(A1826&amp;" US Equity","HIGH_52WEEK")*100)</f>
        <v/>
      </c>
      <c r="I1826">
        <f>IF(D1826="","",D1826&gt;=5)</f>
        <v/>
      </c>
      <c r="J1826">
        <f>IF(F1826="","",F1826&gt;=5)</f>
        <v/>
      </c>
      <c r="K1826">
        <f>IF(H1826="","",H1826&gt;=75)</f>
        <v/>
      </c>
      <c r="L1826">
        <f>IF(OR(I1826="",J1826="",K1826=""),FALSE,AND(I1826,J1826,K1826))</f>
        <v/>
      </c>
    </row>
    <row r="1827">
      <c r="A1827">
        <f>Universe!A1827</f>
        <v/>
      </c>
      <c r="B1827" s="10" t="n"/>
      <c r="C1827" s="11">
        <f>IF(B1827="","",PERCENTRANK.INC($B$2:$B$2501,B1827)*100)</f>
        <v/>
      </c>
      <c r="D1827" s="10" t="n"/>
      <c r="E1827" s="10">
        <f>IF(D1827="","",MIN(D1827,100))</f>
        <v/>
      </c>
      <c r="F1827" s="10" t="n"/>
      <c r="G1827" s="10">
        <f>IF(F1827="","",MIN(F1827,100))</f>
        <v/>
      </c>
      <c r="H1827" s="11">
        <f>IF(A1827="","",Universe!E1827/BDP(A1827&amp;" US Equity","HIGH_52WEEK")*100)</f>
        <v/>
      </c>
      <c r="I1827">
        <f>IF(D1827="","",D1827&gt;=5)</f>
        <v/>
      </c>
      <c r="J1827">
        <f>IF(F1827="","",F1827&gt;=5)</f>
        <v/>
      </c>
      <c r="K1827">
        <f>IF(H1827="","",H1827&gt;=75)</f>
        <v/>
      </c>
      <c r="L1827">
        <f>IF(OR(I1827="",J1827="",K1827=""),FALSE,AND(I1827,J1827,K1827))</f>
        <v/>
      </c>
    </row>
    <row r="1828">
      <c r="A1828">
        <f>Universe!A1828</f>
        <v/>
      </c>
      <c r="B1828" s="10" t="n"/>
      <c r="C1828" s="11">
        <f>IF(B1828="","",PERCENTRANK.INC($B$2:$B$2501,B1828)*100)</f>
        <v/>
      </c>
      <c r="D1828" s="10" t="n"/>
      <c r="E1828" s="10">
        <f>IF(D1828="","",MIN(D1828,100))</f>
        <v/>
      </c>
      <c r="F1828" s="10" t="n"/>
      <c r="G1828" s="10">
        <f>IF(F1828="","",MIN(F1828,100))</f>
        <v/>
      </c>
      <c r="H1828" s="11">
        <f>IF(A1828="","",Universe!E1828/BDP(A1828&amp;" US Equity","HIGH_52WEEK")*100)</f>
        <v/>
      </c>
      <c r="I1828">
        <f>IF(D1828="","",D1828&gt;=5)</f>
        <v/>
      </c>
      <c r="J1828">
        <f>IF(F1828="","",F1828&gt;=5)</f>
        <v/>
      </c>
      <c r="K1828">
        <f>IF(H1828="","",H1828&gt;=75)</f>
        <v/>
      </c>
      <c r="L1828">
        <f>IF(OR(I1828="",J1828="",K1828=""),FALSE,AND(I1828,J1828,K1828))</f>
        <v/>
      </c>
    </row>
    <row r="1829">
      <c r="A1829">
        <f>Universe!A1829</f>
        <v/>
      </c>
      <c r="B1829" s="10" t="n"/>
      <c r="C1829" s="11">
        <f>IF(B1829="","",PERCENTRANK.INC($B$2:$B$2501,B1829)*100)</f>
        <v/>
      </c>
      <c r="D1829" s="10" t="n"/>
      <c r="E1829" s="10">
        <f>IF(D1829="","",MIN(D1829,100))</f>
        <v/>
      </c>
      <c r="F1829" s="10" t="n"/>
      <c r="G1829" s="10">
        <f>IF(F1829="","",MIN(F1829,100))</f>
        <v/>
      </c>
      <c r="H1829" s="11">
        <f>IF(A1829="","",Universe!E1829/BDP(A1829&amp;" US Equity","HIGH_52WEEK")*100)</f>
        <v/>
      </c>
      <c r="I1829">
        <f>IF(D1829="","",D1829&gt;=5)</f>
        <v/>
      </c>
      <c r="J1829">
        <f>IF(F1829="","",F1829&gt;=5)</f>
        <v/>
      </c>
      <c r="K1829">
        <f>IF(H1829="","",H1829&gt;=75)</f>
        <v/>
      </c>
      <c r="L1829">
        <f>IF(OR(I1829="",J1829="",K1829=""),FALSE,AND(I1829,J1829,K1829))</f>
        <v/>
      </c>
    </row>
    <row r="1830">
      <c r="A1830">
        <f>Universe!A1830</f>
        <v/>
      </c>
      <c r="B1830" s="10" t="n"/>
      <c r="C1830" s="11">
        <f>IF(B1830="","",PERCENTRANK.INC($B$2:$B$2501,B1830)*100)</f>
        <v/>
      </c>
      <c r="D1830" s="10" t="n"/>
      <c r="E1830" s="10">
        <f>IF(D1830="","",MIN(D1830,100))</f>
        <v/>
      </c>
      <c r="F1830" s="10" t="n"/>
      <c r="G1830" s="10">
        <f>IF(F1830="","",MIN(F1830,100))</f>
        <v/>
      </c>
      <c r="H1830" s="11">
        <f>IF(A1830="","",Universe!E1830/BDP(A1830&amp;" US Equity","HIGH_52WEEK")*100)</f>
        <v/>
      </c>
      <c r="I1830">
        <f>IF(D1830="","",D1830&gt;=5)</f>
        <v/>
      </c>
      <c r="J1830">
        <f>IF(F1830="","",F1830&gt;=5)</f>
        <v/>
      </c>
      <c r="K1830">
        <f>IF(H1830="","",H1830&gt;=75)</f>
        <v/>
      </c>
      <c r="L1830">
        <f>IF(OR(I1830="",J1830="",K1830=""),FALSE,AND(I1830,J1830,K1830))</f>
        <v/>
      </c>
    </row>
    <row r="1831">
      <c r="A1831">
        <f>Universe!A1831</f>
        <v/>
      </c>
      <c r="B1831" s="10" t="n"/>
      <c r="C1831" s="11">
        <f>IF(B1831="","",PERCENTRANK.INC($B$2:$B$2501,B1831)*100)</f>
        <v/>
      </c>
      <c r="D1831" s="10" t="n"/>
      <c r="E1831" s="10">
        <f>IF(D1831="","",MIN(D1831,100))</f>
        <v/>
      </c>
      <c r="F1831" s="10" t="n"/>
      <c r="G1831" s="10">
        <f>IF(F1831="","",MIN(F1831,100))</f>
        <v/>
      </c>
      <c r="H1831" s="11">
        <f>IF(A1831="","",Universe!E1831/BDP(A1831&amp;" US Equity","HIGH_52WEEK")*100)</f>
        <v/>
      </c>
      <c r="I1831">
        <f>IF(D1831="","",D1831&gt;=5)</f>
        <v/>
      </c>
      <c r="J1831">
        <f>IF(F1831="","",F1831&gt;=5)</f>
        <v/>
      </c>
      <c r="K1831">
        <f>IF(H1831="","",H1831&gt;=75)</f>
        <v/>
      </c>
      <c r="L1831">
        <f>IF(OR(I1831="",J1831="",K1831=""),FALSE,AND(I1831,J1831,K1831))</f>
        <v/>
      </c>
    </row>
    <row r="1832">
      <c r="A1832">
        <f>Universe!A1832</f>
        <v/>
      </c>
      <c r="B1832" s="10" t="n"/>
      <c r="C1832" s="11">
        <f>IF(B1832="","",PERCENTRANK.INC($B$2:$B$2501,B1832)*100)</f>
        <v/>
      </c>
      <c r="D1832" s="10" t="n"/>
      <c r="E1832" s="10">
        <f>IF(D1832="","",MIN(D1832,100))</f>
        <v/>
      </c>
      <c r="F1832" s="10" t="n"/>
      <c r="G1832" s="10">
        <f>IF(F1832="","",MIN(F1832,100))</f>
        <v/>
      </c>
      <c r="H1832" s="11">
        <f>IF(A1832="","",Universe!E1832/BDP(A1832&amp;" US Equity","HIGH_52WEEK")*100)</f>
        <v/>
      </c>
      <c r="I1832">
        <f>IF(D1832="","",D1832&gt;=5)</f>
        <v/>
      </c>
      <c r="J1832">
        <f>IF(F1832="","",F1832&gt;=5)</f>
        <v/>
      </c>
      <c r="K1832">
        <f>IF(H1832="","",H1832&gt;=75)</f>
        <v/>
      </c>
      <c r="L1832">
        <f>IF(OR(I1832="",J1832="",K1832=""),FALSE,AND(I1832,J1832,K1832))</f>
        <v/>
      </c>
    </row>
    <row r="1833">
      <c r="A1833">
        <f>Universe!A1833</f>
        <v/>
      </c>
      <c r="B1833" s="10" t="n"/>
      <c r="C1833" s="11">
        <f>IF(B1833="","",PERCENTRANK.INC($B$2:$B$2501,B1833)*100)</f>
        <v/>
      </c>
      <c r="D1833" s="10" t="n"/>
      <c r="E1833" s="10">
        <f>IF(D1833="","",MIN(D1833,100))</f>
        <v/>
      </c>
      <c r="F1833" s="10" t="n"/>
      <c r="G1833" s="10">
        <f>IF(F1833="","",MIN(F1833,100))</f>
        <v/>
      </c>
      <c r="H1833" s="11">
        <f>IF(A1833="","",Universe!E1833/BDP(A1833&amp;" US Equity","HIGH_52WEEK")*100)</f>
        <v/>
      </c>
      <c r="I1833">
        <f>IF(D1833="","",D1833&gt;=5)</f>
        <v/>
      </c>
      <c r="J1833">
        <f>IF(F1833="","",F1833&gt;=5)</f>
        <v/>
      </c>
      <c r="K1833">
        <f>IF(H1833="","",H1833&gt;=75)</f>
        <v/>
      </c>
      <c r="L1833">
        <f>IF(OR(I1833="",J1833="",K1833=""),FALSE,AND(I1833,J1833,K1833))</f>
        <v/>
      </c>
    </row>
    <row r="1834">
      <c r="A1834">
        <f>Universe!A1834</f>
        <v/>
      </c>
      <c r="B1834" s="10" t="n"/>
      <c r="C1834" s="11">
        <f>IF(B1834="","",PERCENTRANK.INC($B$2:$B$2501,B1834)*100)</f>
        <v/>
      </c>
      <c r="D1834" s="10" t="n"/>
      <c r="E1834" s="10">
        <f>IF(D1834="","",MIN(D1834,100))</f>
        <v/>
      </c>
      <c r="F1834" s="10" t="n"/>
      <c r="G1834" s="10">
        <f>IF(F1834="","",MIN(F1834,100))</f>
        <v/>
      </c>
      <c r="H1834" s="11">
        <f>IF(A1834="","",Universe!E1834/BDP(A1834&amp;" US Equity","HIGH_52WEEK")*100)</f>
        <v/>
      </c>
      <c r="I1834">
        <f>IF(D1834="","",D1834&gt;=5)</f>
        <v/>
      </c>
      <c r="J1834">
        <f>IF(F1834="","",F1834&gt;=5)</f>
        <v/>
      </c>
      <c r="K1834">
        <f>IF(H1834="","",H1834&gt;=75)</f>
        <v/>
      </c>
      <c r="L1834">
        <f>IF(OR(I1834="",J1834="",K1834=""),FALSE,AND(I1834,J1834,K1834))</f>
        <v/>
      </c>
    </row>
    <row r="1835">
      <c r="A1835">
        <f>Universe!A1835</f>
        <v/>
      </c>
      <c r="B1835" s="10" t="n"/>
      <c r="C1835" s="11">
        <f>IF(B1835="","",PERCENTRANK.INC($B$2:$B$2501,B1835)*100)</f>
        <v/>
      </c>
      <c r="D1835" s="10" t="n"/>
      <c r="E1835" s="10">
        <f>IF(D1835="","",MIN(D1835,100))</f>
        <v/>
      </c>
      <c r="F1835" s="10" t="n"/>
      <c r="G1835" s="10">
        <f>IF(F1835="","",MIN(F1835,100))</f>
        <v/>
      </c>
      <c r="H1835" s="11">
        <f>IF(A1835="","",Universe!E1835/BDP(A1835&amp;" US Equity","HIGH_52WEEK")*100)</f>
        <v/>
      </c>
      <c r="I1835">
        <f>IF(D1835="","",D1835&gt;=5)</f>
        <v/>
      </c>
      <c r="J1835">
        <f>IF(F1835="","",F1835&gt;=5)</f>
        <v/>
      </c>
      <c r="K1835">
        <f>IF(H1835="","",H1835&gt;=75)</f>
        <v/>
      </c>
      <c r="L1835">
        <f>IF(OR(I1835="",J1835="",K1835=""),FALSE,AND(I1835,J1835,K1835))</f>
        <v/>
      </c>
    </row>
    <row r="1836">
      <c r="A1836">
        <f>Universe!A1836</f>
        <v/>
      </c>
      <c r="B1836" s="10" t="n"/>
      <c r="C1836" s="11">
        <f>IF(B1836="","",PERCENTRANK.INC($B$2:$B$2501,B1836)*100)</f>
        <v/>
      </c>
      <c r="D1836" s="10" t="n"/>
      <c r="E1836" s="10">
        <f>IF(D1836="","",MIN(D1836,100))</f>
        <v/>
      </c>
      <c r="F1836" s="10" t="n"/>
      <c r="G1836" s="10">
        <f>IF(F1836="","",MIN(F1836,100))</f>
        <v/>
      </c>
      <c r="H1836" s="11">
        <f>IF(A1836="","",Universe!E1836/BDP(A1836&amp;" US Equity","HIGH_52WEEK")*100)</f>
        <v/>
      </c>
      <c r="I1836">
        <f>IF(D1836="","",D1836&gt;=5)</f>
        <v/>
      </c>
      <c r="J1836">
        <f>IF(F1836="","",F1836&gt;=5)</f>
        <v/>
      </c>
      <c r="K1836">
        <f>IF(H1836="","",H1836&gt;=75)</f>
        <v/>
      </c>
      <c r="L1836">
        <f>IF(OR(I1836="",J1836="",K1836=""),FALSE,AND(I1836,J1836,K1836))</f>
        <v/>
      </c>
    </row>
    <row r="1837">
      <c r="A1837">
        <f>Universe!A1837</f>
        <v/>
      </c>
      <c r="B1837" s="10" t="n"/>
      <c r="C1837" s="11">
        <f>IF(B1837="","",PERCENTRANK.INC($B$2:$B$2501,B1837)*100)</f>
        <v/>
      </c>
      <c r="D1837" s="10" t="n"/>
      <c r="E1837" s="10">
        <f>IF(D1837="","",MIN(D1837,100))</f>
        <v/>
      </c>
      <c r="F1837" s="10" t="n"/>
      <c r="G1837" s="10">
        <f>IF(F1837="","",MIN(F1837,100))</f>
        <v/>
      </c>
      <c r="H1837" s="11">
        <f>IF(A1837="","",Universe!E1837/BDP(A1837&amp;" US Equity","HIGH_52WEEK")*100)</f>
        <v/>
      </c>
      <c r="I1837">
        <f>IF(D1837="","",D1837&gt;=5)</f>
        <v/>
      </c>
      <c r="J1837">
        <f>IF(F1837="","",F1837&gt;=5)</f>
        <v/>
      </c>
      <c r="K1837">
        <f>IF(H1837="","",H1837&gt;=75)</f>
        <v/>
      </c>
      <c r="L1837">
        <f>IF(OR(I1837="",J1837="",K1837=""),FALSE,AND(I1837,J1837,K1837))</f>
        <v/>
      </c>
    </row>
    <row r="1838">
      <c r="A1838">
        <f>Universe!A1838</f>
        <v/>
      </c>
      <c r="B1838" s="10" t="n"/>
      <c r="C1838" s="11">
        <f>IF(B1838="","",PERCENTRANK.INC($B$2:$B$2501,B1838)*100)</f>
        <v/>
      </c>
      <c r="D1838" s="10" t="n"/>
      <c r="E1838" s="10">
        <f>IF(D1838="","",MIN(D1838,100))</f>
        <v/>
      </c>
      <c r="F1838" s="10" t="n"/>
      <c r="G1838" s="10">
        <f>IF(F1838="","",MIN(F1838,100))</f>
        <v/>
      </c>
      <c r="H1838" s="11">
        <f>IF(A1838="","",Universe!E1838/BDP(A1838&amp;" US Equity","HIGH_52WEEK")*100)</f>
        <v/>
      </c>
      <c r="I1838">
        <f>IF(D1838="","",D1838&gt;=5)</f>
        <v/>
      </c>
      <c r="J1838">
        <f>IF(F1838="","",F1838&gt;=5)</f>
        <v/>
      </c>
      <c r="K1838">
        <f>IF(H1838="","",H1838&gt;=75)</f>
        <v/>
      </c>
      <c r="L1838">
        <f>IF(OR(I1838="",J1838="",K1838=""),FALSE,AND(I1838,J1838,K1838))</f>
        <v/>
      </c>
    </row>
    <row r="1839">
      <c r="A1839">
        <f>Universe!A1839</f>
        <v/>
      </c>
      <c r="B1839" s="10" t="n"/>
      <c r="C1839" s="11">
        <f>IF(B1839="","",PERCENTRANK.INC($B$2:$B$2501,B1839)*100)</f>
        <v/>
      </c>
      <c r="D1839" s="10" t="n"/>
      <c r="E1839" s="10">
        <f>IF(D1839="","",MIN(D1839,100))</f>
        <v/>
      </c>
      <c r="F1839" s="10" t="n"/>
      <c r="G1839" s="10">
        <f>IF(F1839="","",MIN(F1839,100))</f>
        <v/>
      </c>
      <c r="H1839" s="11">
        <f>IF(A1839="","",Universe!E1839/BDP(A1839&amp;" US Equity","HIGH_52WEEK")*100)</f>
        <v/>
      </c>
      <c r="I1839">
        <f>IF(D1839="","",D1839&gt;=5)</f>
        <v/>
      </c>
      <c r="J1839">
        <f>IF(F1839="","",F1839&gt;=5)</f>
        <v/>
      </c>
      <c r="K1839">
        <f>IF(H1839="","",H1839&gt;=75)</f>
        <v/>
      </c>
      <c r="L1839">
        <f>IF(OR(I1839="",J1839="",K1839=""),FALSE,AND(I1839,J1839,K1839))</f>
        <v/>
      </c>
    </row>
    <row r="1840">
      <c r="A1840">
        <f>Universe!A1840</f>
        <v/>
      </c>
      <c r="B1840" s="10" t="n"/>
      <c r="C1840" s="11">
        <f>IF(B1840="","",PERCENTRANK.INC($B$2:$B$2501,B1840)*100)</f>
        <v/>
      </c>
      <c r="D1840" s="10" t="n"/>
      <c r="E1840" s="10">
        <f>IF(D1840="","",MIN(D1840,100))</f>
        <v/>
      </c>
      <c r="F1840" s="10" t="n"/>
      <c r="G1840" s="10">
        <f>IF(F1840="","",MIN(F1840,100))</f>
        <v/>
      </c>
      <c r="H1840" s="11">
        <f>IF(A1840="","",Universe!E1840/BDP(A1840&amp;" US Equity","HIGH_52WEEK")*100)</f>
        <v/>
      </c>
      <c r="I1840">
        <f>IF(D1840="","",D1840&gt;=5)</f>
        <v/>
      </c>
      <c r="J1840">
        <f>IF(F1840="","",F1840&gt;=5)</f>
        <v/>
      </c>
      <c r="K1840">
        <f>IF(H1840="","",H1840&gt;=75)</f>
        <v/>
      </c>
      <c r="L1840">
        <f>IF(OR(I1840="",J1840="",K1840=""),FALSE,AND(I1840,J1840,K1840))</f>
        <v/>
      </c>
    </row>
    <row r="1841">
      <c r="A1841">
        <f>Universe!A1841</f>
        <v/>
      </c>
      <c r="B1841" s="10" t="n"/>
      <c r="C1841" s="11">
        <f>IF(B1841="","",PERCENTRANK.INC($B$2:$B$2501,B1841)*100)</f>
        <v/>
      </c>
      <c r="D1841" s="10" t="n"/>
      <c r="E1841" s="10">
        <f>IF(D1841="","",MIN(D1841,100))</f>
        <v/>
      </c>
      <c r="F1841" s="10" t="n"/>
      <c r="G1841" s="10">
        <f>IF(F1841="","",MIN(F1841,100))</f>
        <v/>
      </c>
      <c r="H1841" s="11">
        <f>IF(A1841="","",Universe!E1841/BDP(A1841&amp;" US Equity","HIGH_52WEEK")*100)</f>
        <v/>
      </c>
      <c r="I1841">
        <f>IF(D1841="","",D1841&gt;=5)</f>
        <v/>
      </c>
      <c r="J1841">
        <f>IF(F1841="","",F1841&gt;=5)</f>
        <v/>
      </c>
      <c r="K1841">
        <f>IF(H1841="","",H1841&gt;=75)</f>
        <v/>
      </c>
      <c r="L1841">
        <f>IF(OR(I1841="",J1841="",K1841=""),FALSE,AND(I1841,J1841,K1841))</f>
        <v/>
      </c>
    </row>
    <row r="1842">
      <c r="A1842">
        <f>Universe!A1842</f>
        <v/>
      </c>
      <c r="B1842" s="10" t="n"/>
      <c r="C1842" s="11">
        <f>IF(B1842="","",PERCENTRANK.INC($B$2:$B$2501,B1842)*100)</f>
        <v/>
      </c>
      <c r="D1842" s="10" t="n"/>
      <c r="E1842" s="10">
        <f>IF(D1842="","",MIN(D1842,100))</f>
        <v/>
      </c>
      <c r="F1842" s="10" t="n"/>
      <c r="G1842" s="10">
        <f>IF(F1842="","",MIN(F1842,100))</f>
        <v/>
      </c>
      <c r="H1842" s="11">
        <f>IF(A1842="","",Universe!E1842/BDP(A1842&amp;" US Equity","HIGH_52WEEK")*100)</f>
        <v/>
      </c>
      <c r="I1842">
        <f>IF(D1842="","",D1842&gt;=5)</f>
        <v/>
      </c>
      <c r="J1842">
        <f>IF(F1842="","",F1842&gt;=5)</f>
        <v/>
      </c>
      <c r="K1842">
        <f>IF(H1842="","",H1842&gt;=75)</f>
        <v/>
      </c>
      <c r="L1842">
        <f>IF(OR(I1842="",J1842="",K1842=""),FALSE,AND(I1842,J1842,K1842))</f>
        <v/>
      </c>
    </row>
    <row r="1843">
      <c r="A1843">
        <f>Universe!A1843</f>
        <v/>
      </c>
      <c r="B1843" s="10" t="n"/>
      <c r="C1843" s="11">
        <f>IF(B1843="","",PERCENTRANK.INC($B$2:$B$2501,B1843)*100)</f>
        <v/>
      </c>
      <c r="D1843" s="10" t="n"/>
      <c r="E1843" s="10">
        <f>IF(D1843="","",MIN(D1843,100))</f>
        <v/>
      </c>
      <c r="F1843" s="10" t="n"/>
      <c r="G1843" s="10">
        <f>IF(F1843="","",MIN(F1843,100))</f>
        <v/>
      </c>
      <c r="H1843" s="11">
        <f>IF(A1843="","",Universe!E1843/BDP(A1843&amp;" US Equity","HIGH_52WEEK")*100)</f>
        <v/>
      </c>
      <c r="I1843">
        <f>IF(D1843="","",D1843&gt;=5)</f>
        <v/>
      </c>
      <c r="J1843">
        <f>IF(F1843="","",F1843&gt;=5)</f>
        <v/>
      </c>
      <c r="K1843">
        <f>IF(H1843="","",H1843&gt;=75)</f>
        <v/>
      </c>
      <c r="L1843">
        <f>IF(OR(I1843="",J1843="",K1843=""),FALSE,AND(I1843,J1843,K1843))</f>
        <v/>
      </c>
    </row>
    <row r="1844">
      <c r="A1844">
        <f>Universe!A1844</f>
        <v/>
      </c>
      <c r="B1844" s="10" t="n"/>
      <c r="C1844" s="11">
        <f>IF(B1844="","",PERCENTRANK.INC($B$2:$B$2501,B1844)*100)</f>
        <v/>
      </c>
      <c r="D1844" s="10" t="n"/>
      <c r="E1844" s="10">
        <f>IF(D1844="","",MIN(D1844,100))</f>
        <v/>
      </c>
      <c r="F1844" s="10" t="n"/>
      <c r="G1844" s="10">
        <f>IF(F1844="","",MIN(F1844,100))</f>
        <v/>
      </c>
      <c r="H1844" s="11">
        <f>IF(A1844="","",Universe!E1844/BDP(A1844&amp;" US Equity","HIGH_52WEEK")*100)</f>
        <v/>
      </c>
      <c r="I1844">
        <f>IF(D1844="","",D1844&gt;=5)</f>
        <v/>
      </c>
      <c r="J1844">
        <f>IF(F1844="","",F1844&gt;=5)</f>
        <v/>
      </c>
      <c r="K1844">
        <f>IF(H1844="","",H1844&gt;=75)</f>
        <v/>
      </c>
      <c r="L1844">
        <f>IF(OR(I1844="",J1844="",K1844=""),FALSE,AND(I1844,J1844,K1844))</f>
        <v/>
      </c>
    </row>
    <row r="1845">
      <c r="A1845">
        <f>Universe!A1845</f>
        <v/>
      </c>
      <c r="B1845" s="10" t="n"/>
      <c r="C1845" s="11">
        <f>IF(B1845="","",PERCENTRANK.INC($B$2:$B$2501,B1845)*100)</f>
        <v/>
      </c>
      <c r="D1845" s="10" t="n"/>
      <c r="E1845" s="10">
        <f>IF(D1845="","",MIN(D1845,100))</f>
        <v/>
      </c>
      <c r="F1845" s="10" t="n"/>
      <c r="G1845" s="10">
        <f>IF(F1845="","",MIN(F1845,100))</f>
        <v/>
      </c>
      <c r="H1845" s="11">
        <f>IF(A1845="","",Universe!E1845/BDP(A1845&amp;" US Equity","HIGH_52WEEK")*100)</f>
        <v/>
      </c>
      <c r="I1845">
        <f>IF(D1845="","",D1845&gt;=5)</f>
        <v/>
      </c>
      <c r="J1845">
        <f>IF(F1845="","",F1845&gt;=5)</f>
        <v/>
      </c>
      <c r="K1845">
        <f>IF(H1845="","",H1845&gt;=75)</f>
        <v/>
      </c>
      <c r="L1845">
        <f>IF(OR(I1845="",J1845="",K1845=""),FALSE,AND(I1845,J1845,K1845))</f>
        <v/>
      </c>
    </row>
    <row r="1846">
      <c r="A1846">
        <f>Universe!A1846</f>
        <v/>
      </c>
      <c r="B1846" s="10" t="n"/>
      <c r="C1846" s="11">
        <f>IF(B1846="","",PERCENTRANK.INC($B$2:$B$2501,B1846)*100)</f>
        <v/>
      </c>
      <c r="D1846" s="10" t="n"/>
      <c r="E1846" s="10">
        <f>IF(D1846="","",MIN(D1846,100))</f>
        <v/>
      </c>
      <c r="F1846" s="10" t="n"/>
      <c r="G1846" s="10">
        <f>IF(F1846="","",MIN(F1846,100))</f>
        <v/>
      </c>
      <c r="H1846" s="11">
        <f>IF(A1846="","",Universe!E1846/BDP(A1846&amp;" US Equity","HIGH_52WEEK")*100)</f>
        <v/>
      </c>
      <c r="I1846">
        <f>IF(D1846="","",D1846&gt;=5)</f>
        <v/>
      </c>
      <c r="J1846">
        <f>IF(F1846="","",F1846&gt;=5)</f>
        <v/>
      </c>
      <c r="K1846">
        <f>IF(H1846="","",H1846&gt;=75)</f>
        <v/>
      </c>
      <c r="L1846">
        <f>IF(OR(I1846="",J1846="",K1846=""),FALSE,AND(I1846,J1846,K1846))</f>
        <v/>
      </c>
    </row>
    <row r="1847">
      <c r="A1847">
        <f>Universe!A1847</f>
        <v/>
      </c>
      <c r="B1847" s="10" t="n"/>
      <c r="C1847" s="11">
        <f>IF(B1847="","",PERCENTRANK.INC($B$2:$B$2501,B1847)*100)</f>
        <v/>
      </c>
      <c r="D1847" s="10" t="n"/>
      <c r="E1847" s="10">
        <f>IF(D1847="","",MIN(D1847,100))</f>
        <v/>
      </c>
      <c r="F1847" s="10" t="n"/>
      <c r="G1847" s="10">
        <f>IF(F1847="","",MIN(F1847,100))</f>
        <v/>
      </c>
      <c r="H1847" s="11">
        <f>IF(A1847="","",Universe!E1847/BDP(A1847&amp;" US Equity","HIGH_52WEEK")*100)</f>
        <v/>
      </c>
      <c r="I1847">
        <f>IF(D1847="","",D1847&gt;=5)</f>
        <v/>
      </c>
      <c r="J1847">
        <f>IF(F1847="","",F1847&gt;=5)</f>
        <v/>
      </c>
      <c r="K1847">
        <f>IF(H1847="","",H1847&gt;=75)</f>
        <v/>
      </c>
      <c r="L1847">
        <f>IF(OR(I1847="",J1847="",K1847=""),FALSE,AND(I1847,J1847,K1847))</f>
        <v/>
      </c>
    </row>
    <row r="1848">
      <c r="A1848">
        <f>Universe!A1848</f>
        <v/>
      </c>
      <c r="B1848" s="10" t="n"/>
      <c r="C1848" s="11">
        <f>IF(B1848="","",PERCENTRANK.INC($B$2:$B$2501,B1848)*100)</f>
        <v/>
      </c>
      <c r="D1848" s="10" t="n"/>
      <c r="E1848" s="10">
        <f>IF(D1848="","",MIN(D1848,100))</f>
        <v/>
      </c>
      <c r="F1848" s="10" t="n"/>
      <c r="G1848" s="10">
        <f>IF(F1848="","",MIN(F1848,100))</f>
        <v/>
      </c>
      <c r="H1848" s="11">
        <f>IF(A1848="","",Universe!E1848/BDP(A1848&amp;" US Equity","HIGH_52WEEK")*100)</f>
        <v/>
      </c>
      <c r="I1848">
        <f>IF(D1848="","",D1848&gt;=5)</f>
        <v/>
      </c>
      <c r="J1848">
        <f>IF(F1848="","",F1848&gt;=5)</f>
        <v/>
      </c>
      <c r="K1848">
        <f>IF(H1848="","",H1848&gt;=75)</f>
        <v/>
      </c>
      <c r="L1848">
        <f>IF(OR(I1848="",J1848="",K1848=""),FALSE,AND(I1848,J1848,K1848))</f>
        <v/>
      </c>
    </row>
    <row r="1849">
      <c r="A1849">
        <f>Universe!A1849</f>
        <v/>
      </c>
      <c r="B1849" s="10" t="n"/>
      <c r="C1849" s="11">
        <f>IF(B1849="","",PERCENTRANK.INC($B$2:$B$2501,B1849)*100)</f>
        <v/>
      </c>
      <c r="D1849" s="10" t="n"/>
      <c r="E1849" s="10">
        <f>IF(D1849="","",MIN(D1849,100))</f>
        <v/>
      </c>
      <c r="F1849" s="10" t="n"/>
      <c r="G1849" s="10">
        <f>IF(F1849="","",MIN(F1849,100))</f>
        <v/>
      </c>
      <c r="H1849" s="11">
        <f>IF(A1849="","",Universe!E1849/BDP(A1849&amp;" US Equity","HIGH_52WEEK")*100)</f>
        <v/>
      </c>
      <c r="I1849">
        <f>IF(D1849="","",D1849&gt;=5)</f>
        <v/>
      </c>
      <c r="J1849">
        <f>IF(F1849="","",F1849&gt;=5)</f>
        <v/>
      </c>
      <c r="K1849">
        <f>IF(H1849="","",H1849&gt;=75)</f>
        <v/>
      </c>
      <c r="L1849">
        <f>IF(OR(I1849="",J1849="",K1849=""),FALSE,AND(I1849,J1849,K1849))</f>
        <v/>
      </c>
    </row>
    <row r="1850">
      <c r="A1850">
        <f>Universe!A1850</f>
        <v/>
      </c>
      <c r="B1850" s="10" t="n"/>
      <c r="C1850" s="11">
        <f>IF(B1850="","",PERCENTRANK.INC($B$2:$B$2501,B1850)*100)</f>
        <v/>
      </c>
      <c r="D1850" s="10" t="n"/>
      <c r="E1850" s="10">
        <f>IF(D1850="","",MIN(D1850,100))</f>
        <v/>
      </c>
      <c r="F1850" s="10" t="n"/>
      <c r="G1850" s="10">
        <f>IF(F1850="","",MIN(F1850,100))</f>
        <v/>
      </c>
      <c r="H1850" s="11">
        <f>IF(A1850="","",Universe!E1850/BDP(A1850&amp;" US Equity","HIGH_52WEEK")*100)</f>
        <v/>
      </c>
      <c r="I1850">
        <f>IF(D1850="","",D1850&gt;=5)</f>
        <v/>
      </c>
      <c r="J1850">
        <f>IF(F1850="","",F1850&gt;=5)</f>
        <v/>
      </c>
      <c r="K1850">
        <f>IF(H1850="","",H1850&gt;=75)</f>
        <v/>
      </c>
      <c r="L1850">
        <f>IF(OR(I1850="",J1850="",K1850=""),FALSE,AND(I1850,J1850,K1850))</f>
        <v/>
      </c>
    </row>
    <row r="1851">
      <c r="A1851">
        <f>Universe!A1851</f>
        <v/>
      </c>
      <c r="B1851" s="10" t="n"/>
      <c r="C1851" s="11">
        <f>IF(B1851="","",PERCENTRANK.INC($B$2:$B$2501,B1851)*100)</f>
        <v/>
      </c>
      <c r="D1851" s="10" t="n"/>
      <c r="E1851" s="10">
        <f>IF(D1851="","",MIN(D1851,100))</f>
        <v/>
      </c>
      <c r="F1851" s="10" t="n"/>
      <c r="G1851" s="10">
        <f>IF(F1851="","",MIN(F1851,100))</f>
        <v/>
      </c>
      <c r="H1851" s="11">
        <f>IF(A1851="","",Universe!E1851/BDP(A1851&amp;" US Equity","HIGH_52WEEK")*100)</f>
        <v/>
      </c>
      <c r="I1851">
        <f>IF(D1851="","",D1851&gt;=5)</f>
        <v/>
      </c>
      <c r="J1851">
        <f>IF(F1851="","",F1851&gt;=5)</f>
        <v/>
      </c>
      <c r="K1851">
        <f>IF(H1851="","",H1851&gt;=75)</f>
        <v/>
      </c>
      <c r="L1851">
        <f>IF(OR(I1851="",J1851="",K1851=""),FALSE,AND(I1851,J1851,K1851))</f>
        <v/>
      </c>
    </row>
    <row r="1852">
      <c r="A1852">
        <f>Universe!A1852</f>
        <v/>
      </c>
      <c r="B1852" s="10" t="n"/>
      <c r="C1852" s="11">
        <f>IF(B1852="","",PERCENTRANK.INC($B$2:$B$2501,B1852)*100)</f>
        <v/>
      </c>
      <c r="D1852" s="10" t="n"/>
      <c r="E1852" s="10">
        <f>IF(D1852="","",MIN(D1852,100))</f>
        <v/>
      </c>
      <c r="F1852" s="10" t="n"/>
      <c r="G1852" s="10">
        <f>IF(F1852="","",MIN(F1852,100))</f>
        <v/>
      </c>
      <c r="H1852" s="11">
        <f>IF(A1852="","",Universe!E1852/BDP(A1852&amp;" US Equity","HIGH_52WEEK")*100)</f>
        <v/>
      </c>
      <c r="I1852">
        <f>IF(D1852="","",D1852&gt;=5)</f>
        <v/>
      </c>
      <c r="J1852">
        <f>IF(F1852="","",F1852&gt;=5)</f>
        <v/>
      </c>
      <c r="K1852">
        <f>IF(H1852="","",H1852&gt;=75)</f>
        <v/>
      </c>
      <c r="L1852">
        <f>IF(OR(I1852="",J1852="",K1852=""),FALSE,AND(I1852,J1852,K1852))</f>
        <v/>
      </c>
    </row>
    <row r="1853">
      <c r="A1853">
        <f>Universe!A1853</f>
        <v/>
      </c>
      <c r="B1853" s="10" t="n"/>
      <c r="C1853" s="11">
        <f>IF(B1853="","",PERCENTRANK.INC($B$2:$B$2501,B1853)*100)</f>
        <v/>
      </c>
      <c r="D1853" s="10" t="n"/>
      <c r="E1853" s="10">
        <f>IF(D1853="","",MIN(D1853,100))</f>
        <v/>
      </c>
      <c r="F1853" s="10" t="n"/>
      <c r="G1853" s="10">
        <f>IF(F1853="","",MIN(F1853,100))</f>
        <v/>
      </c>
      <c r="H1853" s="11">
        <f>IF(A1853="","",Universe!E1853/BDP(A1853&amp;" US Equity","HIGH_52WEEK")*100)</f>
        <v/>
      </c>
      <c r="I1853">
        <f>IF(D1853="","",D1853&gt;=5)</f>
        <v/>
      </c>
      <c r="J1853">
        <f>IF(F1853="","",F1853&gt;=5)</f>
        <v/>
      </c>
      <c r="K1853">
        <f>IF(H1853="","",H1853&gt;=75)</f>
        <v/>
      </c>
      <c r="L1853">
        <f>IF(OR(I1853="",J1853="",K1853=""),FALSE,AND(I1853,J1853,K1853))</f>
        <v/>
      </c>
    </row>
    <row r="1854">
      <c r="A1854">
        <f>Universe!A1854</f>
        <v/>
      </c>
      <c r="B1854" s="10" t="n"/>
      <c r="C1854" s="11">
        <f>IF(B1854="","",PERCENTRANK.INC($B$2:$B$2501,B1854)*100)</f>
        <v/>
      </c>
      <c r="D1854" s="10" t="n"/>
      <c r="E1854" s="10">
        <f>IF(D1854="","",MIN(D1854,100))</f>
        <v/>
      </c>
      <c r="F1854" s="10" t="n"/>
      <c r="G1854" s="10">
        <f>IF(F1854="","",MIN(F1854,100))</f>
        <v/>
      </c>
      <c r="H1854" s="11">
        <f>IF(A1854="","",Universe!E1854/BDP(A1854&amp;" US Equity","HIGH_52WEEK")*100)</f>
        <v/>
      </c>
      <c r="I1854">
        <f>IF(D1854="","",D1854&gt;=5)</f>
        <v/>
      </c>
      <c r="J1854">
        <f>IF(F1854="","",F1854&gt;=5)</f>
        <v/>
      </c>
      <c r="K1854">
        <f>IF(H1854="","",H1854&gt;=75)</f>
        <v/>
      </c>
      <c r="L1854">
        <f>IF(OR(I1854="",J1854="",K1854=""),FALSE,AND(I1854,J1854,K1854))</f>
        <v/>
      </c>
    </row>
    <row r="1855">
      <c r="A1855">
        <f>Universe!A1855</f>
        <v/>
      </c>
      <c r="B1855" s="10" t="n"/>
      <c r="C1855" s="11">
        <f>IF(B1855="","",PERCENTRANK.INC($B$2:$B$2501,B1855)*100)</f>
        <v/>
      </c>
      <c r="D1855" s="10" t="n"/>
      <c r="E1855" s="10">
        <f>IF(D1855="","",MIN(D1855,100))</f>
        <v/>
      </c>
      <c r="F1855" s="10" t="n"/>
      <c r="G1855" s="10">
        <f>IF(F1855="","",MIN(F1855,100))</f>
        <v/>
      </c>
      <c r="H1855" s="11">
        <f>IF(A1855="","",Universe!E1855/BDP(A1855&amp;" US Equity","HIGH_52WEEK")*100)</f>
        <v/>
      </c>
      <c r="I1855">
        <f>IF(D1855="","",D1855&gt;=5)</f>
        <v/>
      </c>
      <c r="J1855">
        <f>IF(F1855="","",F1855&gt;=5)</f>
        <v/>
      </c>
      <c r="K1855">
        <f>IF(H1855="","",H1855&gt;=75)</f>
        <v/>
      </c>
      <c r="L1855">
        <f>IF(OR(I1855="",J1855="",K1855=""),FALSE,AND(I1855,J1855,K1855))</f>
        <v/>
      </c>
    </row>
    <row r="1856">
      <c r="A1856">
        <f>Universe!A1856</f>
        <v/>
      </c>
      <c r="B1856" s="10" t="n"/>
      <c r="C1856" s="11">
        <f>IF(B1856="","",PERCENTRANK.INC($B$2:$B$2501,B1856)*100)</f>
        <v/>
      </c>
      <c r="D1856" s="10" t="n"/>
      <c r="E1856" s="10">
        <f>IF(D1856="","",MIN(D1856,100))</f>
        <v/>
      </c>
      <c r="F1856" s="10" t="n"/>
      <c r="G1856" s="10">
        <f>IF(F1856="","",MIN(F1856,100))</f>
        <v/>
      </c>
      <c r="H1856" s="11">
        <f>IF(A1856="","",Universe!E1856/BDP(A1856&amp;" US Equity","HIGH_52WEEK")*100)</f>
        <v/>
      </c>
      <c r="I1856">
        <f>IF(D1856="","",D1856&gt;=5)</f>
        <v/>
      </c>
      <c r="J1856">
        <f>IF(F1856="","",F1856&gt;=5)</f>
        <v/>
      </c>
      <c r="K1856">
        <f>IF(H1856="","",H1856&gt;=75)</f>
        <v/>
      </c>
      <c r="L1856">
        <f>IF(OR(I1856="",J1856="",K1856=""),FALSE,AND(I1856,J1856,K1856))</f>
        <v/>
      </c>
    </row>
    <row r="1857">
      <c r="A1857">
        <f>Universe!A1857</f>
        <v/>
      </c>
      <c r="B1857" s="10" t="n"/>
      <c r="C1857" s="11">
        <f>IF(B1857="","",PERCENTRANK.INC($B$2:$B$2501,B1857)*100)</f>
        <v/>
      </c>
      <c r="D1857" s="10" t="n"/>
      <c r="E1857" s="10">
        <f>IF(D1857="","",MIN(D1857,100))</f>
        <v/>
      </c>
      <c r="F1857" s="10" t="n"/>
      <c r="G1857" s="10">
        <f>IF(F1857="","",MIN(F1857,100))</f>
        <v/>
      </c>
      <c r="H1857" s="11">
        <f>IF(A1857="","",Universe!E1857/BDP(A1857&amp;" US Equity","HIGH_52WEEK")*100)</f>
        <v/>
      </c>
      <c r="I1857">
        <f>IF(D1857="","",D1857&gt;=5)</f>
        <v/>
      </c>
      <c r="J1857">
        <f>IF(F1857="","",F1857&gt;=5)</f>
        <v/>
      </c>
      <c r="K1857">
        <f>IF(H1857="","",H1857&gt;=75)</f>
        <v/>
      </c>
      <c r="L1857">
        <f>IF(OR(I1857="",J1857="",K1857=""),FALSE,AND(I1857,J1857,K1857))</f>
        <v/>
      </c>
    </row>
    <row r="1858">
      <c r="A1858">
        <f>Universe!A1858</f>
        <v/>
      </c>
      <c r="B1858" s="10" t="n"/>
      <c r="C1858" s="11">
        <f>IF(B1858="","",PERCENTRANK.INC($B$2:$B$2501,B1858)*100)</f>
        <v/>
      </c>
      <c r="D1858" s="10" t="n"/>
      <c r="E1858" s="10">
        <f>IF(D1858="","",MIN(D1858,100))</f>
        <v/>
      </c>
      <c r="F1858" s="10" t="n"/>
      <c r="G1858" s="10">
        <f>IF(F1858="","",MIN(F1858,100))</f>
        <v/>
      </c>
      <c r="H1858" s="11">
        <f>IF(A1858="","",Universe!E1858/BDP(A1858&amp;" US Equity","HIGH_52WEEK")*100)</f>
        <v/>
      </c>
      <c r="I1858">
        <f>IF(D1858="","",D1858&gt;=5)</f>
        <v/>
      </c>
      <c r="J1858">
        <f>IF(F1858="","",F1858&gt;=5)</f>
        <v/>
      </c>
      <c r="K1858">
        <f>IF(H1858="","",H1858&gt;=75)</f>
        <v/>
      </c>
      <c r="L1858">
        <f>IF(OR(I1858="",J1858="",K1858=""),FALSE,AND(I1858,J1858,K1858))</f>
        <v/>
      </c>
    </row>
    <row r="1859">
      <c r="A1859">
        <f>Universe!A1859</f>
        <v/>
      </c>
      <c r="B1859" s="10" t="n"/>
      <c r="C1859" s="11">
        <f>IF(B1859="","",PERCENTRANK.INC($B$2:$B$2501,B1859)*100)</f>
        <v/>
      </c>
      <c r="D1859" s="10" t="n"/>
      <c r="E1859" s="10">
        <f>IF(D1859="","",MIN(D1859,100))</f>
        <v/>
      </c>
      <c r="F1859" s="10" t="n"/>
      <c r="G1859" s="10">
        <f>IF(F1859="","",MIN(F1859,100))</f>
        <v/>
      </c>
      <c r="H1859" s="11">
        <f>IF(A1859="","",Universe!E1859/BDP(A1859&amp;" US Equity","HIGH_52WEEK")*100)</f>
        <v/>
      </c>
      <c r="I1859">
        <f>IF(D1859="","",D1859&gt;=5)</f>
        <v/>
      </c>
      <c r="J1859">
        <f>IF(F1859="","",F1859&gt;=5)</f>
        <v/>
      </c>
      <c r="K1859">
        <f>IF(H1859="","",H1859&gt;=75)</f>
        <v/>
      </c>
      <c r="L1859">
        <f>IF(OR(I1859="",J1859="",K1859=""),FALSE,AND(I1859,J1859,K1859))</f>
        <v/>
      </c>
    </row>
    <row r="1860">
      <c r="A1860">
        <f>Universe!A1860</f>
        <v/>
      </c>
      <c r="B1860" s="10" t="n"/>
      <c r="C1860" s="11">
        <f>IF(B1860="","",PERCENTRANK.INC($B$2:$B$2501,B1860)*100)</f>
        <v/>
      </c>
      <c r="D1860" s="10" t="n"/>
      <c r="E1860" s="10">
        <f>IF(D1860="","",MIN(D1860,100))</f>
        <v/>
      </c>
      <c r="F1860" s="10" t="n"/>
      <c r="G1860" s="10">
        <f>IF(F1860="","",MIN(F1860,100))</f>
        <v/>
      </c>
      <c r="H1860" s="11">
        <f>IF(A1860="","",Universe!E1860/BDP(A1860&amp;" US Equity","HIGH_52WEEK")*100)</f>
        <v/>
      </c>
      <c r="I1860">
        <f>IF(D1860="","",D1860&gt;=5)</f>
        <v/>
      </c>
      <c r="J1860">
        <f>IF(F1860="","",F1860&gt;=5)</f>
        <v/>
      </c>
      <c r="K1860">
        <f>IF(H1860="","",H1860&gt;=75)</f>
        <v/>
      </c>
      <c r="L1860">
        <f>IF(OR(I1860="",J1860="",K1860=""),FALSE,AND(I1860,J1860,K1860))</f>
        <v/>
      </c>
    </row>
    <row r="1861">
      <c r="A1861">
        <f>Universe!A1861</f>
        <v/>
      </c>
      <c r="B1861" s="10" t="n"/>
      <c r="C1861" s="11">
        <f>IF(B1861="","",PERCENTRANK.INC($B$2:$B$2501,B1861)*100)</f>
        <v/>
      </c>
      <c r="D1861" s="10" t="n"/>
      <c r="E1861" s="10">
        <f>IF(D1861="","",MIN(D1861,100))</f>
        <v/>
      </c>
      <c r="F1861" s="10" t="n"/>
      <c r="G1861" s="10">
        <f>IF(F1861="","",MIN(F1861,100))</f>
        <v/>
      </c>
      <c r="H1861" s="11">
        <f>IF(A1861="","",Universe!E1861/BDP(A1861&amp;" US Equity","HIGH_52WEEK")*100)</f>
        <v/>
      </c>
      <c r="I1861">
        <f>IF(D1861="","",D1861&gt;=5)</f>
        <v/>
      </c>
      <c r="J1861">
        <f>IF(F1861="","",F1861&gt;=5)</f>
        <v/>
      </c>
      <c r="K1861">
        <f>IF(H1861="","",H1861&gt;=75)</f>
        <v/>
      </c>
      <c r="L1861">
        <f>IF(OR(I1861="",J1861="",K1861=""),FALSE,AND(I1861,J1861,K1861))</f>
        <v/>
      </c>
    </row>
    <row r="1862">
      <c r="A1862">
        <f>Universe!A1862</f>
        <v/>
      </c>
      <c r="B1862" s="10" t="n"/>
      <c r="C1862" s="11">
        <f>IF(B1862="","",PERCENTRANK.INC($B$2:$B$2501,B1862)*100)</f>
        <v/>
      </c>
      <c r="D1862" s="10" t="n"/>
      <c r="E1862" s="10">
        <f>IF(D1862="","",MIN(D1862,100))</f>
        <v/>
      </c>
      <c r="F1862" s="10" t="n"/>
      <c r="G1862" s="10">
        <f>IF(F1862="","",MIN(F1862,100))</f>
        <v/>
      </c>
      <c r="H1862" s="11">
        <f>IF(A1862="","",Universe!E1862/BDP(A1862&amp;" US Equity","HIGH_52WEEK")*100)</f>
        <v/>
      </c>
      <c r="I1862">
        <f>IF(D1862="","",D1862&gt;=5)</f>
        <v/>
      </c>
      <c r="J1862">
        <f>IF(F1862="","",F1862&gt;=5)</f>
        <v/>
      </c>
      <c r="K1862">
        <f>IF(H1862="","",H1862&gt;=75)</f>
        <v/>
      </c>
      <c r="L1862">
        <f>IF(OR(I1862="",J1862="",K1862=""),FALSE,AND(I1862,J1862,K1862))</f>
        <v/>
      </c>
    </row>
    <row r="1863">
      <c r="A1863">
        <f>Universe!A1863</f>
        <v/>
      </c>
      <c r="B1863" s="10" t="n"/>
      <c r="C1863" s="11">
        <f>IF(B1863="","",PERCENTRANK.INC($B$2:$B$2501,B1863)*100)</f>
        <v/>
      </c>
      <c r="D1863" s="10" t="n"/>
      <c r="E1863" s="10">
        <f>IF(D1863="","",MIN(D1863,100))</f>
        <v/>
      </c>
      <c r="F1863" s="10" t="n"/>
      <c r="G1863" s="10">
        <f>IF(F1863="","",MIN(F1863,100))</f>
        <v/>
      </c>
      <c r="H1863" s="11">
        <f>IF(A1863="","",Universe!E1863/BDP(A1863&amp;" US Equity","HIGH_52WEEK")*100)</f>
        <v/>
      </c>
      <c r="I1863">
        <f>IF(D1863="","",D1863&gt;=5)</f>
        <v/>
      </c>
      <c r="J1863">
        <f>IF(F1863="","",F1863&gt;=5)</f>
        <v/>
      </c>
      <c r="K1863">
        <f>IF(H1863="","",H1863&gt;=75)</f>
        <v/>
      </c>
      <c r="L1863">
        <f>IF(OR(I1863="",J1863="",K1863=""),FALSE,AND(I1863,J1863,K1863))</f>
        <v/>
      </c>
    </row>
    <row r="1864">
      <c r="A1864">
        <f>Universe!A1864</f>
        <v/>
      </c>
      <c r="B1864" s="10" t="n"/>
      <c r="C1864" s="11">
        <f>IF(B1864="","",PERCENTRANK.INC($B$2:$B$2501,B1864)*100)</f>
        <v/>
      </c>
      <c r="D1864" s="10" t="n"/>
      <c r="E1864" s="10">
        <f>IF(D1864="","",MIN(D1864,100))</f>
        <v/>
      </c>
      <c r="F1864" s="10" t="n"/>
      <c r="G1864" s="10">
        <f>IF(F1864="","",MIN(F1864,100))</f>
        <v/>
      </c>
      <c r="H1864" s="11">
        <f>IF(A1864="","",Universe!E1864/BDP(A1864&amp;" US Equity","HIGH_52WEEK")*100)</f>
        <v/>
      </c>
      <c r="I1864">
        <f>IF(D1864="","",D1864&gt;=5)</f>
        <v/>
      </c>
      <c r="J1864">
        <f>IF(F1864="","",F1864&gt;=5)</f>
        <v/>
      </c>
      <c r="K1864">
        <f>IF(H1864="","",H1864&gt;=75)</f>
        <v/>
      </c>
      <c r="L1864">
        <f>IF(OR(I1864="",J1864="",K1864=""),FALSE,AND(I1864,J1864,K1864))</f>
        <v/>
      </c>
    </row>
    <row r="1865">
      <c r="A1865">
        <f>Universe!A1865</f>
        <v/>
      </c>
      <c r="B1865" s="10" t="n"/>
      <c r="C1865" s="11">
        <f>IF(B1865="","",PERCENTRANK.INC($B$2:$B$2501,B1865)*100)</f>
        <v/>
      </c>
      <c r="D1865" s="10" t="n"/>
      <c r="E1865" s="10">
        <f>IF(D1865="","",MIN(D1865,100))</f>
        <v/>
      </c>
      <c r="F1865" s="10" t="n"/>
      <c r="G1865" s="10">
        <f>IF(F1865="","",MIN(F1865,100))</f>
        <v/>
      </c>
      <c r="H1865" s="11">
        <f>IF(A1865="","",Universe!E1865/BDP(A1865&amp;" US Equity","HIGH_52WEEK")*100)</f>
        <v/>
      </c>
      <c r="I1865">
        <f>IF(D1865="","",D1865&gt;=5)</f>
        <v/>
      </c>
      <c r="J1865">
        <f>IF(F1865="","",F1865&gt;=5)</f>
        <v/>
      </c>
      <c r="K1865">
        <f>IF(H1865="","",H1865&gt;=75)</f>
        <v/>
      </c>
      <c r="L1865">
        <f>IF(OR(I1865="",J1865="",K1865=""),FALSE,AND(I1865,J1865,K1865))</f>
        <v/>
      </c>
    </row>
    <row r="1866">
      <c r="A1866">
        <f>Universe!A1866</f>
        <v/>
      </c>
      <c r="B1866" s="10" t="n"/>
      <c r="C1866" s="11">
        <f>IF(B1866="","",PERCENTRANK.INC($B$2:$B$2501,B1866)*100)</f>
        <v/>
      </c>
      <c r="D1866" s="10" t="n"/>
      <c r="E1866" s="10">
        <f>IF(D1866="","",MIN(D1866,100))</f>
        <v/>
      </c>
      <c r="F1866" s="10" t="n"/>
      <c r="G1866" s="10">
        <f>IF(F1866="","",MIN(F1866,100))</f>
        <v/>
      </c>
      <c r="H1866" s="11">
        <f>IF(A1866="","",Universe!E1866/BDP(A1866&amp;" US Equity","HIGH_52WEEK")*100)</f>
        <v/>
      </c>
      <c r="I1866">
        <f>IF(D1866="","",D1866&gt;=5)</f>
        <v/>
      </c>
      <c r="J1866">
        <f>IF(F1866="","",F1866&gt;=5)</f>
        <v/>
      </c>
      <c r="K1866">
        <f>IF(H1866="","",H1866&gt;=75)</f>
        <v/>
      </c>
      <c r="L1866">
        <f>IF(OR(I1866="",J1866="",K1866=""),FALSE,AND(I1866,J1866,K1866))</f>
        <v/>
      </c>
    </row>
    <row r="1867">
      <c r="A1867">
        <f>Universe!A1867</f>
        <v/>
      </c>
      <c r="B1867" s="10" t="n"/>
      <c r="C1867" s="11">
        <f>IF(B1867="","",PERCENTRANK.INC($B$2:$B$2501,B1867)*100)</f>
        <v/>
      </c>
      <c r="D1867" s="10" t="n"/>
      <c r="E1867" s="10">
        <f>IF(D1867="","",MIN(D1867,100))</f>
        <v/>
      </c>
      <c r="F1867" s="10" t="n"/>
      <c r="G1867" s="10">
        <f>IF(F1867="","",MIN(F1867,100))</f>
        <v/>
      </c>
      <c r="H1867" s="11">
        <f>IF(A1867="","",Universe!E1867/BDP(A1867&amp;" US Equity","HIGH_52WEEK")*100)</f>
        <v/>
      </c>
      <c r="I1867">
        <f>IF(D1867="","",D1867&gt;=5)</f>
        <v/>
      </c>
      <c r="J1867">
        <f>IF(F1867="","",F1867&gt;=5)</f>
        <v/>
      </c>
      <c r="K1867">
        <f>IF(H1867="","",H1867&gt;=75)</f>
        <v/>
      </c>
      <c r="L1867">
        <f>IF(OR(I1867="",J1867="",K1867=""),FALSE,AND(I1867,J1867,K1867))</f>
        <v/>
      </c>
    </row>
    <row r="1868">
      <c r="A1868">
        <f>Universe!A1868</f>
        <v/>
      </c>
      <c r="B1868" s="10" t="n"/>
      <c r="C1868" s="11">
        <f>IF(B1868="","",PERCENTRANK.INC($B$2:$B$2501,B1868)*100)</f>
        <v/>
      </c>
      <c r="D1868" s="10" t="n"/>
      <c r="E1868" s="10">
        <f>IF(D1868="","",MIN(D1868,100))</f>
        <v/>
      </c>
      <c r="F1868" s="10" t="n"/>
      <c r="G1868" s="10">
        <f>IF(F1868="","",MIN(F1868,100))</f>
        <v/>
      </c>
      <c r="H1868" s="11">
        <f>IF(A1868="","",Universe!E1868/BDP(A1868&amp;" US Equity","HIGH_52WEEK")*100)</f>
        <v/>
      </c>
      <c r="I1868">
        <f>IF(D1868="","",D1868&gt;=5)</f>
        <v/>
      </c>
      <c r="J1868">
        <f>IF(F1868="","",F1868&gt;=5)</f>
        <v/>
      </c>
      <c r="K1868">
        <f>IF(H1868="","",H1868&gt;=75)</f>
        <v/>
      </c>
      <c r="L1868">
        <f>IF(OR(I1868="",J1868="",K1868=""),FALSE,AND(I1868,J1868,K1868))</f>
        <v/>
      </c>
    </row>
    <row r="1869">
      <c r="A1869">
        <f>Universe!A1869</f>
        <v/>
      </c>
      <c r="B1869" s="10" t="n"/>
      <c r="C1869" s="11">
        <f>IF(B1869="","",PERCENTRANK.INC($B$2:$B$2501,B1869)*100)</f>
        <v/>
      </c>
      <c r="D1869" s="10" t="n"/>
      <c r="E1869" s="10">
        <f>IF(D1869="","",MIN(D1869,100))</f>
        <v/>
      </c>
      <c r="F1869" s="10" t="n"/>
      <c r="G1869" s="10">
        <f>IF(F1869="","",MIN(F1869,100))</f>
        <v/>
      </c>
      <c r="H1869" s="11">
        <f>IF(A1869="","",Universe!E1869/BDP(A1869&amp;" US Equity","HIGH_52WEEK")*100)</f>
        <v/>
      </c>
      <c r="I1869">
        <f>IF(D1869="","",D1869&gt;=5)</f>
        <v/>
      </c>
      <c r="J1869">
        <f>IF(F1869="","",F1869&gt;=5)</f>
        <v/>
      </c>
      <c r="K1869">
        <f>IF(H1869="","",H1869&gt;=75)</f>
        <v/>
      </c>
      <c r="L1869">
        <f>IF(OR(I1869="",J1869="",K1869=""),FALSE,AND(I1869,J1869,K1869))</f>
        <v/>
      </c>
    </row>
    <row r="1870">
      <c r="A1870">
        <f>Universe!A1870</f>
        <v/>
      </c>
      <c r="B1870" s="10" t="n"/>
      <c r="C1870" s="11">
        <f>IF(B1870="","",PERCENTRANK.INC($B$2:$B$2501,B1870)*100)</f>
        <v/>
      </c>
      <c r="D1870" s="10" t="n"/>
      <c r="E1870" s="10">
        <f>IF(D1870="","",MIN(D1870,100))</f>
        <v/>
      </c>
      <c r="F1870" s="10" t="n"/>
      <c r="G1870" s="10">
        <f>IF(F1870="","",MIN(F1870,100))</f>
        <v/>
      </c>
      <c r="H1870" s="11">
        <f>IF(A1870="","",Universe!E1870/BDP(A1870&amp;" US Equity","HIGH_52WEEK")*100)</f>
        <v/>
      </c>
      <c r="I1870">
        <f>IF(D1870="","",D1870&gt;=5)</f>
        <v/>
      </c>
      <c r="J1870">
        <f>IF(F1870="","",F1870&gt;=5)</f>
        <v/>
      </c>
      <c r="K1870">
        <f>IF(H1870="","",H1870&gt;=75)</f>
        <v/>
      </c>
      <c r="L1870">
        <f>IF(OR(I1870="",J1870="",K1870=""),FALSE,AND(I1870,J1870,K1870))</f>
        <v/>
      </c>
    </row>
    <row r="1871">
      <c r="A1871">
        <f>Universe!A1871</f>
        <v/>
      </c>
      <c r="B1871" s="10" t="n"/>
      <c r="C1871" s="11">
        <f>IF(B1871="","",PERCENTRANK.INC($B$2:$B$2501,B1871)*100)</f>
        <v/>
      </c>
      <c r="D1871" s="10" t="n"/>
      <c r="E1871" s="10">
        <f>IF(D1871="","",MIN(D1871,100))</f>
        <v/>
      </c>
      <c r="F1871" s="10" t="n"/>
      <c r="G1871" s="10">
        <f>IF(F1871="","",MIN(F1871,100))</f>
        <v/>
      </c>
      <c r="H1871" s="11">
        <f>IF(A1871="","",Universe!E1871/BDP(A1871&amp;" US Equity","HIGH_52WEEK")*100)</f>
        <v/>
      </c>
      <c r="I1871">
        <f>IF(D1871="","",D1871&gt;=5)</f>
        <v/>
      </c>
      <c r="J1871">
        <f>IF(F1871="","",F1871&gt;=5)</f>
        <v/>
      </c>
      <c r="K1871">
        <f>IF(H1871="","",H1871&gt;=75)</f>
        <v/>
      </c>
      <c r="L1871">
        <f>IF(OR(I1871="",J1871="",K1871=""),FALSE,AND(I1871,J1871,K1871))</f>
        <v/>
      </c>
    </row>
    <row r="1872">
      <c r="A1872">
        <f>Universe!A1872</f>
        <v/>
      </c>
      <c r="B1872" s="10" t="n"/>
      <c r="C1872" s="11">
        <f>IF(B1872="","",PERCENTRANK.INC($B$2:$B$2501,B1872)*100)</f>
        <v/>
      </c>
      <c r="D1872" s="10" t="n"/>
      <c r="E1872" s="10">
        <f>IF(D1872="","",MIN(D1872,100))</f>
        <v/>
      </c>
      <c r="F1872" s="10" t="n"/>
      <c r="G1872" s="10">
        <f>IF(F1872="","",MIN(F1872,100))</f>
        <v/>
      </c>
      <c r="H1872" s="11">
        <f>IF(A1872="","",Universe!E1872/BDP(A1872&amp;" US Equity","HIGH_52WEEK")*100)</f>
        <v/>
      </c>
      <c r="I1872">
        <f>IF(D1872="","",D1872&gt;=5)</f>
        <v/>
      </c>
      <c r="J1872">
        <f>IF(F1872="","",F1872&gt;=5)</f>
        <v/>
      </c>
      <c r="K1872">
        <f>IF(H1872="","",H1872&gt;=75)</f>
        <v/>
      </c>
      <c r="L1872">
        <f>IF(OR(I1872="",J1872="",K1872=""),FALSE,AND(I1872,J1872,K1872))</f>
        <v/>
      </c>
    </row>
    <row r="1873">
      <c r="A1873">
        <f>Universe!A1873</f>
        <v/>
      </c>
      <c r="B1873" s="10" t="n"/>
      <c r="C1873" s="11">
        <f>IF(B1873="","",PERCENTRANK.INC($B$2:$B$2501,B1873)*100)</f>
        <v/>
      </c>
      <c r="D1873" s="10" t="n"/>
      <c r="E1873" s="10">
        <f>IF(D1873="","",MIN(D1873,100))</f>
        <v/>
      </c>
      <c r="F1873" s="10" t="n"/>
      <c r="G1873" s="10">
        <f>IF(F1873="","",MIN(F1873,100))</f>
        <v/>
      </c>
      <c r="H1873" s="11">
        <f>IF(A1873="","",Universe!E1873/BDP(A1873&amp;" US Equity","HIGH_52WEEK")*100)</f>
        <v/>
      </c>
      <c r="I1873">
        <f>IF(D1873="","",D1873&gt;=5)</f>
        <v/>
      </c>
      <c r="J1873">
        <f>IF(F1873="","",F1873&gt;=5)</f>
        <v/>
      </c>
      <c r="K1873">
        <f>IF(H1873="","",H1873&gt;=75)</f>
        <v/>
      </c>
      <c r="L1873">
        <f>IF(OR(I1873="",J1873="",K1873=""),FALSE,AND(I1873,J1873,K1873))</f>
        <v/>
      </c>
    </row>
    <row r="1874">
      <c r="A1874">
        <f>Universe!A1874</f>
        <v/>
      </c>
      <c r="B1874" s="10" t="n"/>
      <c r="C1874" s="11">
        <f>IF(B1874="","",PERCENTRANK.INC($B$2:$B$2501,B1874)*100)</f>
        <v/>
      </c>
      <c r="D1874" s="10" t="n"/>
      <c r="E1874" s="10">
        <f>IF(D1874="","",MIN(D1874,100))</f>
        <v/>
      </c>
      <c r="F1874" s="10" t="n"/>
      <c r="G1874" s="10">
        <f>IF(F1874="","",MIN(F1874,100))</f>
        <v/>
      </c>
      <c r="H1874" s="11">
        <f>IF(A1874="","",Universe!E1874/BDP(A1874&amp;" US Equity","HIGH_52WEEK")*100)</f>
        <v/>
      </c>
      <c r="I1874">
        <f>IF(D1874="","",D1874&gt;=5)</f>
        <v/>
      </c>
      <c r="J1874">
        <f>IF(F1874="","",F1874&gt;=5)</f>
        <v/>
      </c>
      <c r="K1874">
        <f>IF(H1874="","",H1874&gt;=75)</f>
        <v/>
      </c>
      <c r="L1874">
        <f>IF(OR(I1874="",J1874="",K1874=""),FALSE,AND(I1874,J1874,K1874))</f>
        <v/>
      </c>
    </row>
    <row r="1875">
      <c r="A1875">
        <f>Universe!A1875</f>
        <v/>
      </c>
      <c r="B1875" s="10" t="n"/>
      <c r="C1875" s="11">
        <f>IF(B1875="","",PERCENTRANK.INC($B$2:$B$2501,B1875)*100)</f>
        <v/>
      </c>
      <c r="D1875" s="10" t="n"/>
      <c r="E1875" s="10">
        <f>IF(D1875="","",MIN(D1875,100))</f>
        <v/>
      </c>
      <c r="F1875" s="10" t="n"/>
      <c r="G1875" s="10">
        <f>IF(F1875="","",MIN(F1875,100))</f>
        <v/>
      </c>
      <c r="H1875" s="11">
        <f>IF(A1875="","",Universe!E1875/BDP(A1875&amp;" US Equity","HIGH_52WEEK")*100)</f>
        <v/>
      </c>
      <c r="I1875">
        <f>IF(D1875="","",D1875&gt;=5)</f>
        <v/>
      </c>
      <c r="J1875">
        <f>IF(F1875="","",F1875&gt;=5)</f>
        <v/>
      </c>
      <c r="K1875">
        <f>IF(H1875="","",H1875&gt;=75)</f>
        <v/>
      </c>
      <c r="L1875">
        <f>IF(OR(I1875="",J1875="",K1875=""),FALSE,AND(I1875,J1875,K1875))</f>
        <v/>
      </c>
    </row>
    <row r="1876">
      <c r="A1876">
        <f>Universe!A1876</f>
        <v/>
      </c>
      <c r="B1876" s="10" t="n"/>
      <c r="C1876" s="11">
        <f>IF(B1876="","",PERCENTRANK.INC($B$2:$B$2501,B1876)*100)</f>
        <v/>
      </c>
      <c r="D1876" s="10" t="n"/>
      <c r="E1876" s="10">
        <f>IF(D1876="","",MIN(D1876,100))</f>
        <v/>
      </c>
      <c r="F1876" s="10" t="n"/>
      <c r="G1876" s="10">
        <f>IF(F1876="","",MIN(F1876,100))</f>
        <v/>
      </c>
      <c r="H1876" s="11">
        <f>IF(A1876="","",Universe!E1876/BDP(A1876&amp;" US Equity","HIGH_52WEEK")*100)</f>
        <v/>
      </c>
      <c r="I1876">
        <f>IF(D1876="","",D1876&gt;=5)</f>
        <v/>
      </c>
      <c r="J1876">
        <f>IF(F1876="","",F1876&gt;=5)</f>
        <v/>
      </c>
      <c r="K1876">
        <f>IF(H1876="","",H1876&gt;=75)</f>
        <v/>
      </c>
      <c r="L1876">
        <f>IF(OR(I1876="",J1876="",K1876=""),FALSE,AND(I1876,J1876,K1876))</f>
        <v/>
      </c>
    </row>
    <row r="1877">
      <c r="A1877">
        <f>Universe!A1877</f>
        <v/>
      </c>
      <c r="B1877" s="10" t="n"/>
      <c r="C1877" s="11">
        <f>IF(B1877="","",PERCENTRANK.INC($B$2:$B$2501,B1877)*100)</f>
        <v/>
      </c>
      <c r="D1877" s="10" t="n"/>
      <c r="E1877" s="10">
        <f>IF(D1877="","",MIN(D1877,100))</f>
        <v/>
      </c>
      <c r="F1877" s="10" t="n"/>
      <c r="G1877" s="10">
        <f>IF(F1877="","",MIN(F1877,100))</f>
        <v/>
      </c>
      <c r="H1877" s="11">
        <f>IF(A1877="","",Universe!E1877/BDP(A1877&amp;" US Equity","HIGH_52WEEK")*100)</f>
        <v/>
      </c>
      <c r="I1877">
        <f>IF(D1877="","",D1877&gt;=5)</f>
        <v/>
      </c>
      <c r="J1877">
        <f>IF(F1877="","",F1877&gt;=5)</f>
        <v/>
      </c>
      <c r="K1877">
        <f>IF(H1877="","",H1877&gt;=75)</f>
        <v/>
      </c>
      <c r="L1877">
        <f>IF(OR(I1877="",J1877="",K1877=""),FALSE,AND(I1877,J1877,K1877))</f>
        <v/>
      </c>
    </row>
    <row r="1878">
      <c r="A1878">
        <f>Universe!A1878</f>
        <v/>
      </c>
      <c r="B1878" s="10" t="n"/>
      <c r="C1878" s="11">
        <f>IF(B1878="","",PERCENTRANK.INC($B$2:$B$2501,B1878)*100)</f>
        <v/>
      </c>
      <c r="D1878" s="10" t="n"/>
      <c r="E1878" s="10">
        <f>IF(D1878="","",MIN(D1878,100))</f>
        <v/>
      </c>
      <c r="F1878" s="10" t="n"/>
      <c r="G1878" s="10">
        <f>IF(F1878="","",MIN(F1878,100))</f>
        <v/>
      </c>
      <c r="H1878" s="11">
        <f>IF(A1878="","",Universe!E1878/BDP(A1878&amp;" US Equity","HIGH_52WEEK")*100)</f>
        <v/>
      </c>
      <c r="I1878">
        <f>IF(D1878="","",D1878&gt;=5)</f>
        <v/>
      </c>
      <c r="J1878">
        <f>IF(F1878="","",F1878&gt;=5)</f>
        <v/>
      </c>
      <c r="K1878">
        <f>IF(H1878="","",H1878&gt;=75)</f>
        <v/>
      </c>
      <c r="L1878">
        <f>IF(OR(I1878="",J1878="",K1878=""),FALSE,AND(I1878,J1878,K1878))</f>
        <v/>
      </c>
    </row>
    <row r="1879">
      <c r="A1879">
        <f>Universe!A1879</f>
        <v/>
      </c>
      <c r="B1879" s="10" t="n"/>
      <c r="C1879" s="11">
        <f>IF(B1879="","",PERCENTRANK.INC($B$2:$B$2501,B1879)*100)</f>
        <v/>
      </c>
      <c r="D1879" s="10" t="n"/>
      <c r="E1879" s="10">
        <f>IF(D1879="","",MIN(D1879,100))</f>
        <v/>
      </c>
      <c r="F1879" s="10" t="n"/>
      <c r="G1879" s="10">
        <f>IF(F1879="","",MIN(F1879,100))</f>
        <v/>
      </c>
      <c r="H1879" s="11">
        <f>IF(A1879="","",Universe!E1879/BDP(A1879&amp;" US Equity","HIGH_52WEEK")*100)</f>
        <v/>
      </c>
      <c r="I1879">
        <f>IF(D1879="","",D1879&gt;=5)</f>
        <v/>
      </c>
      <c r="J1879">
        <f>IF(F1879="","",F1879&gt;=5)</f>
        <v/>
      </c>
      <c r="K1879">
        <f>IF(H1879="","",H1879&gt;=75)</f>
        <v/>
      </c>
      <c r="L1879">
        <f>IF(OR(I1879="",J1879="",K1879=""),FALSE,AND(I1879,J1879,K1879))</f>
        <v/>
      </c>
    </row>
    <row r="1880">
      <c r="A1880">
        <f>Universe!A1880</f>
        <v/>
      </c>
      <c r="B1880" s="10" t="n"/>
      <c r="C1880" s="11">
        <f>IF(B1880="","",PERCENTRANK.INC($B$2:$B$2501,B1880)*100)</f>
        <v/>
      </c>
      <c r="D1880" s="10" t="n"/>
      <c r="E1880" s="10">
        <f>IF(D1880="","",MIN(D1880,100))</f>
        <v/>
      </c>
      <c r="F1880" s="10" t="n"/>
      <c r="G1880" s="10">
        <f>IF(F1880="","",MIN(F1880,100))</f>
        <v/>
      </c>
      <c r="H1880" s="11">
        <f>IF(A1880="","",Universe!E1880/BDP(A1880&amp;" US Equity","HIGH_52WEEK")*100)</f>
        <v/>
      </c>
      <c r="I1880">
        <f>IF(D1880="","",D1880&gt;=5)</f>
        <v/>
      </c>
      <c r="J1880">
        <f>IF(F1880="","",F1880&gt;=5)</f>
        <v/>
      </c>
      <c r="K1880">
        <f>IF(H1880="","",H1880&gt;=75)</f>
        <v/>
      </c>
      <c r="L1880">
        <f>IF(OR(I1880="",J1880="",K1880=""),FALSE,AND(I1880,J1880,K1880))</f>
        <v/>
      </c>
    </row>
    <row r="1881">
      <c r="A1881">
        <f>Universe!A1881</f>
        <v/>
      </c>
      <c r="B1881" s="10" t="n"/>
      <c r="C1881" s="11">
        <f>IF(B1881="","",PERCENTRANK.INC($B$2:$B$2501,B1881)*100)</f>
        <v/>
      </c>
      <c r="D1881" s="10" t="n"/>
      <c r="E1881" s="10">
        <f>IF(D1881="","",MIN(D1881,100))</f>
        <v/>
      </c>
      <c r="F1881" s="10" t="n"/>
      <c r="G1881" s="10">
        <f>IF(F1881="","",MIN(F1881,100))</f>
        <v/>
      </c>
      <c r="H1881" s="11">
        <f>IF(A1881="","",Universe!E1881/BDP(A1881&amp;" US Equity","HIGH_52WEEK")*100)</f>
        <v/>
      </c>
      <c r="I1881">
        <f>IF(D1881="","",D1881&gt;=5)</f>
        <v/>
      </c>
      <c r="J1881">
        <f>IF(F1881="","",F1881&gt;=5)</f>
        <v/>
      </c>
      <c r="K1881">
        <f>IF(H1881="","",H1881&gt;=75)</f>
        <v/>
      </c>
      <c r="L1881">
        <f>IF(OR(I1881="",J1881="",K1881=""),FALSE,AND(I1881,J1881,K1881))</f>
        <v/>
      </c>
    </row>
    <row r="1882">
      <c r="A1882">
        <f>Universe!A1882</f>
        <v/>
      </c>
      <c r="B1882" s="10" t="n"/>
      <c r="C1882" s="11">
        <f>IF(B1882="","",PERCENTRANK.INC($B$2:$B$2501,B1882)*100)</f>
        <v/>
      </c>
      <c r="D1882" s="10" t="n"/>
      <c r="E1882" s="10">
        <f>IF(D1882="","",MIN(D1882,100))</f>
        <v/>
      </c>
      <c r="F1882" s="10" t="n"/>
      <c r="G1882" s="10">
        <f>IF(F1882="","",MIN(F1882,100))</f>
        <v/>
      </c>
      <c r="H1882" s="11">
        <f>IF(A1882="","",Universe!E1882/BDP(A1882&amp;" US Equity","HIGH_52WEEK")*100)</f>
        <v/>
      </c>
      <c r="I1882">
        <f>IF(D1882="","",D1882&gt;=5)</f>
        <v/>
      </c>
      <c r="J1882">
        <f>IF(F1882="","",F1882&gt;=5)</f>
        <v/>
      </c>
      <c r="K1882">
        <f>IF(H1882="","",H1882&gt;=75)</f>
        <v/>
      </c>
      <c r="L1882">
        <f>IF(OR(I1882="",J1882="",K1882=""),FALSE,AND(I1882,J1882,K1882))</f>
        <v/>
      </c>
    </row>
    <row r="1883">
      <c r="A1883">
        <f>Universe!A1883</f>
        <v/>
      </c>
      <c r="B1883" s="10" t="n"/>
      <c r="C1883" s="11">
        <f>IF(B1883="","",PERCENTRANK.INC($B$2:$B$2501,B1883)*100)</f>
        <v/>
      </c>
      <c r="D1883" s="10" t="n"/>
      <c r="E1883" s="10">
        <f>IF(D1883="","",MIN(D1883,100))</f>
        <v/>
      </c>
      <c r="F1883" s="10" t="n"/>
      <c r="G1883" s="10">
        <f>IF(F1883="","",MIN(F1883,100))</f>
        <v/>
      </c>
      <c r="H1883" s="11">
        <f>IF(A1883="","",Universe!E1883/BDP(A1883&amp;" US Equity","HIGH_52WEEK")*100)</f>
        <v/>
      </c>
      <c r="I1883">
        <f>IF(D1883="","",D1883&gt;=5)</f>
        <v/>
      </c>
      <c r="J1883">
        <f>IF(F1883="","",F1883&gt;=5)</f>
        <v/>
      </c>
      <c r="K1883">
        <f>IF(H1883="","",H1883&gt;=75)</f>
        <v/>
      </c>
      <c r="L1883">
        <f>IF(OR(I1883="",J1883="",K1883=""),FALSE,AND(I1883,J1883,K1883))</f>
        <v/>
      </c>
    </row>
    <row r="1884">
      <c r="A1884">
        <f>Universe!A1884</f>
        <v/>
      </c>
      <c r="B1884" s="10" t="n"/>
      <c r="C1884" s="11">
        <f>IF(B1884="","",PERCENTRANK.INC($B$2:$B$2501,B1884)*100)</f>
        <v/>
      </c>
      <c r="D1884" s="10" t="n"/>
      <c r="E1884" s="10">
        <f>IF(D1884="","",MIN(D1884,100))</f>
        <v/>
      </c>
      <c r="F1884" s="10" t="n"/>
      <c r="G1884" s="10">
        <f>IF(F1884="","",MIN(F1884,100))</f>
        <v/>
      </c>
      <c r="H1884" s="11">
        <f>IF(A1884="","",Universe!E1884/BDP(A1884&amp;" US Equity","HIGH_52WEEK")*100)</f>
        <v/>
      </c>
      <c r="I1884">
        <f>IF(D1884="","",D1884&gt;=5)</f>
        <v/>
      </c>
      <c r="J1884">
        <f>IF(F1884="","",F1884&gt;=5)</f>
        <v/>
      </c>
      <c r="K1884">
        <f>IF(H1884="","",H1884&gt;=75)</f>
        <v/>
      </c>
      <c r="L1884">
        <f>IF(OR(I1884="",J1884="",K1884=""),FALSE,AND(I1884,J1884,K1884))</f>
        <v/>
      </c>
    </row>
    <row r="1885">
      <c r="A1885">
        <f>Universe!A1885</f>
        <v/>
      </c>
      <c r="B1885" s="10" t="n"/>
      <c r="C1885" s="11">
        <f>IF(B1885="","",PERCENTRANK.INC($B$2:$B$2501,B1885)*100)</f>
        <v/>
      </c>
      <c r="D1885" s="10" t="n"/>
      <c r="E1885" s="10">
        <f>IF(D1885="","",MIN(D1885,100))</f>
        <v/>
      </c>
      <c r="F1885" s="10" t="n"/>
      <c r="G1885" s="10">
        <f>IF(F1885="","",MIN(F1885,100))</f>
        <v/>
      </c>
      <c r="H1885" s="11">
        <f>IF(A1885="","",Universe!E1885/BDP(A1885&amp;" US Equity","HIGH_52WEEK")*100)</f>
        <v/>
      </c>
      <c r="I1885">
        <f>IF(D1885="","",D1885&gt;=5)</f>
        <v/>
      </c>
      <c r="J1885">
        <f>IF(F1885="","",F1885&gt;=5)</f>
        <v/>
      </c>
      <c r="K1885">
        <f>IF(H1885="","",H1885&gt;=75)</f>
        <v/>
      </c>
      <c r="L1885">
        <f>IF(OR(I1885="",J1885="",K1885=""),FALSE,AND(I1885,J1885,K1885))</f>
        <v/>
      </c>
    </row>
    <row r="1886">
      <c r="A1886">
        <f>Universe!A1886</f>
        <v/>
      </c>
      <c r="B1886" s="10" t="n"/>
      <c r="C1886" s="11">
        <f>IF(B1886="","",PERCENTRANK.INC($B$2:$B$2501,B1886)*100)</f>
        <v/>
      </c>
      <c r="D1886" s="10" t="n"/>
      <c r="E1886" s="10">
        <f>IF(D1886="","",MIN(D1886,100))</f>
        <v/>
      </c>
      <c r="F1886" s="10" t="n"/>
      <c r="G1886" s="10">
        <f>IF(F1886="","",MIN(F1886,100))</f>
        <v/>
      </c>
      <c r="H1886" s="11">
        <f>IF(A1886="","",Universe!E1886/BDP(A1886&amp;" US Equity","HIGH_52WEEK")*100)</f>
        <v/>
      </c>
      <c r="I1886">
        <f>IF(D1886="","",D1886&gt;=5)</f>
        <v/>
      </c>
      <c r="J1886">
        <f>IF(F1886="","",F1886&gt;=5)</f>
        <v/>
      </c>
      <c r="K1886">
        <f>IF(H1886="","",H1886&gt;=75)</f>
        <v/>
      </c>
      <c r="L1886">
        <f>IF(OR(I1886="",J1886="",K1886=""),FALSE,AND(I1886,J1886,K1886))</f>
        <v/>
      </c>
    </row>
    <row r="1887">
      <c r="A1887">
        <f>Universe!A1887</f>
        <v/>
      </c>
      <c r="B1887" s="10" t="n"/>
      <c r="C1887" s="11">
        <f>IF(B1887="","",PERCENTRANK.INC($B$2:$B$2501,B1887)*100)</f>
        <v/>
      </c>
      <c r="D1887" s="10" t="n"/>
      <c r="E1887" s="10">
        <f>IF(D1887="","",MIN(D1887,100))</f>
        <v/>
      </c>
      <c r="F1887" s="10" t="n"/>
      <c r="G1887" s="10">
        <f>IF(F1887="","",MIN(F1887,100))</f>
        <v/>
      </c>
      <c r="H1887" s="11">
        <f>IF(A1887="","",Universe!E1887/BDP(A1887&amp;" US Equity","HIGH_52WEEK")*100)</f>
        <v/>
      </c>
      <c r="I1887">
        <f>IF(D1887="","",D1887&gt;=5)</f>
        <v/>
      </c>
      <c r="J1887">
        <f>IF(F1887="","",F1887&gt;=5)</f>
        <v/>
      </c>
      <c r="K1887">
        <f>IF(H1887="","",H1887&gt;=75)</f>
        <v/>
      </c>
      <c r="L1887">
        <f>IF(OR(I1887="",J1887="",K1887=""),FALSE,AND(I1887,J1887,K1887))</f>
        <v/>
      </c>
    </row>
    <row r="1888">
      <c r="A1888">
        <f>Universe!A1888</f>
        <v/>
      </c>
      <c r="B1888" s="10" t="n"/>
      <c r="C1888" s="11">
        <f>IF(B1888="","",PERCENTRANK.INC($B$2:$B$2501,B1888)*100)</f>
        <v/>
      </c>
      <c r="D1888" s="10" t="n"/>
      <c r="E1888" s="10">
        <f>IF(D1888="","",MIN(D1888,100))</f>
        <v/>
      </c>
      <c r="F1888" s="10" t="n"/>
      <c r="G1888" s="10">
        <f>IF(F1888="","",MIN(F1888,100))</f>
        <v/>
      </c>
      <c r="H1888" s="11">
        <f>IF(A1888="","",Universe!E1888/BDP(A1888&amp;" US Equity","HIGH_52WEEK")*100)</f>
        <v/>
      </c>
      <c r="I1888">
        <f>IF(D1888="","",D1888&gt;=5)</f>
        <v/>
      </c>
      <c r="J1888">
        <f>IF(F1888="","",F1888&gt;=5)</f>
        <v/>
      </c>
      <c r="K1888">
        <f>IF(H1888="","",H1888&gt;=75)</f>
        <v/>
      </c>
      <c r="L1888">
        <f>IF(OR(I1888="",J1888="",K1888=""),FALSE,AND(I1888,J1888,K1888))</f>
        <v/>
      </c>
    </row>
    <row r="1889">
      <c r="A1889">
        <f>Universe!A1889</f>
        <v/>
      </c>
      <c r="B1889" s="10" t="n"/>
      <c r="C1889" s="11">
        <f>IF(B1889="","",PERCENTRANK.INC($B$2:$B$2501,B1889)*100)</f>
        <v/>
      </c>
      <c r="D1889" s="10" t="n"/>
      <c r="E1889" s="10">
        <f>IF(D1889="","",MIN(D1889,100))</f>
        <v/>
      </c>
      <c r="F1889" s="10" t="n"/>
      <c r="G1889" s="10">
        <f>IF(F1889="","",MIN(F1889,100))</f>
        <v/>
      </c>
      <c r="H1889" s="11">
        <f>IF(A1889="","",Universe!E1889/BDP(A1889&amp;" US Equity","HIGH_52WEEK")*100)</f>
        <v/>
      </c>
      <c r="I1889">
        <f>IF(D1889="","",D1889&gt;=5)</f>
        <v/>
      </c>
      <c r="J1889">
        <f>IF(F1889="","",F1889&gt;=5)</f>
        <v/>
      </c>
      <c r="K1889">
        <f>IF(H1889="","",H1889&gt;=75)</f>
        <v/>
      </c>
      <c r="L1889">
        <f>IF(OR(I1889="",J1889="",K1889=""),FALSE,AND(I1889,J1889,K1889))</f>
        <v/>
      </c>
    </row>
    <row r="1890">
      <c r="A1890">
        <f>Universe!A1890</f>
        <v/>
      </c>
      <c r="B1890" s="10" t="n"/>
      <c r="C1890" s="11">
        <f>IF(B1890="","",PERCENTRANK.INC($B$2:$B$2501,B1890)*100)</f>
        <v/>
      </c>
      <c r="D1890" s="10" t="n"/>
      <c r="E1890" s="10">
        <f>IF(D1890="","",MIN(D1890,100))</f>
        <v/>
      </c>
      <c r="F1890" s="10" t="n"/>
      <c r="G1890" s="10">
        <f>IF(F1890="","",MIN(F1890,100))</f>
        <v/>
      </c>
      <c r="H1890" s="11">
        <f>IF(A1890="","",Universe!E1890/BDP(A1890&amp;" US Equity","HIGH_52WEEK")*100)</f>
        <v/>
      </c>
      <c r="I1890">
        <f>IF(D1890="","",D1890&gt;=5)</f>
        <v/>
      </c>
      <c r="J1890">
        <f>IF(F1890="","",F1890&gt;=5)</f>
        <v/>
      </c>
      <c r="K1890">
        <f>IF(H1890="","",H1890&gt;=75)</f>
        <v/>
      </c>
      <c r="L1890">
        <f>IF(OR(I1890="",J1890="",K1890=""),FALSE,AND(I1890,J1890,K1890))</f>
        <v/>
      </c>
    </row>
    <row r="1891">
      <c r="A1891">
        <f>Universe!A1891</f>
        <v/>
      </c>
      <c r="B1891" s="10" t="n"/>
      <c r="C1891" s="11">
        <f>IF(B1891="","",PERCENTRANK.INC($B$2:$B$2501,B1891)*100)</f>
        <v/>
      </c>
      <c r="D1891" s="10" t="n"/>
      <c r="E1891" s="10">
        <f>IF(D1891="","",MIN(D1891,100))</f>
        <v/>
      </c>
      <c r="F1891" s="10" t="n"/>
      <c r="G1891" s="10">
        <f>IF(F1891="","",MIN(F1891,100))</f>
        <v/>
      </c>
      <c r="H1891" s="11">
        <f>IF(A1891="","",Universe!E1891/BDP(A1891&amp;" US Equity","HIGH_52WEEK")*100)</f>
        <v/>
      </c>
      <c r="I1891">
        <f>IF(D1891="","",D1891&gt;=5)</f>
        <v/>
      </c>
      <c r="J1891">
        <f>IF(F1891="","",F1891&gt;=5)</f>
        <v/>
      </c>
      <c r="K1891">
        <f>IF(H1891="","",H1891&gt;=75)</f>
        <v/>
      </c>
      <c r="L1891">
        <f>IF(OR(I1891="",J1891="",K1891=""),FALSE,AND(I1891,J1891,K1891))</f>
        <v/>
      </c>
    </row>
    <row r="1892">
      <c r="A1892">
        <f>Universe!A1892</f>
        <v/>
      </c>
      <c r="B1892" s="10" t="n"/>
      <c r="C1892" s="11">
        <f>IF(B1892="","",PERCENTRANK.INC($B$2:$B$2501,B1892)*100)</f>
        <v/>
      </c>
      <c r="D1892" s="10" t="n"/>
      <c r="E1892" s="10">
        <f>IF(D1892="","",MIN(D1892,100))</f>
        <v/>
      </c>
      <c r="F1892" s="10" t="n"/>
      <c r="G1892" s="10">
        <f>IF(F1892="","",MIN(F1892,100))</f>
        <v/>
      </c>
      <c r="H1892" s="11">
        <f>IF(A1892="","",Universe!E1892/BDP(A1892&amp;" US Equity","HIGH_52WEEK")*100)</f>
        <v/>
      </c>
      <c r="I1892">
        <f>IF(D1892="","",D1892&gt;=5)</f>
        <v/>
      </c>
      <c r="J1892">
        <f>IF(F1892="","",F1892&gt;=5)</f>
        <v/>
      </c>
      <c r="K1892">
        <f>IF(H1892="","",H1892&gt;=75)</f>
        <v/>
      </c>
      <c r="L1892">
        <f>IF(OR(I1892="",J1892="",K1892=""),FALSE,AND(I1892,J1892,K1892))</f>
        <v/>
      </c>
    </row>
    <row r="1893">
      <c r="A1893">
        <f>Universe!A1893</f>
        <v/>
      </c>
      <c r="B1893" s="10" t="n"/>
      <c r="C1893" s="11">
        <f>IF(B1893="","",PERCENTRANK.INC($B$2:$B$2501,B1893)*100)</f>
        <v/>
      </c>
      <c r="D1893" s="10" t="n"/>
      <c r="E1893" s="10">
        <f>IF(D1893="","",MIN(D1893,100))</f>
        <v/>
      </c>
      <c r="F1893" s="10" t="n"/>
      <c r="G1893" s="10">
        <f>IF(F1893="","",MIN(F1893,100))</f>
        <v/>
      </c>
      <c r="H1893" s="11">
        <f>IF(A1893="","",Universe!E1893/BDP(A1893&amp;" US Equity","HIGH_52WEEK")*100)</f>
        <v/>
      </c>
      <c r="I1893">
        <f>IF(D1893="","",D1893&gt;=5)</f>
        <v/>
      </c>
      <c r="J1893">
        <f>IF(F1893="","",F1893&gt;=5)</f>
        <v/>
      </c>
      <c r="K1893">
        <f>IF(H1893="","",H1893&gt;=75)</f>
        <v/>
      </c>
      <c r="L1893">
        <f>IF(OR(I1893="",J1893="",K1893=""),FALSE,AND(I1893,J1893,K1893))</f>
        <v/>
      </c>
    </row>
    <row r="1894">
      <c r="A1894">
        <f>Universe!A1894</f>
        <v/>
      </c>
      <c r="B1894" s="10" t="n"/>
      <c r="C1894" s="11">
        <f>IF(B1894="","",PERCENTRANK.INC($B$2:$B$2501,B1894)*100)</f>
        <v/>
      </c>
      <c r="D1894" s="10" t="n"/>
      <c r="E1894" s="10">
        <f>IF(D1894="","",MIN(D1894,100))</f>
        <v/>
      </c>
      <c r="F1894" s="10" t="n"/>
      <c r="G1894" s="10">
        <f>IF(F1894="","",MIN(F1894,100))</f>
        <v/>
      </c>
      <c r="H1894" s="11">
        <f>IF(A1894="","",Universe!E1894/BDP(A1894&amp;" US Equity","HIGH_52WEEK")*100)</f>
        <v/>
      </c>
      <c r="I1894">
        <f>IF(D1894="","",D1894&gt;=5)</f>
        <v/>
      </c>
      <c r="J1894">
        <f>IF(F1894="","",F1894&gt;=5)</f>
        <v/>
      </c>
      <c r="K1894">
        <f>IF(H1894="","",H1894&gt;=75)</f>
        <v/>
      </c>
      <c r="L1894">
        <f>IF(OR(I1894="",J1894="",K1894=""),FALSE,AND(I1894,J1894,K1894))</f>
        <v/>
      </c>
    </row>
    <row r="1895">
      <c r="A1895">
        <f>Universe!A1895</f>
        <v/>
      </c>
      <c r="B1895" s="10" t="n"/>
      <c r="C1895" s="11">
        <f>IF(B1895="","",PERCENTRANK.INC($B$2:$B$2501,B1895)*100)</f>
        <v/>
      </c>
      <c r="D1895" s="10" t="n"/>
      <c r="E1895" s="10">
        <f>IF(D1895="","",MIN(D1895,100))</f>
        <v/>
      </c>
      <c r="F1895" s="10" t="n"/>
      <c r="G1895" s="10">
        <f>IF(F1895="","",MIN(F1895,100))</f>
        <v/>
      </c>
      <c r="H1895" s="11">
        <f>IF(A1895="","",Universe!E1895/BDP(A1895&amp;" US Equity","HIGH_52WEEK")*100)</f>
        <v/>
      </c>
      <c r="I1895">
        <f>IF(D1895="","",D1895&gt;=5)</f>
        <v/>
      </c>
      <c r="J1895">
        <f>IF(F1895="","",F1895&gt;=5)</f>
        <v/>
      </c>
      <c r="K1895">
        <f>IF(H1895="","",H1895&gt;=75)</f>
        <v/>
      </c>
      <c r="L1895">
        <f>IF(OR(I1895="",J1895="",K1895=""),FALSE,AND(I1895,J1895,K1895))</f>
        <v/>
      </c>
    </row>
    <row r="1896">
      <c r="A1896">
        <f>Universe!A1896</f>
        <v/>
      </c>
      <c r="B1896" s="10" t="n"/>
      <c r="C1896" s="11">
        <f>IF(B1896="","",PERCENTRANK.INC($B$2:$B$2501,B1896)*100)</f>
        <v/>
      </c>
      <c r="D1896" s="10" t="n"/>
      <c r="E1896" s="10">
        <f>IF(D1896="","",MIN(D1896,100))</f>
        <v/>
      </c>
      <c r="F1896" s="10" t="n"/>
      <c r="G1896" s="10">
        <f>IF(F1896="","",MIN(F1896,100))</f>
        <v/>
      </c>
      <c r="H1896" s="11">
        <f>IF(A1896="","",Universe!E1896/BDP(A1896&amp;" US Equity","HIGH_52WEEK")*100)</f>
        <v/>
      </c>
      <c r="I1896">
        <f>IF(D1896="","",D1896&gt;=5)</f>
        <v/>
      </c>
      <c r="J1896">
        <f>IF(F1896="","",F1896&gt;=5)</f>
        <v/>
      </c>
      <c r="K1896">
        <f>IF(H1896="","",H1896&gt;=75)</f>
        <v/>
      </c>
      <c r="L1896">
        <f>IF(OR(I1896="",J1896="",K1896=""),FALSE,AND(I1896,J1896,K1896))</f>
        <v/>
      </c>
    </row>
    <row r="1897">
      <c r="A1897">
        <f>Universe!A1897</f>
        <v/>
      </c>
      <c r="B1897" s="10" t="n"/>
      <c r="C1897" s="11">
        <f>IF(B1897="","",PERCENTRANK.INC($B$2:$B$2501,B1897)*100)</f>
        <v/>
      </c>
      <c r="D1897" s="10" t="n"/>
      <c r="E1897" s="10">
        <f>IF(D1897="","",MIN(D1897,100))</f>
        <v/>
      </c>
      <c r="F1897" s="10" t="n"/>
      <c r="G1897" s="10">
        <f>IF(F1897="","",MIN(F1897,100))</f>
        <v/>
      </c>
      <c r="H1897" s="11">
        <f>IF(A1897="","",Universe!E1897/BDP(A1897&amp;" US Equity","HIGH_52WEEK")*100)</f>
        <v/>
      </c>
      <c r="I1897">
        <f>IF(D1897="","",D1897&gt;=5)</f>
        <v/>
      </c>
      <c r="J1897">
        <f>IF(F1897="","",F1897&gt;=5)</f>
        <v/>
      </c>
      <c r="K1897">
        <f>IF(H1897="","",H1897&gt;=75)</f>
        <v/>
      </c>
      <c r="L1897">
        <f>IF(OR(I1897="",J1897="",K1897=""),FALSE,AND(I1897,J1897,K1897))</f>
        <v/>
      </c>
    </row>
    <row r="1898">
      <c r="A1898">
        <f>Universe!A1898</f>
        <v/>
      </c>
      <c r="B1898" s="10" t="n"/>
      <c r="C1898" s="11">
        <f>IF(B1898="","",PERCENTRANK.INC($B$2:$B$2501,B1898)*100)</f>
        <v/>
      </c>
      <c r="D1898" s="10" t="n"/>
      <c r="E1898" s="10">
        <f>IF(D1898="","",MIN(D1898,100))</f>
        <v/>
      </c>
      <c r="F1898" s="10" t="n"/>
      <c r="G1898" s="10">
        <f>IF(F1898="","",MIN(F1898,100))</f>
        <v/>
      </c>
      <c r="H1898" s="11">
        <f>IF(A1898="","",Universe!E1898/BDP(A1898&amp;" US Equity","HIGH_52WEEK")*100)</f>
        <v/>
      </c>
      <c r="I1898">
        <f>IF(D1898="","",D1898&gt;=5)</f>
        <v/>
      </c>
      <c r="J1898">
        <f>IF(F1898="","",F1898&gt;=5)</f>
        <v/>
      </c>
      <c r="K1898">
        <f>IF(H1898="","",H1898&gt;=75)</f>
        <v/>
      </c>
      <c r="L1898">
        <f>IF(OR(I1898="",J1898="",K1898=""),FALSE,AND(I1898,J1898,K1898))</f>
        <v/>
      </c>
    </row>
    <row r="1899">
      <c r="A1899">
        <f>Universe!A1899</f>
        <v/>
      </c>
      <c r="B1899" s="10" t="n"/>
      <c r="C1899" s="11">
        <f>IF(B1899="","",PERCENTRANK.INC($B$2:$B$2501,B1899)*100)</f>
        <v/>
      </c>
      <c r="D1899" s="10" t="n"/>
      <c r="E1899" s="10">
        <f>IF(D1899="","",MIN(D1899,100))</f>
        <v/>
      </c>
      <c r="F1899" s="10" t="n"/>
      <c r="G1899" s="10">
        <f>IF(F1899="","",MIN(F1899,100))</f>
        <v/>
      </c>
      <c r="H1899" s="11">
        <f>IF(A1899="","",Universe!E1899/BDP(A1899&amp;" US Equity","HIGH_52WEEK")*100)</f>
        <v/>
      </c>
      <c r="I1899">
        <f>IF(D1899="","",D1899&gt;=5)</f>
        <v/>
      </c>
      <c r="J1899">
        <f>IF(F1899="","",F1899&gt;=5)</f>
        <v/>
      </c>
      <c r="K1899">
        <f>IF(H1899="","",H1899&gt;=75)</f>
        <v/>
      </c>
      <c r="L1899">
        <f>IF(OR(I1899="",J1899="",K1899=""),FALSE,AND(I1899,J1899,K1899))</f>
        <v/>
      </c>
    </row>
    <row r="1900">
      <c r="A1900">
        <f>Universe!A1900</f>
        <v/>
      </c>
      <c r="B1900" s="10" t="n"/>
      <c r="C1900" s="11">
        <f>IF(B1900="","",PERCENTRANK.INC($B$2:$B$2501,B1900)*100)</f>
        <v/>
      </c>
      <c r="D1900" s="10" t="n"/>
      <c r="E1900" s="10">
        <f>IF(D1900="","",MIN(D1900,100))</f>
        <v/>
      </c>
      <c r="F1900" s="10" t="n"/>
      <c r="G1900" s="10">
        <f>IF(F1900="","",MIN(F1900,100))</f>
        <v/>
      </c>
      <c r="H1900" s="11">
        <f>IF(A1900="","",Universe!E1900/BDP(A1900&amp;" US Equity","HIGH_52WEEK")*100)</f>
        <v/>
      </c>
      <c r="I1900">
        <f>IF(D1900="","",D1900&gt;=5)</f>
        <v/>
      </c>
      <c r="J1900">
        <f>IF(F1900="","",F1900&gt;=5)</f>
        <v/>
      </c>
      <c r="K1900">
        <f>IF(H1900="","",H1900&gt;=75)</f>
        <v/>
      </c>
      <c r="L1900">
        <f>IF(OR(I1900="",J1900="",K1900=""),FALSE,AND(I1900,J1900,K1900))</f>
        <v/>
      </c>
    </row>
    <row r="1901">
      <c r="A1901">
        <f>Universe!A1901</f>
        <v/>
      </c>
      <c r="B1901" s="10" t="n"/>
      <c r="C1901" s="11">
        <f>IF(B1901="","",PERCENTRANK.INC($B$2:$B$2501,B1901)*100)</f>
        <v/>
      </c>
      <c r="D1901" s="10" t="n"/>
      <c r="E1901" s="10">
        <f>IF(D1901="","",MIN(D1901,100))</f>
        <v/>
      </c>
      <c r="F1901" s="10" t="n"/>
      <c r="G1901" s="10">
        <f>IF(F1901="","",MIN(F1901,100))</f>
        <v/>
      </c>
      <c r="H1901" s="11">
        <f>IF(A1901="","",Universe!E1901/BDP(A1901&amp;" US Equity","HIGH_52WEEK")*100)</f>
        <v/>
      </c>
      <c r="I1901">
        <f>IF(D1901="","",D1901&gt;=5)</f>
        <v/>
      </c>
      <c r="J1901">
        <f>IF(F1901="","",F1901&gt;=5)</f>
        <v/>
      </c>
      <c r="K1901">
        <f>IF(H1901="","",H1901&gt;=75)</f>
        <v/>
      </c>
      <c r="L1901">
        <f>IF(OR(I1901="",J1901="",K1901=""),FALSE,AND(I1901,J1901,K1901))</f>
        <v/>
      </c>
    </row>
    <row r="1902">
      <c r="A1902">
        <f>Universe!A1902</f>
        <v/>
      </c>
      <c r="B1902" s="10" t="n"/>
      <c r="C1902" s="11">
        <f>IF(B1902="","",PERCENTRANK.INC($B$2:$B$2501,B1902)*100)</f>
        <v/>
      </c>
      <c r="D1902" s="10" t="n"/>
      <c r="E1902" s="10">
        <f>IF(D1902="","",MIN(D1902,100))</f>
        <v/>
      </c>
      <c r="F1902" s="10" t="n"/>
      <c r="G1902" s="10">
        <f>IF(F1902="","",MIN(F1902,100))</f>
        <v/>
      </c>
      <c r="H1902" s="11">
        <f>IF(A1902="","",Universe!E1902/BDP(A1902&amp;" US Equity","HIGH_52WEEK")*100)</f>
        <v/>
      </c>
      <c r="I1902">
        <f>IF(D1902="","",D1902&gt;=5)</f>
        <v/>
      </c>
      <c r="J1902">
        <f>IF(F1902="","",F1902&gt;=5)</f>
        <v/>
      </c>
      <c r="K1902">
        <f>IF(H1902="","",H1902&gt;=75)</f>
        <v/>
      </c>
      <c r="L1902">
        <f>IF(OR(I1902="",J1902="",K1902=""),FALSE,AND(I1902,J1902,K1902))</f>
        <v/>
      </c>
    </row>
    <row r="1903">
      <c r="A1903">
        <f>Universe!A1903</f>
        <v/>
      </c>
      <c r="B1903" s="10" t="n"/>
      <c r="C1903" s="11">
        <f>IF(B1903="","",PERCENTRANK.INC($B$2:$B$2501,B1903)*100)</f>
        <v/>
      </c>
      <c r="D1903" s="10" t="n"/>
      <c r="E1903" s="10">
        <f>IF(D1903="","",MIN(D1903,100))</f>
        <v/>
      </c>
      <c r="F1903" s="10" t="n"/>
      <c r="G1903" s="10">
        <f>IF(F1903="","",MIN(F1903,100))</f>
        <v/>
      </c>
      <c r="H1903" s="11">
        <f>IF(A1903="","",Universe!E1903/BDP(A1903&amp;" US Equity","HIGH_52WEEK")*100)</f>
        <v/>
      </c>
      <c r="I1903">
        <f>IF(D1903="","",D1903&gt;=5)</f>
        <v/>
      </c>
      <c r="J1903">
        <f>IF(F1903="","",F1903&gt;=5)</f>
        <v/>
      </c>
      <c r="K1903">
        <f>IF(H1903="","",H1903&gt;=75)</f>
        <v/>
      </c>
      <c r="L1903">
        <f>IF(OR(I1903="",J1903="",K1903=""),FALSE,AND(I1903,J1903,K1903))</f>
        <v/>
      </c>
    </row>
    <row r="1904">
      <c r="A1904">
        <f>Universe!A1904</f>
        <v/>
      </c>
      <c r="B1904" s="10" t="n"/>
      <c r="C1904" s="11">
        <f>IF(B1904="","",PERCENTRANK.INC($B$2:$B$2501,B1904)*100)</f>
        <v/>
      </c>
      <c r="D1904" s="10" t="n"/>
      <c r="E1904" s="10">
        <f>IF(D1904="","",MIN(D1904,100))</f>
        <v/>
      </c>
      <c r="F1904" s="10" t="n"/>
      <c r="G1904" s="10">
        <f>IF(F1904="","",MIN(F1904,100))</f>
        <v/>
      </c>
      <c r="H1904" s="11">
        <f>IF(A1904="","",Universe!E1904/BDP(A1904&amp;" US Equity","HIGH_52WEEK")*100)</f>
        <v/>
      </c>
      <c r="I1904">
        <f>IF(D1904="","",D1904&gt;=5)</f>
        <v/>
      </c>
      <c r="J1904">
        <f>IF(F1904="","",F1904&gt;=5)</f>
        <v/>
      </c>
      <c r="K1904">
        <f>IF(H1904="","",H1904&gt;=75)</f>
        <v/>
      </c>
      <c r="L1904">
        <f>IF(OR(I1904="",J1904="",K1904=""),FALSE,AND(I1904,J1904,K1904))</f>
        <v/>
      </c>
    </row>
    <row r="1905">
      <c r="A1905">
        <f>Universe!A1905</f>
        <v/>
      </c>
      <c r="B1905" s="10" t="n"/>
      <c r="C1905" s="11">
        <f>IF(B1905="","",PERCENTRANK.INC($B$2:$B$2501,B1905)*100)</f>
        <v/>
      </c>
      <c r="D1905" s="10" t="n"/>
      <c r="E1905" s="10">
        <f>IF(D1905="","",MIN(D1905,100))</f>
        <v/>
      </c>
      <c r="F1905" s="10" t="n"/>
      <c r="G1905" s="10">
        <f>IF(F1905="","",MIN(F1905,100))</f>
        <v/>
      </c>
      <c r="H1905" s="11">
        <f>IF(A1905="","",Universe!E1905/BDP(A1905&amp;" US Equity","HIGH_52WEEK")*100)</f>
        <v/>
      </c>
      <c r="I1905">
        <f>IF(D1905="","",D1905&gt;=5)</f>
        <v/>
      </c>
      <c r="J1905">
        <f>IF(F1905="","",F1905&gt;=5)</f>
        <v/>
      </c>
      <c r="K1905">
        <f>IF(H1905="","",H1905&gt;=75)</f>
        <v/>
      </c>
      <c r="L1905">
        <f>IF(OR(I1905="",J1905="",K1905=""),FALSE,AND(I1905,J1905,K1905))</f>
        <v/>
      </c>
    </row>
    <row r="1906">
      <c r="A1906">
        <f>Universe!A1906</f>
        <v/>
      </c>
      <c r="B1906" s="10" t="n"/>
      <c r="C1906" s="11">
        <f>IF(B1906="","",PERCENTRANK.INC($B$2:$B$2501,B1906)*100)</f>
        <v/>
      </c>
      <c r="D1906" s="10" t="n"/>
      <c r="E1906" s="10">
        <f>IF(D1906="","",MIN(D1906,100))</f>
        <v/>
      </c>
      <c r="F1906" s="10" t="n"/>
      <c r="G1906" s="10">
        <f>IF(F1906="","",MIN(F1906,100))</f>
        <v/>
      </c>
      <c r="H1906" s="11">
        <f>IF(A1906="","",Universe!E1906/BDP(A1906&amp;" US Equity","HIGH_52WEEK")*100)</f>
        <v/>
      </c>
      <c r="I1906">
        <f>IF(D1906="","",D1906&gt;=5)</f>
        <v/>
      </c>
      <c r="J1906">
        <f>IF(F1906="","",F1906&gt;=5)</f>
        <v/>
      </c>
      <c r="K1906">
        <f>IF(H1906="","",H1906&gt;=75)</f>
        <v/>
      </c>
      <c r="L1906">
        <f>IF(OR(I1906="",J1906="",K1906=""),FALSE,AND(I1906,J1906,K1906))</f>
        <v/>
      </c>
    </row>
    <row r="1907">
      <c r="A1907">
        <f>Universe!A1907</f>
        <v/>
      </c>
      <c r="B1907" s="10" t="n"/>
      <c r="C1907" s="11">
        <f>IF(B1907="","",PERCENTRANK.INC($B$2:$B$2501,B1907)*100)</f>
        <v/>
      </c>
      <c r="D1907" s="10" t="n"/>
      <c r="E1907" s="10">
        <f>IF(D1907="","",MIN(D1907,100))</f>
        <v/>
      </c>
      <c r="F1907" s="10" t="n"/>
      <c r="G1907" s="10">
        <f>IF(F1907="","",MIN(F1907,100))</f>
        <v/>
      </c>
      <c r="H1907" s="11">
        <f>IF(A1907="","",Universe!E1907/BDP(A1907&amp;" US Equity","HIGH_52WEEK")*100)</f>
        <v/>
      </c>
      <c r="I1907">
        <f>IF(D1907="","",D1907&gt;=5)</f>
        <v/>
      </c>
      <c r="J1907">
        <f>IF(F1907="","",F1907&gt;=5)</f>
        <v/>
      </c>
      <c r="K1907">
        <f>IF(H1907="","",H1907&gt;=75)</f>
        <v/>
      </c>
      <c r="L1907">
        <f>IF(OR(I1907="",J1907="",K1907=""),FALSE,AND(I1907,J1907,K1907))</f>
        <v/>
      </c>
    </row>
    <row r="1908">
      <c r="A1908">
        <f>Universe!A1908</f>
        <v/>
      </c>
      <c r="B1908" s="10" t="n"/>
      <c r="C1908" s="11">
        <f>IF(B1908="","",PERCENTRANK.INC($B$2:$B$2501,B1908)*100)</f>
        <v/>
      </c>
      <c r="D1908" s="10" t="n"/>
      <c r="E1908" s="10">
        <f>IF(D1908="","",MIN(D1908,100))</f>
        <v/>
      </c>
      <c r="F1908" s="10" t="n"/>
      <c r="G1908" s="10">
        <f>IF(F1908="","",MIN(F1908,100))</f>
        <v/>
      </c>
      <c r="H1908" s="11">
        <f>IF(A1908="","",Universe!E1908/BDP(A1908&amp;" US Equity","HIGH_52WEEK")*100)</f>
        <v/>
      </c>
      <c r="I1908">
        <f>IF(D1908="","",D1908&gt;=5)</f>
        <v/>
      </c>
      <c r="J1908">
        <f>IF(F1908="","",F1908&gt;=5)</f>
        <v/>
      </c>
      <c r="K1908">
        <f>IF(H1908="","",H1908&gt;=75)</f>
        <v/>
      </c>
      <c r="L1908">
        <f>IF(OR(I1908="",J1908="",K1908=""),FALSE,AND(I1908,J1908,K1908))</f>
        <v/>
      </c>
    </row>
    <row r="1909">
      <c r="A1909">
        <f>Universe!A1909</f>
        <v/>
      </c>
      <c r="B1909" s="10" t="n"/>
      <c r="C1909" s="11">
        <f>IF(B1909="","",PERCENTRANK.INC($B$2:$B$2501,B1909)*100)</f>
        <v/>
      </c>
      <c r="D1909" s="10" t="n"/>
      <c r="E1909" s="10">
        <f>IF(D1909="","",MIN(D1909,100))</f>
        <v/>
      </c>
      <c r="F1909" s="10" t="n"/>
      <c r="G1909" s="10">
        <f>IF(F1909="","",MIN(F1909,100))</f>
        <v/>
      </c>
      <c r="H1909" s="11">
        <f>IF(A1909="","",Universe!E1909/BDP(A1909&amp;" US Equity","HIGH_52WEEK")*100)</f>
        <v/>
      </c>
      <c r="I1909">
        <f>IF(D1909="","",D1909&gt;=5)</f>
        <v/>
      </c>
      <c r="J1909">
        <f>IF(F1909="","",F1909&gt;=5)</f>
        <v/>
      </c>
      <c r="K1909">
        <f>IF(H1909="","",H1909&gt;=75)</f>
        <v/>
      </c>
      <c r="L1909">
        <f>IF(OR(I1909="",J1909="",K1909=""),FALSE,AND(I1909,J1909,K1909))</f>
        <v/>
      </c>
    </row>
    <row r="1910">
      <c r="A1910">
        <f>Universe!A1910</f>
        <v/>
      </c>
      <c r="B1910" s="10" t="n"/>
      <c r="C1910" s="11">
        <f>IF(B1910="","",PERCENTRANK.INC($B$2:$B$2501,B1910)*100)</f>
        <v/>
      </c>
      <c r="D1910" s="10" t="n"/>
      <c r="E1910" s="10">
        <f>IF(D1910="","",MIN(D1910,100))</f>
        <v/>
      </c>
      <c r="F1910" s="10" t="n"/>
      <c r="G1910" s="10">
        <f>IF(F1910="","",MIN(F1910,100))</f>
        <v/>
      </c>
      <c r="H1910" s="11">
        <f>IF(A1910="","",Universe!E1910/BDP(A1910&amp;" US Equity","HIGH_52WEEK")*100)</f>
        <v/>
      </c>
      <c r="I1910">
        <f>IF(D1910="","",D1910&gt;=5)</f>
        <v/>
      </c>
      <c r="J1910">
        <f>IF(F1910="","",F1910&gt;=5)</f>
        <v/>
      </c>
      <c r="K1910">
        <f>IF(H1910="","",H1910&gt;=75)</f>
        <v/>
      </c>
      <c r="L1910">
        <f>IF(OR(I1910="",J1910="",K1910=""),FALSE,AND(I1910,J1910,K1910))</f>
        <v/>
      </c>
    </row>
    <row r="1911">
      <c r="A1911">
        <f>Universe!A1911</f>
        <v/>
      </c>
      <c r="B1911" s="10" t="n"/>
      <c r="C1911" s="11">
        <f>IF(B1911="","",PERCENTRANK.INC($B$2:$B$2501,B1911)*100)</f>
        <v/>
      </c>
      <c r="D1911" s="10" t="n"/>
      <c r="E1911" s="10">
        <f>IF(D1911="","",MIN(D1911,100))</f>
        <v/>
      </c>
      <c r="F1911" s="10" t="n"/>
      <c r="G1911" s="10">
        <f>IF(F1911="","",MIN(F1911,100))</f>
        <v/>
      </c>
      <c r="H1911" s="11">
        <f>IF(A1911="","",Universe!E1911/BDP(A1911&amp;" US Equity","HIGH_52WEEK")*100)</f>
        <v/>
      </c>
      <c r="I1911">
        <f>IF(D1911="","",D1911&gt;=5)</f>
        <v/>
      </c>
      <c r="J1911">
        <f>IF(F1911="","",F1911&gt;=5)</f>
        <v/>
      </c>
      <c r="K1911">
        <f>IF(H1911="","",H1911&gt;=75)</f>
        <v/>
      </c>
      <c r="L1911">
        <f>IF(OR(I1911="",J1911="",K1911=""),FALSE,AND(I1911,J1911,K1911))</f>
        <v/>
      </c>
    </row>
    <row r="1912">
      <c r="A1912">
        <f>Universe!A1912</f>
        <v/>
      </c>
      <c r="B1912" s="10" t="n"/>
      <c r="C1912" s="11">
        <f>IF(B1912="","",PERCENTRANK.INC($B$2:$B$2501,B1912)*100)</f>
        <v/>
      </c>
      <c r="D1912" s="10" t="n"/>
      <c r="E1912" s="10">
        <f>IF(D1912="","",MIN(D1912,100))</f>
        <v/>
      </c>
      <c r="F1912" s="10" t="n"/>
      <c r="G1912" s="10">
        <f>IF(F1912="","",MIN(F1912,100))</f>
        <v/>
      </c>
      <c r="H1912" s="11">
        <f>IF(A1912="","",Universe!E1912/BDP(A1912&amp;" US Equity","HIGH_52WEEK")*100)</f>
        <v/>
      </c>
      <c r="I1912">
        <f>IF(D1912="","",D1912&gt;=5)</f>
        <v/>
      </c>
      <c r="J1912">
        <f>IF(F1912="","",F1912&gt;=5)</f>
        <v/>
      </c>
      <c r="K1912">
        <f>IF(H1912="","",H1912&gt;=75)</f>
        <v/>
      </c>
      <c r="L1912">
        <f>IF(OR(I1912="",J1912="",K1912=""),FALSE,AND(I1912,J1912,K1912))</f>
        <v/>
      </c>
    </row>
    <row r="1913">
      <c r="A1913">
        <f>Universe!A1913</f>
        <v/>
      </c>
      <c r="B1913" s="10" t="n"/>
      <c r="C1913" s="11">
        <f>IF(B1913="","",PERCENTRANK.INC($B$2:$B$2501,B1913)*100)</f>
        <v/>
      </c>
      <c r="D1913" s="10" t="n"/>
      <c r="E1913" s="10">
        <f>IF(D1913="","",MIN(D1913,100))</f>
        <v/>
      </c>
      <c r="F1913" s="10" t="n"/>
      <c r="G1913" s="10">
        <f>IF(F1913="","",MIN(F1913,100))</f>
        <v/>
      </c>
      <c r="H1913" s="11">
        <f>IF(A1913="","",Universe!E1913/BDP(A1913&amp;" US Equity","HIGH_52WEEK")*100)</f>
        <v/>
      </c>
      <c r="I1913">
        <f>IF(D1913="","",D1913&gt;=5)</f>
        <v/>
      </c>
      <c r="J1913">
        <f>IF(F1913="","",F1913&gt;=5)</f>
        <v/>
      </c>
      <c r="K1913">
        <f>IF(H1913="","",H1913&gt;=75)</f>
        <v/>
      </c>
      <c r="L1913">
        <f>IF(OR(I1913="",J1913="",K1913=""),FALSE,AND(I1913,J1913,K1913))</f>
        <v/>
      </c>
    </row>
    <row r="1914">
      <c r="A1914">
        <f>Universe!A1914</f>
        <v/>
      </c>
      <c r="B1914" s="10" t="n"/>
      <c r="C1914" s="11">
        <f>IF(B1914="","",PERCENTRANK.INC($B$2:$B$2501,B1914)*100)</f>
        <v/>
      </c>
      <c r="D1914" s="10" t="n"/>
      <c r="E1914" s="10">
        <f>IF(D1914="","",MIN(D1914,100))</f>
        <v/>
      </c>
      <c r="F1914" s="10" t="n"/>
      <c r="G1914" s="10">
        <f>IF(F1914="","",MIN(F1914,100))</f>
        <v/>
      </c>
      <c r="H1914" s="11">
        <f>IF(A1914="","",Universe!E1914/BDP(A1914&amp;" US Equity","HIGH_52WEEK")*100)</f>
        <v/>
      </c>
      <c r="I1914">
        <f>IF(D1914="","",D1914&gt;=5)</f>
        <v/>
      </c>
      <c r="J1914">
        <f>IF(F1914="","",F1914&gt;=5)</f>
        <v/>
      </c>
      <c r="K1914">
        <f>IF(H1914="","",H1914&gt;=75)</f>
        <v/>
      </c>
      <c r="L1914">
        <f>IF(OR(I1914="",J1914="",K1914=""),FALSE,AND(I1914,J1914,K1914))</f>
        <v/>
      </c>
    </row>
    <row r="1915">
      <c r="A1915">
        <f>Universe!A1915</f>
        <v/>
      </c>
      <c r="B1915" s="10" t="n"/>
      <c r="C1915" s="11">
        <f>IF(B1915="","",PERCENTRANK.INC($B$2:$B$2501,B1915)*100)</f>
        <v/>
      </c>
      <c r="D1915" s="10" t="n"/>
      <c r="E1915" s="10">
        <f>IF(D1915="","",MIN(D1915,100))</f>
        <v/>
      </c>
      <c r="F1915" s="10" t="n"/>
      <c r="G1915" s="10">
        <f>IF(F1915="","",MIN(F1915,100))</f>
        <v/>
      </c>
      <c r="H1915" s="11">
        <f>IF(A1915="","",Universe!E1915/BDP(A1915&amp;" US Equity","HIGH_52WEEK")*100)</f>
        <v/>
      </c>
      <c r="I1915">
        <f>IF(D1915="","",D1915&gt;=5)</f>
        <v/>
      </c>
      <c r="J1915">
        <f>IF(F1915="","",F1915&gt;=5)</f>
        <v/>
      </c>
      <c r="K1915">
        <f>IF(H1915="","",H1915&gt;=75)</f>
        <v/>
      </c>
      <c r="L1915">
        <f>IF(OR(I1915="",J1915="",K1915=""),FALSE,AND(I1915,J1915,K1915))</f>
        <v/>
      </c>
    </row>
    <row r="1916">
      <c r="A1916">
        <f>Universe!A1916</f>
        <v/>
      </c>
      <c r="B1916" s="10" t="n"/>
      <c r="C1916" s="11">
        <f>IF(B1916="","",PERCENTRANK.INC($B$2:$B$2501,B1916)*100)</f>
        <v/>
      </c>
      <c r="D1916" s="10" t="n"/>
      <c r="E1916" s="10">
        <f>IF(D1916="","",MIN(D1916,100))</f>
        <v/>
      </c>
      <c r="F1916" s="10" t="n"/>
      <c r="G1916" s="10">
        <f>IF(F1916="","",MIN(F1916,100))</f>
        <v/>
      </c>
      <c r="H1916" s="11">
        <f>IF(A1916="","",Universe!E1916/BDP(A1916&amp;" US Equity","HIGH_52WEEK")*100)</f>
        <v/>
      </c>
      <c r="I1916">
        <f>IF(D1916="","",D1916&gt;=5)</f>
        <v/>
      </c>
      <c r="J1916">
        <f>IF(F1916="","",F1916&gt;=5)</f>
        <v/>
      </c>
      <c r="K1916">
        <f>IF(H1916="","",H1916&gt;=75)</f>
        <v/>
      </c>
      <c r="L1916">
        <f>IF(OR(I1916="",J1916="",K1916=""),FALSE,AND(I1916,J1916,K1916))</f>
        <v/>
      </c>
    </row>
    <row r="1917">
      <c r="A1917">
        <f>Universe!A1917</f>
        <v/>
      </c>
      <c r="B1917" s="10" t="n"/>
      <c r="C1917" s="11">
        <f>IF(B1917="","",PERCENTRANK.INC($B$2:$B$2501,B1917)*100)</f>
        <v/>
      </c>
      <c r="D1917" s="10" t="n"/>
      <c r="E1917" s="10">
        <f>IF(D1917="","",MIN(D1917,100))</f>
        <v/>
      </c>
      <c r="F1917" s="10" t="n"/>
      <c r="G1917" s="10">
        <f>IF(F1917="","",MIN(F1917,100))</f>
        <v/>
      </c>
      <c r="H1917" s="11">
        <f>IF(A1917="","",Universe!E1917/BDP(A1917&amp;" US Equity","HIGH_52WEEK")*100)</f>
        <v/>
      </c>
      <c r="I1917">
        <f>IF(D1917="","",D1917&gt;=5)</f>
        <v/>
      </c>
      <c r="J1917">
        <f>IF(F1917="","",F1917&gt;=5)</f>
        <v/>
      </c>
      <c r="K1917">
        <f>IF(H1917="","",H1917&gt;=75)</f>
        <v/>
      </c>
      <c r="L1917">
        <f>IF(OR(I1917="",J1917="",K1917=""),FALSE,AND(I1917,J1917,K1917))</f>
        <v/>
      </c>
    </row>
    <row r="1918">
      <c r="A1918">
        <f>Universe!A1918</f>
        <v/>
      </c>
      <c r="B1918" s="10" t="n"/>
      <c r="C1918" s="11">
        <f>IF(B1918="","",PERCENTRANK.INC($B$2:$B$2501,B1918)*100)</f>
        <v/>
      </c>
      <c r="D1918" s="10" t="n"/>
      <c r="E1918" s="10">
        <f>IF(D1918="","",MIN(D1918,100))</f>
        <v/>
      </c>
      <c r="F1918" s="10" t="n"/>
      <c r="G1918" s="10">
        <f>IF(F1918="","",MIN(F1918,100))</f>
        <v/>
      </c>
      <c r="H1918" s="11">
        <f>IF(A1918="","",Universe!E1918/BDP(A1918&amp;" US Equity","HIGH_52WEEK")*100)</f>
        <v/>
      </c>
      <c r="I1918">
        <f>IF(D1918="","",D1918&gt;=5)</f>
        <v/>
      </c>
      <c r="J1918">
        <f>IF(F1918="","",F1918&gt;=5)</f>
        <v/>
      </c>
      <c r="K1918">
        <f>IF(H1918="","",H1918&gt;=75)</f>
        <v/>
      </c>
      <c r="L1918">
        <f>IF(OR(I1918="",J1918="",K1918=""),FALSE,AND(I1918,J1918,K1918))</f>
        <v/>
      </c>
    </row>
    <row r="1919">
      <c r="A1919">
        <f>Universe!A1919</f>
        <v/>
      </c>
      <c r="B1919" s="10" t="n"/>
      <c r="C1919" s="11">
        <f>IF(B1919="","",PERCENTRANK.INC($B$2:$B$2501,B1919)*100)</f>
        <v/>
      </c>
      <c r="D1919" s="10" t="n"/>
      <c r="E1919" s="10">
        <f>IF(D1919="","",MIN(D1919,100))</f>
        <v/>
      </c>
      <c r="F1919" s="10" t="n"/>
      <c r="G1919" s="10">
        <f>IF(F1919="","",MIN(F1919,100))</f>
        <v/>
      </c>
      <c r="H1919" s="11">
        <f>IF(A1919="","",Universe!E1919/BDP(A1919&amp;" US Equity","HIGH_52WEEK")*100)</f>
        <v/>
      </c>
      <c r="I1919">
        <f>IF(D1919="","",D1919&gt;=5)</f>
        <v/>
      </c>
      <c r="J1919">
        <f>IF(F1919="","",F1919&gt;=5)</f>
        <v/>
      </c>
      <c r="K1919">
        <f>IF(H1919="","",H1919&gt;=75)</f>
        <v/>
      </c>
      <c r="L1919">
        <f>IF(OR(I1919="",J1919="",K1919=""),FALSE,AND(I1919,J1919,K1919))</f>
        <v/>
      </c>
    </row>
    <row r="1920">
      <c r="A1920">
        <f>Universe!A1920</f>
        <v/>
      </c>
      <c r="B1920" s="10" t="n"/>
      <c r="C1920" s="11">
        <f>IF(B1920="","",PERCENTRANK.INC($B$2:$B$2501,B1920)*100)</f>
        <v/>
      </c>
      <c r="D1920" s="10" t="n"/>
      <c r="E1920" s="10">
        <f>IF(D1920="","",MIN(D1920,100))</f>
        <v/>
      </c>
      <c r="F1920" s="10" t="n"/>
      <c r="G1920" s="10">
        <f>IF(F1920="","",MIN(F1920,100))</f>
        <v/>
      </c>
      <c r="H1920" s="11">
        <f>IF(A1920="","",Universe!E1920/BDP(A1920&amp;" US Equity","HIGH_52WEEK")*100)</f>
        <v/>
      </c>
      <c r="I1920">
        <f>IF(D1920="","",D1920&gt;=5)</f>
        <v/>
      </c>
      <c r="J1920">
        <f>IF(F1920="","",F1920&gt;=5)</f>
        <v/>
      </c>
      <c r="K1920">
        <f>IF(H1920="","",H1920&gt;=75)</f>
        <v/>
      </c>
      <c r="L1920">
        <f>IF(OR(I1920="",J1920="",K1920=""),FALSE,AND(I1920,J1920,K1920))</f>
        <v/>
      </c>
    </row>
    <row r="1921">
      <c r="A1921">
        <f>Universe!A1921</f>
        <v/>
      </c>
      <c r="B1921" s="10" t="n"/>
      <c r="C1921" s="11">
        <f>IF(B1921="","",PERCENTRANK.INC($B$2:$B$2501,B1921)*100)</f>
        <v/>
      </c>
      <c r="D1921" s="10" t="n"/>
      <c r="E1921" s="10">
        <f>IF(D1921="","",MIN(D1921,100))</f>
        <v/>
      </c>
      <c r="F1921" s="10" t="n"/>
      <c r="G1921" s="10">
        <f>IF(F1921="","",MIN(F1921,100))</f>
        <v/>
      </c>
      <c r="H1921" s="11">
        <f>IF(A1921="","",Universe!E1921/BDP(A1921&amp;" US Equity","HIGH_52WEEK")*100)</f>
        <v/>
      </c>
      <c r="I1921">
        <f>IF(D1921="","",D1921&gt;=5)</f>
        <v/>
      </c>
      <c r="J1921">
        <f>IF(F1921="","",F1921&gt;=5)</f>
        <v/>
      </c>
      <c r="K1921">
        <f>IF(H1921="","",H1921&gt;=75)</f>
        <v/>
      </c>
      <c r="L1921">
        <f>IF(OR(I1921="",J1921="",K1921=""),FALSE,AND(I1921,J1921,K1921))</f>
        <v/>
      </c>
    </row>
    <row r="1922">
      <c r="A1922">
        <f>Universe!A1922</f>
        <v/>
      </c>
      <c r="B1922" s="10" t="n"/>
      <c r="C1922" s="11">
        <f>IF(B1922="","",PERCENTRANK.INC($B$2:$B$2501,B1922)*100)</f>
        <v/>
      </c>
      <c r="D1922" s="10" t="n"/>
      <c r="E1922" s="10">
        <f>IF(D1922="","",MIN(D1922,100))</f>
        <v/>
      </c>
      <c r="F1922" s="10" t="n"/>
      <c r="G1922" s="10">
        <f>IF(F1922="","",MIN(F1922,100))</f>
        <v/>
      </c>
      <c r="H1922" s="11">
        <f>IF(A1922="","",Universe!E1922/BDP(A1922&amp;" US Equity","HIGH_52WEEK")*100)</f>
        <v/>
      </c>
      <c r="I1922">
        <f>IF(D1922="","",D1922&gt;=5)</f>
        <v/>
      </c>
      <c r="J1922">
        <f>IF(F1922="","",F1922&gt;=5)</f>
        <v/>
      </c>
      <c r="K1922">
        <f>IF(H1922="","",H1922&gt;=75)</f>
        <v/>
      </c>
      <c r="L1922">
        <f>IF(OR(I1922="",J1922="",K1922=""),FALSE,AND(I1922,J1922,K1922))</f>
        <v/>
      </c>
    </row>
    <row r="1923">
      <c r="A1923">
        <f>Universe!A1923</f>
        <v/>
      </c>
      <c r="B1923" s="10" t="n"/>
      <c r="C1923" s="11">
        <f>IF(B1923="","",PERCENTRANK.INC($B$2:$B$2501,B1923)*100)</f>
        <v/>
      </c>
      <c r="D1923" s="10" t="n"/>
      <c r="E1923" s="10">
        <f>IF(D1923="","",MIN(D1923,100))</f>
        <v/>
      </c>
      <c r="F1923" s="10" t="n"/>
      <c r="G1923" s="10">
        <f>IF(F1923="","",MIN(F1923,100))</f>
        <v/>
      </c>
      <c r="H1923" s="11">
        <f>IF(A1923="","",Universe!E1923/BDP(A1923&amp;" US Equity","HIGH_52WEEK")*100)</f>
        <v/>
      </c>
      <c r="I1923">
        <f>IF(D1923="","",D1923&gt;=5)</f>
        <v/>
      </c>
      <c r="J1923">
        <f>IF(F1923="","",F1923&gt;=5)</f>
        <v/>
      </c>
      <c r="K1923">
        <f>IF(H1923="","",H1923&gt;=75)</f>
        <v/>
      </c>
      <c r="L1923">
        <f>IF(OR(I1923="",J1923="",K1923=""),FALSE,AND(I1923,J1923,K1923))</f>
        <v/>
      </c>
    </row>
    <row r="1924">
      <c r="A1924">
        <f>Universe!A1924</f>
        <v/>
      </c>
      <c r="B1924" s="10" t="n"/>
      <c r="C1924" s="11">
        <f>IF(B1924="","",PERCENTRANK.INC($B$2:$B$2501,B1924)*100)</f>
        <v/>
      </c>
      <c r="D1924" s="10" t="n"/>
      <c r="E1924" s="10">
        <f>IF(D1924="","",MIN(D1924,100))</f>
        <v/>
      </c>
      <c r="F1924" s="10" t="n"/>
      <c r="G1924" s="10">
        <f>IF(F1924="","",MIN(F1924,100))</f>
        <v/>
      </c>
      <c r="H1924" s="11">
        <f>IF(A1924="","",Universe!E1924/BDP(A1924&amp;" US Equity","HIGH_52WEEK")*100)</f>
        <v/>
      </c>
      <c r="I1924">
        <f>IF(D1924="","",D1924&gt;=5)</f>
        <v/>
      </c>
      <c r="J1924">
        <f>IF(F1924="","",F1924&gt;=5)</f>
        <v/>
      </c>
      <c r="K1924">
        <f>IF(H1924="","",H1924&gt;=75)</f>
        <v/>
      </c>
      <c r="L1924">
        <f>IF(OR(I1924="",J1924="",K1924=""),FALSE,AND(I1924,J1924,K1924))</f>
        <v/>
      </c>
    </row>
    <row r="1925">
      <c r="A1925">
        <f>Universe!A1925</f>
        <v/>
      </c>
      <c r="B1925" s="10" t="n"/>
      <c r="C1925" s="11">
        <f>IF(B1925="","",PERCENTRANK.INC($B$2:$B$2501,B1925)*100)</f>
        <v/>
      </c>
      <c r="D1925" s="10" t="n"/>
      <c r="E1925" s="10">
        <f>IF(D1925="","",MIN(D1925,100))</f>
        <v/>
      </c>
      <c r="F1925" s="10" t="n"/>
      <c r="G1925" s="10">
        <f>IF(F1925="","",MIN(F1925,100))</f>
        <v/>
      </c>
      <c r="H1925" s="11">
        <f>IF(A1925="","",Universe!E1925/BDP(A1925&amp;" US Equity","HIGH_52WEEK")*100)</f>
        <v/>
      </c>
      <c r="I1925">
        <f>IF(D1925="","",D1925&gt;=5)</f>
        <v/>
      </c>
      <c r="J1925">
        <f>IF(F1925="","",F1925&gt;=5)</f>
        <v/>
      </c>
      <c r="K1925">
        <f>IF(H1925="","",H1925&gt;=75)</f>
        <v/>
      </c>
      <c r="L1925">
        <f>IF(OR(I1925="",J1925="",K1925=""),FALSE,AND(I1925,J1925,K1925))</f>
        <v/>
      </c>
    </row>
    <row r="1926">
      <c r="A1926">
        <f>Universe!A1926</f>
        <v/>
      </c>
      <c r="B1926" s="10" t="n"/>
      <c r="C1926" s="11">
        <f>IF(B1926="","",PERCENTRANK.INC($B$2:$B$2501,B1926)*100)</f>
        <v/>
      </c>
      <c r="D1926" s="10" t="n"/>
      <c r="E1926" s="10">
        <f>IF(D1926="","",MIN(D1926,100))</f>
        <v/>
      </c>
      <c r="F1926" s="10" t="n"/>
      <c r="G1926" s="10">
        <f>IF(F1926="","",MIN(F1926,100))</f>
        <v/>
      </c>
      <c r="H1926" s="11">
        <f>IF(A1926="","",Universe!E1926/BDP(A1926&amp;" US Equity","HIGH_52WEEK")*100)</f>
        <v/>
      </c>
      <c r="I1926">
        <f>IF(D1926="","",D1926&gt;=5)</f>
        <v/>
      </c>
      <c r="J1926">
        <f>IF(F1926="","",F1926&gt;=5)</f>
        <v/>
      </c>
      <c r="K1926">
        <f>IF(H1926="","",H1926&gt;=75)</f>
        <v/>
      </c>
      <c r="L1926">
        <f>IF(OR(I1926="",J1926="",K1926=""),FALSE,AND(I1926,J1926,K1926))</f>
        <v/>
      </c>
    </row>
    <row r="1927">
      <c r="A1927">
        <f>Universe!A1927</f>
        <v/>
      </c>
      <c r="B1927" s="10" t="n"/>
      <c r="C1927" s="11">
        <f>IF(B1927="","",PERCENTRANK.INC($B$2:$B$2501,B1927)*100)</f>
        <v/>
      </c>
      <c r="D1927" s="10" t="n"/>
      <c r="E1927" s="10">
        <f>IF(D1927="","",MIN(D1927,100))</f>
        <v/>
      </c>
      <c r="F1927" s="10" t="n"/>
      <c r="G1927" s="10">
        <f>IF(F1927="","",MIN(F1927,100))</f>
        <v/>
      </c>
      <c r="H1927" s="11">
        <f>IF(A1927="","",Universe!E1927/BDP(A1927&amp;" US Equity","HIGH_52WEEK")*100)</f>
        <v/>
      </c>
      <c r="I1927">
        <f>IF(D1927="","",D1927&gt;=5)</f>
        <v/>
      </c>
      <c r="J1927">
        <f>IF(F1927="","",F1927&gt;=5)</f>
        <v/>
      </c>
      <c r="K1927">
        <f>IF(H1927="","",H1927&gt;=75)</f>
        <v/>
      </c>
      <c r="L1927">
        <f>IF(OR(I1927="",J1927="",K1927=""),FALSE,AND(I1927,J1927,K1927))</f>
        <v/>
      </c>
    </row>
    <row r="1928">
      <c r="A1928">
        <f>Universe!A1928</f>
        <v/>
      </c>
      <c r="B1928" s="10" t="n"/>
      <c r="C1928" s="11">
        <f>IF(B1928="","",PERCENTRANK.INC($B$2:$B$2501,B1928)*100)</f>
        <v/>
      </c>
      <c r="D1928" s="10" t="n"/>
      <c r="E1928" s="10">
        <f>IF(D1928="","",MIN(D1928,100))</f>
        <v/>
      </c>
      <c r="F1928" s="10" t="n"/>
      <c r="G1928" s="10">
        <f>IF(F1928="","",MIN(F1928,100))</f>
        <v/>
      </c>
      <c r="H1928" s="11">
        <f>IF(A1928="","",Universe!E1928/BDP(A1928&amp;" US Equity","HIGH_52WEEK")*100)</f>
        <v/>
      </c>
      <c r="I1928">
        <f>IF(D1928="","",D1928&gt;=5)</f>
        <v/>
      </c>
      <c r="J1928">
        <f>IF(F1928="","",F1928&gt;=5)</f>
        <v/>
      </c>
      <c r="K1928">
        <f>IF(H1928="","",H1928&gt;=75)</f>
        <v/>
      </c>
      <c r="L1928">
        <f>IF(OR(I1928="",J1928="",K1928=""),FALSE,AND(I1928,J1928,K1928))</f>
        <v/>
      </c>
    </row>
    <row r="1929">
      <c r="A1929">
        <f>Universe!A1929</f>
        <v/>
      </c>
      <c r="B1929" s="10" t="n"/>
      <c r="C1929" s="11">
        <f>IF(B1929="","",PERCENTRANK.INC($B$2:$B$2501,B1929)*100)</f>
        <v/>
      </c>
      <c r="D1929" s="10" t="n"/>
      <c r="E1929" s="10">
        <f>IF(D1929="","",MIN(D1929,100))</f>
        <v/>
      </c>
      <c r="F1929" s="10" t="n"/>
      <c r="G1929" s="10">
        <f>IF(F1929="","",MIN(F1929,100))</f>
        <v/>
      </c>
      <c r="H1929" s="11">
        <f>IF(A1929="","",Universe!E1929/BDP(A1929&amp;" US Equity","HIGH_52WEEK")*100)</f>
        <v/>
      </c>
      <c r="I1929">
        <f>IF(D1929="","",D1929&gt;=5)</f>
        <v/>
      </c>
      <c r="J1929">
        <f>IF(F1929="","",F1929&gt;=5)</f>
        <v/>
      </c>
      <c r="K1929">
        <f>IF(H1929="","",H1929&gt;=75)</f>
        <v/>
      </c>
      <c r="L1929">
        <f>IF(OR(I1929="",J1929="",K1929=""),FALSE,AND(I1929,J1929,K1929))</f>
        <v/>
      </c>
    </row>
    <row r="1930">
      <c r="A1930">
        <f>Universe!A1930</f>
        <v/>
      </c>
      <c r="B1930" s="10" t="n"/>
      <c r="C1930" s="11">
        <f>IF(B1930="","",PERCENTRANK.INC($B$2:$B$2501,B1930)*100)</f>
        <v/>
      </c>
      <c r="D1930" s="10" t="n"/>
      <c r="E1930" s="10">
        <f>IF(D1930="","",MIN(D1930,100))</f>
        <v/>
      </c>
      <c r="F1930" s="10" t="n"/>
      <c r="G1930" s="10">
        <f>IF(F1930="","",MIN(F1930,100))</f>
        <v/>
      </c>
      <c r="H1930" s="11">
        <f>IF(A1930="","",Universe!E1930/BDP(A1930&amp;" US Equity","HIGH_52WEEK")*100)</f>
        <v/>
      </c>
      <c r="I1930">
        <f>IF(D1930="","",D1930&gt;=5)</f>
        <v/>
      </c>
      <c r="J1930">
        <f>IF(F1930="","",F1930&gt;=5)</f>
        <v/>
      </c>
      <c r="K1930">
        <f>IF(H1930="","",H1930&gt;=75)</f>
        <v/>
      </c>
      <c r="L1930">
        <f>IF(OR(I1930="",J1930="",K1930=""),FALSE,AND(I1930,J1930,K1930))</f>
        <v/>
      </c>
    </row>
    <row r="1931">
      <c r="A1931">
        <f>Universe!A1931</f>
        <v/>
      </c>
      <c r="B1931" s="10" t="n"/>
      <c r="C1931" s="11">
        <f>IF(B1931="","",PERCENTRANK.INC($B$2:$B$2501,B1931)*100)</f>
        <v/>
      </c>
      <c r="D1931" s="10" t="n"/>
      <c r="E1931" s="10">
        <f>IF(D1931="","",MIN(D1931,100))</f>
        <v/>
      </c>
      <c r="F1931" s="10" t="n"/>
      <c r="G1931" s="10">
        <f>IF(F1931="","",MIN(F1931,100))</f>
        <v/>
      </c>
      <c r="H1931" s="11">
        <f>IF(A1931="","",Universe!E1931/BDP(A1931&amp;" US Equity","HIGH_52WEEK")*100)</f>
        <v/>
      </c>
      <c r="I1931">
        <f>IF(D1931="","",D1931&gt;=5)</f>
        <v/>
      </c>
      <c r="J1931">
        <f>IF(F1931="","",F1931&gt;=5)</f>
        <v/>
      </c>
      <c r="K1931">
        <f>IF(H1931="","",H1931&gt;=75)</f>
        <v/>
      </c>
      <c r="L1931">
        <f>IF(OR(I1931="",J1931="",K1931=""),FALSE,AND(I1931,J1931,K1931))</f>
        <v/>
      </c>
    </row>
    <row r="1932">
      <c r="A1932">
        <f>Universe!A1932</f>
        <v/>
      </c>
      <c r="B1932" s="10" t="n"/>
      <c r="C1932" s="11">
        <f>IF(B1932="","",PERCENTRANK.INC($B$2:$B$2501,B1932)*100)</f>
        <v/>
      </c>
      <c r="D1932" s="10" t="n"/>
      <c r="E1932" s="10">
        <f>IF(D1932="","",MIN(D1932,100))</f>
        <v/>
      </c>
      <c r="F1932" s="10" t="n"/>
      <c r="G1932" s="10">
        <f>IF(F1932="","",MIN(F1932,100))</f>
        <v/>
      </c>
      <c r="H1932" s="11">
        <f>IF(A1932="","",Universe!E1932/BDP(A1932&amp;" US Equity","HIGH_52WEEK")*100)</f>
        <v/>
      </c>
      <c r="I1932">
        <f>IF(D1932="","",D1932&gt;=5)</f>
        <v/>
      </c>
      <c r="J1932">
        <f>IF(F1932="","",F1932&gt;=5)</f>
        <v/>
      </c>
      <c r="K1932">
        <f>IF(H1932="","",H1932&gt;=75)</f>
        <v/>
      </c>
      <c r="L1932">
        <f>IF(OR(I1932="",J1932="",K1932=""),FALSE,AND(I1932,J1932,K1932))</f>
        <v/>
      </c>
    </row>
    <row r="1933">
      <c r="A1933">
        <f>Universe!A1933</f>
        <v/>
      </c>
      <c r="B1933" s="10" t="n"/>
      <c r="C1933" s="11">
        <f>IF(B1933="","",PERCENTRANK.INC($B$2:$B$2501,B1933)*100)</f>
        <v/>
      </c>
      <c r="D1933" s="10" t="n"/>
      <c r="E1933" s="10">
        <f>IF(D1933="","",MIN(D1933,100))</f>
        <v/>
      </c>
      <c r="F1933" s="10" t="n"/>
      <c r="G1933" s="10">
        <f>IF(F1933="","",MIN(F1933,100))</f>
        <v/>
      </c>
      <c r="H1933" s="11">
        <f>IF(A1933="","",Universe!E1933/BDP(A1933&amp;" US Equity","HIGH_52WEEK")*100)</f>
        <v/>
      </c>
      <c r="I1933">
        <f>IF(D1933="","",D1933&gt;=5)</f>
        <v/>
      </c>
      <c r="J1933">
        <f>IF(F1933="","",F1933&gt;=5)</f>
        <v/>
      </c>
      <c r="K1933">
        <f>IF(H1933="","",H1933&gt;=75)</f>
        <v/>
      </c>
      <c r="L1933">
        <f>IF(OR(I1933="",J1933="",K1933=""),FALSE,AND(I1933,J1933,K1933))</f>
        <v/>
      </c>
    </row>
    <row r="1934">
      <c r="A1934">
        <f>Universe!A1934</f>
        <v/>
      </c>
      <c r="B1934" s="10" t="n"/>
      <c r="C1934" s="11">
        <f>IF(B1934="","",PERCENTRANK.INC($B$2:$B$2501,B1934)*100)</f>
        <v/>
      </c>
      <c r="D1934" s="10" t="n"/>
      <c r="E1934" s="10">
        <f>IF(D1934="","",MIN(D1934,100))</f>
        <v/>
      </c>
      <c r="F1934" s="10" t="n"/>
      <c r="G1934" s="10">
        <f>IF(F1934="","",MIN(F1934,100))</f>
        <v/>
      </c>
      <c r="H1934" s="11">
        <f>IF(A1934="","",Universe!E1934/BDP(A1934&amp;" US Equity","HIGH_52WEEK")*100)</f>
        <v/>
      </c>
      <c r="I1934">
        <f>IF(D1934="","",D1934&gt;=5)</f>
        <v/>
      </c>
      <c r="J1934">
        <f>IF(F1934="","",F1934&gt;=5)</f>
        <v/>
      </c>
      <c r="K1934">
        <f>IF(H1934="","",H1934&gt;=75)</f>
        <v/>
      </c>
      <c r="L1934">
        <f>IF(OR(I1934="",J1934="",K1934=""),FALSE,AND(I1934,J1934,K1934))</f>
        <v/>
      </c>
    </row>
    <row r="1935">
      <c r="A1935">
        <f>Universe!A1935</f>
        <v/>
      </c>
      <c r="B1935" s="10" t="n"/>
      <c r="C1935" s="11">
        <f>IF(B1935="","",PERCENTRANK.INC($B$2:$B$2501,B1935)*100)</f>
        <v/>
      </c>
      <c r="D1935" s="10" t="n"/>
      <c r="E1935" s="10">
        <f>IF(D1935="","",MIN(D1935,100))</f>
        <v/>
      </c>
      <c r="F1935" s="10" t="n"/>
      <c r="G1935" s="10">
        <f>IF(F1935="","",MIN(F1935,100))</f>
        <v/>
      </c>
      <c r="H1935" s="11">
        <f>IF(A1935="","",Universe!E1935/BDP(A1935&amp;" US Equity","HIGH_52WEEK")*100)</f>
        <v/>
      </c>
      <c r="I1935">
        <f>IF(D1935="","",D1935&gt;=5)</f>
        <v/>
      </c>
      <c r="J1935">
        <f>IF(F1935="","",F1935&gt;=5)</f>
        <v/>
      </c>
      <c r="K1935">
        <f>IF(H1935="","",H1935&gt;=75)</f>
        <v/>
      </c>
      <c r="L1935">
        <f>IF(OR(I1935="",J1935="",K1935=""),FALSE,AND(I1935,J1935,K1935))</f>
        <v/>
      </c>
    </row>
    <row r="1936">
      <c r="A1936">
        <f>Universe!A1936</f>
        <v/>
      </c>
      <c r="B1936" s="10" t="n"/>
      <c r="C1936" s="11">
        <f>IF(B1936="","",PERCENTRANK.INC($B$2:$B$2501,B1936)*100)</f>
        <v/>
      </c>
      <c r="D1936" s="10" t="n"/>
      <c r="E1936" s="10">
        <f>IF(D1936="","",MIN(D1936,100))</f>
        <v/>
      </c>
      <c r="F1936" s="10" t="n"/>
      <c r="G1936" s="10">
        <f>IF(F1936="","",MIN(F1936,100))</f>
        <v/>
      </c>
      <c r="H1936" s="11">
        <f>IF(A1936="","",Universe!E1936/BDP(A1936&amp;" US Equity","HIGH_52WEEK")*100)</f>
        <v/>
      </c>
      <c r="I1936">
        <f>IF(D1936="","",D1936&gt;=5)</f>
        <v/>
      </c>
      <c r="J1936">
        <f>IF(F1936="","",F1936&gt;=5)</f>
        <v/>
      </c>
      <c r="K1936">
        <f>IF(H1936="","",H1936&gt;=75)</f>
        <v/>
      </c>
      <c r="L1936">
        <f>IF(OR(I1936="",J1936="",K1936=""),FALSE,AND(I1936,J1936,K1936))</f>
        <v/>
      </c>
    </row>
    <row r="1937">
      <c r="A1937">
        <f>Universe!A1937</f>
        <v/>
      </c>
      <c r="B1937" s="10" t="n"/>
      <c r="C1937" s="11">
        <f>IF(B1937="","",PERCENTRANK.INC($B$2:$B$2501,B1937)*100)</f>
        <v/>
      </c>
      <c r="D1937" s="10" t="n"/>
      <c r="E1937" s="10">
        <f>IF(D1937="","",MIN(D1937,100))</f>
        <v/>
      </c>
      <c r="F1937" s="10" t="n"/>
      <c r="G1937" s="10">
        <f>IF(F1937="","",MIN(F1937,100))</f>
        <v/>
      </c>
      <c r="H1937" s="11">
        <f>IF(A1937="","",Universe!E1937/BDP(A1937&amp;" US Equity","HIGH_52WEEK")*100)</f>
        <v/>
      </c>
      <c r="I1937">
        <f>IF(D1937="","",D1937&gt;=5)</f>
        <v/>
      </c>
      <c r="J1937">
        <f>IF(F1937="","",F1937&gt;=5)</f>
        <v/>
      </c>
      <c r="K1937">
        <f>IF(H1937="","",H1937&gt;=75)</f>
        <v/>
      </c>
      <c r="L1937">
        <f>IF(OR(I1937="",J1937="",K1937=""),FALSE,AND(I1937,J1937,K1937))</f>
        <v/>
      </c>
    </row>
    <row r="1938">
      <c r="A1938">
        <f>Universe!A1938</f>
        <v/>
      </c>
      <c r="B1938" s="10" t="n"/>
      <c r="C1938" s="11">
        <f>IF(B1938="","",PERCENTRANK.INC($B$2:$B$2501,B1938)*100)</f>
        <v/>
      </c>
      <c r="D1938" s="10" t="n"/>
      <c r="E1938" s="10">
        <f>IF(D1938="","",MIN(D1938,100))</f>
        <v/>
      </c>
      <c r="F1938" s="10" t="n"/>
      <c r="G1938" s="10">
        <f>IF(F1938="","",MIN(F1938,100))</f>
        <v/>
      </c>
      <c r="H1938" s="11">
        <f>IF(A1938="","",Universe!E1938/BDP(A1938&amp;" US Equity","HIGH_52WEEK")*100)</f>
        <v/>
      </c>
      <c r="I1938">
        <f>IF(D1938="","",D1938&gt;=5)</f>
        <v/>
      </c>
      <c r="J1938">
        <f>IF(F1938="","",F1938&gt;=5)</f>
        <v/>
      </c>
      <c r="K1938">
        <f>IF(H1938="","",H1938&gt;=75)</f>
        <v/>
      </c>
      <c r="L1938">
        <f>IF(OR(I1938="",J1938="",K1938=""),FALSE,AND(I1938,J1938,K1938))</f>
        <v/>
      </c>
    </row>
    <row r="1939">
      <c r="A1939">
        <f>Universe!A1939</f>
        <v/>
      </c>
      <c r="B1939" s="10" t="n"/>
      <c r="C1939" s="11">
        <f>IF(B1939="","",PERCENTRANK.INC($B$2:$B$2501,B1939)*100)</f>
        <v/>
      </c>
      <c r="D1939" s="10" t="n"/>
      <c r="E1939" s="10">
        <f>IF(D1939="","",MIN(D1939,100))</f>
        <v/>
      </c>
      <c r="F1939" s="10" t="n"/>
      <c r="G1939" s="10">
        <f>IF(F1939="","",MIN(F1939,100))</f>
        <v/>
      </c>
      <c r="H1939" s="11">
        <f>IF(A1939="","",Universe!E1939/BDP(A1939&amp;" US Equity","HIGH_52WEEK")*100)</f>
        <v/>
      </c>
      <c r="I1939">
        <f>IF(D1939="","",D1939&gt;=5)</f>
        <v/>
      </c>
      <c r="J1939">
        <f>IF(F1939="","",F1939&gt;=5)</f>
        <v/>
      </c>
      <c r="K1939">
        <f>IF(H1939="","",H1939&gt;=75)</f>
        <v/>
      </c>
      <c r="L1939">
        <f>IF(OR(I1939="",J1939="",K1939=""),FALSE,AND(I1939,J1939,K1939))</f>
        <v/>
      </c>
    </row>
    <row r="1940">
      <c r="A1940">
        <f>Universe!A1940</f>
        <v/>
      </c>
      <c r="B1940" s="10" t="n"/>
      <c r="C1940" s="11">
        <f>IF(B1940="","",PERCENTRANK.INC($B$2:$B$2501,B1940)*100)</f>
        <v/>
      </c>
      <c r="D1940" s="10" t="n"/>
      <c r="E1940" s="10">
        <f>IF(D1940="","",MIN(D1940,100))</f>
        <v/>
      </c>
      <c r="F1940" s="10" t="n"/>
      <c r="G1940" s="10">
        <f>IF(F1940="","",MIN(F1940,100))</f>
        <v/>
      </c>
      <c r="H1940" s="11">
        <f>IF(A1940="","",Universe!E1940/BDP(A1940&amp;" US Equity","HIGH_52WEEK")*100)</f>
        <v/>
      </c>
      <c r="I1940">
        <f>IF(D1940="","",D1940&gt;=5)</f>
        <v/>
      </c>
      <c r="J1940">
        <f>IF(F1940="","",F1940&gt;=5)</f>
        <v/>
      </c>
      <c r="K1940">
        <f>IF(H1940="","",H1940&gt;=75)</f>
        <v/>
      </c>
      <c r="L1940">
        <f>IF(OR(I1940="",J1940="",K1940=""),FALSE,AND(I1940,J1940,K1940))</f>
        <v/>
      </c>
    </row>
    <row r="1941">
      <c r="A1941">
        <f>Universe!A1941</f>
        <v/>
      </c>
      <c r="B1941" s="10" t="n"/>
      <c r="C1941" s="11">
        <f>IF(B1941="","",PERCENTRANK.INC($B$2:$B$2501,B1941)*100)</f>
        <v/>
      </c>
      <c r="D1941" s="10" t="n"/>
      <c r="E1941" s="10">
        <f>IF(D1941="","",MIN(D1941,100))</f>
        <v/>
      </c>
      <c r="F1941" s="10" t="n"/>
      <c r="G1941" s="10">
        <f>IF(F1941="","",MIN(F1941,100))</f>
        <v/>
      </c>
      <c r="H1941" s="11">
        <f>IF(A1941="","",Universe!E1941/BDP(A1941&amp;" US Equity","HIGH_52WEEK")*100)</f>
        <v/>
      </c>
      <c r="I1941">
        <f>IF(D1941="","",D1941&gt;=5)</f>
        <v/>
      </c>
      <c r="J1941">
        <f>IF(F1941="","",F1941&gt;=5)</f>
        <v/>
      </c>
      <c r="K1941">
        <f>IF(H1941="","",H1941&gt;=75)</f>
        <v/>
      </c>
      <c r="L1941">
        <f>IF(OR(I1941="",J1941="",K1941=""),FALSE,AND(I1941,J1941,K1941))</f>
        <v/>
      </c>
    </row>
    <row r="1942">
      <c r="A1942">
        <f>Universe!A1942</f>
        <v/>
      </c>
      <c r="B1942" s="10" t="n"/>
      <c r="C1942" s="11">
        <f>IF(B1942="","",PERCENTRANK.INC($B$2:$B$2501,B1942)*100)</f>
        <v/>
      </c>
      <c r="D1942" s="10" t="n"/>
      <c r="E1942" s="10">
        <f>IF(D1942="","",MIN(D1942,100))</f>
        <v/>
      </c>
      <c r="F1942" s="10" t="n"/>
      <c r="G1942" s="10">
        <f>IF(F1942="","",MIN(F1942,100))</f>
        <v/>
      </c>
      <c r="H1942" s="11">
        <f>IF(A1942="","",Universe!E1942/BDP(A1942&amp;" US Equity","HIGH_52WEEK")*100)</f>
        <v/>
      </c>
      <c r="I1942">
        <f>IF(D1942="","",D1942&gt;=5)</f>
        <v/>
      </c>
      <c r="J1942">
        <f>IF(F1942="","",F1942&gt;=5)</f>
        <v/>
      </c>
      <c r="K1942">
        <f>IF(H1942="","",H1942&gt;=75)</f>
        <v/>
      </c>
      <c r="L1942">
        <f>IF(OR(I1942="",J1942="",K1942=""),FALSE,AND(I1942,J1942,K1942))</f>
        <v/>
      </c>
    </row>
    <row r="1943">
      <c r="A1943">
        <f>Universe!A1943</f>
        <v/>
      </c>
      <c r="B1943" s="10" t="n"/>
      <c r="C1943" s="11">
        <f>IF(B1943="","",PERCENTRANK.INC($B$2:$B$2501,B1943)*100)</f>
        <v/>
      </c>
      <c r="D1943" s="10" t="n"/>
      <c r="E1943" s="10">
        <f>IF(D1943="","",MIN(D1943,100))</f>
        <v/>
      </c>
      <c r="F1943" s="10" t="n"/>
      <c r="G1943" s="10">
        <f>IF(F1943="","",MIN(F1943,100))</f>
        <v/>
      </c>
      <c r="H1943" s="11">
        <f>IF(A1943="","",Universe!E1943/BDP(A1943&amp;" US Equity","HIGH_52WEEK")*100)</f>
        <v/>
      </c>
      <c r="I1943">
        <f>IF(D1943="","",D1943&gt;=5)</f>
        <v/>
      </c>
      <c r="J1943">
        <f>IF(F1943="","",F1943&gt;=5)</f>
        <v/>
      </c>
      <c r="K1943">
        <f>IF(H1943="","",H1943&gt;=75)</f>
        <v/>
      </c>
      <c r="L1943">
        <f>IF(OR(I1943="",J1943="",K1943=""),FALSE,AND(I1943,J1943,K1943))</f>
        <v/>
      </c>
    </row>
    <row r="1944">
      <c r="A1944">
        <f>Universe!A1944</f>
        <v/>
      </c>
      <c r="B1944" s="10" t="n"/>
      <c r="C1944" s="11">
        <f>IF(B1944="","",PERCENTRANK.INC($B$2:$B$2501,B1944)*100)</f>
        <v/>
      </c>
      <c r="D1944" s="10" t="n"/>
      <c r="E1944" s="10">
        <f>IF(D1944="","",MIN(D1944,100))</f>
        <v/>
      </c>
      <c r="F1944" s="10" t="n"/>
      <c r="G1944" s="10">
        <f>IF(F1944="","",MIN(F1944,100))</f>
        <v/>
      </c>
      <c r="H1944" s="11">
        <f>IF(A1944="","",Universe!E1944/BDP(A1944&amp;" US Equity","HIGH_52WEEK")*100)</f>
        <v/>
      </c>
      <c r="I1944">
        <f>IF(D1944="","",D1944&gt;=5)</f>
        <v/>
      </c>
      <c r="J1944">
        <f>IF(F1944="","",F1944&gt;=5)</f>
        <v/>
      </c>
      <c r="K1944">
        <f>IF(H1944="","",H1944&gt;=75)</f>
        <v/>
      </c>
      <c r="L1944">
        <f>IF(OR(I1944="",J1944="",K1944=""),FALSE,AND(I1944,J1944,K1944))</f>
        <v/>
      </c>
    </row>
    <row r="1945">
      <c r="A1945">
        <f>Universe!A1945</f>
        <v/>
      </c>
      <c r="B1945" s="10" t="n"/>
      <c r="C1945" s="11">
        <f>IF(B1945="","",PERCENTRANK.INC($B$2:$B$2501,B1945)*100)</f>
        <v/>
      </c>
      <c r="D1945" s="10" t="n"/>
      <c r="E1945" s="10">
        <f>IF(D1945="","",MIN(D1945,100))</f>
        <v/>
      </c>
      <c r="F1945" s="10" t="n"/>
      <c r="G1945" s="10">
        <f>IF(F1945="","",MIN(F1945,100))</f>
        <v/>
      </c>
      <c r="H1945" s="11">
        <f>IF(A1945="","",Universe!E1945/BDP(A1945&amp;" US Equity","HIGH_52WEEK")*100)</f>
        <v/>
      </c>
      <c r="I1945">
        <f>IF(D1945="","",D1945&gt;=5)</f>
        <v/>
      </c>
      <c r="J1945">
        <f>IF(F1945="","",F1945&gt;=5)</f>
        <v/>
      </c>
      <c r="K1945">
        <f>IF(H1945="","",H1945&gt;=75)</f>
        <v/>
      </c>
      <c r="L1945">
        <f>IF(OR(I1945="",J1945="",K1945=""),FALSE,AND(I1945,J1945,K1945))</f>
        <v/>
      </c>
    </row>
    <row r="1946">
      <c r="A1946">
        <f>Universe!A1946</f>
        <v/>
      </c>
      <c r="B1946" s="10" t="n"/>
      <c r="C1946" s="11">
        <f>IF(B1946="","",PERCENTRANK.INC($B$2:$B$2501,B1946)*100)</f>
        <v/>
      </c>
      <c r="D1946" s="10" t="n"/>
      <c r="E1946" s="10">
        <f>IF(D1946="","",MIN(D1946,100))</f>
        <v/>
      </c>
      <c r="F1946" s="10" t="n"/>
      <c r="G1946" s="10">
        <f>IF(F1946="","",MIN(F1946,100))</f>
        <v/>
      </c>
      <c r="H1946" s="11">
        <f>IF(A1946="","",Universe!E1946/BDP(A1946&amp;" US Equity","HIGH_52WEEK")*100)</f>
        <v/>
      </c>
      <c r="I1946">
        <f>IF(D1946="","",D1946&gt;=5)</f>
        <v/>
      </c>
      <c r="J1946">
        <f>IF(F1946="","",F1946&gt;=5)</f>
        <v/>
      </c>
      <c r="K1946">
        <f>IF(H1946="","",H1946&gt;=75)</f>
        <v/>
      </c>
      <c r="L1946">
        <f>IF(OR(I1946="",J1946="",K1946=""),FALSE,AND(I1946,J1946,K1946))</f>
        <v/>
      </c>
    </row>
    <row r="1947">
      <c r="A1947">
        <f>Universe!A1947</f>
        <v/>
      </c>
      <c r="B1947" s="10" t="n"/>
      <c r="C1947" s="11">
        <f>IF(B1947="","",PERCENTRANK.INC($B$2:$B$2501,B1947)*100)</f>
        <v/>
      </c>
      <c r="D1947" s="10" t="n"/>
      <c r="E1947" s="10">
        <f>IF(D1947="","",MIN(D1947,100))</f>
        <v/>
      </c>
      <c r="F1947" s="10" t="n"/>
      <c r="G1947" s="10">
        <f>IF(F1947="","",MIN(F1947,100))</f>
        <v/>
      </c>
      <c r="H1947" s="11">
        <f>IF(A1947="","",Universe!E1947/BDP(A1947&amp;" US Equity","HIGH_52WEEK")*100)</f>
        <v/>
      </c>
      <c r="I1947">
        <f>IF(D1947="","",D1947&gt;=5)</f>
        <v/>
      </c>
      <c r="J1947">
        <f>IF(F1947="","",F1947&gt;=5)</f>
        <v/>
      </c>
      <c r="K1947">
        <f>IF(H1947="","",H1947&gt;=75)</f>
        <v/>
      </c>
      <c r="L1947">
        <f>IF(OR(I1947="",J1947="",K1947=""),FALSE,AND(I1947,J1947,K1947))</f>
        <v/>
      </c>
    </row>
    <row r="1948">
      <c r="A1948">
        <f>Universe!A1948</f>
        <v/>
      </c>
      <c r="B1948" s="10" t="n"/>
      <c r="C1948" s="11">
        <f>IF(B1948="","",PERCENTRANK.INC($B$2:$B$2501,B1948)*100)</f>
        <v/>
      </c>
      <c r="D1948" s="10" t="n"/>
      <c r="E1948" s="10">
        <f>IF(D1948="","",MIN(D1948,100))</f>
        <v/>
      </c>
      <c r="F1948" s="10" t="n"/>
      <c r="G1948" s="10">
        <f>IF(F1948="","",MIN(F1948,100))</f>
        <v/>
      </c>
      <c r="H1948" s="11">
        <f>IF(A1948="","",Universe!E1948/BDP(A1948&amp;" US Equity","HIGH_52WEEK")*100)</f>
        <v/>
      </c>
      <c r="I1948">
        <f>IF(D1948="","",D1948&gt;=5)</f>
        <v/>
      </c>
      <c r="J1948">
        <f>IF(F1948="","",F1948&gt;=5)</f>
        <v/>
      </c>
      <c r="K1948">
        <f>IF(H1948="","",H1948&gt;=75)</f>
        <v/>
      </c>
      <c r="L1948">
        <f>IF(OR(I1948="",J1948="",K1948=""),FALSE,AND(I1948,J1948,K1948))</f>
        <v/>
      </c>
    </row>
    <row r="1949">
      <c r="A1949">
        <f>Universe!A1949</f>
        <v/>
      </c>
      <c r="B1949" s="10" t="n"/>
      <c r="C1949" s="11">
        <f>IF(B1949="","",PERCENTRANK.INC($B$2:$B$2501,B1949)*100)</f>
        <v/>
      </c>
      <c r="D1949" s="10" t="n"/>
      <c r="E1949" s="10">
        <f>IF(D1949="","",MIN(D1949,100))</f>
        <v/>
      </c>
      <c r="F1949" s="10" t="n"/>
      <c r="G1949" s="10">
        <f>IF(F1949="","",MIN(F1949,100))</f>
        <v/>
      </c>
      <c r="H1949" s="11">
        <f>IF(A1949="","",Universe!E1949/BDP(A1949&amp;" US Equity","HIGH_52WEEK")*100)</f>
        <v/>
      </c>
      <c r="I1949">
        <f>IF(D1949="","",D1949&gt;=5)</f>
        <v/>
      </c>
      <c r="J1949">
        <f>IF(F1949="","",F1949&gt;=5)</f>
        <v/>
      </c>
      <c r="K1949">
        <f>IF(H1949="","",H1949&gt;=75)</f>
        <v/>
      </c>
      <c r="L1949">
        <f>IF(OR(I1949="",J1949="",K1949=""),FALSE,AND(I1949,J1949,K1949))</f>
        <v/>
      </c>
    </row>
    <row r="1950">
      <c r="A1950">
        <f>Universe!A1950</f>
        <v/>
      </c>
      <c r="B1950" s="10" t="n"/>
      <c r="C1950" s="11">
        <f>IF(B1950="","",PERCENTRANK.INC($B$2:$B$2501,B1950)*100)</f>
        <v/>
      </c>
      <c r="D1950" s="10" t="n"/>
      <c r="E1950" s="10">
        <f>IF(D1950="","",MIN(D1950,100))</f>
        <v/>
      </c>
      <c r="F1950" s="10" t="n"/>
      <c r="G1950" s="10">
        <f>IF(F1950="","",MIN(F1950,100))</f>
        <v/>
      </c>
      <c r="H1950" s="11">
        <f>IF(A1950="","",Universe!E1950/BDP(A1950&amp;" US Equity","HIGH_52WEEK")*100)</f>
        <v/>
      </c>
      <c r="I1950">
        <f>IF(D1950="","",D1950&gt;=5)</f>
        <v/>
      </c>
      <c r="J1950">
        <f>IF(F1950="","",F1950&gt;=5)</f>
        <v/>
      </c>
      <c r="K1950">
        <f>IF(H1950="","",H1950&gt;=75)</f>
        <v/>
      </c>
      <c r="L1950">
        <f>IF(OR(I1950="",J1950="",K1950=""),FALSE,AND(I1950,J1950,K1950))</f>
        <v/>
      </c>
    </row>
    <row r="1951">
      <c r="A1951">
        <f>Universe!A1951</f>
        <v/>
      </c>
      <c r="B1951" s="10" t="n"/>
      <c r="C1951" s="11">
        <f>IF(B1951="","",PERCENTRANK.INC($B$2:$B$2501,B1951)*100)</f>
        <v/>
      </c>
      <c r="D1951" s="10" t="n"/>
      <c r="E1951" s="10">
        <f>IF(D1951="","",MIN(D1951,100))</f>
        <v/>
      </c>
      <c r="F1951" s="10" t="n"/>
      <c r="G1951" s="10">
        <f>IF(F1951="","",MIN(F1951,100))</f>
        <v/>
      </c>
      <c r="H1951" s="11">
        <f>IF(A1951="","",Universe!E1951/BDP(A1951&amp;" US Equity","HIGH_52WEEK")*100)</f>
        <v/>
      </c>
      <c r="I1951">
        <f>IF(D1951="","",D1951&gt;=5)</f>
        <v/>
      </c>
      <c r="J1951">
        <f>IF(F1951="","",F1951&gt;=5)</f>
        <v/>
      </c>
      <c r="K1951">
        <f>IF(H1951="","",H1951&gt;=75)</f>
        <v/>
      </c>
      <c r="L1951">
        <f>IF(OR(I1951="",J1951="",K1951=""),FALSE,AND(I1951,J1951,K1951))</f>
        <v/>
      </c>
    </row>
    <row r="1952">
      <c r="A1952">
        <f>Universe!A1952</f>
        <v/>
      </c>
      <c r="B1952" s="10" t="n"/>
      <c r="C1952" s="11">
        <f>IF(B1952="","",PERCENTRANK.INC($B$2:$B$2501,B1952)*100)</f>
        <v/>
      </c>
      <c r="D1952" s="10" t="n"/>
      <c r="E1952" s="10">
        <f>IF(D1952="","",MIN(D1952,100))</f>
        <v/>
      </c>
      <c r="F1952" s="10" t="n"/>
      <c r="G1952" s="10">
        <f>IF(F1952="","",MIN(F1952,100))</f>
        <v/>
      </c>
      <c r="H1952" s="11">
        <f>IF(A1952="","",Universe!E1952/BDP(A1952&amp;" US Equity","HIGH_52WEEK")*100)</f>
        <v/>
      </c>
      <c r="I1952">
        <f>IF(D1952="","",D1952&gt;=5)</f>
        <v/>
      </c>
      <c r="J1952">
        <f>IF(F1952="","",F1952&gt;=5)</f>
        <v/>
      </c>
      <c r="K1952">
        <f>IF(H1952="","",H1952&gt;=75)</f>
        <v/>
      </c>
      <c r="L1952">
        <f>IF(OR(I1952="",J1952="",K1952=""),FALSE,AND(I1952,J1952,K1952))</f>
        <v/>
      </c>
    </row>
    <row r="1953">
      <c r="A1953">
        <f>Universe!A1953</f>
        <v/>
      </c>
      <c r="B1953" s="10" t="n"/>
      <c r="C1953" s="11">
        <f>IF(B1953="","",PERCENTRANK.INC($B$2:$B$2501,B1953)*100)</f>
        <v/>
      </c>
      <c r="D1953" s="10" t="n"/>
      <c r="E1953" s="10">
        <f>IF(D1953="","",MIN(D1953,100))</f>
        <v/>
      </c>
      <c r="F1953" s="10" t="n"/>
      <c r="G1953" s="10">
        <f>IF(F1953="","",MIN(F1953,100))</f>
        <v/>
      </c>
      <c r="H1953" s="11">
        <f>IF(A1953="","",Universe!E1953/BDP(A1953&amp;" US Equity","HIGH_52WEEK")*100)</f>
        <v/>
      </c>
      <c r="I1953">
        <f>IF(D1953="","",D1953&gt;=5)</f>
        <v/>
      </c>
      <c r="J1953">
        <f>IF(F1953="","",F1953&gt;=5)</f>
        <v/>
      </c>
      <c r="K1953">
        <f>IF(H1953="","",H1953&gt;=75)</f>
        <v/>
      </c>
      <c r="L1953">
        <f>IF(OR(I1953="",J1953="",K1953=""),FALSE,AND(I1953,J1953,K1953))</f>
        <v/>
      </c>
    </row>
    <row r="1954">
      <c r="A1954">
        <f>Universe!A1954</f>
        <v/>
      </c>
      <c r="B1954" s="10" t="n"/>
      <c r="C1954" s="11">
        <f>IF(B1954="","",PERCENTRANK.INC($B$2:$B$2501,B1954)*100)</f>
        <v/>
      </c>
      <c r="D1954" s="10" t="n"/>
      <c r="E1954" s="10">
        <f>IF(D1954="","",MIN(D1954,100))</f>
        <v/>
      </c>
      <c r="F1954" s="10" t="n"/>
      <c r="G1954" s="10">
        <f>IF(F1954="","",MIN(F1954,100))</f>
        <v/>
      </c>
      <c r="H1954" s="11">
        <f>IF(A1954="","",Universe!E1954/BDP(A1954&amp;" US Equity","HIGH_52WEEK")*100)</f>
        <v/>
      </c>
      <c r="I1954">
        <f>IF(D1954="","",D1954&gt;=5)</f>
        <v/>
      </c>
      <c r="J1954">
        <f>IF(F1954="","",F1954&gt;=5)</f>
        <v/>
      </c>
      <c r="K1954">
        <f>IF(H1954="","",H1954&gt;=75)</f>
        <v/>
      </c>
      <c r="L1954">
        <f>IF(OR(I1954="",J1954="",K1954=""),FALSE,AND(I1954,J1954,K1954))</f>
        <v/>
      </c>
    </row>
    <row r="1955">
      <c r="A1955">
        <f>Universe!A1955</f>
        <v/>
      </c>
      <c r="B1955" s="10" t="n"/>
      <c r="C1955" s="11">
        <f>IF(B1955="","",PERCENTRANK.INC($B$2:$B$2501,B1955)*100)</f>
        <v/>
      </c>
      <c r="D1955" s="10" t="n"/>
      <c r="E1955" s="10">
        <f>IF(D1955="","",MIN(D1955,100))</f>
        <v/>
      </c>
      <c r="F1955" s="10" t="n"/>
      <c r="G1955" s="10">
        <f>IF(F1955="","",MIN(F1955,100))</f>
        <v/>
      </c>
      <c r="H1955" s="11">
        <f>IF(A1955="","",Universe!E1955/BDP(A1955&amp;" US Equity","HIGH_52WEEK")*100)</f>
        <v/>
      </c>
      <c r="I1955">
        <f>IF(D1955="","",D1955&gt;=5)</f>
        <v/>
      </c>
      <c r="J1955">
        <f>IF(F1955="","",F1955&gt;=5)</f>
        <v/>
      </c>
      <c r="K1955">
        <f>IF(H1955="","",H1955&gt;=75)</f>
        <v/>
      </c>
      <c r="L1955">
        <f>IF(OR(I1955="",J1955="",K1955=""),FALSE,AND(I1955,J1955,K1955))</f>
        <v/>
      </c>
    </row>
    <row r="1956">
      <c r="A1956">
        <f>Universe!A1956</f>
        <v/>
      </c>
      <c r="B1956" s="10" t="n"/>
      <c r="C1956" s="11">
        <f>IF(B1956="","",PERCENTRANK.INC($B$2:$B$2501,B1956)*100)</f>
        <v/>
      </c>
      <c r="D1956" s="10" t="n"/>
      <c r="E1956" s="10">
        <f>IF(D1956="","",MIN(D1956,100))</f>
        <v/>
      </c>
      <c r="F1956" s="10" t="n"/>
      <c r="G1956" s="10">
        <f>IF(F1956="","",MIN(F1956,100))</f>
        <v/>
      </c>
      <c r="H1956" s="11">
        <f>IF(A1956="","",Universe!E1956/BDP(A1956&amp;" US Equity","HIGH_52WEEK")*100)</f>
        <v/>
      </c>
      <c r="I1956">
        <f>IF(D1956="","",D1956&gt;=5)</f>
        <v/>
      </c>
      <c r="J1956">
        <f>IF(F1956="","",F1956&gt;=5)</f>
        <v/>
      </c>
      <c r="K1956">
        <f>IF(H1956="","",H1956&gt;=75)</f>
        <v/>
      </c>
      <c r="L1956">
        <f>IF(OR(I1956="",J1956="",K1956=""),FALSE,AND(I1956,J1956,K1956))</f>
        <v/>
      </c>
    </row>
    <row r="1957">
      <c r="A1957">
        <f>Universe!A1957</f>
        <v/>
      </c>
      <c r="B1957" s="10" t="n"/>
      <c r="C1957" s="11">
        <f>IF(B1957="","",PERCENTRANK.INC($B$2:$B$2501,B1957)*100)</f>
        <v/>
      </c>
      <c r="D1957" s="10" t="n"/>
      <c r="E1957" s="10">
        <f>IF(D1957="","",MIN(D1957,100))</f>
        <v/>
      </c>
      <c r="F1957" s="10" t="n"/>
      <c r="G1957" s="10">
        <f>IF(F1957="","",MIN(F1957,100))</f>
        <v/>
      </c>
      <c r="H1957" s="11">
        <f>IF(A1957="","",Universe!E1957/BDP(A1957&amp;" US Equity","HIGH_52WEEK")*100)</f>
        <v/>
      </c>
      <c r="I1957">
        <f>IF(D1957="","",D1957&gt;=5)</f>
        <v/>
      </c>
      <c r="J1957">
        <f>IF(F1957="","",F1957&gt;=5)</f>
        <v/>
      </c>
      <c r="K1957">
        <f>IF(H1957="","",H1957&gt;=75)</f>
        <v/>
      </c>
      <c r="L1957">
        <f>IF(OR(I1957="",J1957="",K1957=""),FALSE,AND(I1957,J1957,K1957))</f>
        <v/>
      </c>
    </row>
    <row r="1958">
      <c r="A1958">
        <f>Universe!A1958</f>
        <v/>
      </c>
      <c r="B1958" s="10" t="n"/>
      <c r="C1958" s="11">
        <f>IF(B1958="","",PERCENTRANK.INC($B$2:$B$2501,B1958)*100)</f>
        <v/>
      </c>
      <c r="D1958" s="10" t="n"/>
      <c r="E1958" s="10">
        <f>IF(D1958="","",MIN(D1958,100))</f>
        <v/>
      </c>
      <c r="F1958" s="10" t="n"/>
      <c r="G1958" s="10">
        <f>IF(F1958="","",MIN(F1958,100))</f>
        <v/>
      </c>
      <c r="H1958" s="11">
        <f>IF(A1958="","",Universe!E1958/BDP(A1958&amp;" US Equity","HIGH_52WEEK")*100)</f>
        <v/>
      </c>
      <c r="I1958">
        <f>IF(D1958="","",D1958&gt;=5)</f>
        <v/>
      </c>
      <c r="J1958">
        <f>IF(F1958="","",F1958&gt;=5)</f>
        <v/>
      </c>
      <c r="K1958">
        <f>IF(H1958="","",H1958&gt;=75)</f>
        <v/>
      </c>
      <c r="L1958">
        <f>IF(OR(I1958="",J1958="",K1958=""),FALSE,AND(I1958,J1958,K1958))</f>
        <v/>
      </c>
    </row>
    <row r="1959">
      <c r="A1959">
        <f>Universe!A1959</f>
        <v/>
      </c>
      <c r="B1959" s="10" t="n"/>
      <c r="C1959" s="11">
        <f>IF(B1959="","",PERCENTRANK.INC($B$2:$B$2501,B1959)*100)</f>
        <v/>
      </c>
      <c r="D1959" s="10" t="n"/>
      <c r="E1959" s="10">
        <f>IF(D1959="","",MIN(D1959,100))</f>
        <v/>
      </c>
      <c r="F1959" s="10" t="n"/>
      <c r="G1959" s="10">
        <f>IF(F1959="","",MIN(F1959,100))</f>
        <v/>
      </c>
      <c r="H1959" s="11">
        <f>IF(A1959="","",Universe!E1959/BDP(A1959&amp;" US Equity","HIGH_52WEEK")*100)</f>
        <v/>
      </c>
      <c r="I1959">
        <f>IF(D1959="","",D1959&gt;=5)</f>
        <v/>
      </c>
      <c r="J1959">
        <f>IF(F1959="","",F1959&gt;=5)</f>
        <v/>
      </c>
      <c r="K1959">
        <f>IF(H1959="","",H1959&gt;=75)</f>
        <v/>
      </c>
      <c r="L1959">
        <f>IF(OR(I1959="",J1959="",K1959=""),FALSE,AND(I1959,J1959,K1959))</f>
        <v/>
      </c>
    </row>
    <row r="1960">
      <c r="A1960">
        <f>Universe!A1960</f>
        <v/>
      </c>
      <c r="B1960" s="10" t="n"/>
      <c r="C1960" s="11">
        <f>IF(B1960="","",PERCENTRANK.INC($B$2:$B$2501,B1960)*100)</f>
        <v/>
      </c>
      <c r="D1960" s="10" t="n"/>
      <c r="E1960" s="10">
        <f>IF(D1960="","",MIN(D1960,100))</f>
        <v/>
      </c>
      <c r="F1960" s="10" t="n"/>
      <c r="G1960" s="10">
        <f>IF(F1960="","",MIN(F1960,100))</f>
        <v/>
      </c>
      <c r="H1960" s="11">
        <f>IF(A1960="","",Universe!E1960/BDP(A1960&amp;" US Equity","HIGH_52WEEK")*100)</f>
        <v/>
      </c>
      <c r="I1960">
        <f>IF(D1960="","",D1960&gt;=5)</f>
        <v/>
      </c>
      <c r="J1960">
        <f>IF(F1960="","",F1960&gt;=5)</f>
        <v/>
      </c>
      <c r="K1960">
        <f>IF(H1960="","",H1960&gt;=75)</f>
        <v/>
      </c>
      <c r="L1960">
        <f>IF(OR(I1960="",J1960="",K1960=""),FALSE,AND(I1960,J1960,K1960))</f>
        <v/>
      </c>
    </row>
    <row r="1961">
      <c r="A1961">
        <f>Universe!A1961</f>
        <v/>
      </c>
      <c r="B1961" s="10" t="n"/>
      <c r="C1961" s="11">
        <f>IF(B1961="","",PERCENTRANK.INC($B$2:$B$2501,B1961)*100)</f>
        <v/>
      </c>
      <c r="D1961" s="10" t="n"/>
      <c r="E1961" s="10">
        <f>IF(D1961="","",MIN(D1961,100))</f>
        <v/>
      </c>
      <c r="F1961" s="10" t="n"/>
      <c r="G1961" s="10">
        <f>IF(F1961="","",MIN(F1961,100))</f>
        <v/>
      </c>
      <c r="H1961" s="11">
        <f>IF(A1961="","",Universe!E1961/BDP(A1961&amp;" US Equity","HIGH_52WEEK")*100)</f>
        <v/>
      </c>
      <c r="I1961">
        <f>IF(D1961="","",D1961&gt;=5)</f>
        <v/>
      </c>
      <c r="J1961">
        <f>IF(F1961="","",F1961&gt;=5)</f>
        <v/>
      </c>
      <c r="K1961">
        <f>IF(H1961="","",H1961&gt;=75)</f>
        <v/>
      </c>
      <c r="L1961">
        <f>IF(OR(I1961="",J1961="",K1961=""),FALSE,AND(I1961,J1961,K1961))</f>
        <v/>
      </c>
    </row>
    <row r="1962">
      <c r="A1962">
        <f>Universe!A1962</f>
        <v/>
      </c>
      <c r="B1962" s="10" t="n"/>
      <c r="C1962" s="11">
        <f>IF(B1962="","",PERCENTRANK.INC($B$2:$B$2501,B1962)*100)</f>
        <v/>
      </c>
      <c r="D1962" s="10" t="n"/>
      <c r="E1962" s="10">
        <f>IF(D1962="","",MIN(D1962,100))</f>
        <v/>
      </c>
      <c r="F1962" s="10" t="n"/>
      <c r="G1962" s="10">
        <f>IF(F1962="","",MIN(F1962,100))</f>
        <v/>
      </c>
      <c r="H1962" s="11">
        <f>IF(A1962="","",Universe!E1962/BDP(A1962&amp;" US Equity","HIGH_52WEEK")*100)</f>
        <v/>
      </c>
      <c r="I1962">
        <f>IF(D1962="","",D1962&gt;=5)</f>
        <v/>
      </c>
      <c r="J1962">
        <f>IF(F1962="","",F1962&gt;=5)</f>
        <v/>
      </c>
      <c r="K1962">
        <f>IF(H1962="","",H1962&gt;=75)</f>
        <v/>
      </c>
      <c r="L1962">
        <f>IF(OR(I1962="",J1962="",K1962=""),FALSE,AND(I1962,J1962,K1962))</f>
        <v/>
      </c>
    </row>
    <row r="1963">
      <c r="A1963">
        <f>Universe!A1963</f>
        <v/>
      </c>
      <c r="B1963" s="10" t="n"/>
      <c r="C1963" s="11">
        <f>IF(B1963="","",PERCENTRANK.INC($B$2:$B$2501,B1963)*100)</f>
        <v/>
      </c>
      <c r="D1963" s="10" t="n"/>
      <c r="E1963" s="10">
        <f>IF(D1963="","",MIN(D1963,100))</f>
        <v/>
      </c>
      <c r="F1963" s="10" t="n"/>
      <c r="G1963" s="10">
        <f>IF(F1963="","",MIN(F1963,100))</f>
        <v/>
      </c>
      <c r="H1963" s="11">
        <f>IF(A1963="","",Universe!E1963/BDP(A1963&amp;" US Equity","HIGH_52WEEK")*100)</f>
        <v/>
      </c>
      <c r="I1963">
        <f>IF(D1963="","",D1963&gt;=5)</f>
        <v/>
      </c>
      <c r="J1963">
        <f>IF(F1963="","",F1963&gt;=5)</f>
        <v/>
      </c>
      <c r="K1963">
        <f>IF(H1963="","",H1963&gt;=75)</f>
        <v/>
      </c>
      <c r="L1963">
        <f>IF(OR(I1963="",J1963="",K1963=""),FALSE,AND(I1963,J1963,K1963))</f>
        <v/>
      </c>
    </row>
    <row r="1964">
      <c r="A1964">
        <f>Universe!A1964</f>
        <v/>
      </c>
      <c r="B1964" s="10" t="n"/>
      <c r="C1964" s="11">
        <f>IF(B1964="","",PERCENTRANK.INC($B$2:$B$2501,B1964)*100)</f>
        <v/>
      </c>
      <c r="D1964" s="10" t="n"/>
      <c r="E1964" s="10">
        <f>IF(D1964="","",MIN(D1964,100))</f>
        <v/>
      </c>
      <c r="F1964" s="10" t="n"/>
      <c r="G1964" s="10">
        <f>IF(F1964="","",MIN(F1964,100))</f>
        <v/>
      </c>
      <c r="H1964" s="11">
        <f>IF(A1964="","",Universe!E1964/BDP(A1964&amp;" US Equity","HIGH_52WEEK")*100)</f>
        <v/>
      </c>
      <c r="I1964">
        <f>IF(D1964="","",D1964&gt;=5)</f>
        <v/>
      </c>
      <c r="J1964">
        <f>IF(F1964="","",F1964&gt;=5)</f>
        <v/>
      </c>
      <c r="K1964">
        <f>IF(H1964="","",H1964&gt;=75)</f>
        <v/>
      </c>
      <c r="L1964">
        <f>IF(OR(I1964="",J1964="",K1964=""),FALSE,AND(I1964,J1964,K1964))</f>
        <v/>
      </c>
    </row>
    <row r="1965">
      <c r="A1965">
        <f>Universe!A1965</f>
        <v/>
      </c>
      <c r="B1965" s="10" t="n"/>
      <c r="C1965" s="11">
        <f>IF(B1965="","",PERCENTRANK.INC($B$2:$B$2501,B1965)*100)</f>
        <v/>
      </c>
      <c r="D1965" s="10" t="n"/>
      <c r="E1965" s="10">
        <f>IF(D1965="","",MIN(D1965,100))</f>
        <v/>
      </c>
      <c r="F1965" s="10" t="n"/>
      <c r="G1965" s="10">
        <f>IF(F1965="","",MIN(F1965,100))</f>
        <v/>
      </c>
      <c r="H1965" s="11">
        <f>IF(A1965="","",Universe!E1965/BDP(A1965&amp;" US Equity","HIGH_52WEEK")*100)</f>
        <v/>
      </c>
      <c r="I1965">
        <f>IF(D1965="","",D1965&gt;=5)</f>
        <v/>
      </c>
      <c r="J1965">
        <f>IF(F1965="","",F1965&gt;=5)</f>
        <v/>
      </c>
      <c r="K1965">
        <f>IF(H1965="","",H1965&gt;=75)</f>
        <v/>
      </c>
      <c r="L1965">
        <f>IF(OR(I1965="",J1965="",K1965=""),FALSE,AND(I1965,J1965,K1965))</f>
        <v/>
      </c>
    </row>
    <row r="1966">
      <c r="A1966">
        <f>Universe!A1966</f>
        <v/>
      </c>
      <c r="B1966" s="10" t="n"/>
      <c r="C1966" s="11">
        <f>IF(B1966="","",PERCENTRANK.INC($B$2:$B$2501,B1966)*100)</f>
        <v/>
      </c>
      <c r="D1966" s="10" t="n"/>
      <c r="E1966" s="10">
        <f>IF(D1966="","",MIN(D1966,100))</f>
        <v/>
      </c>
      <c r="F1966" s="10" t="n"/>
      <c r="G1966" s="10">
        <f>IF(F1966="","",MIN(F1966,100))</f>
        <v/>
      </c>
      <c r="H1966" s="11">
        <f>IF(A1966="","",Universe!E1966/BDP(A1966&amp;" US Equity","HIGH_52WEEK")*100)</f>
        <v/>
      </c>
      <c r="I1966">
        <f>IF(D1966="","",D1966&gt;=5)</f>
        <v/>
      </c>
      <c r="J1966">
        <f>IF(F1966="","",F1966&gt;=5)</f>
        <v/>
      </c>
      <c r="K1966">
        <f>IF(H1966="","",H1966&gt;=75)</f>
        <v/>
      </c>
      <c r="L1966">
        <f>IF(OR(I1966="",J1966="",K1966=""),FALSE,AND(I1966,J1966,K1966))</f>
        <v/>
      </c>
    </row>
    <row r="1967">
      <c r="A1967">
        <f>Universe!A1967</f>
        <v/>
      </c>
      <c r="B1967" s="10" t="n"/>
      <c r="C1967" s="11">
        <f>IF(B1967="","",PERCENTRANK.INC($B$2:$B$2501,B1967)*100)</f>
        <v/>
      </c>
      <c r="D1967" s="10" t="n"/>
      <c r="E1967" s="10">
        <f>IF(D1967="","",MIN(D1967,100))</f>
        <v/>
      </c>
      <c r="F1967" s="10" t="n"/>
      <c r="G1967" s="10">
        <f>IF(F1967="","",MIN(F1967,100))</f>
        <v/>
      </c>
      <c r="H1967" s="11">
        <f>IF(A1967="","",Universe!E1967/BDP(A1967&amp;" US Equity","HIGH_52WEEK")*100)</f>
        <v/>
      </c>
      <c r="I1967">
        <f>IF(D1967="","",D1967&gt;=5)</f>
        <v/>
      </c>
      <c r="J1967">
        <f>IF(F1967="","",F1967&gt;=5)</f>
        <v/>
      </c>
      <c r="K1967">
        <f>IF(H1967="","",H1967&gt;=75)</f>
        <v/>
      </c>
      <c r="L1967">
        <f>IF(OR(I1967="",J1967="",K1967=""),FALSE,AND(I1967,J1967,K1967))</f>
        <v/>
      </c>
    </row>
    <row r="1968">
      <c r="A1968">
        <f>Universe!A1968</f>
        <v/>
      </c>
      <c r="B1968" s="10" t="n"/>
      <c r="C1968" s="11">
        <f>IF(B1968="","",PERCENTRANK.INC($B$2:$B$2501,B1968)*100)</f>
        <v/>
      </c>
      <c r="D1968" s="10" t="n"/>
      <c r="E1968" s="10">
        <f>IF(D1968="","",MIN(D1968,100))</f>
        <v/>
      </c>
      <c r="F1968" s="10" t="n"/>
      <c r="G1968" s="10">
        <f>IF(F1968="","",MIN(F1968,100))</f>
        <v/>
      </c>
      <c r="H1968" s="11">
        <f>IF(A1968="","",Universe!E1968/BDP(A1968&amp;" US Equity","HIGH_52WEEK")*100)</f>
        <v/>
      </c>
      <c r="I1968">
        <f>IF(D1968="","",D1968&gt;=5)</f>
        <v/>
      </c>
      <c r="J1968">
        <f>IF(F1968="","",F1968&gt;=5)</f>
        <v/>
      </c>
      <c r="K1968">
        <f>IF(H1968="","",H1968&gt;=75)</f>
        <v/>
      </c>
      <c r="L1968">
        <f>IF(OR(I1968="",J1968="",K1968=""),FALSE,AND(I1968,J1968,K1968))</f>
        <v/>
      </c>
    </row>
    <row r="1969">
      <c r="A1969">
        <f>Universe!A1969</f>
        <v/>
      </c>
      <c r="B1969" s="10" t="n"/>
      <c r="C1969" s="11">
        <f>IF(B1969="","",PERCENTRANK.INC($B$2:$B$2501,B1969)*100)</f>
        <v/>
      </c>
      <c r="D1969" s="10" t="n"/>
      <c r="E1969" s="10">
        <f>IF(D1969="","",MIN(D1969,100))</f>
        <v/>
      </c>
      <c r="F1969" s="10" t="n"/>
      <c r="G1969" s="10">
        <f>IF(F1969="","",MIN(F1969,100))</f>
        <v/>
      </c>
      <c r="H1969" s="11">
        <f>IF(A1969="","",Universe!E1969/BDP(A1969&amp;" US Equity","HIGH_52WEEK")*100)</f>
        <v/>
      </c>
      <c r="I1969">
        <f>IF(D1969="","",D1969&gt;=5)</f>
        <v/>
      </c>
      <c r="J1969">
        <f>IF(F1969="","",F1969&gt;=5)</f>
        <v/>
      </c>
      <c r="K1969">
        <f>IF(H1969="","",H1969&gt;=75)</f>
        <v/>
      </c>
      <c r="L1969">
        <f>IF(OR(I1969="",J1969="",K1969=""),FALSE,AND(I1969,J1969,K1969))</f>
        <v/>
      </c>
    </row>
    <row r="1970">
      <c r="A1970">
        <f>Universe!A1970</f>
        <v/>
      </c>
      <c r="B1970" s="10" t="n"/>
      <c r="C1970" s="11">
        <f>IF(B1970="","",PERCENTRANK.INC($B$2:$B$2501,B1970)*100)</f>
        <v/>
      </c>
      <c r="D1970" s="10" t="n"/>
      <c r="E1970" s="10">
        <f>IF(D1970="","",MIN(D1970,100))</f>
        <v/>
      </c>
      <c r="F1970" s="10" t="n"/>
      <c r="G1970" s="10">
        <f>IF(F1970="","",MIN(F1970,100))</f>
        <v/>
      </c>
      <c r="H1970" s="11">
        <f>IF(A1970="","",Universe!E1970/BDP(A1970&amp;" US Equity","HIGH_52WEEK")*100)</f>
        <v/>
      </c>
      <c r="I1970">
        <f>IF(D1970="","",D1970&gt;=5)</f>
        <v/>
      </c>
      <c r="J1970">
        <f>IF(F1970="","",F1970&gt;=5)</f>
        <v/>
      </c>
      <c r="K1970">
        <f>IF(H1970="","",H1970&gt;=75)</f>
        <v/>
      </c>
      <c r="L1970">
        <f>IF(OR(I1970="",J1970="",K1970=""),FALSE,AND(I1970,J1970,K1970))</f>
        <v/>
      </c>
    </row>
    <row r="1971">
      <c r="A1971">
        <f>Universe!A1971</f>
        <v/>
      </c>
      <c r="B1971" s="10" t="n"/>
      <c r="C1971" s="11">
        <f>IF(B1971="","",PERCENTRANK.INC($B$2:$B$2501,B1971)*100)</f>
        <v/>
      </c>
      <c r="D1971" s="10" t="n"/>
      <c r="E1971" s="10">
        <f>IF(D1971="","",MIN(D1971,100))</f>
        <v/>
      </c>
      <c r="F1971" s="10" t="n"/>
      <c r="G1971" s="10">
        <f>IF(F1971="","",MIN(F1971,100))</f>
        <v/>
      </c>
      <c r="H1971" s="11">
        <f>IF(A1971="","",Universe!E1971/BDP(A1971&amp;" US Equity","HIGH_52WEEK")*100)</f>
        <v/>
      </c>
      <c r="I1971">
        <f>IF(D1971="","",D1971&gt;=5)</f>
        <v/>
      </c>
      <c r="J1971">
        <f>IF(F1971="","",F1971&gt;=5)</f>
        <v/>
      </c>
      <c r="K1971">
        <f>IF(H1971="","",H1971&gt;=75)</f>
        <v/>
      </c>
      <c r="L1971">
        <f>IF(OR(I1971="",J1971="",K1971=""),FALSE,AND(I1971,J1971,K1971))</f>
        <v/>
      </c>
    </row>
    <row r="1972">
      <c r="A1972">
        <f>Universe!A1972</f>
        <v/>
      </c>
      <c r="B1972" s="10" t="n"/>
      <c r="C1972" s="11">
        <f>IF(B1972="","",PERCENTRANK.INC($B$2:$B$2501,B1972)*100)</f>
        <v/>
      </c>
      <c r="D1972" s="10" t="n"/>
      <c r="E1972" s="10">
        <f>IF(D1972="","",MIN(D1972,100))</f>
        <v/>
      </c>
      <c r="F1972" s="10" t="n"/>
      <c r="G1972" s="10">
        <f>IF(F1972="","",MIN(F1972,100))</f>
        <v/>
      </c>
      <c r="H1972" s="11">
        <f>IF(A1972="","",Universe!E1972/BDP(A1972&amp;" US Equity","HIGH_52WEEK")*100)</f>
        <v/>
      </c>
      <c r="I1972">
        <f>IF(D1972="","",D1972&gt;=5)</f>
        <v/>
      </c>
      <c r="J1972">
        <f>IF(F1972="","",F1972&gt;=5)</f>
        <v/>
      </c>
      <c r="K1972">
        <f>IF(H1972="","",H1972&gt;=75)</f>
        <v/>
      </c>
      <c r="L1972">
        <f>IF(OR(I1972="",J1972="",K1972=""),FALSE,AND(I1972,J1972,K1972))</f>
        <v/>
      </c>
    </row>
    <row r="1973">
      <c r="A1973">
        <f>Universe!A1973</f>
        <v/>
      </c>
      <c r="B1973" s="10" t="n"/>
      <c r="C1973" s="11">
        <f>IF(B1973="","",PERCENTRANK.INC($B$2:$B$2501,B1973)*100)</f>
        <v/>
      </c>
      <c r="D1973" s="10" t="n"/>
      <c r="E1973" s="10">
        <f>IF(D1973="","",MIN(D1973,100))</f>
        <v/>
      </c>
      <c r="F1973" s="10" t="n"/>
      <c r="G1973" s="10">
        <f>IF(F1973="","",MIN(F1973,100))</f>
        <v/>
      </c>
      <c r="H1973" s="11">
        <f>IF(A1973="","",Universe!E1973/BDP(A1973&amp;" US Equity","HIGH_52WEEK")*100)</f>
        <v/>
      </c>
      <c r="I1973">
        <f>IF(D1973="","",D1973&gt;=5)</f>
        <v/>
      </c>
      <c r="J1973">
        <f>IF(F1973="","",F1973&gt;=5)</f>
        <v/>
      </c>
      <c r="K1973">
        <f>IF(H1973="","",H1973&gt;=75)</f>
        <v/>
      </c>
      <c r="L1973">
        <f>IF(OR(I1973="",J1973="",K1973=""),FALSE,AND(I1973,J1973,K1973))</f>
        <v/>
      </c>
    </row>
    <row r="1974">
      <c r="A1974">
        <f>Universe!A1974</f>
        <v/>
      </c>
      <c r="B1974" s="10" t="n"/>
      <c r="C1974" s="11">
        <f>IF(B1974="","",PERCENTRANK.INC($B$2:$B$2501,B1974)*100)</f>
        <v/>
      </c>
      <c r="D1974" s="10" t="n"/>
      <c r="E1974" s="10">
        <f>IF(D1974="","",MIN(D1974,100))</f>
        <v/>
      </c>
      <c r="F1974" s="10" t="n"/>
      <c r="G1974" s="10">
        <f>IF(F1974="","",MIN(F1974,100))</f>
        <v/>
      </c>
      <c r="H1974" s="11">
        <f>IF(A1974="","",Universe!E1974/BDP(A1974&amp;" US Equity","HIGH_52WEEK")*100)</f>
        <v/>
      </c>
      <c r="I1974">
        <f>IF(D1974="","",D1974&gt;=5)</f>
        <v/>
      </c>
      <c r="J1974">
        <f>IF(F1974="","",F1974&gt;=5)</f>
        <v/>
      </c>
      <c r="K1974">
        <f>IF(H1974="","",H1974&gt;=75)</f>
        <v/>
      </c>
      <c r="L1974">
        <f>IF(OR(I1974="",J1974="",K1974=""),FALSE,AND(I1974,J1974,K1974))</f>
        <v/>
      </c>
    </row>
    <row r="1975">
      <c r="A1975">
        <f>Universe!A1975</f>
        <v/>
      </c>
      <c r="B1975" s="10" t="n"/>
      <c r="C1975" s="11">
        <f>IF(B1975="","",PERCENTRANK.INC($B$2:$B$2501,B1975)*100)</f>
        <v/>
      </c>
      <c r="D1975" s="10" t="n"/>
      <c r="E1975" s="10">
        <f>IF(D1975="","",MIN(D1975,100))</f>
        <v/>
      </c>
      <c r="F1975" s="10" t="n"/>
      <c r="G1975" s="10">
        <f>IF(F1975="","",MIN(F1975,100))</f>
        <v/>
      </c>
      <c r="H1975" s="11">
        <f>IF(A1975="","",Universe!E1975/BDP(A1975&amp;" US Equity","HIGH_52WEEK")*100)</f>
        <v/>
      </c>
      <c r="I1975">
        <f>IF(D1975="","",D1975&gt;=5)</f>
        <v/>
      </c>
      <c r="J1975">
        <f>IF(F1975="","",F1975&gt;=5)</f>
        <v/>
      </c>
      <c r="K1975">
        <f>IF(H1975="","",H1975&gt;=75)</f>
        <v/>
      </c>
      <c r="L1975">
        <f>IF(OR(I1975="",J1975="",K1975=""),FALSE,AND(I1975,J1975,K1975))</f>
        <v/>
      </c>
    </row>
    <row r="1976">
      <c r="A1976">
        <f>Universe!A1976</f>
        <v/>
      </c>
      <c r="B1976" s="10" t="n"/>
      <c r="C1976" s="11">
        <f>IF(B1976="","",PERCENTRANK.INC($B$2:$B$2501,B1976)*100)</f>
        <v/>
      </c>
      <c r="D1976" s="10" t="n"/>
      <c r="E1976" s="10">
        <f>IF(D1976="","",MIN(D1976,100))</f>
        <v/>
      </c>
      <c r="F1976" s="10" t="n"/>
      <c r="G1976" s="10">
        <f>IF(F1976="","",MIN(F1976,100))</f>
        <v/>
      </c>
      <c r="H1976" s="11">
        <f>IF(A1976="","",Universe!E1976/BDP(A1976&amp;" US Equity","HIGH_52WEEK")*100)</f>
        <v/>
      </c>
      <c r="I1976">
        <f>IF(D1976="","",D1976&gt;=5)</f>
        <v/>
      </c>
      <c r="J1976">
        <f>IF(F1976="","",F1976&gt;=5)</f>
        <v/>
      </c>
      <c r="K1976">
        <f>IF(H1976="","",H1976&gt;=75)</f>
        <v/>
      </c>
      <c r="L1976">
        <f>IF(OR(I1976="",J1976="",K1976=""),FALSE,AND(I1976,J1976,K1976))</f>
        <v/>
      </c>
    </row>
    <row r="1977">
      <c r="A1977">
        <f>Universe!A1977</f>
        <v/>
      </c>
      <c r="B1977" s="10" t="n"/>
      <c r="C1977" s="11">
        <f>IF(B1977="","",PERCENTRANK.INC($B$2:$B$2501,B1977)*100)</f>
        <v/>
      </c>
      <c r="D1977" s="10" t="n"/>
      <c r="E1977" s="10">
        <f>IF(D1977="","",MIN(D1977,100))</f>
        <v/>
      </c>
      <c r="F1977" s="10" t="n"/>
      <c r="G1977" s="10">
        <f>IF(F1977="","",MIN(F1977,100))</f>
        <v/>
      </c>
      <c r="H1977" s="11">
        <f>IF(A1977="","",Universe!E1977/BDP(A1977&amp;" US Equity","HIGH_52WEEK")*100)</f>
        <v/>
      </c>
      <c r="I1977">
        <f>IF(D1977="","",D1977&gt;=5)</f>
        <v/>
      </c>
      <c r="J1977">
        <f>IF(F1977="","",F1977&gt;=5)</f>
        <v/>
      </c>
      <c r="K1977">
        <f>IF(H1977="","",H1977&gt;=75)</f>
        <v/>
      </c>
      <c r="L1977">
        <f>IF(OR(I1977="",J1977="",K1977=""),FALSE,AND(I1977,J1977,K1977))</f>
        <v/>
      </c>
    </row>
    <row r="1978">
      <c r="A1978">
        <f>Universe!A1978</f>
        <v/>
      </c>
      <c r="B1978" s="10" t="n"/>
      <c r="C1978" s="11">
        <f>IF(B1978="","",PERCENTRANK.INC($B$2:$B$2501,B1978)*100)</f>
        <v/>
      </c>
      <c r="D1978" s="10" t="n"/>
      <c r="E1978" s="10">
        <f>IF(D1978="","",MIN(D1978,100))</f>
        <v/>
      </c>
      <c r="F1978" s="10" t="n"/>
      <c r="G1978" s="10">
        <f>IF(F1978="","",MIN(F1978,100))</f>
        <v/>
      </c>
      <c r="H1978" s="11">
        <f>IF(A1978="","",Universe!E1978/BDP(A1978&amp;" US Equity","HIGH_52WEEK")*100)</f>
        <v/>
      </c>
      <c r="I1978">
        <f>IF(D1978="","",D1978&gt;=5)</f>
        <v/>
      </c>
      <c r="J1978">
        <f>IF(F1978="","",F1978&gt;=5)</f>
        <v/>
      </c>
      <c r="K1978">
        <f>IF(H1978="","",H1978&gt;=75)</f>
        <v/>
      </c>
      <c r="L1978">
        <f>IF(OR(I1978="",J1978="",K1978=""),FALSE,AND(I1978,J1978,K1978))</f>
        <v/>
      </c>
    </row>
    <row r="1979">
      <c r="A1979">
        <f>Universe!A1979</f>
        <v/>
      </c>
      <c r="B1979" s="10" t="n"/>
      <c r="C1979" s="11">
        <f>IF(B1979="","",PERCENTRANK.INC($B$2:$B$2501,B1979)*100)</f>
        <v/>
      </c>
      <c r="D1979" s="10" t="n"/>
      <c r="E1979" s="10">
        <f>IF(D1979="","",MIN(D1979,100))</f>
        <v/>
      </c>
      <c r="F1979" s="10" t="n"/>
      <c r="G1979" s="10">
        <f>IF(F1979="","",MIN(F1979,100))</f>
        <v/>
      </c>
      <c r="H1979" s="11">
        <f>IF(A1979="","",Universe!E1979/BDP(A1979&amp;" US Equity","HIGH_52WEEK")*100)</f>
        <v/>
      </c>
      <c r="I1979">
        <f>IF(D1979="","",D1979&gt;=5)</f>
        <v/>
      </c>
      <c r="J1979">
        <f>IF(F1979="","",F1979&gt;=5)</f>
        <v/>
      </c>
      <c r="K1979">
        <f>IF(H1979="","",H1979&gt;=75)</f>
        <v/>
      </c>
      <c r="L1979">
        <f>IF(OR(I1979="",J1979="",K1979=""),FALSE,AND(I1979,J1979,K1979))</f>
        <v/>
      </c>
    </row>
    <row r="1980">
      <c r="A1980">
        <f>Universe!A1980</f>
        <v/>
      </c>
      <c r="B1980" s="10" t="n"/>
      <c r="C1980" s="11">
        <f>IF(B1980="","",PERCENTRANK.INC($B$2:$B$2501,B1980)*100)</f>
        <v/>
      </c>
      <c r="D1980" s="10" t="n"/>
      <c r="E1980" s="10">
        <f>IF(D1980="","",MIN(D1980,100))</f>
        <v/>
      </c>
      <c r="F1980" s="10" t="n"/>
      <c r="G1980" s="10">
        <f>IF(F1980="","",MIN(F1980,100))</f>
        <v/>
      </c>
      <c r="H1980" s="11">
        <f>IF(A1980="","",Universe!E1980/BDP(A1980&amp;" US Equity","HIGH_52WEEK")*100)</f>
        <v/>
      </c>
      <c r="I1980">
        <f>IF(D1980="","",D1980&gt;=5)</f>
        <v/>
      </c>
      <c r="J1980">
        <f>IF(F1980="","",F1980&gt;=5)</f>
        <v/>
      </c>
      <c r="K1980">
        <f>IF(H1980="","",H1980&gt;=75)</f>
        <v/>
      </c>
      <c r="L1980">
        <f>IF(OR(I1980="",J1980="",K1980=""),FALSE,AND(I1980,J1980,K1980))</f>
        <v/>
      </c>
    </row>
    <row r="1981">
      <c r="A1981">
        <f>Universe!A1981</f>
        <v/>
      </c>
      <c r="B1981" s="10" t="n"/>
      <c r="C1981" s="11">
        <f>IF(B1981="","",PERCENTRANK.INC($B$2:$B$2501,B1981)*100)</f>
        <v/>
      </c>
      <c r="D1981" s="10" t="n"/>
      <c r="E1981" s="10">
        <f>IF(D1981="","",MIN(D1981,100))</f>
        <v/>
      </c>
      <c r="F1981" s="10" t="n"/>
      <c r="G1981" s="10">
        <f>IF(F1981="","",MIN(F1981,100))</f>
        <v/>
      </c>
      <c r="H1981" s="11">
        <f>IF(A1981="","",Universe!E1981/BDP(A1981&amp;" US Equity","HIGH_52WEEK")*100)</f>
        <v/>
      </c>
      <c r="I1981">
        <f>IF(D1981="","",D1981&gt;=5)</f>
        <v/>
      </c>
      <c r="J1981">
        <f>IF(F1981="","",F1981&gt;=5)</f>
        <v/>
      </c>
      <c r="K1981">
        <f>IF(H1981="","",H1981&gt;=75)</f>
        <v/>
      </c>
      <c r="L1981">
        <f>IF(OR(I1981="",J1981="",K1981=""),FALSE,AND(I1981,J1981,K1981))</f>
        <v/>
      </c>
    </row>
    <row r="1982">
      <c r="A1982">
        <f>Universe!A1982</f>
        <v/>
      </c>
      <c r="B1982" s="10" t="n"/>
      <c r="C1982" s="11">
        <f>IF(B1982="","",PERCENTRANK.INC($B$2:$B$2501,B1982)*100)</f>
        <v/>
      </c>
      <c r="D1982" s="10" t="n"/>
      <c r="E1982" s="10">
        <f>IF(D1982="","",MIN(D1982,100))</f>
        <v/>
      </c>
      <c r="F1982" s="10" t="n"/>
      <c r="G1982" s="10">
        <f>IF(F1982="","",MIN(F1982,100))</f>
        <v/>
      </c>
      <c r="H1982" s="11">
        <f>IF(A1982="","",Universe!E1982/BDP(A1982&amp;" US Equity","HIGH_52WEEK")*100)</f>
        <v/>
      </c>
      <c r="I1982">
        <f>IF(D1982="","",D1982&gt;=5)</f>
        <v/>
      </c>
      <c r="J1982">
        <f>IF(F1982="","",F1982&gt;=5)</f>
        <v/>
      </c>
      <c r="K1982">
        <f>IF(H1982="","",H1982&gt;=75)</f>
        <v/>
      </c>
      <c r="L1982">
        <f>IF(OR(I1982="",J1982="",K1982=""),FALSE,AND(I1982,J1982,K1982))</f>
        <v/>
      </c>
    </row>
    <row r="1983">
      <c r="A1983">
        <f>Universe!A1983</f>
        <v/>
      </c>
      <c r="B1983" s="10" t="n"/>
      <c r="C1983" s="11">
        <f>IF(B1983="","",PERCENTRANK.INC($B$2:$B$2501,B1983)*100)</f>
        <v/>
      </c>
      <c r="D1983" s="10" t="n"/>
      <c r="E1983" s="10">
        <f>IF(D1983="","",MIN(D1983,100))</f>
        <v/>
      </c>
      <c r="F1983" s="10" t="n"/>
      <c r="G1983" s="10">
        <f>IF(F1983="","",MIN(F1983,100))</f>
        <v/>
      </c>
      <c r="H1983" s="11">
        <f>IF(A1983="","",Universe!E1983/BDP(A1983&amp;" US Equity","HIGH_52WEEK")*100)</f>
        <v/>
      </c>
      <c r="I1983">
        <f>IF(D1983="","",D1983&gt;=5)</f>
        <v/>
      </c>
      <c r="J1983">
        <f>IF(F1983="","",F1983&gt;=5)</f>
        <v/>
      </c>
      <c r="K1983">
        <f>IF(H1983="","",H1983&gt;=75)</f>
        <v/>
      </c>
      <c r="L1983">
        <f>IF(OR(I1983="",J1983="",K1983=""),FALSE,AND(I1983,J1983,K1983))</f>
        <v/>
      </c>
    </row>
    <row r="1984">
      <c r="A1984">
        <f>Universe!A1984</f>
        <v/>
      </c>
      <c r="B1984" s="10" t="n"/>
      <c r="C1984" s="11">
        <f>IF(B1984="","",PERCENTRANK.INC($B$2:$B$2501,B1984)*100)</f>
        <v/>
      </c>
      <c r="D1984" s="10" t="n"/>
      <c r="E1984" s="10">
        <f>IF(D1984="","",MIN(D1984,100))</f>
        <v/>
      </c>
      <c r="F1984" s="10" t="n"/>
      <c r="G1984" s="10">
        <f>IF(F1984="","",MIN(F1984,100))</f>
        <v/>
      </c>
      <c r="H1984" s="11">
        <f>IF(A1984="","",Universe!E1984/BDP(A1984&amp;" US Equity","HIGH_52WEEK")*100)</f>
        <v/>
      </c>
      <c r="I1984">
        <f>IF(D1984="","",D1984&gt;=5)</f>
        <v/>
      </c>
      <c r="J1984">
        <f>IF(F1984="","",F1984&gt;=5)</f>
        <v/>
      </c>
      <c r="K1984">
        <f>IF(H1984="","",H1984&gt;=75)</f>
        <v/>
      </c>
      <c r="L1984">
        <f>IF(OR(I1984="",J1984="",K1984=""),FALSE,AND(I1984,J1984,K1984))</f>
        <v/>
      </c>
    </row>
    <row r="1985">
      <c r="A1985">
        <f>Universe!A1985</f>
        <v/>
      </c>
      <c r="B1985" s="10" t="n"/>
      <c r="C1985" s="11">
        <f>IF(B1985="","",PERCENTRANK.INC($B$2:$B$2501,B1985)*100)</f>
        <v/>
      </c>
      <c r="D1985" s="10" t="n"/>
      <c r="E1985" s="10">
        <f>IF(D1985="","",MIN(D1985,100))</f>
        <v/>
      </c>
      <c r="F1985" s="10" t="n"/>
      <c r="G1985" s="10">
        <f>IF(F1985="","",MIN(F1985,100))</f>
        <v/>
      </c>
      <c r="H1985" s="11">
        <f>IF(A1985="","",Universe!E1985/BDP(A1985&amp;" US Equity","HIGH_52WEEK")*100)</f>
        <v/>
      </c>
      <c r="I1985">
        <f>IF(D1985="","",D1985&gt;=5)</f>
        <v/>
      </c>
      <c r="J1985">
        <f>IF(F1985="","",F1985&gt;=5)</f>
        <v/>
      </c>
      <c r="K1985">
        <f>IF(H1985="","",H1985&gt;=75)</f>
        <v/>
      </c>
      <c r="L1985">
        <f>IF(OR(I1985="",J1985="",K1985=""),FALSE,AND(I1985,J1985,K1985))</f>
        <v/>
      </c>
    </row>
    <row r="1986">
      <c r="A1986">
        <f>Universe!A1986</f>
        <v/>
      </c>
      <c r="B1986" s="10" t="n"/>
      <c r="C1986" s="11">
        <f>IF(B1986="","",PERCENTRANK.INC($B$2:$B$2501,B1986)*100)</f>
        <v/>
      </c>
      <c r="D1986" s="10" t="n"/>
      <c r="E1986" s="10">
        <f>IF(D1986="","",MIN(D1986,100))</f>
        <v/>
      </c>
      <c r="F1986" s="10" t="n"/>
      <c r="G1986" s="10">
        <f>IF(F1986="","",MIN(F1986,100))</f>
        <v/>
      </c>
      <c r="H1986" s="11">
        <f>IF(A1986="","",Universe!E1986/BDP(A1986&amp;" US Equity","HIGH_52WEEK")*100)</f>
        <v/>
      </c>
      <c r="I1986">
        <f>IF(D1986="","",D1986&gt;=5)</f>
        <v/>
      </c>
      <c r="J1986">
        <f>IF(F1986="","",F1986&gt;=5)</f>
        <v/>
      </c>
      <c r="K1986">
        <f>IF(H1986="","",H1986&gt;=75)</f>
        <v/>
      </c>
      <c r="L1986">
        <f>IF(OR(I1986="",J1986="",K1986=""),FALSE,AND(I1986,J1986,K1986))</f>
        <v/>
      </c>
    </row>
    <row r="1987">
      <c r="A1987">
        <f>Universe!A1987</f>
        <v/>
      </c>
      <c r="B1987" s="10" t="n"/>
      <c r="C1987" s="11">
        <f>IF(B1987="","",PERCENTRANK.INC($B$2:$B$2501,B1987)*100)</f>
        <v/>
      </c>
      <c r="D1987" s="10" t="n"/>
      <c r="E1987" s="10">
        <f>IF(D1987="","",MIN(D1987,100))</f>
        <v/>
      </c>
      <c r="F1987" s="10" t="n"/>
      <c r="G1987" s="10">
        <f>IF(F1987="","",MIN(F1987,100))</f>
        <v/>
      </c>
      <c r="H1987" s="11">
        <f>IF(A1987="","",Universe!E1987/BDP(A1987&amp;" US Equity","HIGH_52WEEK")*100)</f>
        <v/>
      </c>
      <c r="I1987">
        <f>IF(D1987="","",D1987&gt;=5)</f>
        <v/>
      </c>
      <c r="J1987">
        <f>IF(F1987="","",F1987&gt;=5)</f>
        <v/>
      </c>
      <c r="K1987">
        <f>IF(H1987="","",H1987&gt;=75)</f>
        <v/>
      </c>
      <c r="L1987">
        <f>IF(OR(I1987="",J1987="",K1987=""),FALSE,AND(I1987,J1987,K1987))</f>
        <v/>
      </c>
    </row>
    <row r="1988">
      <c r="A1988">
        <f>Universe!A1988</f>
        <v/>
      </c>
      <c r="B1988" s="10" t="n"/>
      <c r="C1988" s="11">
        <f>IF(B1988="","",PERCENTRANK.INC($B$2:$B$2501,B1988)*100)</f>
        <v/>
      </c>
      <c r="D1988" s="10" t="n"/>
      <c r="E1988" s="10">
        <f>IF(D1988="","",MIN(D1988,100))</f>
        <v/>
      </c>
      <c r="F1988" s="10" t="n"/>
      <c r="G1988" s="10">
        <f>IF(F1988="","",MIN(F1988,100))</f>
        <v/>
      </c>
      <c r="H1988" s="11">
        <f>IF(A1988="","",Universe!E1988/BDP(A1988&amp;" US Equity","HIGH_52WEEK")*100)</f>
        <v/>
      </c>
      <c r="I1988">
        <f>IF(D1988="","",D1988&gt;=5)</f>
        <v/>
      </c>
      <c r="J1988">
        <f>IF(F1988="","",F1988&gt;=5)</f>
        <v/>
      </c>
      <c r="K1988">
        <f>IF(H1988="","",H1988&gt;=75)</f>
        <v/>
      </c>
      <c r="L1988">
        <f>IF(OR(I1988="",J1988="",K1988=""),FALSE,AND(I1988,J1988,K1988))</f>
        <v/>
      </c>
    </row>
    <row r="1989">
      <c r="A1989">
        <f>Universe!A1989</f>
        <v/>
      </c>
      <c r="B1989" s="10" t="n"/>
      <c r="C1989" s="11">
        <f>IF(B1989="","",PERCENTRANK.INC($B$2:$B$2501,B1989)*100)</f>
        <v/>
      </c>
      <c r="D1989" s="10" t="n"/>
      <c r="E1989" s="10">
        <f>IF(D1989="","",MIN(D1989,100))</f>
        <v/>
      </c>
      <c r="F1989" s="10" t="n"/>
      <c r="G1989" s="10">
        <f>IF(F1989="","",MIN(F1989,100))</f>
        <v/>
      </c>
      <c r="H1989" s="11">
        <f>IF(A1989="","",Universe!E1989/BDP(A1989&amp;" US Equity","HIGH_52WEEK")*100)</f>
        <v/>
      </c>
      <c r="I1989">
        <f>IF(D1989="","",D1989&gt;=5)</f>
        <v/>
      </c>
      <c r="J1989">
        <f>IF(F1989="","",F1989&gt;=5)</f>
        <v/>
      </c>
      <c r="K1989">
        <f>IF(H1989="","",H1989&gt;=75)</f>
        <v/>
      </c>
      <c r="L1989">
        <f>IF(OR(I1989="",J1989="",K1989=""),FALSE,AND(I1989,J1989,K1989))</f>
        <v/>
      </c>
    </row>
    <row r="1990">
      <c r="A1990">
        <f>Universe!A1990</f>
        <v/>
      </c>
      <c r="B1990" s="10" t="n"/>
      <c r="C1990" s="11">
        <f>IF(B1990="","",PERCENTRANK.INC($B$2:$B$2501,B1990)*100)</f>
        <v/>
      </c>
      <c r="D1990" s="10" t="n"/>
      <c r="E1990" s="10">
        <f>IF(D1990="","",MIN(D1990,100))</f>
        <v/>
      </c>
      <c r="F1990" s="10" t="n"/>
      <c r="G1990" s="10">
        <f>IF(F1990="","",MIN(F1990,100))</f>
        <v/>
      </c>
      <c r="H1990" s="11">
        <f>IF(A1990="","",Universe!E1990/BDP(A1990&amp;" US Equity","HIGH_52WEEK")*100)</f>
        <v/>
      </c>
      <c r="I1990">
        <f>IF(D1990="","",D1990&gt;=5)</f>
        <v/>
      </c>
      <c r="J1990">
        <f>IF(F1990="","",F1990&gt;=5)</f>
        <v/>
      </c>
      <c r="K1990">
        <f>IF(H1990="","",H1990&gt;=75)</f>
        <v/>
      </c>
      <c r="L1990">
        <f>IF(OR(I1990="",J1990="",K1990=""),FALSE,AND(I1990,J1990,K1990))</f>
        <v/>
      </c>
    </row>
    <row r="1991">
      <c r="A1991">
        <f>Universe!A1991</f>
        <v/>
      </c>
      <c r="B1991" s="10" t="n"/>
      <c r="C1991" s="11">
        <f>IF(B1991="","",PERCENTRANK.INC($B$2:$B$2501,B1991)*100)</f>
        <v/>
      </c>
      <c r="D1991" s="10" t="n"/>
      <c r="E1991" s="10">
        <f>IF(D1991="","",MIN(D1991,100))</f>
        <v/>
      </c>
      <c r="F1991" s="10" t="n"/>
      <c r="G1991" s="10">
        <f>IF(F1991="","",MIN(F1991,100))</f>
        <v/>
      </c>
      <c r="H1991" s="11">
        <f>IF(A1991="","",Universe!E1991/BDP(A1991&amp;" US Equity","HIGH_52WEEK")*100)</f>
        <v/>
      </c>
      <c r="I1991">
        <f>IF(D1991="","",D1991&gt;=5)</f>
        <v/>
      </c>
      <c r="J1991">
        <f>IF(F1991="","",F1991&gt;=5)</f>
        <v/>
      </c>
      <c r="K1991">
        <f>IF(H1991="","",H1991&gt;=75)</f>
        <v/>
      </c>
      <c r="L1991">
        <f>IF(OR(I1991="",J1991="",K1991=""),FALSE,AND(I1991,J1991,K1991))</f>
        <v/>
      </c>
    </row>
    <row r="1992">
      <c r="A1992">
        <f>Universe!A1992</f>
        <v/>
      </c>
      <c r="B1992" s="10" t="n"/>
      <c r="C1992" s="11">
        <f>IF(B1992="","",PERCENTRANK.INC($B$2:$B$2501,B1992)*100)</f>
        <v/>
      </c>
      <c r="D1992" s="10" t="n"/>
      <c r="E1992" s="10">
        <f>IF(D1992="","",MIN(D1992,100))</f>
        <v/>
      </c>
      <c r="F1992" s="10" t="n"/>
      <c r="G1992" s="10">
        <f>IF(F1992="","",MIN(F1992,100))</f>
        <v/>
      </c>
      <c r="H1992" s="11">
        <f>IF(A1992="","",Universe!E1992/BDP(A1992&amp;" US Equity","HIGH_52WEEK")*100)</f>
        <v/>
      </c>
      <c r="I1992">
        <f>IF(D1992="","",D1992&gt;=5)</f>
        <v/>
      </c>
      <c r="J1992">
        <f>IF(F1992="","",F1992&gt;=5)</f>
        <v/>
      </c>
      <c r="K1992">
        <f>IF(H1992="","",H1992&gt;=75)</f>
        <v/>
      </c>
      <c r="L1992">
        <f>IF(OR(I1992="",J1992="",K1992=""),FALSE,AND(I1992,J1992,K1992))</f>
        <v/>
      </c>
    </row>
    <row r="1993">
      <c r="A1993">
        <f>Universe!A1993</f>
        <v/>
      </c>
      <c r="B1993" s="10" t="n"/>
      <c r="C1993" s="11">
        <f>IF(B1993="","",PERCENTRANK.INC($B$2:$B$2501,B1993)*100)</f>
        <v/>
      </c>
      <c r="D1993" s="10" t="n"/>
      <c r="E1993" s="10">
        <f>IF(D1993="","",MIN(D1993,100))</f>
        <v/>
      </c>
      <c r="F1993" s="10" t="n"/>
      <c r="G1993" s="10">
        <f>IF(F1993="","",MIN(F1993,100))</f>
        <v/>
      </c>
      <c r="H1993" s="11">
        <f>IF(A1993="","",Universe!E1993/BDP(A1993&amp;" US Equity","HIGH_52WEEK")*100)</f>
        <v/>
      </c>
      <c r="I1993">
        <f>IF(D1993="","",D1993&gt;=5)</f>
        <v/>
      </c>
      <c r="J1993">
        <f>IF(F1993="","",F1993&gt;=5)</f>
        <v/>
      </c>
      <c r="K1993">
        <f>IF(H1993="","",H1993&gt;=75)</f>
        <v/>
      </c>
      <c r="L1993">
        <f>IF(OR(I1993="",J1993="",K1993=""),FALSE,AND(I1993,J1993,K1993))</f>
        <v/>
      </c>
    </row>
    <row r="1994">
      <c r="A1994">
        <f>Universe!A1994</f>
        <v/>
      </c>
      <c r="B1994" s="10" t="n"/>
      <c r="C1994" s="11">
        <f>IF(B1994="","",PERCENTRANK.INC($B$2:$B$2501,B1994)*100)</f>
        <v/>
      </c>
      <c r="D1994" s="10" t="n"/>
      <c r="E1994" s="10">
        <f>IF(D1994="","",MIN(D1994,100))</f>
        <v/>
      </c>
      <c r="F1994" s="10" t="n"/>
      <c r="G1994" s="10">
        <f>IF(F1994="","",MIN(F1994,100))</f>
        <v/>
      </c>
      <c r="H1994" s="11">
        <f>IF(A1994="","",Universe!E1994/BDP(A1994&amp;" US Equity","HIGH_52WEEK")*100)</f>
        <v/>
      </c>
      <c r="I1994">
        <f>IF(D1994="","",D1994&gt;=5)</f>
        <v/>
      </c>
      <c r="J1994">
        <f>IF(F1994="","",F1994&gt;=5)</f>
        <v/>
      </c>
      <c r="K1994">
        <f>IF(H1994="","",H1994&gt;=75)</f>
        <v/>
      </c>
      <c r="L1994">
        <f>IF(OR(I1994="",J1994="",K1994=""),FALSE,AND(I1994,J1994,K1994))</f>
        <v/>
      </c>
    </row>
    <row r="1995">
      <c r="A1995">
        <f>Universe!A1995</f>
        <v/>
      </c>
      <c r="B1995" s="10" t="n"/>
      <c r="C1995" s="11">
        <f>IF(B1995="","",PERCENTRANK.INC($B$2:$B$2501,B1995)*100)</f>
        <v/>
      </c>
      <c r="D1995" s="10" t="n"/>
      <c r="E1995" s="10">
        <f>IF(D1995="","",MIN(D1995,100))</f>
        <v/>
      </c>
      <c r="F1995" s="10" t="n"/>
      <c r="G1995" s="10">
        <f>IF(F1995="","",MIN(F1995,100))</f>
        <v/>
      </c>
      <c r="H1995" s="11">
        <f>IF(A1995="","",Universe!E1995/BDP(A1995&amp;" US Equity","HIGH_52WEEK")*100)</f>
        <v/>
      </c>
      <c r="I1995">
        <f>IF(D1995="","",D1995&gt;=5)</f>
        <v/>
      </c>
      <c r="J1995">
        <f>IF(F1995="","",F1995&gt;=5)</f>
        <v/>
      </c>
      <c r="K1995">
        <f>IF(H1995="","",H1995&gt;=75)</f>
        <v/>
      </c>
      <c r="L1995">
        <f>IF(OR(I1995="",J1995="",K1995=""),FALSE,AND(I1995,J1995,K1995))</f>
        <v/>
      </c>
    </row>
    <row r="1996">
      <c r="A1996">
        <f>Universe!A1996</f>
        <v/>
      </c>
      <c r="B1996" s="10" t="n"/>
      <c r="C1996" s="11">
        <f>IF(B1996="","",PERCENTRANK.INC($B$2:$B$2501,B1996)*100)</f>
        <v/>
      </c>
      <c r="D1996" s="10" t="n"/>
      <c r="E1996" s="10">
        <f>IF(D1996="","",MIN(D1996,100))</f>
        <v/>
      </c>
      <c r="F1996" s="10" t="n"/>
      <c r="G1996" s="10">
        <f>IF(F1996="","",MIN(F1996,100))</f>
        <v/>
      </c>
      <c r="H1996" s="11">
        <f>IF(A1996="","",Universe!E1996/BDP(A1996&amp;" US Equity","HIGH_52WEEK")*100)</f>
        <v/>
      </c>
      <c r="I1996">
        <f>IF(D1996="","",D1996&gt;=5)</f>
        <v/>
      </c>
      <c r="J1996">
        <f>IF(F1996="","",F1996&gt;=5)</f>
        <v/>
      </c>
      <c r="K1996">
        <f>IF(H1996="","",H1996&gt;=75)</f>
        <v/>
      </c>
      <c r="L1996">
        <f>IF(OR(I1996="",J1996="",K1996=""),FALSE,AND(I1996,J1996,K1996))</f>
        <v/>
      </c>
    </row>
    <row r="1997">
      <c r="A1997">
        <f>Universe!A1997</f>
        <v/>
      </c>
      <c r="B1997" s="10" t="n"/>
      <c r="C1997" s="11">
        <f>IF(B1997="","",PERCENTRANK.INC($B$2:$B$2501,B1997)*100)</f>
        <v/>
      </c>
      <c r="D1997" s="10" t="n"/>
      <c r="E1997" s="10">
        <f>IF(D1997="","",MIN(D1997,100))</f>
        <v/>
      </c>
      <c r="F1997" s="10" t="n"/>
      <c r="G1997" s="10">
        <f>IF(F1997="","",MIN(F1997,100))</f>
        <v/>
      </c>
      <c r="H1997" s="11">
        <f>IF(A1997="","",Universe!E1997/BDP(A1997&amp;" US Equity","HIGH_52WEEK")*100)</f>
        <v/>
      </c>
      <c r="I1997">
        <f>IF(D1997="","",D1997&gt;=5)</f>
        <v/>
      </c>
      <c r="J1997">
        <f>IF(F1997="","",F1997&gt;=5)</f>
        <v/>
      </c>
      <c r="K1997">
        <f>IF(H1997="","",H1997&gt;=75)</f>
        <v/>
      </c>
      <c r="L1997">
        <f>IF(OR(I1997="",J1997="",K1997=""),FALSE,AND(I1997,J1997,K1997))</f>
        <v/>
      </c>
    </row>
    <row r="1998">
      <c r="A1998">
        <f>Universe!A1998</f>
        <v/>
      </c>
      <c r="B1998" s="10" t="n"/>
      <c r="C1998" s="11">
        <f>IF(B1998="","",PERCENTRANK.INC($B$2:$B$2501,B1998)*100)</f>
        <v/>
      </c>
      <c r="D1998" s="10" t="n"/>
      <c r="E1998" s="10">
        <f>IF(D1998="","",MIN(D1998,100))</f>
        <v/>
      </c>
      <c r="F1998" s="10" t="n"/>
      <c r="G1998" s="10">
        <f>IF(F1998="","",MIN(F1998,100))</f>
        <v/>
      </c>
      <c r="H1998" s="11">
        <f>IF(A1998="","",Universe!E1998/BDP(A1998&amp;" US Equity","HIGH_52WEEK")*100)</f>
        <v/>
      </c>
      <c r="I1998">
        <f>IF(D1998="","",D1998&gt;=5)</f>
        <v/>
      </c>
      <c r="J1998">
        <f>IF(F1998="","",F1998&gt;=5)</f>
        <v/>
      </c>
      <c r="K1998">
        <f>IF(H1998="","",H1998&gt;=75)</f>
        <v/>
      </c>
      <c r="L1998">
        <f>IF(OR(I1998="",J1998="",K1998=""),FALSE,AND(I1998,J1998,K1998))</f>
        <v/>
      </c>
    </row>
    <row r="1999">
      <c r="A1999">
        <f>Universe!A1999</f>
        <v/>
      </c>
      <c r="B1999" s="10" t="n"/>
      <c r="C1999" s="11">
        <f>IF(B1999="","",PERCENTRANK.INC($B$2:$B$2501,B1999)*100)</f>
        <v/>
      </c>
      <c r="D1999" s="10" t="n"/>
      <c r="E1999" s="10">
        <f>IF(D1999="","",MIN(D1999,100))</f>
        <v/>
      </c>
      <c r="F1999" s="10" t="n"/>
      <c r="G1999" s="10">
        <f>IF(F1999="","",MIN(F1999,100))</f>
        <v/>
      </c>
      <c r="H1999" s="11">
        <f>IF(A1999="","",Universe!E1999/BDP(A1999&amp;" US Equity","HIGH_52WEEK")*100)</f>
        <v/>
      </c>
      <c r="I1999">
        <f>IF(D1999="","",D1999&gt;=5)</f>
        <v/>
      </c>
      <c r="J1999">
        <f>IF(F1999="","",F1999&gt;=5)</f>
        <v/>
      </c>
      <c r="K1999">
        <f>IF(H1999="","",H1999&gt;=75)</f>
        <v/>
      </c>
      <c r="L1999">
        <f>IF(OR(I1999="",J1999="",K1999=""),FALSE,AND(I1999,J1999,K1999))</f>
        <v/>
      </c>
    </row>
    <row r="2000">
      <c r="A2000">
        <f>Universe!A2000</f>
        <v/>
      </c>
      <c r="B2000" s="10" t="n"/>
      <c r="C2000" s="11">
        <f>IF(B2000="","",PERCENTRANK.INC($B$2:$B$2501,B2000)*100)</f>
        <v/>
      </c>
      <c r="D2000" s="10" t="n"/>
      <c r="E2000" s="10">
        <f>IF(D2000="","",MIN(D2000,100))</f>
        <v/>
      </c>
      <c r="F2000" s="10" t="n"/>
      <c r="G2000" s="10">
        <f>IF(F2000="","",MIN(F2000,100))</f>
        <v/>
      </c>
      <c r="H2000" s="11">
        <f>IF(A2000="","",Universe!E2000/BDP(A2000&amp;" US Equity","HIGH_52WEEK")*100)</f>
        <v/>
      </c>
      <c r="I2000">
        <f>IF(D2000="","",D2000&gt;=5)</f>
        <v/>
      </c>
      <c r="J2000">
        <f>IF(F2000="","",F2000&gt;=5)</f>
        <v/>
      </c>
      <c r="K2000">
        <f>IF(H2000="","",H2000&gt;=75)</f>
        <v/>
      </c>
      <c r="L2000">
        <f>IF(OR(I2000="",J2000="",K2000=""),FALSE,AND(I2000,J2000,K2000))</f>
        <v/>
      </c>
    </row>
    <row r="2001">
      <c r="A2001">
        <f>Universe!A2001</f>
        <v/>
      </c>
      <c r="B2001" s="10" t="n"/>
      <c r="C2001" s="11">
        <f>IF(B2001="","",PERCENTRANK.INC($B$2:$B$2501,B2001)*100)</f>
        <v/>
      </c>
      <c r="D2001" s="10" t="n"/>
      <c r="E2001" s="10">
        <f>IF(D2001="","",MIN(D2001,100))</f>
        <v/>
      </c>
      <c r="F2001" s="10" t="n"/>
      <c r="G2001" s="10">
        <f>IF(F2001="","",MIN(F2001,100))</f>
        <v/>
      </c>
      <c r="H2001" s="11">
        <f>IF(A2001="","",Universe!E2001/BDP(A2001&amp;" US Equity","HIGH_52WEEK")*100)</f>
        <v/>
      </c>
      <c r="I2001">
        <f>IF(D2001="","",D2001&gt;=5)</f>
        <v/>
      </c>
      <c r="J2001">
        <f>IF(F2001="","",F2001&gt;=5)</f>
        <v/>
      </c>
      <c r="K2001">
        <f>IF(H2001="","",H2001&gt;=75)</f>
        <v/>
      </c>
      <c r="L2001">
        <f>IF(OR(I2001="",J2001="",K2001=""),FALSE,AND(I2001,J2001,K2001))</f>
        <v/>
      </c>
    </row>
    <row r="2002">
      <c r="A2002">
        <f>Universe!A2002</f>
        <v/>
      </c>
      <c r="B2002" s="10" t="n"/>
      <c r="C2002" s="11">
        <f>IF(B2002="","",PERCENTRANK.INC($B$2:$B$2501,B2002)*100)</f>
        <v/>
      </c>
      <c r="D2002" s="10" t="n"/>
      <c r="E2002" s="10">
        <f>IF(D2002="","",MIN(D2002,100))</f>
        <v/>
      </c>
      <c r="F2002" s="10" t="n"/>
      <c r="G2002" s="10">
        <f>IF(F2002="","",MIN(F2002,100))</f>
        <v/>
      </c>
      <c r="H2002" s="11">
        <f>IF(A2002="","",Universe!E2002/BDP(A2002&amp;" US Equity","HIGH_52WEEK")*100)</f>
        <v/>
      </c>
      <c r="I2002">
        <f>IF(D2002="","",D2002&gt;=5)</f>
        <v/>
      </c>
      <c r="J2002">
        <f>IF(F2002="","",F2002&gt;=5)</f>
        <v/>
      </c>
      <c r="K2002">
        <f>IF(H2002="","",H2002&gt;=75)</f>
        <v/>
      </c>
      <c r="L2002">
        <f>IF(OR(I2002="",J2002="",K2002=""),FALSE,AND(I2002,J2002,K2002))</f>
        <v/>
      </c>
    </row>
    <row r="2003">
      <c r="A2003">
        <f>Universe!A2003</f>
        <v/>
      </c>
      <c r="B2003" s="10" t="n"/>
      <c r="C2003" s="11">
        <f>IF(B2003="","",PERCENTRANK.INC($B$2:$B$2501,B2003)*100)</f>
        <v/>
      </c>
      <c r="D2003" s="10" t="n"/>
      <c r="E2003" s="10">
        <f>IF(D2003="","",MIN(D2003,100))</f>
        <v/>
      </c>
      <c r="F2003" s="10" t="n"/>
      <c r="G2003" s="10">
        <f>IF(F2003="","",MIN(F2003,100))</f>
        <v/>
      </c>
      <c r="H2003" s="11">
        <f>IF(A2003="","",Universe!E2003/BDP(A2003&amp;" US Equity","HIGH_52WEEK")*100)</f>
        <v/>
      </c>
      <c r="I2003">
        <f>IF(D2003="","",D2003&gt;=5)</f>
        <v/>
      </c>
      <c r="J2003">
        <f>IF(F2003="","",F2003&gt;=5)</f>
        <v/>
      </c>
      <c r="K2003">
        <f>IF(H2003="","",H2003&gt;=75)</f>
        <v/>
      </c>
      <c r="L2003">
        <f>IF(OR(I2003="",J2003="",K2003=""),FALSE,AND(I2003,J2003,K2003))</f>
        <v/>
      </c>
    </row>
    <row r="2004">
      <c r="A2004">
        <f>Universe!A2004</f>
        <v/>
      </c>
      <c r="B2004" s="10" t="n"/>
      <c r="C2004" s="11">
        <f>IF(B2004="","",PERCENTRANK.INC($B$2:$B$2501,B2004)*100)</f>
        <v/>
      </c>
      <c r="D2004" s="10" t="n"/>
      <c r="E2004" s="10">
        <f>IF(D2004="","",MIN(D2004,100))</f>
        <v/>
      </c>
      <c r="F2004" s="10" t="n"/>
      <c r="G2004" s="10">
        <f>IF(F2004="","",MIN(F2004,100))</f>
        <v/>
      </c>
      <c r="H2004" s="11">
        <f>IF(A2004="","",Universe!E2004/BDP(A2004&amp;" US Equity","HIGH_52WEEK")*100)</f>
        <v/>
      </c>
      <c r="I2004">
        <f>IF(D2004="","",D2004&gt;=5)</f>
        <v/>
      </c>
      <c r="J2004">
        <f>IF(F2004="","",F2004&gt;=5)</f>
        <v/>
      </c>
      <c r="K2004">
        <f>IF(H2004="","",H2004&gt;=75)</f>
        <v/>
      </c>
      <c r="L2004">
        <f>IF(OR(I2004="",J2004="",K2004=""),FALSE,AND(I2004,J2004,K2004))</f>
        <v/>
      </c>
    </row>
    <row r="2005">
      <c r="A2005">
        <f>Universe!A2005</f>
        <v/>
      </c>
      <c r="B2005" s="10" t="n"/>
      <c r="C2005" s="11">
        <f>IF(B2005="","",PERCENTRANK.INC($B$2:$B$2501,B2005)*100)</f>
        <v/>
      </c>
      <c r="D2005" s="10" t="n"/>
      <c r="E2005" s="10">
        <f>IF(D2005="","",MIN(D2005,100))</f>
        <v/>
      </c>
      <c r="F2005" s="10" t="n"/>
      <c r="G2005" s="10">
        <f>IF(F2005="","",MIN(F2005,100))</f>
        <v/>
      </c>
      <c r="H2005" s="11">
        <f>IF(A2005="","",Universe!E2005/BDP(A2005&amp;" US Equity","HIGH_52WEEK")*100)</f>
        <v/>
      </c>
      <c r="I2005">
        <f>IF(D2005="","",D2005&gt;=5)</f>
        <v/>
      </c>
      <c r="J2005">
        <f>IF(F2005="","",F2005&gt;=5)</f>
        <v/>
      </c>
      <c r="K2005">
        <f>IF(H2005="","",H2005&gt;=75)</f>
        <v/>
      </c>
      <c r="L2005">
        <f>IF(OR(I2005="",J2005="",K2005=""),FALSE,AND(I2005,J2005,K2005))</f>
        <v/>
      </c>
    </row>
    <row r="2006">
      <c r="A2006">
        <f>Universe!A2006</f>
        <v/>
      </c>
      <c r="B2006" s="10" t="n"/>
      <c r="C2006" s="11">
        <f>IF(B2006="","",PERCENTRANK.INC($B$2:$B$2501,B2006)*100)</f>
        <v/>
      </c>
      <c r="D2006" s="10" t="n"/>
      <c r="E2006" s="10">
        <f>IF(D2006="","",MIN(D2006,100))</f>
        <v/>
      </c>
      <c r="F2006" s="10" t="n"/>
      <c r="G2006" s="10">
        <f>IF(F2006="","",MIN(F2006,100))</f>
        <v/>
      </c>
      <c r="H2006" s="11">
        <f>IF(A2006="","",Universe!E2006/BDP(A2006&amp;" US Equity","HIGH_52WEEK")*100)</f>
        <v/>
      </c>
      <c r="I2006">
        <f>IF(D2006="","",D2006&gt;=5)</f>
        <v/>
      </c>
      <c r="J2006">
        <f>IF(F2006="","",F2006&gt;=5)</f>
        <v/>
      </c>
      <c r="K2006">
        <f>IF(H2006="","",H2006&gt;=75)</f>
        <v/>
      </c>
      <c r="L2006">
        <f>IF(OR(I2006="",J2006="",K2006=""),FALSE,AND(I2006,J2006,K2006))</f>
        <v/>
      </c>
    </row>
    <row r="2007">
      <c r="A2007">
        <f>Universe!A2007</f>
        <v/>
      </c>
      <c r="B2007" s="10" t="n"/>
      <c r="C2007" s="11">
        <f>IF(B2007="","",PERCENTRANK.INC($B$2:$B$2501,B2007)*100)</f>
        <v/>
      </c>
      <c r="D2007" s="10" t="n"/>
      <c r="E2007" s="10">
        <f>IF(D2007="","",MIN(D2007,100))</f>
        <v/>
      </c>
      <c r="F2007" s="10" t="n"/>
      <c r="G2007" s="10">
        <f>IF(F2007="","",MIN(F2007,100))</f>
        <v/>
      </c>
      <c r="H2007" s="11">
        <f>IF(A2007="","",Universe!E2007/BDP(A2007&amp;" US Equity","HIGH_52WEEK")*100)</f>
        <v/>
      </c>
      <c r="I2007">
        <f>IF(D2007="","",D2007&gt;=5)</f>
        <v/>
      </c>
      <c r="J2007">
        <f>IF(F2007="","",F2007&gt;=5)</f>
        <v/>
      </c>
      <c r="K2007">
        <f>IF(H2007="","",H2007&gt;=75)</f>
        <v/>
      </c>
      <c r="L2007">
        <f>IF(OR(I2007="",J2007="",K2007=""),FALSE,AND(I2007,J2007,K2007))</f>
        <v/>
      </c>
    </row>
    <row r="2008">
      <c r="A2008">
        <f>Universe!A2008</f>
        <v/>
      </c>
      <c r="B2008" s="10" t="n"/>
      <c r="C2008" s="11">
        <f>IF(B2008="","",PERCENTRANK.INC($B$2:$B$2501,B2008)*100)</f>
        <v/>
      </c>
      <c r="D2008" s="10" t="n"/>
      <c r="E2008" s="10">
        <f>IF(D2008="","",MIN(D2008,100))</f>
        <v/>
      </c>
      <c r="F2008" s="10" t="n"/>
      <c r="G2008" s="10">
        <f>IF(F2008="","",MIN(F2008,100))</f>
        <v/>
      </c>
      <c r="H2008" s="11">
        <f>IF(A2008="","",Universe!E2008/BDP(A2008&amp;" US Equity","HIGH_52WEEK")*100)</f>
        <v/>
      </c>
      <c r="I2008">
        <f>IF(D2008="","",D2008&gt;=5)</f>
        <v/>
      </c>
      <c r="J2008">
        <f>IF(F2008="","",F2008&gt;=5)</f>
        <v/>
      </c>
      <c r="K2008">
        <f>IF(H2008="","",H2008&gt;=75)</f>
        <v/>
      </c>
      <c r="L2008">
        <f>IF(OR(I2008="",J2008="",K2008=""),FALSE,AND(I2008,J2008,K2008))</f>
        <v/>
      </c>
    </row>
    <row r="2009">
      <c r="A2009">
        <f>Universe!A2009</f>
        <v/>
      </c>
      <c r="B2009" s="10" t="n"/>
      <c r="C2009" s="11">
        <f>IF(B2009="","",PERCENTRANK.INC($B$2:$B$2501,B2009)*100)</f>
        <v/>
      </c>
      <c r="D2009" s="10" t="n"/>
      <c r="E2009" s="10">
        <f>IF(D2009="","",MIN(D2009,100))</f>
        <v/>
      </c>
      <c r="F2009" s="10" t="n"/>
      <c r="G2009" s="10">
        <f>IF(F2009="","",MIN(F2009,100))</f>
        <v/>
      </c>
      <c r="H2009" s="11">
        <f>IF(A2009="","",Universe!E2009/BDP(A2009&amp;" US Equity","HIGH_52WEEK")*100)</f>
        <v/>
      </c>
      <c r="I2009">
        <f>IF(D2009="","",D2009&gt;=5)</f>
        <v/>
      </c>
      <c r="J2009">
        <f>IF(F2009="","",F2009&gt;=5)</f>
        <v/>
      </c>
      <c r="K2009">
        <f>IF(H2009="","",H2009&gt;=75)</f>
        <v/>
      </c>
      <c r="L2009">
        <f>IF(OR(I2009="",J2009="",K2009=""),FALSE,AND(I2009,J2009,K2009))</f>
        <v/>
      </c>
    </row>
    <row r="2010">
      <c r="A2010">
        <f>Universe!A2010</f>
        <v/>
      </c>
      <c r="B2010" s="10" t="n"/>
      <c r="C2010" s="11">
        <f>IF(B2010="","",PERCENTRANK.INC($B$2:$B$2501,B2010)*100)</f>
        <v/>
      </c>
      <c r="D2010" s="10" t="n"/>
      <c r="E2010" s="10">
        <f>IF(D2010="","",MIN(D2010,100))</f>
        <v/>
      </c>
      <c r="F2010" s="10" t="n"/>
      <c r="G2010" s="10">
        <f>IF(F2010="","",MIN(F2010,100))</f>
        <v/>
      </c>
      <c r="H2010" s="11">
        <f>IF(A2010="","",Universe!E2010/BDP(A2010&amp;" US Equity","HIGH_52WEEK")*100)</f>
        <v/>
      </c>
      <c r="I2010">
        <f>IF(D2010="","",D2010&gt;=5)</f>
        <v/>
      </c>
      <c r="J2010">
        <f>IF(F2010="","",F2010&gt;=5)</f>
        <v/>
      </c>
      <c r="K2010">
        <f>IF(H2010="","",H2010&gt;=75)</f>
        <v/>
      </c>
      <c r="L2010">
        <f>IF(OR(I2010="",J2010="",K2010=""),FALSE,AND(I2010,J2010,K2010))</f>
        <v/>
      </c>
    </row>
    <row r="2011">
      <c r="A2011">
        <f>Universe!A2011</f>
        <v/>
      </c>
      <c r="B2011" s="10" t="n"/>
      <c r="C2011" s="11">
        <f>IF(B2011="","",PERCENTRANK.INC($B$2:$B$2501,B2011)*100)</f>
        <v/>
      </c>
      <c r="D2011" s="10" t="n"/>
      <c r="E2011" s="10">
        <f>IF(D2011="","",MIN(D2011,100))</f>
        <v/>
      </c>
      <c r="F2011" s="10" t="n"/>
      <c r="G2011" s="10">
        <f>IF(F2011="","",MIN(F2011,100))</f>
        <v/>
      </c>
      <c r="H2011" s="11">
        <f>IF(A2011="","",Universe!E2011/BDP(A2011&amp;" US Equity","HIGH_52WEEK")*100)</f>
        <v/>
      </c>
      <c r="I2011">
        <f>IF(D2011="","",D2011&gt;=5)</f>
        <v/>
      </c>
      <c r="J2011">
        <f>IF(F2011="","",F2011&gt;=5)</f>
        <v/>
      </c>
      <c r="K2011">
        <f>IF(H2011="","",H2011&gt;=75)</f>
        <v/>
      </c>
      <c r="L2011">
        <f>IF(OR(I2011="",J2011="",K2011=""),FALSE,AND(I2011,J2011,K2011))</f>
        <v/>
      </c>
    </row>
    <row r="2012">
      <c r="A2012">
        <f>Universe!A2012</f>
        <v/>
      </c>
      <c r="B2012" s="10" t="n"/>
      <c r="C2012" s="11">
        <f>IF(B2012="","",PERCENTRANK.INC($B$2:$B$2501,B2012)*100)</f>
        <v/>
      </c>
      <c r="D2012" s="10" t="n"/>
      <c r="E2012" s="10">
        <f>IF(D2012="","",MIN(D2012,100))</f>
        <v/>
      </c>
      <c r="F2012" s="10" t="n"/>
      <c r="G2012" s="10">
        <f>IF(F2012="","",MIN(F2012,100))</f>
        <v/>
      </c>
      <c r="H2012" s="11">
        <f>IF(A2012="","",Universe!E2012/BDP(A2012&amp;" US Equity","HIGH_52WEEK")*100)</f>
        <v/>
      </c>
      <c r="I2012">
        <f>IF(D2012="","",D2012&gt;=5)</f>
        <v/>
      </c>
      <c r="J2012">
        <f>IF(F2012="","",F2012&gt;=5)</f>
        <v/>
      </c>
      <c r="K2012">
        <f>IF(H2012="","",H2012&gt;=75)</f>
        <v/>
      </c>
      <c r="L2012">
        <f>IF(OR(I2012="",J2012="",K2012=""),FALSE,AND(I2012,J2012,K2012))</f>
        <v/>
      </c>
    </row>
    <row r="2013">
      <c r="A2013">
        <f>Universe!A2013</f>
        <v/>
      </c>
      <c r="B2013" s="10" t="n"/>
      <c r="C2013" s="11">
        <f>IF(B2013="","",PERCENTRANK.INC($B$2:$B$2501,B2013)*100)</f>
        <v/>
      </c>
      <c r="D2013" s="10" t="n"/>
      <c r="E2013" s="10">
        <f>IF(D2013="","",MIN(D2013,100))</f>
        <v/>
      </c>
      <c r="F2013" s="10" t="n"/>
      <c r="G2013" s="10">
        <f>IF(F2013="","",MIN(F2013,100))</f>
        <v/>
      </c>
      <c r="H2013" s="11">
        <f>IF(A2013="","",Universe!E2013/BDP(A2013&amp;" US Equity","HIGH_52WEEK")*100)</f>
        <v/>
      </c>
      <c r="I2013">
        <f>IF(D2013="","",D2013&gt;=5)</f>
        <v/>
      </c>
      <c r="J2013">
        <f>IF(F2013="","",F2013&gt;=5)</f>
        <v/>
      </c>
      <c r="K2013">
        <f>IF(H2013="","",H2013&gt;=75)</f>
        <v/>
      </c>
      <c r="L2013">
        <f>IF(OR(I2013="",J2013="",K2013=""),FALSE,AND(I2013,J2013,K2013))</f>
        <v/>
      </c>
    </row>
    <row r="2014">
      <c r="A2014">
        <f>Universe!A2014</f>
        <v/>
      </c>
      <c r="B2014" s="10" t="n"/>
      <c r="C2014" s="11">
        <f>IF(B2014="","",PERCENTRANK.INC($B$2:$B$2501,B2014)*100)</f>
        <v/>
      </c>
      <c r="D2014" s="10" t="n"/>
      <c r="E2014" s="10">
        <f>IF(D2014="","",MIN(D2014,100))</f>
        <v/>
      </c>
      <c r="F2014" s="10" t="n"/>
      <c r="G2014" s="10">
        <f>IF(F2014="","",MIN(F2014,100))</f>
        <v/>
      </c>
      <c r="H2014" s="11">
        <f>IF(A2014="","",Universe!E2014/BDP(A2014&amp;" US Equity","HIGH_52WEEK")*100)</f>
        <v/>
      </c>
      <c r="I2014">
        <f>IF(D2014="","",D2014&gt;=5)</f>
        <v/>
      </c>
      <c r="J2014">
        <f>IF(F2014="","",F2014&gt;=5)</f>
        <v/>
      </c>
      <c r="K2014">
        <f>IF(H2014="","",H2014&gt;=75)</f>
        <v/>
      </c>
      <c r="L2014">
        <f>IF(OR(I2014="",J2014="",K2014=""),FALSE,AND(I2014,J2014,K2014))</f>
        <v/>
      </c>
    </row>
    <row r="2015">
      <c r="A2015">
        <f>Universe!A2015</f>
        <v/>
      </c>
      <c r="B2015" s="10" t="n"/>
      <c r="C2015" s="11">
        <f>IF(B2015="","",PERCENTRANK.INC($B$2:$B$2501,B2015)*100)</f>
        <v/>
      </c>
      <c r="D2015" s="10" t="n"/>
      <c r="E2015" s="10">
        <f>IF(D2015="","",MIN(D2015,100))</f>
        <v/>
      </c>
      <c r="F2015" s="10" t="n"/>
      <c r="G2015" s="10">
        <f>IF(F2015="","",MIN(F2015,100))</f>
        <v/>
      </c>
      <c r="H2015" s="11">
        <f>IF(A2015="","",Universe!E2015/BDP(A2015&amp;" US Equity","HIGH_52WEEK")*100)</f>
        <v/>
      </c>
      <c r="I2015">
        <f>IF(D2015="","",D2015&gt;=5)</f>
        <v/>
      </c>
      <c r="J2015">
        <f>IF(F2015="","",F2015&gt;=5)</f>
        <v/>
      </c>
      <c r="K2015">
        <f>IF(H2015="","",H2015&gt;=75)</f>
        <v/>
      </c>
      <c r="L2015">
        <f>IF(OR(I2015="",J2015="",K2015=""),FALSE,AND(I2015,J2015,K2015))</f>
        <v/>
      </c>
    </row>
    <row r="2016">
      <c r="A2016">
        <f>Universe!A2016</f>
        <v/>
      </c>
      <c r="B2016" s="10" t="n"/>
      <c r="C2016" s="11">
        <f>IF(B2016="","",PERCENTRANK.INC($B$2:$B$2501,B2016)*100)</f>
        <v/>
      </c>
      <c r="D2016" s="10" t="n"/>
      <c r="E2016" s="10">
        <f>IF(D2016="","",MIN(D2016,100))</f>
        <v/>
      </c>
      <c r="F2016" s="10" t="n"/>
      <c r="G2016" s="10">
        <f>IF(F2016="","",MIN(F2016,100))</f>
        <v/>
      </c>
      <c r="H2016" s="11">
        <f>IF(A2016="","",Universe!E2016/BDP(A2016&amp;" US Equity","HIGH_52WEEK")*100)</f>
        <v/>
      </c>
      <c r="I2016">
        <f>IF(D2016="","",D2016&gt;=5)</f>
        <v/>
      </c>
      <c r="J2016">
        <f>IF(F2016="","",F2016&gt;=5)</f>
        <v/>
      </c>
      <c r="K2016">
        <f>IF(H2016="","",H2016&gt;=75)</f>
        <v/>
      </c>
      <c r="L2016">
        <f>IF(OR(I2016="",J2016="",K2016=""),FALSE,AND(I2016,J2016,K2016))</f>
        <v/>
      </c>
    </row>
    <row r="2017">
      <c r="A2017">
        <f>Universe!A2017</f>
        <v/>
      </c>
      <c r="B2017" s="10" t="n"/>
      <c r="C2017" s="11">
        <f>IF(B2017="","",PERCENTRANK.INC($B$2:$B$2501,B2017)*100)</f>
        <v/>
      </c>
      <c r="D2017" s="10" t="n"/>
      <c r="E2017" s="10">
        <f>IF(D2017="","",MIN(D2017,100))</f>
        <v/>
      </c>
      <c r="F2017" s="10" t="n"/>
      <c r="G2017" s="10">
        <f>IF(F2017="","",MIN(F2017,100))</f>
        <v/>
      </c>
      <c r="H2017" s="11">
        <f>IF(A2017="","",Universe!E2017/BDP(A2017&amp;" US Equity","HIGH_52WEEK")*100)</f>
        <v/>
      </c>
      <c r="I2017">
        <f>IF(D2017="","",D2017&gt;=5)</f>
        <v/>
      </c>
      <c r="J2017">
        <f>IF(F2017="","",F2017&gt;=5)</f>
        <v/>
      </c>
      <c r="K2017">
        <f>IF(H2017="","",H2017&gt;=75)</f>
        <v/>
      </c>
      <c r="L2017">
        <f>IF(OR(I2017="",J2017="",K2017=""),FALSE,AND(I2017,J2017,K2017))</f>
        <v/>
      </c>
    </row>
    <row r="2018">
      <c r="A2018">
        <f>Universe!A2018</f>
        <v/>
      </c>
      <c r="B2018" s="10" t="n"/>
      <c r="C2018" s="11">
        <f>IF(B2018="","",PERCENTRANK.INC($B$2:$B$2501,B2018)*100)</f>
        <v/>
      </c>
      <c r="D2018" s="10" t="n"/>
      <c r="E2018" s="10">
        <f>IF(D2018="","",MIN(D2018,100))</f>
        <v/>
      </c>
      <c r="F2018" s="10" t="n"/>
      <c r="G2018" s="10">
        <f>IF(F2018="","",MIN(F2018,100))</f>
        <v/>
      </c>
      <c r="H2018" s="11">
        <f>IF(A2018="","",Universe!E2018/BDP(A2018&amp;" US Equity","HIGH_52WEEK")*100)</f>
        <v/>
      </c>
      <c r="I2018">
        <f>IF(D2018="","",D2018&gt;=5)</f>
        <v/>
      </c>
      <c r="J2018">
        <f>IF(F2018="","",F2018&gt;=5)</f>
        <v/>
      </c>
      <c r="K2018">
        <f>IF(H2018="","",H2018&gt;=75)</f>
        <v/>
      </c>
      <c r="L2018">
        <f>IF(OR(I2018="",J2018="",K2018=""),FALSE,AND(I2018,J2018,K2018))</f>
        <v/>
      </c>
    </row>
    <row r="2019">
      <c r="A2019">
        <f>Universe!A2019</f>
        <v/>
      </c>
      <c r="B2019" s="10" t="n"/>
      <c r="C2019" s="11">
        <f>IF(B2019="","",PERCENTRANK.INC($B$2:$B$2501,B2019)*100)</f>
        <v/>
      </c>
      <c r="D2019" s="10" t="n"/>
      <c r="E2019" s="10">
        <f>IF(D2019="","",MIN(D2019,100))</f>
        <v/>
      </c>
      <c r="F2019" s="10" t="n"/>
      <c r="G2019" s="10">
        <f>IF(F2019="","",MIN(F2019,100))</f>
        <v/>
      </c>
      <c r="H2019" s="11">
        <f>IF(A2019="","",Universe!E2019/BDP(A2019&amp;" US Equity","HIGH_52WEEK")*100)</f>
        <v/>
      </c>
      <c r="I2019">
        <f>IF(D2019="","",D2019&gt;=5)</f>
        <v/>
      </c>
      <c r="J2019">
        <f>IF(F2019="","",F2019&gt;=5)</f>
        <v/>
      </c>
      <c r="K2019">
        <f>IF(H2019="","",H2019&gt;=75)</f>
        <v/>
      </c>
      <c r="L2019">
        <f>IF(OR(I2019="",J2019="",K2019=""),FALSE,AND(I2019,J2019,K2019))</f>
        <v/>
      </c>
    </row>
    <row r="2020">
      <c r="A2020">
        <f>Universe!A2020</f>
        <v/>
      </c>
      <c r="B2020" s="10" t="n"/>
      <c r="C2020" s="11">
        <f>IF(B2020="","",PERCENTRANK.INC($B$2:$B$2501,B2020)*100)</f>
        <v/>
      </c>
      <c r="D2020" s="10" t="n"/>
      <c r="E2020" s="10">
        <f>IF(D2020="","",MIN(D2020,100))</f>
        <v/>
      </c>
      <c r="F2020" s="10" t="n"/>
      <c r="G2020" s="10">
        <f>IF(F2020="","",MIN(F2020,100))</f>
        <v/>
      </c>
      <c r="H2020" s="11">
        <f>IF(A2020="","",Universe!E2020/BDP(A2020&amp;" US Equity","HIGH_52WEEK")*100)</f>
        <v/>
      </c>
      <c r="I2020">
        <f>IF(D2020="","",D2020&gt;=5)</f>
        <v/>
      </c>
      <c r="J2020">
        <f>IF(F2020="","",F2020&gt;=5)</f>
        <v/>
      </c>
      <c r="K2020">
        <f>IF(H2020="","",H2020&gt;=75)</f>
        <v/>
      </c>
      <c r="L2020">
        <f>IF(OR(I2020="",J2020="",K2020=""),FALSE,AND(I2020,J2020,K2020))</f>
        <v/>
      </c>
    </row>
    <row r="2021">
      <c r="A2021">
        <f>Universe!A2021</f>
        <v/>
      </c>
      <c r="B2021" s="10" t="n"/>
      <c r="C2021" s="11">
        <f>IF(B2021="","",PERCENTRANK.INC($B$2:$B$2501,B2021)*100)</f>
        <v/>
      </c>
      <c r="D2021" s="10" t="n"/>
      <c r="E2021" s="10">
        <f>IF(D2021="","",MIN(D2021,100))</f>
        <v/>
      </c>
      <c r="F2021" s="10" t="n"/>
      <c r="G2021" s="10">
        <f>IF(F2021="","",MIN(F2021,100))</f>
        <v/>
      </c>
      <c r="H2021" s="11">
        <f>IF(A2021="","",Universe!E2021/BDP(A2021&amp;" US Equity","HIGH_52WEEK")*100)</f>
        <v/>
      </c>
      <c r="I2021">
        <f>IF(D2021="","",D2021&gt;=5)</f>
        <v/>
      </c>
      <c r="J2021">
        <f>IF(F2021="","",F2021&gt;=5)</f>
        <v/>
      </c>
      <c r="K2021">
        <f>IF(H2021="","",H2021&gt;=75)</f>
        <v/>
      </c>
      <c r="L2021">
        <f>IF(OR(I2021="",J2021="",K2021=""),FALSE,AND(I2021,J2021,K2021))</f>
        <v/>
      </c>
    </row>
    <row r="2022">
      <c r="A2022">
        <f>Universe!A2022</f>
        <v/>
      </c>
      <c r="B2022" s="10" t="n"/>
      <c r="C2022" s="11">
        <f>IF(B2022="","",PERCENTRANK.INC($B$2:$B$2501,B2022)*100)</f>
        <v/>
      </c>
      <c r="D2022" s="10" t="n"/>
      <c r="E2022" s="10">
        <f>IF(D2022="","",MIN(D2022,100))</f>
        <v/>
      </c>
      <c r="F2022" s="10" t="n"/>
      <c r="G2022" s="10">
        <f>IF(F2022="","",MIN(F2022,100))</f>
        <v/>
      </c>
      <c r="H2022" s="11">
        <f>IF(A2022="","",Universe!E2022/BDP(A2022&amp;" US Equity","HIGH_52WEEK")*100)</f>
        <v/>
      </c>
      <c r="I2022">
        <f>IF(D2022="","",D2022&gt;=5)</f>
        <v/>
      </c>
      <c r="J2022">
        <f>IF(F2022="","",F2022&gt;=5)</f>
        <v/>
      </c>
      <c r="K2022">
        <f>IF(H2022="","",H2022&gt;=75)</f>
        <v/>
      </c>
      <c r="L2022">
        <f>IF(OR(I2022="",J2022="",K2022=""),FALSE,AND(I2022,J2022,K2022))</f>
        <v/>
      </c>
    </row>
    <row r="2023">
      <c r="A2023">
        <f>Universe!A2023</f>
        <v/>
      </c>
      <c r="B2023" s="10" t="n"/>
      <c r="C2023" s="11">
        <f>IF(B2023="","",PERCENTRANK.INC($B$2:$B$2501,B2023)*100)</f>
        <v/>
      </c>
      <c r="D2023" s="10" t="n"/>
      <c r="E2023" s="10">
        <f>IF(D2023="","",MIN(D2023,100))</f>
        <v/>
      </c>
      <c r="F2023" s="10" t="n"/>
      <c r="G2023" s="10">
        <f>IF(F2023="","",MIN(F2023,100))</f>
        <v/>
      </c>
      <c r="H2023" s="11">
        <f>IF(A2023="","",Universe!E2023/BDP(A2023&amp;" US Equity","HIGH_52WEEK")*100)</f>
        <v/>
      </c>
      <c r="I2023">
        <f>IF(D2023="","",D2023&gt;=5)</f>
        <v/>
      </c>
      <c r="J2023">
        <f>IF(F2023="","",F2023&gt;=5)</f>
        <v/>
      </c>
      <c r="K2023">
        <f>IF(H2023="","",H2023&gt;=75)</f>
        <v/>
      </c>
      <c r="L2023">
        <f>IF(OR(I2023="",J2023="",K2023=""),FALSE,AND(I2023,J2023,K2023))</f>
        <v/>
      </c>
    </row>
    <row r="2024">
      <c r="A2024">
        <f>Universe!A2024</f>
        <v/>
      </c>
      <c r="B2024" s="10" t="n"/>
      <c r="C2024" s="11">
        <f>IF(B2024="","",PERCENTRANK.INC($B$2:$B$2501,B2024)*100)</f>
        <v/>
      </c>
      <c r="D2024" s="10" t="n"/>
      <c r="E2024" s="10">
        <f>IF(D2024="","",MIN(D2024,100))</f>
        <v/>
      </c>
      <c r="F2024" s="10" t="n"/>
      <c r="G2024" s="10">
        <f>IF(F2024="","",MIN(F2024,100))</f>
        <v/>
      </c>
      <c r="H2024" s="11">
        <f>IF(A2024="","",Universe!E2024/BDP(A2024&amp;" US Equity","HIGH_52WEEK")*100)</f>
        <v/>
      </c>
      <c r="I2024">
        <f>IF(D2024="","",D2024&gt;=5)</f>
        <v/>
      </c>
      <c r="J2024">
        <f>IF(F2024="","",F2024&gt;=5)</f>
        <v/>
      </c>
      <c r="K2024">
        <f>IF(H2024="","",H2024&gt;=75)</f>
        <v/>
      </c>
      <c r="L2024">
        <f>IF(OR(I2024="",J2024="",K2024=""),FALSE,AND(I2024,J2024,K2024))</f>
        <v/>
      </c>
    </row>
    <row r="2025">
      <c r="A2025">
        <f>Universe!A2025</f>
        <v/>
      </c>
      <c r="B2025" s="10" t="n"/>
      <c r="C2025" s="11">
        <f>IF(B2025="","",PERCENTRANK.INC($B$2:$B$2501,B2025)*100)</f>
        <v/>
      </c>
      <c r="D2025" s="10" t="n"/>
      <c r="E2025" s="10">
        <f>IF(D2025="","",MIN(D2025,100))</f>
        <v/>
      </c>
      <c r="F2025" s="10" t="n"/>
      <c r="G2025" s="10">
        <f>IF(F2025="","",MIN(F2025,100))</f>
        <v/>
      </c>
      <c r="H2025" s="11">
        <f>IF(A2025="","",Universe!E2025/BDP(A2025&amp;" US Equity","HIGH_52WEEK")*100)</f>
        <v/>
      </c>
      <c r="I2025">
        <f>IF(D2025="","",D2025&gt;=5)</f>
        <v/>
      </c>
      <c r="J2025">
        <f>IF(F2025="","",F2025&gt;=5)</f>
        <v/>
      </c>
      <c r="K2025">
        <f>IF(H2025="","",H2025&gt;=75)</f>
        <v/>
      </c>
      <c r="L2025">
        <f>IF(OR(I2025="",J2025="",K2025=""),FALSE,AND(I2025,J2025,K2025))</f>
        <v/>
      </c>
    </row>
    <row r="2026">
      <c r="A2026">
        <f>Universe!A2026</f>
        <v/>
      </c>
      <c r="B2026" s="10" t="n"/>
      <c r="C2026" s="11">
        <f>IF(B2026="","",PERCENTRANK.INC($B$2:$B$2501,B2026)*100)</f>
        <v/>
      </c>
      <c r="D2026" s="10" t="n"/>
      <c r="E2026" s="10">
        <f>IF(D2026="","",MIN(D2026,100))</f>
        <v/>
      </c>
      <c r="F2026" s="10" t="n"/>
      <c r="G2026" s="10">
        <f>IF(F2026="","",MIN(F2026,100))</f>
        <v/>
      </c>
      <c r="H2026" s="11">
        <f>IF(A2026="","",Universe!E2026/BDP(A2026&amp;" US Equity","HIGH_52WEEK")*100)</f>
        <v/>
      </c>
      <c r="I2026">
        <f>IF(D2026="","",D2026&gt;=5)</f>
        <v/>
      </c>
      <c r="J2026">
        <f>IF(F2026="","",F2026&gt;=5)</f>
        <v/>
      </c>
      <c r="K2026">
        <f>IF(H2026="","",H2026&gt;=75)</f>
        <v/>
      </c>
      <c r="L2026">
        <f>IF(OR(I2026="",J2026="",K2026=""),FALSE,AND(I2026,J2026,K2026))</f>
        <v/>
      </c>
    </row>
    <row r="2027">
      <c r="A2027">
        <f>Universe!A2027</f>
        <v/>
      </c>
      <c r="B2027" s="10" t="n"/>
      <c r="C2027" s="11">
        <f>IF(B2027="","",PERCENTRANK.INC($B$2:$B$2501,B2027)*100)</f>
        <v/>
      </c>
      <c r="D2027" s="10" t="n"/>
      <c r="E2027" s="10">
        <f>IF(D2027="","",MIN(D2027,100))</f>
        <v/>
      </c>
      <c r="F2027" s="10" t="n"/>
      <c r="G2027" s="10">
        <f>IF(F2027="","",MIN(F2027,100))</f>
        <v/>
      </c>
      <c r="H2027" s="11">
        <f>IF(A2027="","",Universe!E2027/BDP(A2027&amp;" US Equity","HIGH_52WEEK")*100)</f>
        <v/>
      </c>
      <c r="I2027">
        <f>IF(D2027="","",D2027&gt;=5)</f>
        <v/>
      </c>
      <c r="J2027">
        <f>IF(F2027="","",F2027&gt;=5)</f>
        <v/>
      </c>
      <c r="K2027">
        <f>IF(H2027="","",H2027&gt;=75)</f>
        <v/>
      </c>
      <c r="L2027">
        <f>IF(OR(I2027="",J2027="",K2027=""),FALSE,AND(I2027,J2027,K2027))</f>
        <v/>
      </c>
    </row>
    <row r="2028">
      <c r="A2028">
        <f>Universe!A2028</f>
        <v/>
      </c>
      <c r="B2028" s="10" t="n"/>
      <c r="C2028" s="11">
        <f>IF(B2028="","",PERCENTRANK.INC($B$2:$B$2501,B2028)*100)</f>
        <v/>
      </c>
      <c r="D2028" s="10" t="n"/>
      <c r="E2028" s="10">
        <f>IF(D2028="","",MIN(D2028,100))</f>
        <v/>
      </c>
      <c r="F2028" s="10" t="n"/>
      <c r="G2028" s="10">
        <f>IF(F2028="","",MIN(F2028,100))</f>
        <v/>
      </c>
      <c r="H2028" s="11">
        <f>IF(A2028="","",Universe!E2028/BDP(A2028&amp;" US Equity","HIGH_52WEEK")*100)</f>
        <v/>
      </c>
      <c r="I2028">
        <f>IF(D2028="","",D2028&gt;=5)</f>
        <v/>
      </c>
      <c r="J2028">
        <f>IF(F2028="","",F2028&gt;=5)</f>
        <v/>
      </c>
      <c r="K2028">
        <f>IF(H2028="","",H2028&gt;=75)</f>
        <v/>
      </c>
      <c r="L2028">
        <f>IF(OR(I2028="",J2028="",K2028=""),FALSE,AND(I2028,J2028,K2028))</f>
        <v/>
      </c>
    </row>
    <row r="2029">
      <c r="A2029">
        <f>Universe!A2029</f>
        <v/>
      </c>
      <c r="B2029" s="10" t="n"/>
      <c r="C2029" s="11">
        <f>IF(B2029="","",PERCENTRANK.INC($B$2:$B$2501,B2029)*100)</f>
        <v/>
      </c>
      <c r="D2029" s="10" t="n"/>
      <c r="E2029" s="10">
        <f>IF(D2029="","",MIN(D2029,100))</f>
        <v/>
      </c>
      <c r="F2029" s="10" t="n"/>
      <c r="G2029" s="10">
        <f>IF(F2029="","",MIN(F2029,100))</f>
        <v/>
      </c>
      <c r="H2029" s="11">
        <f>IF(A2029="","",Universe!E2029/BDP(A2029&amp;" US Equity","HIGH_52WEEK")*100)</f>
        <v/>
      </c>
      <c r="I2029">
        <f>IF(D2029="","",D2029&gt;=5)</f>
        <v/>
      </c>
      <c r="J2029">
        <f>IF(F2029="","",F2029&gt;=5)</f>
        <v/>
      </c>
      <c r="K2029">
        <f>IF(H2029="","",H2029&gt;=75)</f>
        <v/>
      </c>
      <c r="L2029">
        <f>IF(OR(I2029="",J2029="",K2029=""),FALSE,AND(I2029,J2029,K2029))</f>
        <v/>
      </c>
    </row>
    <row r="2030">
      <c r="A2030">
        <f>Universe!A2030</f>
        <v/>
      </c>
      <c r="B2030" s="10" t="n"/>
      <c r="C2030" s="11">
        <f>IF(B2030="","",PERCENTRANK.INC($B$2:$B$2501,B2030)*100)</f>
        <v/>
      </c>
      <c r="D2030" s="10" t="n"/>
      <c r="E2030" s="10">
        <f>IF(D2030="","",MIN(D2030,100))</f>
        <v/>
      </c>
      <c r="F2030" s="10" t="n"/>
      <c r="G2030" s="10">
        <f>IF(F2030="","",MIN(F2030,100))</f>
        <v/>
      </c>
      <c r="H2030" s="11">
        <f>IF(A2030="","",Universe!E2030/BDP(A2030&amp;" US Equity","HIGH_52WEEK")*100)</f>
        <v/>
      </c>
      <c r="I2030">
        <f>IF(D2030="","",D2030&gt;=5)</f>
        <v/>
      </c>
      <c r="J2030">
        <f>IF(F2030="","",F2030&gt;=5)</f>
        <v/>
      </c>
      <c r="K2030">
        <f>IF(H2030="","",H2030&gt;=75)</f>
        <v/>
      </c>
      <c r="L2030">
        <f>IF(OR(I2030="",J2030="",K2030=""),FALSE,AND(I2030,J2030,K2030))</f>
        <v/>
      </c>
    </row>
    <row r="2031">
      <c r="A2031">
        <f>Universe!A2031</f>
        <v/>
      </c>
      <c r="B2031" s="10" t="n"/>
      <c r="C2031" s="11">
        <f>IF(B2031="","",PERCENTRANK.INC($B$2:$B$2501,B2031)*100)</f>
        <v/>
      </c>
      <c r="D2031" s="10" t="n"/>
      <c r="E2031" s="10">
        <f>IF(D2031="","",MIN(D2031,100))</f>
        <v/>
      </c>
      <c r="F2031" s="10" t="n"/>
      <c r="G2031" s="10">
        <f>IF(F2031="","",MIN(F2031,100))</f>
        <v/>
      </c>
      <c r="H2031" s="11">
        <f>IF(A2031="","",Universe!E2031/BDP(A2031&amp;" US Equity","HIGH_52WEEK")*100)</f>
        <v/>
      </c>
      <c r="I2031">
        <f>IF(D2031="","",D2031&gt;=5)</f>
        <v/>
      </c>
      <c r="J2031">
        <f>IF(F2031="","",F2031&gt;=5)</f>
        <v/>
      </c>
      <c r="K2031">
        <f>IF(H2031="","",H2031&gt;=75)</f>
        <v/>
      </c>
      <c r="L2031">
        <f>IF(OR(I2031="",J2031="",K2031=""),FALSE,AND(I2031,J2031,K2031))</f>
        <v/>
      </c>
    </row>
    <row r="2032">
      <c r="A2032">
        <f>Universe!A2032</f>
        <v/>
      </c>
      <c r="B2032" s="10" t="n"/>
      <c r="C2032" s="11">
        <f>IF(B2032="","",PERCENTRANK.INC($B$2:$B$2501,B2032)*100)</f>
        <v/>
      </c>
      <c r="D2032" s="10" t="n"/>
      <c r="E2032" s="10">
        <f>IF(D2032="","",MIN(D2032,100))</f>
        <v/>
      </c>
      <c r="F2032" s="10" t="n"/>
      <c r="G2032" s="10">
        <f>IF(F2032="","",MIN(F2032,100))</f>
        <v/>
      </c>
      <c r="H2032" s="11">
        <f>IF(A2032="","",Universe!E2032/BDP(A2032&amp;" US Equity","HIGH_52WEEK")*100)</f>
        <v/>
      </c>
      <c r="I2032">
        <f>IF(D2032="","",D2032&gt;=5)</f>
        <v/>
      </c>
      <c r="J2032">
        <f>IF(F2032="","",F2032&gt;=5)</f>
        <v/>
      </c>
      <c r="K2032">
        <f>IF(H2032="","",H2032&gt;=75)</f>
        <v/>
      </c>
      <c r="L2032">
        <f>IF(OR(I2032="",J2032="",K2032=""),FALSE,AND(I2032,J2032,K2032))</f>
        <v/>
      </c>
    </row>
    <row r="2033">
      <c r="A2033">
        <f>Universe!A2033</f>
        <v/>
      </c>
      <c r="B2033" s="10" t="n"/>
      <c r="C2033" s="11">
        <f>IF(B2033="","",PERCENTRANK.INC($B$2:$B$2501,B2033)*100)</f>
        <v/>
      </c>
      <c r="D2033" s="10" t="n"/>
      <c r="E2033" s="10">
        <f>IF(D2033="","",MIN(D2033,100))</f>
        <v/>
      </c>
      <c r="F2033" s="10" t="n"/>
      <c r="G2033" s="10">
        <f>IF(F2033="","",MIN(F2033,100))</f>
        <v/>
      </c>
      <c r="H2033" s="11">
        <f>IF(A2033="","",Universe!E2033/BDP(A2033&amp;" US Equity","HIGH_52WEEK")*100)</f>
        <v/>
      </c>
      <c r="I2033">
        <f>IF(D2033="","",D2033&gt;=5)</f>
        <v/>
      </c>
      <c r="J2033">
        <f>IF(F2033="","",F2033&gt;=5)</f>
        <v/>
      </c>
      <c r="K2033">
        <f>IF(H2033="","",H2033&gt;=75)</f>
        <v/>
      </c>
      <c r="L2033">
        <f>IF(OR(I2033="",J2033="",K2033=""),FALSE,AND(I2033,J2033,K2033))</f>
        <v/>
      </c>
    </row>
    <row r="2034">
      <c r="A2034">
        <f>Universe!A2034</f>
        <v/>
      </c>
      <c r="B2034" s="10" t="n"/>
      <c r="C2034" s="11">
        <f>IF(B2034="","",PERCENTRANK.INC($B$2:$B$2501,B2034)*100)</f>
        <v/>
      </c>
      <c r="D2034" s="10" t="n"/>
      <c r="E2034" s="10">
        <f>IF(D2034="","",MIN(D2034,100))</f>
        <v/>
      </c>
      <c r="F2034" s="10" t="n"/>
      <c r="G2034" s="10">
        <f>IF(F2034="","",MIN(F2034,100))</f>
        <v/>
      </c>
      <c r="H2034" s="11">
        <f>IF(A2034="","",Universe!E2034/BDP(A2034&amp;" US Equity","HIGH_52WEEK")*100)</f>
        <v/>
      </c>
      <c r="I2034">
        <f>IF(D2034="","",D2034&gt;=5)</f>
        <v/>
      </c>
      <c r="J2034">
        <f>IF(F2034="","",F2034&gt;=5)</f>
        <v/>
      </c>
      <c r="K2034">
        <f>IF(H2034="","",H2034&gt;=75)</f>
        <v/>
      </c>
      <c r="L2034">
        <f>IF(OR(I2034="",J2034="",K2034=""),FALSE,AND(I2034,J2034,K2034))</f>
        <v/>
      </c>
    </row>
    <row r="2035">
      <c r="A2035">
        <f>Universe!A2035</f>
        <v/>
      </c>
      <c r="B2035" s="10" t="n"/>
      <c r="C2035" s="11">
        <f>IF(B2035="","",PERCENTRANK.INC($B$2:$B$2501,B2035)*100)</f>
        <v/>
      </c>
      <c r="D2035" s="10" t="n"/>
      <c r="E2035" s="10">
        <f>IF(D2035="","",MIN(D2035,100))</f>
        <v/>
      </c>
      <c r="F2035" s="10" t="n"/>
      <c r="G2035" s="10">
        <f>IF(F2035="","",MIN(F2035,100))</f>
        <v/>
      </c>
      <c r="H2035" s="11">
        <f>IF(A2035="","",Universe!E2035/BDP(A2035&amp;" US Equity","HIGH_52WEEK")*100)</f>
        <v/>
      </c>
      <c r="I2035">
        <f>IF(D2035="","",D2035&gt;=5)</f>
        <v/>
      </c>
      <c r="J2035">
        <f>IF(F2035="","",F2035&gt;=5)</f>
        <v/>
      </c>
      <c r="K2035">
        <f>IF(H2035="","",H2035&gt;=75)</f>
        <v/>
      </c>
      <c r="L2035">
        <f>IF(OR(I2035="",J2035="",K2035=""),FALSE,AND(I2035,J2035,K2035))</f>
        <v/>
      </c>
    </row>
    <row r="2036">
      <c r="A2036">
        <f>Universe!A2036</f>
        <v/>
      </c>
      <c r="B2036" s="10" t="n"/>
      <c r="C2036" s="11">
        <f>IF(B2036="","",PERCENTRANK.INC($B$2:$B$2501,B2036)*100)</f>
        <v/>
      </c>
      <c r="D2036" s="10" t="n"/>
      <c r="E2036" s="10">
        <f>IF(D2036="","",MIN(D2036,100))</f>
        <v/>
      </c>
      <c r="F2036" s="10" t="n"/>
      <c r="G2036" s="10">
        <f>IF(F2036="","",MIN(F2036,100))</f>
        <v/>
      </c>
      <c r="H2036" s="11">
        <f>IF(A2036="","",Universe!E2036/BDP(A2036&amp;" US Equity","HIGH_52WEEK")*100)</f>
        <v/>
      </c>
      <c r="I2036">
        <f>IF(D2036="","",D2036&gt;=5)</f>
        <v/>
      </c>
      <c r="J2036">
        <f>IF(F2036="","",F2036&gt;=5)</f>
        <v/>
      </c>
      <c r="K2036">
        <f>IF(H2036="","",H2036&gt;=75)</f>
        <v/>
      </c>
      <c r="L2036">
        <f>IF(OR(I2036="",J2036="",K2036=""),FALSE,AND(I2036,J2036,K2036))</f>
        <v/>
      </c>
    </row>
    <row r="2037">
      <c r="A2037">
        <f>Universe!A2037</f>
        <v/>
      </c>
      <c r="B2037" s="10" t="n"/>
      <c r="C2037" s="11">
        <f>IF(B2037="","",PERCENTRANK.INC($B$2:$B$2501,B2037)*100)</f>
        <v/>
      </c>
      <c r="D2037" s="10" t="n"/>
      <c r="E2037" s="10">
        <f>IF(D2037="","",MIN(D2037,100))</f>
        <v/>
      </c>
      <c r="F2037" s="10" t="n"/>
      <c r="G2037" s="10">
        <f>IF(F2037="","",MIN(F2037,100))</f>
        <v/>
      </c>
      <c r="H2037" s="11">
        <f>IF(A2037="","",Universe!E2037/BDP(A2037&amp;" US Equity","HIGH_52WEEK")*100)</f>
        <v/>
      </c>
      <c r="I2037">
        <f>IF(D2037="","",D2037&gt;=5)</f>
        <v/>
      </c>
      <c r="J2037">
        <f>IF(F2037="","",F2037&gt;=5)</f>
        <v/>
      </c>
      <c r="K2037">
        <f>IF(H2037="","",H2037&gt;=75)</f>
        <v/>
      </c>
      <c r="L2037">
        <f>IF(OR(I2037="",J2037="",K2037=""),FALSE,AND(I2037,J2037,K2037))</f>
        <v/>
      </c>
    </row>
    <row r="2038">
      <c r="A2038">
        <f>Universe!A2038</f>
        <v/>
      </c>
      <c r="B2038" s="10" t="n"/>
      <c r="C2038" s="11">
        <f>IF(B2038="","",PERCENTRANK.INC($B$2:$B$2501,B2038)*100)</f>
        <v/>
      </c>
      <c r="D2038" s="10" t="n"/>
      <c r="E2038" s="10">
        <f>IF(D2038="","",MIN(D2038,100))</f>
        <v/>
      </c>
      <c r="F2038" s="10" t="n"/>
      <c r="G2038" s="10">
        <f>IF(F2038="","",MIN(F2038,100))</f>
        <v/>
      </c>
      <c r="H2038" s="11">
        <f>IF(A2038="","",Universe!E2038/BDP(A2038&amp;" US Equity","HIGH_52WEEK")*100)</f>
        <v/>
      </c>
      <c r="I2038">
        <f>IF(D2038="","",D2038&gt;=5)</f>
        <v/>
      </c>
      <c r="J2038">
        <f>IF(F2038="","",F2038&gt;=5)</f>
        <v/>
      </c>
      <c r="K2038">
        <f>IF(H2038="","",H2038&gt;=75)</f>
        <v/>
      </c>
      <c r="L2038">
        <f>IF(OR(I2038="",J2038="",K2038=""),FALSE,AND(I2038,J2038,K2038))</f>
        <v/>
      </c>
    </row>
    <row r="2039">
      <c r="A2039">
        <f>Universe!A2039</f>
        <v/>
      </c>
      <c r="B2039" s="10" t="n"/>
      <c r="C2039" s="11">
        <f>IF(B2039="","",PERCENTRANK.INC($B$2:$B$2501,B2039)*100)</f>
        <v/>
      </c>
      <c r="D2039" s="10" t="n"/>
      <c r="E2039" s="10">
        <f>IF(D2039="","",MIN(D2039,100))</f>
        <v/>
      </c>
      <c r="F2039" s="10" t="n"/>
      <c r="G2039" s="10">
        <f>IF(F2039="","",MIN(F2039,100))</f>
        <v/>
      </c>
      <c r="H2039" s="11">
        <f>IF(A2039="","",Universe!E2039/BDP(A2039&amp;" US Equity","HIGH_52WEEK")*100)</f>
        <v/>
      </c>
      <c r="I2039">
        <f>IF(D2039="","",D2039&gt;=5)</f>
        <v/>
      </c>
      <c r="J2039">
        <f>IF(F2039="","",F2039&gt;=5)</f>
        <v/>
      </c>
      <c r="K2039">
        <f>IF(H2039="","",H2039&gt;=75)</f>
        <v/>
      </c>
      <c r="L2039">
        <f>IF(OR(I2039="",J2039="",K2039=""),FALSE,AND(I2039,J2039,K2039))</f>
        <v/>
      </c>
    </row>
    <row r="2040">
      <c r="A2040">
        <f>Universe!A2040</f>
        <v/>
      </c>
      <c r="B2040" s="10" t="n"/>
      <c r="C2040" s="11">
        <f>IF(B2040="","",PERCENTRANK.INC($B$2:$B$2501,B2040)*100)</f>
        <v/>
      </c>
      <c r="D2040" s="10" t="n"/>
      <c r="E2040" s="10">
        <f>IF(D2040="","",MIN(D2040,100))</f>
        <v/>
      </c>
      <c r="F2040" s="10" t="n"/>
      <c r="G2040" s="10">
        <f>IF(F2040="","",MIN(F2040,100))</f>
        <v/>
      </c>
      <c r="H2040" s="11">
        <f>IF(A2040="","",Universe!E2040/BDP(A2040&amp;" US Equity","HIGH_52WEEK")*100)</f>
        <v/>
      </c>
      <c r="I2040">
        <f>IF(D2040="","",D2040&gt;=5)</f>
        <v/>
      </c>
      <c r="J2040">
        <f>IF(F2040="","",F2040&gt;=5)</f>
        <v/>
      </c>
      <c r="K2040">
        <f>IF(H2040="","",H2040&gt;=75)</f>
        <v/>
      </c>
      <c r="L2040">
        <f>IF(OR(I2040="",J2040="",K2040=""),FALSE,AND(I2040,J2040,K2040))</f>
        <v/>
      </c>
    </row>
    <row r="2041">
      <c r="A2041">
        <f>Universe!A2041</f>
        <v/>
      </c>
      <c r="B2041" s="10" t="n"/>
      <c r="C2041" s="11">
        <f>IF(B2041="","",PERCENTRANK.INC($B$2:$B$2501,B2041)*100)</f>
        <v/>
      </c>
      <c r="D2041" s="10" t="n"/>
      <c r="E2041" s="10">
        <f>IF(D2041="","",MIN(D2041,100))</f>
        <v/>
      </c>
      <c r="F2041" s="10" t="n"/>
      <c r="G2041" s="10">
        <f>IF(F2041="","",MIN(F2041,100))</f>
        <v/>
      </c>
      <c r="H2041" s="11">
        <f>IF(A2041="","",Universe!E2041/BDP(A2041&amp;" US Equity","HIGH_52WEEK")*100)</f>
        <v/>
      </c>
      <c r="I2041">
        <f>IF(D2041="","",D2041&gt;=5)</f>
        <v/>
      </c>
      <c r="J2041">
        <f>IF(F2041="","",F2041&gt;=5)</f>
        <v/>
      </c>
      <c r="K2041">
        <f>IF(H2041="","",H2041&gt;=75)</f>
        <v/>
      </c>
      <c r="L2041">
        <f>IF(OR(I2041="",J2041="",K2041=""),FALSE,AND(I2041,J2041,K2041))</f>
        <v/>
      </c>
    </row>
    <row r="2042">
      <c r="A2042">
        <f>Universe!A2042</f>
        <v/>
      </c>
      <c r="B2042" s="10" t="n"/>
      <c r="C2042" s="11">
        <f>IF(B2042="","",PERCENTRANK.INC($B$2:$B$2501,B2042)*100)</f>
        <v/>
      </c>
      <c r="D2042" s="10" t="n"/>
      <c r="E2042" s="10">
        <f>IF(D2042="","",MIN(D2042,100))</f>
        <v/>
      </c>
      <c r="F2042" s="10" t="n"/>
      <c r="G2042" s="10">
        <f>IF(F2042="","",MIN(F2042,100))</f>
        <v/>
      </c>
      <c r="H2042" s="11">
        <f>IF(A2042="","",Universe!E2042/BDP(A2042&amp;" US Equity","HIGH_52WEEK")*100)</f>
        <v/>
      </c>
      <c r="I2042">
        <f>IF(D2042="","",D2042&gt;=5)</f>
        <v/>
      </c>
      <c r="J2042">
        <f>IF(F2042="","",F2042&gt;=5)</f>
        <v/>
      </c>
      <c r="K2042">
        <f>IF(H2042="","",H2042&gt;=75)</f>
        <v/>
      </c>
      <c r="L2042">
        <f>IF(OR(I2042="",J2042="",K2042=""),FALSE,AND(I2042,J2042,K2042))</f>
        <v/>
      </c>
    </row>
    <row r="2043">
      <c r="A2043">
        <f>Universe!A2043</f>
        <v/>
      </c>
      <c r="B2043" s="10" t="n"/>
      <c r="C2043" s="11">
        <f>IF(B2043="","",PERCENTRANK.INC($B$2:$B$2501,B2043)*100)</f>
        <v/>
      </c>
      <c r="D2043" s="10" t="n"/>
      <c r="E2043" s="10">
        <f>IF(D2043="","",MIN(D2043,100))</f>
        <v/>
      </c>
      <c r="F2043" s="10" t="n"/>
      <c r="G2043" s="10">
        <f>IF(F2043="","",MIN(F2043,100))</f>
        <v/>
      </c>
      <c r="H2043" s="11">
        <f>IF(A2043="","",Universe!E2043/BDP(A2043&amp;" US Equity","HIGH_52WEEK")*100)</f>
        <v/>
      </c>
      <c r="I2043">
        <f>IF(D2043="","",D2043&gt;=5)</f>
        <v/>
      </c>
      <c r="J2043">
        <f>IF(F2043="","",F2043&gt;=5)</f>
        <v/>
      </c>
      <c r="K2043">
        <f>IF(H2043="","",H2043&gt;=75)</f>
        <v/>
      </c>
      <c r="L2043">
        <f>IF(OR(I2043="",J2043="",K2043=""),FALSE,AND(I2043,J2043,K2043))</f>
        <v/>
      </c>
    </row>
    <row r="2044">
      <c r="A2044">
        <f>Universe!A2044</f>
        <v/>
      </c>
      <c r="B2044" s="10" t="n"/>
      <c r="C2044" s="11">
        <f>IF(B2044="","",PERCENTRANK.INC($B$2:$B$2501,B2044)*100)</f>
        <v/>
      </c>
      <c r="D2044" s="10" t="n"/>
      <c r="E2044" s="10">
        <f>IF(D2044="","",MIN(D2044,100))</f>
        <v/>
      </c>
      <c r="F2044" s="10" t="n"/>
      <c r="G2044" s="10">
        <f>IF(F2044="","",MIN(F2044,100))</f>
        <v/>
      </c>
      <c r="H2044" s="11">
        <f>IF(A2044="","",Universe!E2044/BDP(A2044&amp;" US Equity","HIGH_52WEEK")*100)</f>
        <v/>
      </c>
      <c r="I2044">
        <f>IF(D2044="","",D2044&gt;=5)</f>
        <v/>
      </c>
      <c r="J2044">
        <f>IF(F2044="","",F2044&gt;=5)</f>
        <v/>
      </c>
      <c r="K2044">
        <f>IF(H2044="","",H2044&gt;=75)</f>
        <v/>
      </c>
      <c r="L2044">
        <f>IF(OR(I2044="",J2044="",K2044=""),FALSE,AND(I2044,J2044,K2044))</f>
        <v/>
      </c>
    </row>
    <row r="2045">
      <c r="A2045">
        <f>Universe!A2045</f>
        <v/>
      </c>
      <c r="B2045" s="10" t="n"/>
      <c r="C2045" s="11">
        <f>IF(B2045="","",PERCENTRANK.INC($B$2:$B$2501,B2045)*100)</f>
        <v/>
      </c>
      <c r="D2045" s="10" t="n"/>
      <c r="E2045" s="10">
        <f>IF(D2045="","",MIN(D2045,100))</f>
        <v/>
      </c>
      <c r="F2045" s="10" t="n"/>
      <c r="G2045" s="10">
        <f>IF(F2045="","",MIN(F2045,100))</f>
        <v/>
      </c>
      <c r="H2045" s="11">
        <f>IF(A2045="","",Universe!E2045/BDP(A2045&amp;" US Equity","HIGH_52WEEK")*100)</f>
        <v/>
      </c>
      <c r="I2045">
        <f>IF(D2045="","",D2045&gt;=5)</f>
        <v/>
      </c>
      <c r="J2045">
        <f>IF(F2045="","",F2045&gt;=5)</f>
        <v/>
      </c>
      <c r="K2045">
        <f>IF(H2045="","",H2045&gt;=75)</f>
        <v/>
      </c>
      <c r="L2045">
        <f>IF(OR(I2045="",J2045="",K2045=""),FALSE,AND(I2045,J2045,K2045))</f>
        <v/>
      </c>
    </row>
    <row r="2046">
      <c r="A2046">
        <f>Universe!A2046</f>
        <v/>
      </c>
      <c r="B2046" s="10" t="n"/>
      <c r="C2046" s="11">
        <f>IF(B2046="","",PERCENTRANK.INC($B$2:$B$2501,B2046)*100)</f>
        <v/>
      </c>
      <c r="D2046" s="10" t="n"/>
      <c r="E2046" s="10">
        <f>IF(D2046="","",MIN(D2046,100))</f>
        <v/>
      </c>
      <c r="F2046" s="10" t="n"/>
      <c r="G2046" s="10">
        <f>IF(F2046="","",MIN(F2046,100))</f>
        <v/>
      </c>
      <c r="H2046" s="11">
        <f>IF(A2046="","",Universe!E2046/BDP(A2046&amp;" US Equity","HIGH_52WEEK")*100)</f>
        <v/>
      </c>
      <c r="I2046">
        <f>IF(D2046="","",D2046&gt;=5)</f>
        <v/>
      </c>
      <c r="J2046">
        <f>IF(F2046="","",F2046&gt;=5)</f>
        <v/>
      </c>
      <c r="K2046">
        <f>IF(H2046="","",H2046&gt;=75)</f>
        <v/>
      </c>
      <c r="L2046">
        <f>IF(OR(I2046="",J2046="",K2046=""),FALSE,AND(I2046,J2046,K2046))</f>
        <v/>
      </c>
    </row>
    <row r="2047">
      <c r="A2047">
        <f>Universe!A2047</f>
        <v/>
      </c>
      <c r="B2047" s="10" t="n"/>
      <c r="C2047" s="11">
        <f>IF(B2047="","",PERCENTRANK.INC($B$2:$B$2501,B2047)*100)</f>
        <v/>
      </c>
      <c r="D2047" s="10" t="n"/>
      <c r="E2047" s="10">
        <f>IF(D2047="","",MIN(D2047,100))</f>
        <v/>
      </c>
      <c r="F2047" s="10" t="n"/>
      <c r="G2047" s="10">
        <f>IF(F2047="","",MIN(F2047,100))</f>
        <v/>
      </c>
      <c r="H2047" s="11">
        <f>IF(A2047="","",Universe!E2047/BDP(A2047&amp;" US Equity","HIGH_52WEEK")*100)</f>
        <v/>
      </c>
      <c r="I2047">
        <f>IF(D2047="","",D2047&gt;=5)</f>
        <v/>
      </c>
      <c r="J2047">
        <f>IF(F2047="","",F2047&gt;=5)</f>
        <v/>
      </c>
      <c r="K2047">
        <f>IF(H2047="","",H2047&gt;=75)</f>
        <v/>
      </c>
      <c r="L2047">
        <f>IF(OR(I2047="",J2047="",K2047=""),FALSE,AND(I2047,J2047,K2047))</f>
        <v/>
      </c>
    </row>
    <row r="2048">
      <c r="A2048">
        <f>Universe!A2048</f>
        <v/>
      </c>
      <c r="B2048" s="10" t="n"/>
      <c r="C2048" s="11">
        <f>IF(B2048="","",PERCENTRANK.INC($B$2:$B$2501,B2048)*100)</f>
        <v/>
      </c>
      <c r="D2048" s="10" t="n"/>
      <c r="E2048" s="10">
        <f>IF(D2048="","",MIN(D2048,100))</f>
        <v/>
      </c>
      <c r="F2048" s="10" t="n"/>
      <c r="G2048" s="10">
        <f>IF(F2048="","",MIN(F2048,100))</f>
        <v/>
      </c>
      <c r="H2048" s="11">
        <f>IF(A2048="","",Universe!E2048/BDP(A2048&amp;" US Equity","HIGH_52WEEK")*100)</f>
        <v/>
      </c>
      <c r="I2048">
        <f>IF(D2048="","",D2048&gt;=5)</f>
        <v/>
      </c>
      <c r="J2048">
        <f>IF(F2048="","",F2048&gt;=5)</f>
        <v/>
      </c>
      <c r="K2048">
        <f>IF(H2048="","",H2048&gt;=75)</f>
        <v/>
      </c>
      <c r="L2048">
        <f>IF(OR(I2048="",J2048="",K2048=""),FALSE,AND(I2048,J2048,K2048))</f>
        <v/>
      </c>
    </row>
    <row r="2049">
      <c r="A2049">
        <f>Universe!A2049</f>
        <v/>
      </c>
      <c r="B2049" s="10" t="n"/>
      <c r="C2049" s="11">
        <f>IF(B2049="","",PERCENTRANK.INC($B$2:$B$2501,B2049)*100)</f>
        <v/>
      </c>
      <c r="D2049" s="10" t="n"/>
      <c r="E2049" s="10">
        <f>IF(D2049="","",MIN(D2049,100))</f>
        <v/>
      </c>
      <c r="F2049" s="10" t="n"/>
      <c r="G2049" s="10">
        <f>IF(F2049="","",MIN(F2049,100))</f>
        <v/>
      </c>
      <c r="H2049" s="11">
        <f>IF(A2049="","",Universe!E2049/BDP(A2049&amp;" US Equity","HIGH_52WEEK")*100)</f>
        <v/>
      </c>
      <c r="I2049">
        <f>IF(D2049="","",D2049&gt;=5)</f>
        <v/>
      </c>
      <c r="J2049">
        <f>IF(F2049="","",F2049&gt;=5)</f>
        <v/>
      </c>
      <c r="K2049">
        <f>IF(H2049="","",H2049&gt;=75)</f>
        <v/>
      </c>
      <c r="L2049">
        <f>IF(OR(I2049="",J2049="",K2049=""),FALSE,AND(I2049,J2049,K2049))</f>
        <v/>
      </c>
    </row>
    <row r="2050">
      <c r="A2050">
        <f>Universe!A2050</f>
        <v/>
      </c>
      <c r="B2050" s="10" t="n"/>
      <c r="C2050" s="11">
        <f>IF(B2050="","",PERCENTRANK.INC($B$2:$B$2501,B2050)*100)</f>
        <v/>
      </c>
      <c r="D2050" s="10" t="n"/>
      <c r="E2050" s="10">
        <f>IF(D2050="","",MIN(D2050,100))</f>
        <v/>
      </c>
      <c r="F2050" s="10" t="n"/>
      <c r="G2050" s="10">
        <f>IF(F2050="","",MIN(F2050,100))</f>
        <v/>
      </c>
      <c r="H2050" s="11">
        <f>IF(A2050="","",Universe!E2050/BDP(A2050&amp;" US Equity","HIGH_52WEEK")*100)</f>
        <v/>
      </c>
      <c r="I2050">
        <f>IF(D2050="","",D2050&gt;=5)</f>
        <v/>
      </c>
      <c r="J2050">
        <f>IF(F2050="","",F2050&gt;=5)</f>
        <v/>
      </c>
      <c r="K2050">
        <f>IF(H2050="","",H2050&gt;=75)</f>
        <v/>
      </c>
      <c r="L2050">
        <f>IF(OR(I2050="",J2050="",K2050=""),FALSE,AND(I2050,J2050,K2050))</f>
        <v/>
      </c>
    </row>
    <row r="2051">
      <c r="A2051">
        <f>Universe!A2051</f>
        <v/>
      </c>
      <c r="B2051" s="10" t="n"/>
      <c r="C2051" s="11">
        <f>IF(B2051="","",PERCENTRANK.INC($B$2:$B$2501,B2051)*100)</f>
        <v/>
      </c>
      <c r="D2051" s="10" t="n"/>
      <c r="E2051" s="10">
        <f>IF(D2051="","",MIN(D2051,100))</f>
        <v/>
      </c>
      <c r="F2051" s="10" t="n"/>
      <c r="G2051" s="10">
        <f>IF(F2051="","",MIN(F2051,100))</f>
        <v/>
      </c>
      <c r="H2051" s="11">
        <f>IF(A2051="","",Universe!E2051/BDP(A2051&amp;" US Equity","HIGH_52WEEK")*100)</f>
        <v/>
      </c>
      <c r="I2051">
        <f>IF(D2051="","",D2051&gt;=5)</f>
        <v/>
      </c>
      <c r="J2051">
        <f>IF(F2051="","",F2051&gt;=5)</f>
        <v/>
      </c>
      <c r="K2051">
        <f>IF(H2051="","",H2051&gt;=75)</f>
        <v/>
      </c>
      <c r="L2051">
        <f>IF(OR(I2051="",J2051="",K2051=""),FALSE,AND(I2051,J2051,K2051))</f>
        <v/>
      </c>
    </row>
    <row r="2052">
      <c r="A2052">
        <f>Universe!A2052</f>
        <v/>
      </c>
      <c r="B2052" s="10" t="n"/>
      <c r="C2052" s="11">
        <f>IF(B2052="","",PERCENTRANK.INC($B$2:$B$2501,B2052)*100)</f>
        <v/>
      </c>
      <c r="D2052" s="10" t="n"/>
      <c r="E2052" s="10">
        <f>IF(D2052="","",MIN(D2052,100))</f>
        <v/>
      </c>
      <c r="F2052" s="10" t="n"/>
      <c r="G2052" s="10">
        <f>IF(F2052="","",MIN(F2052,100))</f>
        <v/>
      </c>
      <c r="H2052" s="11">
        <f>IF(A2052="","",Universe!E2052/BDP(A2052&amp;" US Equity","HIGH_52WEEK")*100)</f>
        <v/>
      </c>
      <c r="I2052">
        <f>IF(D2052="","",D2052&gt;=5)</f>
        <v/>
      </c>
      <c r="J2052">
        <f>IF(F2052="","",F2052&gt;=5)</f>
        <v/>
      </c>
      <c r="K2052">
        <f>IF(H2052="","",H2052&gt;=75)</f>
        <v/>
      </c>
      <c r="L2052">
        <f>IF(OR(I2052="",J2052="",K2052=""),FALSE,AND(I2052,J2052,K2052))</f>
        <v/>
      </c>
    </row>
    <row r="2053">
      <c r="A2053">
        <f>Universe!A2053</f>
        <v/>
      </c>
      <c r="B2053" s="10" t="n"/>
      <c r="C2053" s="11">
        <f>IF(B2053="","",PERCENTRANK.INC($B$2:$B$2501,B2053)*100)</f>
        <v/>
      </c>
      <c r="D2053" s="10" t="n"/>
      <c r="E2053" s="10">
        <f>IF(D2053="","",MIN(D2053,100))</f>
        <v/>
      </c>
      <c r="F2053" s="10" t="n"/>
      <c r="G2053" s="10">
        <f>IF(F2053="","",MIN(F2053,100))</f>
        <v/>
      </c>
      <c r="H2053" s="11">
        <f>IF(A2053="","",Universe!E2053/BDP(A2053&amp;" US Equity","HIGH_52WEEK")*100)</f>
        <v/>
      </c>
      <c r="I2053">
        <f>IF(D2053="","",D2053&gt;=5)</f>
        <v/>
      </c>
      <c r="J2053">
        <f>IF(F2053="","",F2053&gt;=5)</f>
        <v/>
      </c>
      <c r="K2053">
        <f>IF(H2053="","",H2053&gt;=75)</f>
        <v/>
      </c>
      <c r="L2053">
        <f>IF(OR(I2053="",J2053="",K2053=""),FALSE,AND(I2053,J2053,K2053))</f>
        <v/>
      </c>
    </row>
    <row r="2054">
      <c r="A2054">
        <f>Universe!A2054</f>
        <v/>
      </c>
      <c r="B2054" s="10" t="n"/>
      <c r="C2054" s="11">
        <f>IF(B2054="","",PERCENTRANK.INC($B$2:$B$2501,B2054)*100)</f>
        <v/>
      </c>
      <c r="D2054" s="10" t="n"/>
      <c r="E2054" s="10">
        <f>IF(D2054="","",MIN(D2054,100))</f>
        <v/>
      </c>
      <c r="F2054" s="10" t="n"/>
      <c r="G2054" s="10">
        <f>IF(F2054="","",MIN(F2054,100))</f>
        <v/>
      </c>
      <c r="H2054" s="11">
        <f>IF(A2054="","",Universe!E2054/BDP(A2054&amp;" US Equity","HIGH_52WEEK")*100)</f>
        <v/>
      </c>
      <c r="I2054">
        <f>IF(D2054="","",D2054&gt;=5)</f>
        <v/>
      </c>
      <c r="J2054">
        <f>IF(F2054="","",F2054&gt;=5)</f>
        <v/>
      </c>
      <c r="K2054">
        <f>IF(H2054="","",H2054&gt;=75)</f>
        <v/>
      </c>
      <c r="L2054">
        <f>IF(OR(I2054="",J2054="",K2054=""),FALSE,AND(I2054,J2054,K2054))</f>
        <v/>
      </c>
    </row>
    <row r="2055">
      <c r="A2055">
        <f>Universe!A2055</f>
        <v/>
      </c>
      <c r="B2055" s="10" t="n"/>
      <c r="C2055" s="11">
        <f>IF(B2055="","",PERCENTRANK.INC($B$2:$B$2501,B2055)*100)</f>
        <v/>
      </c>
      <c r="D2055" s="10" t="n"/>
      <c r="E2055" s="10">
        <f>IF(D2055="","",MIN(D2055,100))</f>
        <v/>
      </c>
      <c r="F2055" s="10" t="n"/>
      <c r="G2055" s="10">
        <f>IF(F2055="","",MIN(F2055,100))</f>
        <v/>
      </c>
      <c r="H2055" s="11">
        <f>IF(A2055="","",Universe!E2055/BDP(A2055&amp;" US Equity","HIGH_52WEEK")*100)</f>
        <v/>
      </c>
      <c r="I2055">
        <f>IF(D2055="","",D2055&gt;=5)</f>
        <v/>
      </c>
      <c r="J2055">
        <f>IF(F2055="","",F2055&gt;=5)</f>
        <v/>
      </c>
      <c r="K2055">
        <f>IF(H2055="","",H2055&gt;=75)</f>
        <v/>
      </c>
      <c r="L2055">
        <f>IF(OR(I2055="",J2055="",K2055=""),FALSE,AND(I2055,J2055,K2055))</f>
        <v/>
      </c>
    </row>
    <row r="2056">
      <c r="A2056">
        <f>Universe!A2056</f>
        <v/>
      </c>
      <c r="B2056" s="10" t="n"/>
      <c r="C2056" s="11">
        <f>IF(B2056="","",PERCENTRANK.INC($B$2:$B$2501,B2056)*100)</f>
        <v/>
      </c>
      <c r="D2056" s="10" t="n"/>
      <c r="E2056" s="10">
        <f>IF(D2056="","",MIN(D2056,100))</f>
        <v/>
      </c>
      <c r="F2056" s="10" t="n"/>
      <c r="G2056" s="10">
        <f>IF(F2056="","",MIN(F2056,100))</f>
        <v/>
      </c>
      <c r="H2056" s="11">
        <f>IF(A2056="","",Universe!E2056/BDP(A2056&amp;" US Equity","HIGH_52WEEK")*100)</f>
        <v/>
      </c>
      <c r="I2056">
        <f>IF(D2056="","",D2056&gt;=5)</f>
        <v/>
      </c>
      <c r="J2056">
        <f>IF(F2056="","",F2056&gt;=5)</f>
        <v/>
      </c>
      <c r="K2056">
        <f>IF(H2056="","",H2056&gt;=75)</f>
        <v/>
      </c>
      <c r="L2056">
        <f>IF(OR(I2056="",J2056="",K2056=""),FALSE,AND(I2056,J2056,K2056))</f>
        <v/>
      </c>
    </row>
    <row r="2057">
      <c r="A2057">
        <f>Universe!A2057</f>
        <v/>
      </c>
      <c r="B2057" s="10" t="n"/>
      <c r="C2057" s="11">
        <f>IF(B2057="","",PERCENTRANK.INC($B$2:$B$2501,B2057)*100)</f>
        <v/>
      </c>
      <c r="D2057" s="10" t="n"/>
      <c r="E2057" s="10">
        <f>IF(D2057="","",MIN(D2057,100))</f>
        <v/>
      </c>
      <c r="F2057" s="10" t="n"/>
      <c r="G2057" s="10">
        <f>IF(F2057="","",MIN(F2057,100))</f>
        <v/>
      </c>
      <c r="H2057" s="11">
        <f>IF(A2057="","",Universe!E2057/BDP(A2057&amp;" US Equity","HIGH_52WEEK")*100)</f>
        <v/>
      </c>
      <c r="I2057">
        <f>IF(D2057="","",D2057&gt;=5)</f>
        <v/>
      </c>
      <c r="J2057">
        <f>IF(F2057="","",F2057&gt;=5)</f>
        <v/>
      </c>
      <c r="K2057">
        <f>IF(H2057="","",H2057&gt;=75)</f>
        <v/>
      </c>
      <c r="L2057">
        <f>IF(OR(I2057="",J2057="",K2057=""),FALSE,AND(I2057,J2057,K2057))</f>
        <v/>
      </c>
    </row>
    <row r="2058">
      <c r="A2058">
        <f>Universe!A2058</f>
        <v/>
      </c>
      <c r="B2058" s="10" t="n"/>
      <c r="C2058" s="11">
        <f>IF(B2058="","",PERCENTRANK.INC($B$2:$B$2501,B2058)*100)</f>
        <v/>
      </c>
      <c r="D2058" s="10" t="n"/>
      <c r="E2058" s="10">
        <f>IF(D2058="","",MIN(D2058,100))</f>
        <v/>
      </c>
      <c r="F2058" s="10" t="n"/>
      <c r="G2058" s="10">
        <f>IF(F2058="","",MIN(F2058,100))</f>
        <v/>
      </c>
      <c r="H2058" s="11">
        <f>IF(A2058="","",Universe!E2058/BDP(A2058&amp;" US Equity","HIGH_52WEEK")*100)</f>
        <v/>
      </c>
      <c r="I2058">
        <f>IF(D2058="","",D2058&gt;=5)</f>
        <v/>
      </c>
      <c r="J2058">
        <f>IF(F2058="","",F2058&gt;=5)</f>
        <v/>
      </c>
      <c r="K2058">
        <f>IF(H2058="","",H2058&gt;=75)</f>
        <v/>
      </c>
      <c r="L2058">
        <f>IF(OR(I2058="",J2058="",K2058=""),FALSE,AND(I2058,J2058,K2058))</f>
        <v/>
      </c>
    </row>
    <row r="2059">
      <c r="A2059">
        <f>Universe!A2059</f>
        <v/>
      </c>
      <c r="B2059" s="10" t="n"/>
      <c r="C2059" s="11">
        <f>IF(B2059="","",PERCENTRANK.INC($B$2:$B$2501,B2059)*100)</f>
        <v/>
      </c>
      <c r="D2059" s="10" t="n"/>
      <c r="E2059" s="10">
        <f>IF(D2059="","",MIN(D2059,100))</f>
        <v/>
      </c>
      <c r="F2059" s="10" t="n"/>
      <c r="G2059" s="10">
        <f>IF(F2059="","",MIN(F2059,100))</f>
        <v/>
      </c>
      <c r="H2059" s="11">
        <f>IF(A2059="","",Universe!E2059/BDP(A2059&amp;" US Equity","HIGH_52WEEK")*100)</f>
        <v/>
      </c>
      <c r="I2059">
        <f>IF(D2059="","",D2059&gt;=5)</f>
        <v/>
      </c>
      <c r="J2059">
        <f>IF(F2059="","",F2059&gt;=5)</f>
        <v/>
      </c>
      <c r="K2059">
        <f>IF(H2059="","",H2059&gt;=75)</f>
        <v/>
      </c>
      <c r="L2059">
        <f>IF(OR(I2059="",J2059="",K2059=""),FALSE,AND(I2059,J2059,K2059))</f>
        <v/>
      </c>
    </row>
    <row r="2060">
      <c r="A2060">
        <f>Universe!A2060</f>
        <v/>
      </c>
      <c r="B2060" s="10" t="n"/>
      <c r="C2060" s="11">
        <f>IF(B2060="","",PERCENTRANK.INC($B$2:$B$2501,B2060)*100)</f>
        <v/>
      </c>
      <c r="D2060" s="10" t="n"/>
      <c r="E2060" s="10">
        <f>IF(D2060="","",MIN(D2060,100))</f>
        <v/>
      </c>
      <c r="F2060" s="10" t="n"/>
      <c r="G2060" s="10">
        <f>IF(F2060="","",MIN(F2060,100))</f>
        <v/>
      </c>
      <c r="H2060" s="11">
        <f>IF(A2060="","",Universe!E2060/BDP(A2060&amp;" US Equity","HIGH_52WEEK")*100)</f>
        <v/>
      </c>
      <c r="I2060">
        <f>IF(D2060="","",D2060&gt;=5)</f>
        <v/>
      </c>
      <c r="J2060">
        <f>IF(F2060="","",F2060&gt;=5)</f>
        <v/>
      </c>
      <c r="K2060">
        <f>IF(H2060="","",H2060&gt;=75)</f>
        <v/>
      </c>
      <c r="L2060">
        <f>IF(OR(I2060="",J2060="",K2060=""),FALSE,AND(I2060,J2060,K2060))</f>
        <v/>
      </c>
    </row>
    <row r="2061">
      <c r="A2061">
        <f>Universe!A2061</f>
        <v/>
      </c>
      <c r="B2061" s="10" t="n"/>
      <c r="C2061" s="11">
        <f>IF(B2061="","",PERCENTRANK.INC($B$2:$B$2501,B2061)*100)</f>
        <v/>
      </c>
      <c r="D2061" s="10" t="n"/>
      <c r="E2061" s="10">
        <f>IF(D2061="","",MIN(D2061,100))</f>
        <v/>
      </c>
      <c r="F2061" s="10" t="n"/>
      <c r="G2061" s="10">
        <f>IF(F2061="","",MIN(F2061,100))</f>
        <v/>
      </c>
      <c r="H2061" s="11">
        <f>IF(A2061="","",Universe!E2061/BDP(A2061&amp;" US Equity","HIGH_52WEEK")*100)</f>
        <v/>
      </c>
      <c r="I2061">
        <f>IF(D2061="","",D2061&gt;=5)</f>
        <v/>
      </c>
      <c r="J2061">
        <f>IF(F2061="","",F2061&gt;=5)</f>
        <v/>
      </c>
      <c r="K2061">
        <f>IF(H2061="","",H2061&gt;=75)</f>
        <v/>
      </c>
      <c r="L2061">
        <f>IF(OR(I2061="",J2061="",K2061=""),FALSE,AND(I2061,J2061,K2061))</f>
        <v/>
      </c>
    </row>
    <row r="2062">
      <c r="A2062">
        <f>Universe!A2062</f>
        <v/>
      </c>
      <c r="B2062" s="10" t="n"/>
      <c r="C2062" s="11">
        <f>IF(B2062="","",PERCENTRANK.INC($B$2:$B$2501,B2062)*100)</f>
        <v/>
      </c>
      <c r="D2062" s="10" t="n"/>
      <c r="E2062" s="10">
        <f>IF(D2062="","",MIN(D2062,100))</f>
        <v/>
      </c>
      <c r="F2062" s="10" t="n"/>
      <c r="G2062" s="10">
        <f>IF(F2062="","",MIN(F2062,100))</f>
        <v/>
      </c>
      <c r="H2062" s="11">
        <f>IF(A2062="","",Universe!E2062/BDP(A2062&amp;" US Equity","HIGH_52WEEK")*100)</f>
        <v/>
      </c>
      <c r="I2062">
        <f>IF(D2062="","",D2062&gt;=5)</f>
        <v/>
      </c>
      <c r="J2062">
        <f>IF(F2062="","",F2062&gt;=5)</f>
        <v/>
      </c>
      <c r="K2062">
        <f>IF(H2062="","",H2062&gt;=75)</f>
        <v/>
      </c>
      <c r="L2062">
        <f>IF(OR(I2062="",J2062="",K2062=""),FALSE,AND(I2062,J2062,K2062))</f>
        <v/>
      </c>
    </row>
    <row r="2063">
      <c r="A2063">
        <f>Universe!A2063</f>
        <v/>
      </c>
      <c r="B2063" s="10" t="n"/>
      <c r="C2063" s="11">
        <f>IF(B2063="","",PERCENTRANK.INC($B$2:$B$2501,B2063)*100)</f>
        <v/>
      </c>
      <c r="D2063" s="10" t="n"/>
      <c r="E2063" s="10">
        <f>IF(D2063="","",MIN(D2063,100))</f>
        <v/>
      </c>
      <c r="F2063" s="10" t="n"/>
      <c r="G2063" s="10">
        <f>IF(F2063="","",MIN(F2063,100))</f>
        <v/>
      </c>
      <c r="H2063" s="11">
        <f>IF(A2063="","",Universe!E2063/BDP(A2063&amp;" US Equity","HIGH_52WEEK")*100)</f>
        <v/>
      </c>
      <c r="I2063">
        <f>IF(D2063="","",D2063&gt;=5)</f>
        <v/>
      </c>
      <c r="J2063">
        <f>IF(F2063="","",F2063&gt;=5)</f>
        <v/>
      </c>
      <c r="K2063">
        <f>IF(H2063="","",H2063&gt;=75)</f>
        <v/>
      </c>
      <c r="L2063">
        <f>IF(OR(I2063="",J2063="",K2063=""),FALSE,AND(I2063,J2063,K2063))</f>
        <v/>
      </c>
    </row>
    <row r="2064">
      <c r="A2064">
        <f>Universe!A2064</f>
        <v/>
      </c>
      <c r="B2064" s="10" t="n"/>
      <c r="C2064" s="11">
        <f>IF(B2064="","",PERCENTRANK.INC($B$2:$B$2501,B2064)*100)</f>
        <v/>
      </c>
      <c r="D2064" s="10" t="n"/>
      <c r="E2064" s="10">
        <f>IF(D2064="","",MIN(D2064,100))</f>
        <v/>
      </c>
      <c r="F2064" s="10" t="n"/>
      <c r="G2064" s="10">
        <f>IF(F2064="","",MIN(F2064,100))</f>
        <v/>
      </c>
      <c r="H2064" s="11">
        <f>IF(A2064="","",Universe!E2064/BDP(A2064&amp;" US Equity","HIGH_52WEEK")*100)</f>
        <v/>
      </c>
      <c r="I2064">
        <f>IF(D2064="","",D2064&gt;=5)</f>
        <v/>
      </c>
      <c r="J2064">
        <f>IF(F2064="","",F2064&gt;=5)</f>
        <v/>
      </c>
      <c r="K2064">
        <f>IF(H2064="","",H2064&gt;=75)</f>
        <v/>
      </c>
      <c r="L2064">
        <f>IF(OR(I2064="",J2064="",K2064=""),FALSE,AND(I2064,J2064,K2064))</f>
        <v/>
      </c>
    </row>
    <row r="2065">
      <c r="A2065">
        <f>Universe!A2065</f>
        <v/>
      </c>
      <c r="B2065" s="10" t="n"/>
      <c r="C2065" s="11">
        <f>IF(B2065="","",PERCENTRANK.INC($B$2:$B$2501,B2065)*100)</f>
        <v/>
      </c>
      <c r="D2065" s="10" t="n"/>
      <c r="E2065" s="10">
        <f>IF(D2065="","",MIN(D2065,100))</f>
        <v/>
      </c>
      <c r="F2065" s="10" t="n"/>
      <c r="G2065" s="10">
        <f>IF(F2065="","",MIN(F2065,100))</f>
        <v/>
      </c>
      <c r="H2065" s="11">
        <f>IF(A2065="","",Universe!E2065/BDP(A2065&amp;" US Equity","HIGH_52WEEK")*100)</f>
        <v/>
      </c>
      <c r="I2065">
        <f>IF(D2065="","",D2065&gt;=5)</f>
        <v/>
      </c>
      <c r="J2065">
        <f>IF(F2065="","",F2065&gt;=5)</f>
        <v/>
      </c>
      <c r="K2065">
        <f>IF(H2065="","",H2065&gt;=75)</f>
        <v/>
      </c>
      <c r="L2065">
        <f>IF(OR(I2065="",J2065="",K2065=""),FALSE,AND(I2065,J2065,K2065))</f>
        <v/>
      </c>
    </row>
    <row r="2066">
      <c r="A2066">
        <f>Universe!A2066</f>
        <v/>
      </c>
      <c r="B2066" s="10" t="n"/>
      <c r="C2066" s="11">
        <f>IF(B2066="","",PERCENTRANK.INC($B$2:$B$2501,B2066)*100)</f>
        <v/>
      </c>
      <c r="D2066" s="10" t="n"/>
      <c r="E2066" s="10">
        <f>IF(D2066="","",MIN(D2066,100))</f>
        <v/>
      </c>
      <c r="F2066" s="10" t="n"/>
      <c r="G2066" s="10">
        <f>IF(F2066="","",MIN(F2066,100))</f>
        <v/>
      </c>
      <c r="H2066" s="11">
        <f>IF(A2066="","",Universe!E2066/BDP(A2066&amp;" US Equity","HIGH_52WEEK")*100)</f>
        <v/>
      </c>
      <c r="I2066">
        <f>IF(D2066="","",D2066&gt;=5)</f>
        <v/>
      </c>
      <c r="J2066">
        <f>IF(F2066="","",F2066&gt;=5)</f>
        <v/>
      </c>
      <c r="K2066">
        <f>IF(H2066="","",H2066&gt;=75)</f>
        <v/>
      </c>
      <c r="L2066">
        <f>IF(OR(I2066="",J2066="",K2066=""),FALSE,AND(I2066,J2066,K2066))</f>
        <v/>
      </c>
    </row>
    <row r="2067">
      <c r="A2067">
        <f>Universe!A2067</f>
        <v/>
      </c>
      <c r="B2067" s="10" t="n"/>
      <c r="C2067" s="11">
        <f>IF(B2067="","",PERCENTRANK.INC($B$2:$B$2501,B2067)*100)</f>
        <v/>
      </c>
      <c r="D2067" s="10" t="n"/>
      <c r="E2067" s="10">
        <f>IF(D2067="","",MIN(D2067,100))</f>
        <v/>
      </c>
      <c r="F2067" s="10" t="n"/>
      <c r="G2067" s="10">
        <f>IF(F2067="","",MIN(F2067,100))</f>
        <v/>
      </c>
      <c r="H2067" s="11">
        <f>IF(A2067="","",Universe!E2067/BDP(A2067&amp;" US Equity","HIGH_52WEEK")*100)</f>
        <v/>
      </c>
      <c r="I2067">
        <f>IF(D2067="","",D2067&gt;=5)</f>
        <v/>
      </c>
      <c r="J2067">
        <f>IF(F2067="","",F2067&gt;=5)</f>
        <v/>
      </c>
      <c r="K2067">
        <f>IF(H2067="","",H2067&gt;=75)</f>
        <v/>
      </c>
      <c r="L2067">
        <f>IF(OR(I2067="",J2067="",K2067=""),FALSE,AND(I2067,J2067,K2067))</f>
        <v/>
      </c>
    </row>
    <row r="2068">
      <c r="A2068">
        <f>Universe!A2068</f>
        <v/>
      </c>
      <c r="B2068" s="10" t="n"/>
      <c r="C2068" s="11">
        <f>IF(B2068="","",PERCENTRANK.INC($B$2:$B$2501,B2068)*100)</f>
        <v/>
      </c>
      <c r="D2068" s="10" t="n"/>
      <c r="E2068" s="10">
        <f>IF(D2068="","",MIN(D2068,100))</f>
        <v/>
      </c>
      <c r="F2068" s="10" t="n"/>
      <c r="G2068" s="10">
        <f>IF(F2068="","",MIN(F2068,100))</f>
        <v/>
      </c>
      <c r="H2068" s="11">
        <f>IF(A2068="","",Universe!E2068/BDP(A2068&amp;" US Equity","HIGH_52WEEK")*100)</f>
        <v/>
      </c>
      <c r="I2068">
        <f>IF(D2068="","",D2068&gt;=5)</f>
        <v/>
      </c>
      <c r="J2068">
        <f>IF(F2068="","",F2068&gt;=5)</f>
        <v/>
      </c>
      <c r="K2068">
        <f>IF(H2068="","",H2068&gt;=75)</f>
        <v/>
      </c>
      <c r="L2068">
        <f>IF(OR(I2068="",J2068="",K2068=""),FALSE,AND(I2068,J2068,K2068))</f>
        <v/>
      </c>
    </row>
    <row r="2069">
      <c r="A2069">
        <f>Universe!A2069</f>
        <v/>
      </c>
      <c r="B2069" s="10" t="n"/>
      <c r="C2069" s="11">
        <f>IF(B2069="","",PERCENTRANK.INC($B$2:$B$2501,B2069)*100)</f>
        <v/>
      </c>
      <c r="D2069" s="10" t="n"/>
      <c r="E2069" s="10">
        <f>IF(D2069="","",MIN(D2069,100))</f>
        <v/>
      </c>
      <c r="F2069" s="10" t="n"/>
      <c r="G2069" s="10">
        <f>IF(F2069="","",MIN(F2069,100))</f>
        <v/>
      </c>
      <c r="H2069" s="11">
        <f>IF(A2069="","",Universe!E2069/BDP(A2069&amp;" US Equity","HIGH_52WEEK")*100)</f>
        <v/>
      </c>
      <c r="I2069">
        <f>IF(D2069="","",D2069&gt;=5)</f>
        <v/>
      </c>
      <c r="J2069">
        <f>IF(F2069="","",F2069&gt;=5)</f>
        <v/>
      </c>
      <c r="K2069">
        <f>IF(H2069="","",H2069&gt;=75)</f>
        <v/>
      </c>
      <c r="L2069">
        <f>IF(OR(I2069="",J2069="",K2069=""),FALSE,AND(I2069,J2069,K2069))</f>
        <v/>
      </c>
    </row>
    <row r="2070">
      <c r="A2070">
        <f>Universe!A2070</f>
        <v/>
      </c>
      <c r="B2070" s="10" t="n"/>
      <c r="C2070" s="11">
        <f>IF(B2070="","",PERCENTRANK.INC($B$2:$B$2501,B2070)*100)</f>
        <v/>
      </c>
      <c r="D2070" s="10" t="n"/>
      <c r="E2070" s="10">
        <f>IF(D2070="","",MIN(D2070,100))</f>
        <v/>
      </c>
      <c r="F2070" s="10" t="n"/>
      <c r="G2070" s="10">
        <f>IF(F2070="","",MIN(F2070,100))</f>
        <v/>
      </c>
      <c r="H2070" s="11">
        <f>IF(A2070="","",Universe!E2070/BDP(A2070&amp;" US Equity","HIGH_52WEEK")*100)</f>
        <v/>
      </c>
      <c r="I2070">
        <f>IF(D2070="","",D2070&gt;=5)</f>
        <v/>
      </c>
      <c r="J2070">
        <f>IF(F2070="","",F2070&gt;=5)</f>
        <v/>
      </c>
      <c r="K2070">
        <f>IF(H2070="","",H2070&gt;=75)</f>
        <v/>
      </c>
      <c r="L2070">
        <f>IF(OR(I2070="",J2070="",K2070=""),FALSE,AND(I2070,J2070,K2070))</f>
        <v/>
      </c>
    </row>
    <row r="2071">
      <c r="A2071">
        <f>Universe!A2071</f>
        <v/>
      </c>
      <c r="B2071" s="10" t="n"/>
      <c r="C2071" s="11">
        <f>IF(B2071="","",PERCENTRANK.INC($B$2:$B$2501,B2071)*100)</f>
        <v/>
      </c>
      <c r="D2071" s="10" t="n"/>
      <c r="E2071" s="10">
        <f>IF(D2071="","",MIN(D2071,100))</f>
        <v/>
      </c>
      <c r="F2071" s="10" t="n"/>
      <c r="G2071" s="10">
        <f>IF(F2071="","",MIN(F2071,100))</f>
        <v/>
      </c>
      <c r="H2071" s="11">
        <f>IF(A2071="","",Universe!E2071/BDP(A2071&amp;" US Equity","HIGH_52WEEK")*100)</f>
        <v/>
      </c>
      <c r="I2071">
        <f>IF(D2071="","",D2071&gt;=5)</f>
        <v/>
      </c>
      <c r="J2071">
        <f>IF(F2071="","",F2071&gt;=5)</f>
        <v/>
      </c>
      <c r="K2071">
        <f>IF(H2071="","",H2071&gt;=75)</f>
        <v/>
      </c>
      <c r="L2071">
        <f>IF(OR(I2071="",J2071="",K2071=""),FALSE,AND(I2071,J2071,K2071))</f>
        <v/>
      </c>
    </row>
    <row r="2072">
      <c r="A2072">
        <f>Universe!A2072</f>
        <v/>
      </c>
      <c r="B2072" s="10" t="n"/>
      <c r="C2072" s="11">
        <f>IF(B2072="","",PERCENTRANK.INC($B$2:$B$2501,B2072)*100)</f>
        <v/>
      </c>
      <c r="D2072" s="10" t="n"/>
      <c r="E2072" s="10">
        <f>IF(D2072="","",MIN(D2072,100))</f>
        <v/>
      </c>
      <c r="F2072" s="10" t="n"/>
      <c r="G2072" s="10">
        <f>IF(F2072="","",MIN(F2072,100))</f>
        <v/>
      </c>
      <c r="H2072" s="11">
        <f>IF(A2072="","",Universe!E2072/BDP(A2072&amp;" US Equity","HIGH_52WEEK")*100)</f>
        <v/>
      </c>
      <c r="I2072">
        <f>IF(D2072="","",D2072&gt;=5)</f>
        <v/>
      </c>
      <c r="J2072">
        <f>IF(F2072="","",F2072&gt;=5)</f>
        <v/>
      </c>
      <c r="K2072">
        <f>IF(H2072="","",H2072&gt;=75)</f>
        <v/>
      </c>
      <c r="L2072">
        <f>IF(OR(I2072="",J2072="",K2072=""),FALSE,AND(I2072,J2072,K2072))</f>
        <v/>
      </c>
    </row>
    <row r="2073">
      <c r="A2073">
        <f>Universe!A2073</f>
        <v/>
      </c>
      <c r="B2073" s="10" t="n"/>
      <c r="C2073" s="11">
        <f>IF(B2073="","",PERCENTRANK.INC($B$2:$B$2501,B2073)*100)</f>
        <v/>
      </c>
      <c r="D2073" s="10" t="n"/>
      <c r="E2073" s="10">
        <f>IF(D2073="","",MIN(D2073,100))</f>
        <v/>
      </c>
      <c r="F2073" s="10" t="n"/>
      <c r="G2073" s="10">
        <f>IF(F2073="","",MIN(F2073,100))</f>
        <v/>
      </c>
      <c r="H2073" s="11">
        <f>IF(A2073="","",Universe!E2073/BDP(A2073&amp;" US Equity","HIGH_52WEEK")*100)</f>
        <v/>
      </c>
      <c r="I2073">
        <f>IF(D2073="","",D2073&gt;=5)</f>
        <v/>
      </c>
      <c r="J2073">
        <f>IF(F2073="","",F2073&gt;=5)</f>
        <v/>
      </c>
      <c r="K2073">
        <f>IF(H2073="","",H2073&gt;=75)</f>
        <v/>
      </c>
      <c r="L2073">
        <f>IF(OR(I2073="",J2073="",K2073=""),FALSE,AND(I2073,J2073,K2073))</f>
        <v/>
      </c>
    </row>
    <row r="2074">
      <c r="A2074">
        <f>Universe!A2074</f>
        <v/>
      </c>
      <c r="B2074" s="10" t="n"/>
      <c r="C2074" s="11">
        <f>IF(B2074="","",PERCENTRANK.INC($B$2:$B$2501,B2074)*100)</f>
        <v/>
      </c>
      <c r="D2074" s="10" t="n"/>
      <c r="E2074" s="10">
        <f>IF(D2074="","",MIN(D2074,100))</f>
        <v/>
      </c>
      <c r="F2074" s="10" t="n"/>
      <c r="G2074" s="10">
        <f>IF(F2074="","",MIN(F2074,100))</f>
        <v/>
      </c>
      <c r="H2074" s="11">
        <f>IF(A2074="","",Universe!E2074/BDP(A2074&amp;" US Equity","HIGH_52WEEK")*100)</f>
        <v/>
      </c>
      <c r="I2074">
        <f>IF(D2074="","",D2074&gt;=5)</f>
        <v/>
      </c>
      <c r="J2074">
        <f>IF(F2074="","",F2074&gt;=5)</f>
        <v/>
      </c>
      <c r="K2074">
        <f>IF(H2074="","",H2074&gt;=75)</f>
        <v/>
      </c>
      <c r="L2074">
        <f>IF(OR(I2074="",J2074="",K2074=""),FALSE,AND(I2074,J2074,K2074))</f>
        <v/>
      </c>
    </row>
    <row r="2075">
      <c r="A2075">
        <f>Universe!A2075</f>
        <v/>
      </c>
      <c r="B2075" s="10" t="n"/>
      <c r="C2075" s="11">
        <f>IF(B2075="","",PERCENTRANK.INC($B$2:$B$2501,B2075)*100)</f>
        <v/>
      </c>
      <c r="D2075" s="10" t="n"/>
      <c r="E2075" s="10">
        <f>IF(D2075="","",MIN(D2075,100))</f>
        <v/>
      </c>
      <c r="F2075" s="10" t="n"/>
      <c r="G2075" s="10">
        <f>IF(F2075="","",MIN(F2075,100))</f>
        <v/>
      </c>
      <c r="H2075" s="11">
        <f>IF(A2075="","",Universe!E2075/BDP(A2075&amp;" US Equity","HIGH_52WEEK")*100)</f>
        <v/>
      </c>
      <c r="I2075">
        <f>IF(D2075="","",D2075&gt;=5)</f>
        <v/>
      </c>
      <c r="J2075">
        <f>IF(F2075="","",F2075&gt;=5)</f>
        <v/>
      </c>
      <c r="K2075">
        <f>IF(H2075="","",H2075&gt;=75)</f>
        <v/>
      </c>
      <c r="L2075">
        <f>IF(OR(I2075="",J2075="",K2075=""),FALSE,AND(I2075,J2075,K2075))</f>
        <v/>
      </c>
    </row>
    <row r="2076">
      <c r="A2076">
        <f>Universe!A2076</f>
        <v/>
      </c>
      <c r="B2076" s="10" t="n"/>
      <c r="C2076" s="11">
        <f>IF(B2076="","",PERCENTRANK.INC($B$2:$B$2501,B2076)*100)</f>
        <v/>
      </c>
      <c r="D2076" s="10" t="n"/>
      <c r="E2076" s="10">
        <f>IF(D2076="","",MIN(D2076,100))</f>
        <v/>
      </c>
      <c r="F2076" s="10" t="n"/>
      <c r="G2076" s="10">
        <f>IF(F2076="","",MIN(F2076,100))</f>
        <v/>
      </c>
      <c r="H2076" s="11">
        <f>IF(A2076="","",Universe!E2076/BDP(A2076&amp;" US Equity","HIGH_52WEEK")*100)</f>
        <v/>
      </c>
      <c r="I2076">
        <f>IF(D2076="","",D2076&gt;=5)</f>
        <v/>
      </c>
      <c r="J2076">
        <f>IF(F2076="","",F2076&gt;=5)</f>
        <v/>
      </c>
      <c r="K2076">
        <f>IF(H2076="","",H2076&gt;=75)</f>
        <v/>
      </c>
      <c r="L2076">
        <f>IF(OR(I2076="",J2076="",K2076=""),FALSE,AND(I2076,J2076,K2076))</f>
        <v/>
      </c>
    </row>
    <row r="2077">
      <c r="A2077">
        <f>Universe!A2077</f>
        <v/>
      </c>
      <c r="B2077" s="10" t="n"/>
      <c r="C2077" s="11">
        <f>IF(B2077="","",PERCENTRANK.INC($B$2:$B$2501,B2077)*100)</f>
        <v/>
      </c>
      <c r="D2077" s="10" t="n"/>
      <c r="E2077" s="10">
        <f>IF(D2077="","",MIN(D2077,100))</f>
        <v/>
      </c>
      <c r="F2077" s="10" t="n"/>
      <c r="G2077" s="10">
        <f>IF(F2077="","",MIN(F2077,100))</f>
        <v/>
      </c>
      <c r="H2077" s="11">
        <f>IF(A2077="","",Universe!E2077/BDP(A2077&amp;" US Equity","HIGH_52WEEK")*100)</f>
        <v/>
      </c>
      <c r="I2077">
        <f>IF(D2077="","",D2077&gt;=5)</f>
        <v/>
      </c>
      <c r="J2077">
        <f>IF(F2077="","",F2077&gt;=5)</f>
        <v/>
      </c>
      <c r="K2077">
        <f>IF(H2077="","",H2077&gt;=75)</f>
        <v/>
      </c>
      <c r="L2077">
        <f>IF(OR(I2077="",J2077="",K2077=""),FALSE,AND(I2077,J2077,K2077))</f>
        <v/>
      </c>
    </row>
    <row r="2078">
      <c r="A2078">
        <f>Universe!A2078</f>
        <v/>
      </c>
      <c r="B2078" s="10" t="n"/>
      <c r="C2078" s="11">
        <f>IF(B2078="","",PERCENTRANK.INC($B$2:$B$2501,B2078)*100)</f>
        <v/>
      </c>
      <c r="D2078" s="10" t="n"/>
      <c r="E2078" s="10">
        <f>IF(D2078="","",MIN(D2078,100))</f>
        <v/>
      </c>
      <c r="F2078" s="10" t="n"/>
      <c r="G2078" s="10">
        <f>IF(F2078="","",MIN(F2078,100))</f>
        <v/>
      </c>
      <c r="H2078" s="11">
        <f>IF(A2078="","",Universe!E2078/BDP(A2078&amp;" US Equity","HIGH_52WEEK")*100)</f>
        <v/>
      </c>
      <c r="I2078">
        <f>IF(D2078="","",D2078&gt;=5)</f>
        <v/>
      </c>
      <c r="J2078">
        <f>IF(F2078="","",F2078&gt;=5)</f>
        <v/>
      </c>
      <c r="K2078">
        <f>IF(H2078="","",H2078&gt;=75)</f>
        <v/>
      </c>
      <c r="L2078">
        <f>IF(OR(I2078="",J2078="",K2078=""),FALSE,AND(I2078,J2078,K2078))</f>
        <v/>
      </c>
    </row>
    <row r="2079">
      <c r="A2079">
        <f>Universe!A2079</f>
        <v/>
      </c>
      <c r="B2079" s="10" t="n"/>
      <c r="C2079" s="11">
        <f>IF(B2079="","",PERCENTRANK.INC($B$2:$B$2501,B2079)*100)</f>
        <v/>
      </c>
      <c r="D2079" s="10" t="n"/>
      <c r="E2079" s="10">
        <f>IF(D2079="","",MIN(D2079,100))</f>
        <v/>
      </c>
      <c r="F2079" s="10" t="n"/>
      <c r="G2079" s="10">
        <f>IF(F2079="","",MIN(F2079,100))</f>
        <v/>
      </c>
      <c r="H2079" s="11">
        <f>IF(A2079="","",Universe!E2079/BDP(A2079&amp;" US Equity","HIGH_52WEEK")*100)</f>
        <v/>
      </c>
      <c r="I2079">
        <f>IF(D2079="","",D2079&gt;=5)</f>
        <v/>
      </c>
      <c r="J2079">
        <f>IF(F2079="","",F2079&gt;=5)</f>
        <v/>
      </c>
      <c r="K2079">
        <f>IF(H2079="","",H2079&gt;=75)</f>
        <v/>
      </c>
      <c r="L2079">
        <f>IF(OR(I2079="",J2079="",K2079=""),FALSE,AND(I2079,J2079,K2079))</f>
        <v/>
      </c>
    </row>
    <row r="2080">
      <c r="A2080">
        <f>Universe!A2080</f>
        <v/>
      </c>
      <c r="B2080" s="10" t="n"/>
      <c r="C2080" s="11">
        <f>IF(B2080="","",PERCENTRANK.INC($B$2:$B$2501,B2080)*100)</f>
        <v/>
      </c>
      <c r="D2080" s="10" t="n"/>
      <c r="E2080" s="10">
        <f>IF(D2080="","",MIN(D2080,100))</f>
        <v/>
      </c>
      <c r="F2080" s="10" t="n"/>
      <c r="G2080" s="10">
        <f>IF(F2080="","",MIN(F2080,100))</f>
        <v/>
      </c>
      <c r="H2080" s="11">
        <f>IF(A2080="","",Universe!E2080/BDP(A2080&amp;" US Equity","HIGH_52WEEK")*100)</f>
        <v/>
      </c>
      <c r="I2080">
        <f>IF(D2080="","",D2080&gt;=5)</f>
        <v/>
      </c>
      <c r="J2080">
        <f>IF(F2080="","",F2080&gt;=5)</f>
        <v/>
      </c>
      <c r="K2080">
        <f>IF(H2080="","",H2080&gt;=75)</f>
        <v/>
      </c>
      <c r="L2080">
        <f>IF(OR(I2080="",J2080="",K2080=""),FALSE,AND(I2080,J2080,K2080))</f>
        <v/>
      </c>
    </row>
    <row r="2081">
      <c r="A2081">
        <f>Universe!A2081</f>
        <v/>
      </c>
      <c r="B2081" s="10" t="n"/>
      <c r="C2081" s="11">
        <f>IF(B2081="","",PERCENTRANK.INC($B$2:$B$2501,B2081)*100)</f>
        <v/>
      </c>
      <c r="D2081" s="10" t="n"/>
      <c r="E2081" s="10">
        <f>IF(D2081="","",MIN(D2081,100))</f>
        <v/>
      </c>
      <c r="F2081" s="10" t="n"/>
      <c r="G2081" s="10">
        <f>IF(F2081="","",MIN(F2081,100))</f>
        <v/>
      </c>
      <c r="H2081" s="11">
        <f>IF(A2081="","",Universe!E2081/BDP(A2081&amp;" US Equity","HIGH_52WEEK")*100)</f>
        <v/>
      </c>
      <c r="I2081">
        <f>IF(D2081="","",D2081&gt;=5)</f>
        <v/>
      </c>
      <c r="J2081">
        <f>IF(F2081="","",F2081&gt;=5)</f>
        <v/>
      </c>
      <c r="K2081">
        <f>IF(H2081="","",H2081&gt;=75)</f>
        <v/>
      </c>
      <c r="L2081">
        <f>IF(OR(I2081="",J2081="",K2081=""),FALSE,AND(I2081,J2081,K2081))</f>
        <v/>
      </c>
    </row>
    <row r="2082">
      <c r="A2082">
        <f>Universe!A2082</f>
        <v/>
      </c>
      <c r="B2082" s="10" t="n"/>
      <c r="C2082" s="11">
        <f>IF(B2082="","",PERCENTRANK.INC($B$2:$B$2501,B2082)*100)</f>
        <v/>
      </c>
      <c r="D2082" s="10" t="n"/>
      <c r="E2082" s="10">
        <f>IF(D2082="","",MIN(D2082,100))</f>
        <v/>
      </c>
      <c r="F2082" s="10" t="n"/>
      <c r="G2082" s="10">
        <f>IF(F2082="","",MIN(F2082,100))</f>
        <v/>
      </c>
      <c r="H2082" s="11">
        <f>IF(A2082="","",Universe!E2082/BDP(A2082&amp;" US Equity","HIGH_52WEEK")*100)</f>
        <v/>
      </c>
      <c r="I2082">
        <f>IF(D2082="","",D2082&gt;=5)</f>
        <v/>
      </c>
      <c r="J2082">
        <f>IF(F2082="","",F2082&gt;=5)</f>
        <v/>
      </c>
      <c r="K2082">
        <f>IF(H2082="","",H2082&gt;=75)</f>
        <v/>
      </c>
      <c r="L2082">
        <f>IF(OR(I2082="",J2082="",K2082=""),FALSE,AND(I2082,J2082,K2082))</f>
        <v/>
      </c>
    </row>
    <row r="2083">
      <c r="A2083">
        <f>Universe!A2083</f>
        <v/>
      </c>
      <c r="B2083" s="10" t="n"/>
      <c r="C2083" s="11">
        <f>IF(B2083="","",PERCENTRANK.INC($B$2:$B$2501,B2083)*100)</f>
        <v/>
      </c>
      <c r="D2083" s="10" t="n"/>
      <c r="E2083" s="10">
        <f>IF(D2083="","",MIN(D2083,100))</f>
        <v/>
      </c>
      <c r="F2083" s="10" t="n"/>
      <c r="G2083" s="10">
        <f>IF(F2083="","",MIN(F2083,100))</f>
        <v/>
      </c>
      <c r="H2083" s="11">
        <f>IF(A2083="","",Universe!E2083/BDP(A2083&amp;" US Equity","HIGH_52WEEK")*100)</f>
        <v/>
      </c>
      <c r="I2083">
        <f>IF(D2083="","",D2083&gt;=5)</f>
        <v/>
      </c>
      <c r="J2083">
        <f>IF(F2083="","",F2083&gt;=5)</f>
        <v/>
      </c>
      <c r="K2083">
        <f>IF(H2083="","",H2083&gt;=75)</f>
        <v/>
      </c>
      <c r="L2083">
        <f>IF(OR(I2083="",J2083="",K2083=""),FALSE,AND(I2083,J2083,K2083))</f>
        <v/>
      </c>
    </row>
    <row r="2084">
      <c r="A2084">
        <f>Universe!A2084</f>
        <v/>
      </c>
      <c r="B2084" s="10" t="n"/>
      <c r="C2084" s="11">
        <f>IF(B2084="","",PERCENTRANK.INC($B$2:$B$2501,B2084)*100)</f>
        <v/>
      </c>
      <c r="D2084" s="10" t="n"/>
      <c r="E2084" s="10">
        <f>IF(D2084="","",MIN(D2084,100))</f>
        <v/>
      </c>
      <c r="F2084" s="10" t="n"/>
      <c r="G2084" s="10">
        <f>IF(F2084="","",MIN(F2084,100))</f>
        <v/>
      </c>
      <c r="H2084" s="11">
        <f>IF(A2084="","",Universe!E2084/BDP(A2084&amp;" US Equity","HIGH_52WEEK")*100)</f>
        <v/>
      </c>
      <c r="I2084">
        <f>IF(D2084="","",D2084&gt;=5)</f>
        <v/>
      </c>
      <c r="J2084">
        <f>IF(F2084="","",F2084&gt;=5)</f>
        <v/>
      </c>
      <c r="K2084">
        <f>IF(H2084="","",H2084&gt;=75)</f>
        <v/>
      </c>
      <c r="L2084">
        <f>IF(OR(I2084="",J2084="",K2084=""),FALSE,AND(I2084,J2084,K2084))</f>
        <v/>
      </c>
    </row>
    <row r="2085">
      <c r="A2085">
        <f>Universe!A2085</f>
        <v/>
      </c>
      <c r="B2085" s="10" t="n"/>
      <c r="C2085" s="11">
        <f>IF(B2085="","",PERCENTRANK.INC($B$2:$B$2501,B2085)*100)</f>
        <v/>
      </c>
      <c r="D2085" s="10" t="n"/>
      <c r="E2085" s="10">
        <f>IF(D2085="","",MIN(D2085,100))</f>
        <v/>
      </c>
      <c r="F2085" s="10" t="n"/>
      <c r="G2085" s="10">
        <f>IF(F2085="","",MIN(F2085,100))</f>
        <v/>
      </c>
      <c r="H2085" s="11">
        <f>IF(A2085="","",Universe!E2085/BDP(A2085&amp;" US Equity","HIGH_52WEEK")*100)</f>
        <v/>
      </c>
      <c r="I2085">
        <f>IF(D2085="","",D2085&gt;=5)</f>
        <v/>
      </c>
      <c r="J2085">
        <f>IF(F2085="","",F2085&gt;=5)</f>
        <v/>
      </c>
      <c r="K2085">
        <f>IF(H2085="","",H2085&gt;=75)</f>
        <v/>
      </c>
      <c r="L2085">
        <f>IF(OR(I2085="",J2085="",K2085=""),FALSE,AND(I2085,J2085,K2085))</f>
        <v/>
      </c>
    </row>
    <row r="2086">
      <c r="A2086">
        <f>Universe!A2086</f>
        <v/>
      </c>
      <c r="B2086" s="10" t="n"/>
      <c r="C2086" s="11">
        <f>IF(B2086="","",PERCENTRANK.INC($B$2:$B$2501,B2086)*100)</f>
        <v/>
      </c>
      <c r="D2086" s="10" t="n"/>
      <c r="E2086" s="10">
        <f>IF(D2086="","",MIN(D2086,100))</f>
        <v/>
      </c>
      <c r="F2086" s="10" t="n"/>
      <c r="G2086" s="10">
        <f>IF(F2086="","",MIN(F2086,100))</f>
        <v/>
      </c>
      <c r="H2086" s="11">
        <f>IF(A2086="","",Universe!E2086/BDP(A2086&amp;" US Equity","HIGH_52WEEK")*100)</f>
        <v/>
      </c>
      <c r="I2086">
        <f>IF(D2086="","",D2086&gt;=5)</f>
        <v/>
      </c>
      <c r="J2086">
        <f>IF(F2086="","",F2086&gt;=5)</f>
        <v/>
      </c>
      <c r="K2086">
        <f>IF(H2086="","",H2086&gt;=75)</f>
        <v/>
      </c>
      <c r="L2086">
        <f>IF(OR(I2086="",J2086="",K2086=""),FALSE,AND(I2086,J2086,K2086))</f>
        <v/>
      </c>
    </row>
    <row r="2087">
      <c r="A2087">
        <f>Universe!A2087</f>
        <v/>
      </c>
      <c r="B2087" s="10" t="n"/>
      <c r="C2087" s="11">
        <f>IF(B2087="","",PERCENTRANK.INC($B$2:$B$2501,B2087)*100)</f>
        <v/>
      </c>
      <c r="D2087" s="10" t="n"/>
      <c r="E2087" s="10">
        <f>IF(D2087="","",MIN(D2087,100))</f>
        <v/>
      </c>
      <c r="F2087" s="10" t="n"/>
      <c r="G2087" s="10">
        <f>IF(F2087="","",MIN(F2087,100))</f>
        <v/>
      </c>
      <c r="H2087" s="11">
        <f>IF(A2087="","",Universe!E2087/BDP(A2087&amp;" US Equity","HIGH_52WEEK")*100)</f>
        <v/>
      </c>
      <c r="I2087">
        <f>IF(D2087="","",D2087&gt;=5)</f>
        <v/>
      </c>
      <c r="J2087">
        <f>IF(F2087="","",F2087&gt;=5)</f>
        <v/>
      </c>
      <c r="K2087">
        <f>IF(H2087="","",H2087&gt;=75)</f>
        <v/>
      </c>
      <c r="L2087">
        <f>IF(OR(I2087="",J2087="",K2087=""),FALSE,AND(I2087,J2087,K2087))</f>
        <v/>
      </c>
    </row>
    <row r="2088">
      <c r="A2088">
        <f>Universe!A2088</f>
        <v/>
      </c>
      <c r="B2088" s="10" t="n"/>
      <c r="C2088" s="11">
        <f>IF(B2088="","",PERCENTRANK.INC($B$2:$B$2501,B2088)*100)</f>
        <v/>
      </c>
      <c r="D2088" s="10" t="n"/>
      <c r="E2088" s="10">
        <f>IF(D2088="","",MIN(D2088,100))</f>
        <v/>
      </c>
      <c r="F2088" s="10" t="n"/>
      <c r="G2088" s="10">
        <f>IF(F2088="","",MIN(F2088,100))</f>
        <v/>
      </c>
      <c r="H2088" s="11">
        <f>IF(A2088="","",Universe!E2088/BDP(A2088&amp;" US Equity","HIGH_52WEEK")*100)</f>
        <v/>
      </c>
      <c r="I2088">
        <f>IF(D2088="","",D2088&gt;=5)</f>
        <v/>
      </c>
      <c r="J2088">
        <f>IF(F2088="","",F2088&gt;=5)</f>
        <v/>
      </c>
      <c r="K2088">
        <f>IF(H2088="","",H2088&gt;=75)</f>
        <v/>
      </c>
      <c r="L2088">
        <f>IF(OR(I2088="",J2088="",K2088=""),FALSE,AND(I2088,J2088,K2088))</f>
        <v/>
      </c>
    </row>
    <row r="2089">
      <c r="A2089">
        <f>Universe!A2089</f>
        <v/>
      </c>
      <c r="B2089" s="10" t="n"/>
      <c r="C2089" s="11">
        <f>IF(B2089="","",PERCENTRANK.INC($B$2:$B$2501,B2089)*100)</f>
        <v/>
      </c>
      <c r="D2089" s="10" t="n"/>
      <c r="E2089" s="10">
        <f>IF(D2089="","",MIN(D2089,100))</f>
        <v/>
      </c>
      <c r="F2089" s="10" t="n"/>
      <c r="G2089" s="10">
        <f>IF(F2089="","",MIN(F2089,100))</f>
        <v/>
      </c>
      <c r="H2089" s="11">
        <f>IF(A2089="","",Universe!E2089/BDP(A2089&amp;" US Equity","HIGH_52WEEK")*100)</f>
        <v/>
      </c>
      <c r="I2089">
        <f>IF(D2089="","",D2089&gt;=5)</f>
        <v/>
      </c>
      <c r="J2089">
        <f>IF(F2089="","",F2089&gt;=5)</f>
        <v/>
      </c>
      <c r="K2089">
        <f>IF(H2089="","",H2089&gt;=75)</f>
        <v/>
      </c>
      <c r="L2089">
        <f>IF(OR(I2089="",J2089="",K2089=""),FALSE,AND(I2089,J2089,K2089))</f>
        <v/>
      </c>
    </row>
    <row r="2090">
      <c r="A2090">
        <f>Universe!A2090</f>
        <v/>
      </c>
      <c r="B2090" s="10" t="n"/>
      <c r="C2090" s="11">
        <f>IF(B2090="","",PERCENTRANK.INC($B$2:$B$2501,B2090)*100)</f>
        <v/>
      </c>
      <c r="D2090" s="10" t="n"/>
      <c r="E2090" s="10">
        <f>IF(D2090="","",MIN(D2090,100))</f>
        <v/>
      </c>
      <c r="F2090" s="10" t="n"/>
      <c r="G2090" s="10">
        <f>IF(F2090="","",MIN(F2090,100))</f>
        <v/>
      </c>
      <c r="H2090" s="11">
        <f>IF(A2090="","",Universe!E2090/BDP(A2090&amp;" US Equity","HIGH_52WEEK")*100)</f>
        <v/>
      </c>
      <c r="I2090">
        <f>IF(D2090="","",D2090&gt;=5)</f>
        <v/>
      </c>
      <c r="J2090">
        <f>IF(F2090="","",F2090&gt;=5)</f>
        <v/>
      </c>
      <c r="K2090">
        <f>IF(H2090="","",H2090&gt;=75)</f>
        <v/>
      </c>
      <c r="L2090">
        <f>IF(OR(I2090="",J2090="",K2090=""),FALSE,AND(I2090,J2090,K2090))</f>
        <v/>
      </c>
    </row>
    <row r="2091">
      <c r="A2091">
        <f>Universe!A2091</f>
        <v/>
      </c>
      <c r="B2091" s="10" t="n"/>
      <c r="C2091" s="11">
        <f>IF(B2091="","",PERCENTRANK.INC($B$2:$B$2501,B2091)*100)</f>
        <v/>
      </c>
      <c r="D2091" s="10" t="n"/>
      <c r="E2091" s="10">
        <f>IF(D2091="","",MIN(D2091,100))</f>
        <v/>
      </c>
      <c r="F2091" s="10" t="n"/>
      <c r="G2091" s="10">
        <f>IF(F2091="","",MIN(F2091,100))</f>
        <v/>
      </c>
      <c r="H2091" s="11">
        <f>IF(A2091="","",Universe!E2091/BDP(A2091&amp;" US Equity","HIGH_52WEEK")*100)</f>
        <v/>
      </c>
      <c r="I2091">
        <f>IF(D2091="","",D2091&gt;=5)</f>
        <v/>
      </c>
      <c r="J2091">
        <f>IF(F2091="","",F2091&gt;=5)</f>
        <v/>
      </c>
      <c r="K2091">
        <f>IF(H2091="","",H2091&gt;=75)</f>
        <v/>
      </c>
      <c r="L2091">
        <f>IF(OR(I2091="",J2091="",K2091=""),FALSE,AND(I2091,J2091,K2091))</f>
        <v/>
      </c>
    </row>
    <row r="2092">
      <c r="A2092">
        <f>Universe!A2092</f>
        <v/>
      </c>
      <c r="B2092" s="10" t="n"/>
      <c r="C2092" s="11">
        <f>IF(B2092="","",PERCENTRANK.INC($B$2:$B$2501,B2092)*100)</f>
        <v/>
      </c>
      <c r="D2092" s="10" t="n"/>
      <c r="E2092" s="10">
        <f>IF(D2092="","",MIN(D2092,100))</f>
        <v/>
      </c>
      <c r="F2092" s="10" t="n"/>
      <c r="G2092" s="10">
        <f>IF(F2092="","",MIN(F2092,100))</f>
        <v/>
      </c>
      <c r="H2092" s="11">
        <f>IF(A2092="","",Universe!E2092/BDP(A2092&amp;" US Equity","HIGH_52WEEK")*100)</f>
        <v/>
      </c>
      <c r="I2092">
        <f>IF(D2092="","",D2092&gt;=5)</f>
        <v/>
      </c>
      <c r="J2092">
        <f>IF(F2092="","",F2092&gt;=5)</f>
        <v/>
      </c>
      <c r="K2092">
        <f>IF(H2092="","",H2092&gt;=75)</f>
        <v/>
      </c>
      <c r="L2092">
        <f>IF(OR(I2092="",J2092="",K2092=""),FALSE,AND(I2092,J2092,K2092))</f>
        <v/>
      </c>
    </row>
    <row r="2093">
      <c r="A2093">
        <f>Universe!A2093</f>
        <v/>
      </c>
      <c r="B2093" s="10" t="n"/>
      <c r="C2093" s="11">
        <f>IF(B2093="","",PERCENTRANK.INC($B$2:$B$2501,B2093)*100)</f>
        <v/>
      </c>
      <c r="D2093" s="10" t="n"/>
      <c r="E2093" s="10">
        <f>IF(D2093="","",MIN(D2093,100))</f>
        <v/>
      </c>
      <c r="F2093" s="10" t="n"/>
      <c r="G2093" s="10">
        <f>IF(F2093="","",MIN(F2093,100))</f>
        <v/>
      </c>
      <c r="H2093" s="11">
        <f>IF(A2093="","",Universe!E2093/BDP(A2093&amp;" US Equity","HIGH_52WEEK")*100)</f>
        <v/>
      </c>
      <c r="I2093">
        <f>IF(D2093="","",D2093&gt;=5)</f>
        <v/>
      </c>
      <c r="J2093">
        <f>IF(F2093="","",F2093&gt;=5)</f>
        <v/>
      </c>
      <c r="K2093">
        <f>IF(H2093="","",H2093&gt;=75)</f>
        <v/>
      </c>
      <c r="L2093">
        <f>IF(OR(I2093="",J2093="",K2093=""),FALSE,AND(I2093,J2093,K2093))</f>
        <v/>
      </c>
    </row>
    <row r="2094">
      <c r="A2094">
        <f>Universe!A2094</f>
        <v/>
      </c>
      <c r="B2094" s="10" t="n"/>
      <c r="C2094" s="11">
        <f>IF(B2094="","",PERCENTRANK.INC($B$2:$B$2501,B2094)*100)</f>
        <v/>
      </c>
      <c r="D2094" s="10" t="n"/>
      <c r="E2094" s="10">
        <f>IF(D2094="","",MIN(D2094,100))</f>
        <v/>
      </c>
      <c r="F2094" s="10" t="n"/>
      <c r="G2094" s="10">
        <f>IF(F2094="","",MIN(F2094,100))</f>
        <v/>
      </c>
      <c r="H2094" s="11">
        <f>IF(A2094="","",Universe!E2094/BDP(A2094&amp;" US Equity","HIGH_52WEEK")*100)</f>
        <v/>
      </c>
      <c r="I2094">
        <f>IF(D2094="","",D2094&gt;=5)</f>
        <v/>
      </c>
      <c r="J2094">
        <f>IF(F2094="","",F2094&gt;=5)</f>
        <v/>
      </c>
      <c r="K2094">
        <f>IF(H2094="","",H2094&gt;=75)</f>
        <v/>
      </c>
      <c r="L2094">
        <f>IF(OR(I2094="",J2094="",K2094=""),FALSE,AND(I2094,J2094,K2094))</f>
        <v/>
      </c>
    </row>
    <row r="2095">
      <c r="A2095">
        <f>Universe!A2095</f>
        <v/>
      </c>
      <c r="B2095" s="10" t="n"/>
      <c r="C2095" s="11">
        <f>IF(B2095="","",PERCENTRANK.INC($B$2:$B$2501,B2095)*100)</f>
        <v/>
      </c>
      <c r="D2095" s="10" t="n"/>
      <c r="E2095" s="10">
        <f>IF(D2095="","",MIN(D2095,100))</f>
        <v/>
      </c>
      <c r="F2095" s="10" t="n"/>
      <c r="G2095" s="10">
        <f>IF(F2095="","",MIN(F2095,100))</f>
        <v/>
      </c>
      <c r="H2095" s="11">
        <f>IF(A2095="","",Universe!E2095/BDP(A2095&amp;" US Equity","HIGH_52WEEK")*100)</f>
        <v/>
      </c>
      <c r="I2095">
        <f>IF(D2095="","",D2095&gt;=5)</f>
        <v/>
      </c>
      <c r="J2095">
        <f>IF(F2095="","",F2095&gt;=5)</f>
        <v/>
      </c>
      <c r="K2095">
        <f>IF(H2095="","",H2095&gt;=75)</f>
        <v/>
      </c>
      <c r="L2095">
        <f>IF(OR(I2095="",J2095="",K2095=""),FALSE,AND(I2095,J2095,K2095))</f>
        <v/>
      </c>
    </row>
    <row r="2096">
      <c r="A2096">
        <f>Universe!A2096</f>
        <v/>
      </c>
      <c r="B2096" s="10" t="n"/>
      <c r="C2096" s="11">
        <f>IF(B2096="","",PERCENTRANK.INC($B$2:$B$2501,B2096)*100)</f>
        <v/>
      </c>
      <c r="D2096" s="10" t="n"/>
      <c r="E2096" s="10">
        <f>IF(D2096="","",MIN(D2096,100))</f>
        <v/>
      </c>
      <c r="F2096" s="10" t="n"/>
      <c r="G2096" s="10">
        <f>IF(F2096="","",MIN(F2096,100))</f>
        <v/>
      </c>
      <c r="H2096" s="11">
        <f>IF(A2096="","",Universe!E2096/BDP(A2096&amp;" US Equity","HIGH_52WEEK")*100)</f>
        <v/>
      </c>
      <c r="I2096">
        <f>IF(D2096="","",D2096&gt;=5)</f>
        <v/>
      </c>
      <c r="J2096">
        <f>IF(F2096="","",F2096&gt;=5)</f>
        <v/>
      </c>
      <c r="K2096">
        <f>IF(H2096="","",H2096&gt;=75)</f>
        <v/>
      </c>
      <c r="L2096">
        <f>IF(OR(I2096="",J2096="",K2096=""),FALSE,AND(I2096,J2096,K2096))</f>
        <v/>
      </c>
    </row>
    <row r="2097">
      <c r="A2097">
        <f>Universe!A2097</f>
        <v/>
      </c>
      <c r="B2097" s="10" t="n"/>
      <c r="C2097" s="11">
        <f>IF(B2097="","",PERCENTRANK.INC($B$2:$B$2501,B2097)*100)</f>
        <v/>
      </c>
      <c r="D2097" s="10" t="n"/>
      <c r="E2097" s="10">
        <f>IF(D2097="","",MIN(D2097,100))</f>
        <v/>
      </c>
      <c r="F2097" s="10" t="n"/>
      <c r="G2097" s="10">
        <f>IF(F2097="","",MIN(F2097,100))</f>
        <v/>
      </c>
      <c r="H2097" s="11">
        <f>IF(A2097="","",Universe!E2097/BDP(A2097&amp;" US Equity","HIGH_52WEEK")*100)</f>
        <v/>
      </c>
      <c r="I2097">
        <f>IF(D2097="","",D2097&gt;=5)</f>
        <v/>
      </c>
      <c r="J2097">
        <f>IF(F2097="","",F2097&gt;=5)</f>
        <v/>
      </c>
      <c r="K2097">
        <f>IF(H2097="","",H2097&gt;=75)</f>
        <v/>
      </c>
      <c r="L2097">
        <f>IF(OR(I2097="",J2097="",K2097=""),FALSE,AND(I2097,J2097,K2097))</f>
        <v/>
      </c>
    </row>
    <row r="2098">
      <c r="A2098">
        <f>Universe!A2098</f>
        <v/>
      </c>
      <c r="B2098" s="10" t="n"/>
      <c r="C2098" s="11">
        <f>IF(B2098="","",PERCENTRANK.INC($B$2:$B$2501,B2098)*100)</f>
        <v/>
      </c>
      <c r="D2098" s="10" t="n"/>
      <c r="E2098" s="10">
        <f>IF(D2098="","",MIN(D2098,100))</f>
        <v/>
      </c>
      <c r="F2098" s="10" t="n"/>
      <c r="G2098" s="10">
        <f>IF(F2098="","",MIN(F2098,100))</f>
        <v/>
      </c>
      <c r="H2098" s="11">
        <f>IF(A2098="","",Universe!E2098/BDP(A2098&amp;" US Equity","HIGH_52WEEK")*100)</f>
        <v/>
      </c>
      <c r="I2098">
        <f>IF(D2098="","",D2098&gt;=5)</f>
        <v/>
      </c>
      <c r="J2098">
        <f>IF(F2098="","",F2098&gt;=5)</f>
        <v/>
      </c>
      <c r="K2098">
        <f>IF(H2098="","",H2098&gt;=75)</f>
        <v/>
      </c>
      <c r="L2098">
        <f>IF(OR(I2098="",J2098="",K2098=""),FALSE,AND(I2098,J2098,K2098))</f>
        <v/>
      </c>
    </row>
    <row r="2099">
      <c r="A2099">
        <f>Universe!A2099</f>
        <v/>
      </c>
      <c r="B2099" s="10" t="n"/>
      <c r="C2099" s="11">
        <f>IF(B2099="","",PERCENTRANK.INC($B$2:$B$2501,B2099)*100)</f>
        <v/>
      </c>
      <c r="D2099" s="10" t="n"/>
      <c r="E2099" s="10">
        <f>IF(D2099="","",MIN(D2099,100))</f>
        <v/>
      </c>
      <c r="F2099" s="10" t="n"/>
      <c r="G2099" s="10">
        <f>IF(F2099="","",MIN(F2099,100))</f>
        <v/>
      </c>
      <c r="H2099" s="11">
        <f>IF(A2099="","",Universe!E2099/BDP(A2099&amp;" US Equity","HIGH_52WEEK")*100)</f>
        <v/>
      </c>
      <c r="I2099">
        <f>IF(D2099="","",D2099&gt;=5)</f>
        <v/>
      </c>
      <c r="J2099">
        <f>IF(F2099="","",F2099&gt;=5)</f>
        <v/>
      </c>
      <c r="K2099">
        <f>IF(H2099="","",H2099&gt;=75)</f>
        <v/>
      </c>
      <c r="L2099">
        <f>IF(OR(I2099="",J2099="",K2099=""),FALSE,AND(I2099,J2099,K2099))</f>
        <v/>
      </c>
    </row>
    <row r="2100">
      <c r="A2100">
        <f>Universe!A2100</f>
        <v/>
      </c>
      <c r="B2100" s="10" t="n"/>
      <c r="C2100" s="11">
        <f>IF(B2100="","",PERCENTRANK.INC($B$2:$B$2501,B2100)*100)</f>
        <v/>
      </c>
      <c r="D2100" s="10" t="n"/>
      <c r="E2100" s="10">
        <f>IF(D2100="","",MIN(D2100,100))</f>
        <v/>
      </c>
      <c r="F2100" s="10" t="n"/>
      <c r="G2100" s="10">
        <f>IF(F2100="","",MIN(F2100,100))</f>
        <v/>
      </c>
      <c r="H2100" s="11">
        <f>IF(A2100="","",Universe!E2100/BDP(A2100&amp;" US Equity","HIGH_52WEEK")*100)</f>
        <v/>
      </c>
      <c r="I2100">
        <f>IF(D2100="","",D2100&gt;=5)</f>
        <v/>
      </c>
      <c r="J2100">
        <f>IF(F2100="","",F2100&gt;=5)</f>
        <v/>
      </c>
      <c r="K2100">
        <f>IF(H2100="","",H2100&gt;=75)</f>
        <v/>
      </c>
      <c r="L2100">
        <f>IF(OR(I2100="",J2100="",K2100=""),FALSE,AND(I2100,J2100,K2100))</f>
        <v/>
      </c>
    </row>
    <row r="2101">
      <c r="A2101">
        <f>Universe!A2101</f>
        <v/>
      </c>
      <c r="B2101" s="10" t="n"/>
      <c r="C2101" s="11">
        <f>IF(B2101="","",PERCENTRANK.INC($B$2:$B$2501,B2101)*100)</f>
        <v/>
      </c>
      <c r="D2101" s="10" t="n"/>
      <c r="E2101" s="10">
        <f>IF(D2101="","",MIN(D2101,100))</f>
        <v/>
      </c>
      <c r="F2101" s="10" t="n"/>
      <c r="G2101" s="10">
        <f>IF(F2101="","",MIN(F2101,100))</f>
        <v/>
      </c>
      <c r="H2101" s="11">
        <f>IF(A2101="","",Universe!E2101/BDP(A2101&amp;" US Equity","HIGH_52WEEK")*100)</f>
        <v/>
      </c>
      <c r="I2101">
        <f>IF(D2101="","",D2101&gt;=5)</f>
        <v/>
      </c>
      <c r="J2101">
        <f>IF(F2101="","",F2101&gt;=5)</f>
        <v/>
      </c>
      <c r="K2101">
        <f>IF(H2101="","",H2101&gt;=75)</f>
        <v/>
      </c>
      <c r="L2101">
        <f>IF(OR(I2101="",J2101="",K2101=""),FALSE,AND(I2101,J2101,K2101))</f>
        <v/>
      </c>
    </row>
    <row r="2102">
      <c r="A2102">
        <f>Universe!A2102</f>
        <v/>
      </c>
      <c r="B2102" s="10" t="n"/>
      <c r="C2102" s="11">
        <f>IF(B2102="","",PERCENTRANK.INC($B$2:$B$2501,B2102)*100)</f>
        <v/>
      </c>
      <c r="D2102" s="10" t="n"/>
      <c r="E2102" s="10">
        <f>IF(D2102="","",MIN(D2102,100))</f>
        <v/>
      </c>
      <c r="F2102" s="10" t="n"/>
      <c r="G2102" s="10">
        <f>IF(F2102="","",MIN(F2102,100))</f>
        <v/>
      </c>
      <c r="H2102" s="11">
        <f>IF(A2102="","",Universe!E2102/BDP(A2102&amp;" US Equity","HIGH_52WEEK")*100)</f>
        <v/>
      </c>
      <c r="I2102">
        <f>IF(D2102="","",D2102&gt;=5)</f>
        <v/>
      </c>
      <c r="J2102">
        <f>IF(F2102="","",F2102&gt;=5)</f>
        <v/>
      </c>
      <c r="K2102">
        <f>IF(H2102="","",H2102&gt;=75)</f>
        <v/>
      </c>
      <c r="L2102">
        <f>IF(OR(I2102="",J2102="",K2102=""),FALSE,AND(I2102,J2102,K2102))</f>
        <v/>
      </c>
    </row>
    <row r="2103">
      <c r="A2103">
        <f>Universe!A2103</f>
        <v/>
      </c>
      <c r="B2103" s="10" t="n"/>
      <c r="C2103" s="11">
        <f>IF(B2103="","",PERCENTRANK.INC($B$2:$B$2501,B2103)*100)</f>
        <v/>
      </c>
      <c r="D2103" s="10" t="n"/>
      <c r="E2103" s="10">
        <f>IF(D2103="","",MIN(D2103,100))</f>
        <v/>
      </c>
      <c r="F2103" s="10" t="n"/>
      <c r="G2103" s="10">
        <f>IF(F2103="","",MIN(F2103,100))</f>
        <v/>
      </c>
      <c r="H2103" s="11">
        <f>IF(A2103="","",Universe!E2103/BDP(A2103&amp;" US Equity","HIGH_52WEEK")*100)</f>
        <v/>
      </c>
      <c r="I2103">
        <f>IF(D2103="","",D2103&gt;=5)</f>
        <v/>
      </c>
      <c r="J2103">
        <f>IF(F2103="","",F2103&gt;=5)</f>
        <v/>
      </c>
      <c r="K2103">
        <f>IF(H2103="","",H2103&gt;=75)</f>
        <v/>
      </c>
      <c r="L2103">
        <f>IF(OR(I2103="",J2103="",K2103=""),FALSE,AND(I2103,J2103,K2103))</f>
        <v/>
      </c>
    </row>
    <row r="2104">
      <c r="A2104">
        <f>Universe!A2104</f>
        <v/>
      </c>
      <c r="B2104" s="10" t="n"/>
      <c r="C2104" s="11">
        <f>IF(B2104="","",PERCENTRANK.INC($B$2:$B$2501,B2104)*100)</f>
        <v/>
      </c>
      <c r="D2104" s="10" t="n"/>
      <c r="E2104" s="10">
        <f>IF(D2104="","",MIN(D2104,100))</f>
        <v/>
      </c>
      <c r="F2104" s="10" t="n"/>
      <c r="G2104" s="10">
        <f>IF(F2104="","",MIN(F2104,100))</f>
        <v/>
      </c>
      <c r="H2104" s="11">
        <f>IF(A2104="","",Universe!E2104/BDP(A2104&amp;" US Equity","HIGH_52WEEK")*100)</f>
        <v/>
      </c>
      <c r="I2104">
        <f>IF(D2104="","",D2104&gt;=5)</f>
        <v/>
      </c>
      <c r="J2104">
        <f>IF(F2104="","",F2104&gt;=5)</f>
        <v/>
      </c>
      <c r="K2104">
        <f>IF(H2104="","",H2104&gt;=75)</f>
        <v/>
      </c>
      <c r="L2104">
        <f>IF(OR(I2104="",J2104="",K2104=""),FALSE,AND(I2104,J2104,K2104))</f>
        <v/>
      </c>
    </row>
    <row r="2105">
      <c r="A2105">
        <f>Universe!A2105</f>
        <v/>
      </c>
      <c r="B2105" s="10" t="n"/>
      <c r="C2105" s="11">
        <f>IF(B2105="","",PERCENTRANK.INC($B$2:$B$2501,B2105)*100)</f>
        <v/>
      </c>
      <c r="D2105" s="10" t="n"/>
      <c r="E2105" s="10">
        <f>IF(D2105="","",MIN(D2105,100))</f>
        <v/>
      </c>
      <c r="F2105" s="10" t="n"/>
      <c r="G2105" s="10">
        <f>IF(F2105="","",MIN(F2105,100))</f>
        <v/>
      </c>
      <c r="H2105" s="11">
        <f>IF(A2105="","",Universe!E2105/BDP(A2105&amp;" US Equity","HIGH_52WEEK")*100)</f>
        <v/>
      </c>
      <c r="I2105">
        <f>IF(D2105="","",D2105&gt;=5)</f>
        <v/>
      </c>
      <c r="J2105">
        <f>IF(F2105="","",F2105&gt;=5)</f>
        <v/>
      </c>
      <c r="K2105">
        <f>IF(H2105="","",H2105&gt;=75)</f>
        <v/>
      </c>
      <c r="L2105">
        <f>IF(OR(I2105="",J2105="",K2105=""),FALSE,AND(I2105,J2105,K2105))</f>
        <v/>
      </c>
    </row>
    <row r="2106">
      <c r="A2106">
        <f>Universe!A2106</f>
        <v/>
      </c>
      <c r="B2106" s="10" t="n"/>
      <c r="C2106" s="11">
        <f>IF(B2106="","",PERCENTRANK.INC($B$2:$B$2501,B2106)*100)</f>
        <v/>
      </c>
      <c r="D2106" s="10" t="n"/>
      <c r="E2106" s="10">
        <f>IF(D2106="","",MIN(D2106,100))</f>
        <v/>
      </c>
      <c r="F2106" s="10" t="n"/>
      <c r="G2106" s="10">
        <f>IF(F2106="","",MIN(F2106,100))</f>
        <v/>
      </c>
      <c r="H2106" s="11">
        <f>IF(A2106="","",Universe!E2106/BDP(A2106&amp;" US Equity","HIGH_52WEEK")*100)</f>
        <v/>
      </c>
      <c r="I2106">
        <f>IF(D2106="","",D2106&gt;=5)</f>
        <v/>
      </c>
      <c r="J2106">
        <f>IF(F2106="","",F2106&gt;=5)</f>
        <v/>
      </c>
      <c r="K2106">
        <f>IF(H2106="","",H2106&gt;=75)</f>
        <v/>
      </c>
      <c r="L2106">
        <f>IF(OR(I2106="",J2106="",K2106=""),FALSE,AND(I2106,J2106,K2106))</f>
        <v/>
      </c>
    </row>
    <row r="2107">
      <c r="A2107">
        <f>Universe!A2107</f>
        <v/>
      </c>
      <c r="B2107" s="10" t="n"/>
      <c r="C2107" s="11">
        <f>IF(B2107="","",PERCENTRANK.INC($B$2:$B$2501,B2107)*100)</f>
        <v/>
      </c>
      <c r="D2107" s="10" t="n"/>
      <c r="E2107" s="10">
        <f>IF(D2107="","",MIN(D2107,100))</f>
        <v/>
      </c>
      <c r="F2107" s="10" t="n"/>
      <c r="G2107" s="10">
        <f>IF(F2107="","",MIN(F2107,100))</f>
        <v/>
      </c>
      <c r="H2107" s="11">
        <f>IF(A2107="","",Universe!E2107/BDP(A2107&amp;" US Equity","HIGH_52WEEK")*100)</f>
        <v/>
      </c>
      <c r="I2107">
        <f>IF(D2107="","",D2107&gt;=5)</f>
        <v/>
      </c>
      <c r="J2107">
        <f>IF(F2107="","",F2107&gt;=5)</f>
        <v/>
      </c>
      <c r="K2107">
        <f>IF(H2107="","",H2107&gt;=75)</f>
        <v/>
      </c>
      <c r="L2107">
        <f>IF(OR(I2107="",J2107="",K2107=""),FALSE,AND(I2107,J2107,K2107))</f>
        <v/>
      </c>
    </row>
    <row r="2108">
      <c r="A2108">
        <f>Universe!A2108</f>
        <v/>
      </c>
      <c r="B2108" s="10" t="n"/>
      <c r="C2108" s="11">
        <f>IF(B2108="","",PERCENTRANK.INC($B$2:$B$2501,B2108)*100)</f>
        <v/>
      </c>
      <c r="D2108" s="10" t="n"/>
      <c r="E2108" s="10">
        <f>IF(D2108="","",MIN(D2108,100))</f>
        <v/>
      </c>
      <c r="F2108" s="10" t="n"/>
      <c r="G2108" s="10">
        <f>IF(F2108="","",MIN(F2108,100))</f>
        <v/>
      </c>
      <c r="H2108" s="11">
        <f>IF(A2108="","",Universe!E2108/BDP(A2108&amp;" US Equity","HIGH_52WEEK")*100)</f>
        <v/>
      </c>
      <c r="I2108">
        <f>IF(D2108="","",D2108&gt;=5)</f>
        <v/>
      </c>
      <c r="J2108">
        <f>IF(F2108="","",F2108&gt;=5)</f>
        <v/>
      </c>
      <c r="K2108">
        <f>IF(H2108="","",H2108&gt;=75)</f>
        <v/>
      </c>
      <c r="L2108">
        <f>IF(OR(I2108="",J2108="",K2108=""),FALSE,AND(I2108,J2108,K2108))</f>
        <v/>
      </c>
    </row>
    <row r="2109">
      <c r="A2109">
        <f>Universe!A2109</f>
        <v/>
      </c>
      <c r="B2109" s="10" t="n"/>
      <c r="C2109" s="11">
        <f>IF(B2109="","",PERCENTRANK.INC($B$2:$B$2501,B2109)*100)</f>
        <v/>
      </c>
      <c r="D2109" s="10" t="n"/>
      <c r="E2109" s="10">
        <f>IF(D2109="","",MIN(D2109,100))</f>
        <v/>
      </c>
      <c r="F2109" s="10" t="n"/>
      <c r="G2109" s="10">
        <f>IF(F2109="","",MIN(F2109,100))</f>
        <v/>
      </c>
      <c r="H2109" s="11">
        <f>IF(A2109="","",Universe!E2109/BDP(A2109&amp;" US Equity","HIGH_52WEEK")*100)</f>
        <v/>
      </c>
      <c r="I2109">
        <f>IF(D2109="","",D2109&gt;=5)</f>
        <v/>
      </c>
      <c r="J2109">
        <f>IF(F2109="","",F2109&gt;=5)</f>
        <v/>
      </c>
      <c r="K2109">
        <f>IF(H2109="","",H2109&gt;=75)</f>
        <v/>
      </c>
      <c r="L2109">
        <f>IF(OR(I2109="",J2109="",K2109=""),FALSE,AND(I2109,J2109,K2109))</f>
        <v/>
      </c>
    </row>
    <row r="2110">
      <c r="A2110">
        <f>Universe!A2110</f>
        <v/>
      </c>
      <c r="B2110" s="10" t="n"/>
      <c r="C2110" s="11">
        <f>IF(B2110="","",PERCENTRANK.INC($B$2:$B$2501,B2110)*100)</f>
        <v/>
      </c>
      <c r="D2110" s="10" t="n"/>
      <c r="E2110" s="10">
        <f>IF(D2110="","",MIN(D2110,100))</f>
        <v/>
      </c>
      <c r="F2110" s="10" t="n"/>
      <c r="G2110" s="10">
        <f>IF(F2110="","",MIN(F2110,100))</f>
        <v/>
      </c>
      <c r="H2110" s="11">
        <f>IF(A2110="","",Universe!E2110/BDP(A2110&amp;" US Equity","HIGH_52WEEK")*100)</f>
        <v/>
      </c>
      <c r="I2110">
        <f>IF(D2110="","",D2110&gt;=5)</f>
        <v/>
      </c>
      <c r="J2110">
        <f>IF(F2110="","",F2110&gt;=5)</f>
        <v/>
      </c>
      <c r="K2110">
        <f>IF(H2110="","",H2110&gt;=75)</f>
        <v/>
      </c>
      <c r="L2110">
        <f>IF(OR(I2110="",J2110="",K2110=""),FALSE,AND(I2110,J2110,K2110))</f>
        <v/>
      </c>
    </row>
    <row r="2111">
      <c r="A2111">
        <f>Universe!A2111</f>
        <v/>
      </c>
      <c r="B2111" s="10" t="n"/>
      <c r="C2111" s="11">
        <f>IF(B2111="","",PERCENTRANK.INC($B$2:$B$2501,B2111)*100)</f>
        <v/>
      </c>
      <c r="D2111" s="10" t="n"/>
      <c r="E2111" s="10">
        <f>IF(D2111="","",MIN(D2111,100))</f>
        <v/>
      </c>
      <c r="F2111" s="10" t="n"/>
      <c r="G2111" s="10">
        <f>IF(F2111="","",MIN(F2111,100))</f>
        <v/>
      </c>
      <c r="H2111" s="11">
        <f>IF(A2111="","",Universe!E2111/BDP(A2111&amp;" US Equity","HIGH_52WEEK")*100)</f>
        <v/>
      </c>
      <c r="I2111">
        <f>IF(D2111="","",D2111&gt;=5)</f>
        <v/>
      </c>
      <c r="J2111">
        <f>IF(F2111="","",F2111&gt;=5)</f>
        <v/>
      </c>
      <c r="K2111">
        <f>IF(H2111="","",H2111&gt;=75)</f>
        <v/>
      </c>
      <c r="L2111">
        <f>IF(OR(I2111="",J2111="",K2111=""),FALSE,AND(I2111,J2111,K2111))</f>
        <v/>
      </c>
    </row>
    <row r="2112">
      <c r="A2112">
        <f>Universe!A2112</f>
        <v/>
      </c>
      <c r="B2112" s="10" t="n"/>
      <c r="C2112" s="11">
        <f>IF(B2112="","",PERCENTRANK.INC($B$2:$B$2501,B2112)*100)</f>
        <v/>
      </c>
      <c r="D2112" s="10" t="n"/>
      <c r="E2112" s="10">
        <f>IF(D2112="","",MIN(D2112,100))</f>
        <v/>
      </c>
      <c r="F2112" s="10" t="n"/>
      <c r="G2112" s="10">
        <f>IF(F2112="","",MIN(F2112,100))</f>
        <v/>
      </c>
      <c r="H2112" s="11">
        <f>IF(A2112="","",Universe!E2112/BDP(A2112&amp;" US Equity","HIGH_52WEEK")*100)</f>
        <v/>
      </c>
      <c r="I2112">
        <f>IF(D2112="","",D2112&gt;=5)</f>
        <v/>
      </c>
      <c r="J2112">
        <f>IF(F2112="","",F2112&gt;=5)</f>
        <v/>
      </c>
      <c r="K2112">
        <f>IF(H2112="","",H2112&gt;=75)</f>
        <v/>
      </c>
      <c r="L2112">
        <f>IF(OR(I2112="",J2112="",K2112=""),FALSE,AND(I2112,J2112,K2112))</f>
        <v/>
      </c>
    </row>
    <row r="2113">
      <c r="A2113">
        <f>Universe!A2113</f>
        <v/>
      </c>
      <c r="B2113" s="10" t="n"/>
      <c r="C2113" s="11">
        <f>IF(B2113="","",PERCENTRANK.INC($B$2:$B$2501,B2113)*100)</f>
        <v/>
      </c>
      <c r="D2113" s="10" t="n"/>
      <c r="E2113" s="10">
        <f>IF(D2113="","",MIN(D2113,100))</f>
        <v/>
      </c>
      <c r="F2113" s="10" t="n"/>
      <c r="G2113" s="10">
        <f>IF(F2113="","",MIN(F2113,100))</f>
        <v/>
      </c>
      <c r="H2113" s="11">
        <f>IF(A2113="","",Universe!E2113/BDP(A2113&amp;" US Equity","HIGH_52WEEK")*100)</f>
        <v/>
      </c>
      <c r="I2113">
        <f>IF(D2113="","",D2113&gt;=5)</f>
        <v/>
      </c>
      <c r="J2113">
        <f>IF(F2113="","",F2113&gt;=5)</f>
        <v/>
      </c>
      <c r="K2113">
        <f>IF(H2113="","",H2113&gt;=75)</f>
        <v/>
      </c>
      <c r="L2113">
        <f>IF(OR(I2113="",J2113="",K2113=""),FALSE,AND(I2113,J2113,K2113))</f>
        <v/>
      </c>
    </row>
    <row r="2114">
      <c r="A2114">
        <f>Universe!A2114</f>
        <v/>
      </c>
      <c r="B2114" s="10" t="n"/>
      <c r="C2114" s="11">
        <f>IF(B2114="","",PERCENTRANK.INC($B$2:$B$2501,B2114)*100)</f>
        <v/>
      </c>
      <c r="D2114" s="10" t="n"/>
      <c r="E2114" s="10">
        <f>IF(D2114="","",MIN(D2114,100))</f>
        <v/>
      </c>
      <c r="F2114" s="10" t="n"/>
      <c r="G2114" s="10">
        <f>IF(F2114="","",MIN(F2114,100))</f>
        <v/>
      </c>
      <c r="H2114" s="11">
        <f>IF(A2114="","",Universe!E2114/BDP(A2114&amp;" US Equity","HIGH_52WEEK")*100)</f>
        <v/>
      </c>
      <c r="I2114">
        <f>IF(D2114="","",D2114&gt;=5)</f>
        <v/>
      </c>
      <c r="J2114">
        <f>IF(F2114="","",F2114&gt;=5)</f>
        <v/>
      </c>
      <c r="K2114">
        <f>IF(H2114="","",H2114&gt;=75)</f>
        <v/>
      </c>
      <c r="L2114">
        <f>IF(OR(I2114="",J2114="",K2114=""),FALSE,AND(I2114,J2114,K2114))</f>
        <v/>
      </c>
    </row>
    <row r="2115">
      <c r="A2115">
        <f>Universe!A2115</f>
        <v/>
      </c>
      <c r="B2115" s="10" t="n"/>
      <c r="C2115" s="11">
        <f>IF(B2115="","",PERCENTRANK.INC($B$2:$B$2501,B2115)*100)</f>
        <v/>
      </c>
      <c r="D2115" s="10" t="n"/>
      <c r="E2115" s="10">
        <f>IF(D2115="","",MIN(D2115,100))</f>
        <v/>
      </c>
      <c r="F2115" s="10" t="n"/>
      <c r="G2115" s="10">
        <f>IF(F2115="","",MIN(F2115,100))</f>
        <v/>
      </c>
      <c r="H2115" s="11">
        <f>IF(A2115="","",Universe!E2115/BDP(A2115&amp;" US Equity","HIGH_52WEEK")*100)</f>
        <v/>
      </c>
      <c r="I2115">
        <f>IF(D2115="","",D2115&gt;=5)</f>
        <v/>
      </c>
      <c r="J2115">
        <f>IF(F2115="","",F2115&gt;=5)</f>
        <v/>
      </c>
      <c r="K2115">
        <f>IF(H2115="","",H2115&gt;=75)</f>
        <v/>
      </c>
      <c r="L2115">
        <f>IF(OR(I2115="",J2115="",K2115=""),FALSE,AND(I2115,J2115,K2115))</f>
        <v/>
      </c>
    </row>
    <row r="2116">
      <c r="A2116">
        <f>Universe!A2116</f>
        <v/>
      </c>
      <c r="B2116" s="10" t="n"/>
      <c r="C2116" s="11">
        <f>IF(B2116="","",PERCENTRANK.INC($B$2:$B$2501,B2116)*100)</f>
        <v/>
      </c>
      <c r="D2116" s="10" t="n"/>
      <c r="E2116" s="10">
        <f>IF(D2116="","",MIN(D2116,100))</f>
        <v/>
      </c>
      <c r="F2116" s="10" t="n"/>
      <c r="G2116" s="10">
        <f>IF(F2116="","",MIN(F2116,100))</f>
        <v/>
      </c>
      <c r="H2116" s="11">
        <f>IF(A2116="","",Universe!E2116/BDP(A2116&amp;" US Equity","HIGH_52WEEK")*100)</f>
        <v/>
      </c>
      <c r="I2116">
        <f>IF(D2116="","",D2116&gt;=5)</f>
        <v/>
      </c>
      <c r="J2116">
        <f>IF(F2116="","",F2116&gt;=5)</f>
        <v/>
      </c>
      <c r="K2116">
        <f>IF(H2116="","",H2116&gt;=75)</f>
        <v/>
      </c>
      <c r="L2116">
        <f>IF(OR(I2116="",J2116="",K2116=""),FALSE,AND(I2116,J2116,K2116))</f>
        <v/>
      </c>
    </row>
    <row r="2117">
      <c r="A2117">
        <f>Universe!A2117</f>
        <v/>
      </c>
      <c r="B2117" s="10" t="n"/>
      <c r="C2117" s="11">
        <f>IF(B2117="","",PERCENTRANK.INC($B$2:$B$2501,B2117)*100)</f>
        <v/>
      </c>
      <c r="D2117" s="10" t="n"/>
      <c r="E2117" s="10">
        <f>IF(D2117="","",MIN(D2117,100))</f>
        <v/>
      </c>
      <c r="F2117" s="10" t="n"/>
      <c r="G2117" s="10">
        <f>IF(F2117="","",MIN(F2117,100))</f>
        <v/>
      </c>
      <c r="H2117" s="11">
        <f>IF(A2117="","",Universe!E2117/BDP(A2117&amp;" US Equity","HIGH_52WEEK")*100)</f>
        <v/>
      </c>
      <c r="I2117">
        <f>IF(D2117="","",D2117&gt;=5)</f>
        <v/>
      </c>
      <c r="J2117">
        <f>IF(F2117="","",F2117&gt;=5)</f>
        <v/>
      </c>
      <c r="K2117">
        <f>IF(H2117="","",H2117&gt;=75)</f>
        <v/>
      </c>
      <c r="L2117">
        <f>IF(OR(I2117="",J2117="",K2117=""),FALSE,AND(I2117,J2117,K2117))</f>
        <v/>
      </c>
    </row>
    <row r="2118">
      <c r="A2118">
        <f>Universe!A2118</f>
        <v/>
      </c>
      <c r="B2118" s="10" t="n"/>
      <c r="C2118" s="11">
        <f>IF(B2118="","",PERCENTRANK.INC($B$2:$B$2501,B2118)*100)</f>
        <v/>
      </c>
      <c r="D2118" s="10" t="n"/>
      <c r="E2118" s="10">
        <f>IF(D2118="","",MIN(D2118,100))</f>
        <v/>
      </c>
      <c r="F2118" s="10" t="n"/>
      <c r="G2118" s="10">
        <f>IF(F2118="","",MIN(F2118,100))</f>
        <v/>
      </c>
      <c r="H2118" s="11">
        <f>IF(A2118="","",Universe!E2118/BDP(A2118&amp;" US Equity","HIGH_52WEEK")*100)</f>
        <v/>
      </c>
      <c r="I2118">
        <f>IF(D2118="","",D2118&gt;=5)</f>
        <v/>
      </c>
      <c r="J2118">
        <f>IF(F2118="","",F2118&gt;=5)</f>
        <v/>
      </c>
      <c r="K2118">
        <f>IF(H2118="","",H2118&gt;=75)</f>
        <v/>
      </c>
      <c r="L2118">
        <f>IF(OR(I2118="",J2118="",K2118=""),FALSE,AND(I2118,J2118,K2118))</f>
        <v/>
      </c>
    </row>
    <row r="2119">
      <c r="A2119">
        <f>Universe!A2119</f>
        <v/>
      </c>
      <c r="B2119" s="10" t="n"/>
      <c r="C2119" s="11">
        <f>IF(B2119="","",PERCENTRANK.INC($B$2:$B$2501,B2119)*100)</f>
        <v/>
      </c>
      <c r="D2119" s="10" t="n"/>
      <c r="E2119" s="10">
        <f>IF(D2119="","",MIN(D2119,100))</f>
        <v/>
      </c>
      <c r="F2119" s="10" t="n"/>
      <c r="G2119" s="10">
        <f>IF(F2119="","",MIN(F2119,100))</f>
        <v/>
      </c>
      <c r="H2119" s="11">
        <f>IF(A2119="","",Universe!E2119/BDP(A2119&amp;" US Equity","HIGH_52WEEK")*100)</f>
        <v/>
      </c>
      <c r="I2119">
        <f>IF(D2119="","",D2119&gt;=5)</f>
        <v/>
      </c>
      <c r="J2119">
        <f>IF(F2119="","",F2119&gt;=5)</f>
        <v/>
      </c>
      <c r="K2119">
        <f>IF(H2119="","",H2119&gt;=75)</f>
        <v/>
      </c>
      <c r="L2119">
        <f>IF(OR(I2119="",J2119="",K2119=""),FALSE,AND(I2119,J2119,K2119))</f>
        <v/>
      </c>
    </row>
    <row r="2120">
      <c r="A2120">
        <f>Universe!A2120</f>
        <v/>
      </c>
      <c r="B2120" s="10" t="n"/>
      <c r="C2120" s="11">
        <f>IF(B2120="","",PERCENTRANK.INC($B$2:$B$2501,B2120)*100)</f>
        <v/>
      </c>
      <c r="D2120" s="10" t="n"/>
      <c r="E2120" s="10">
        <f>IF(D2120="","",MIN(D2120,100))</f>
        <v/>
      </c>
      <c r="F2120" s="10" t="n"/>
      <c r="G2120" s="10">
        <f>IF(F2120="","",MIN(F2120,100))</f>
        <v/>
      </c>
      <c r="H2120" s="11">
        <f>IF(A2120="","",Universe!E2120/BDP(A2120&amp;" US Equity","HIGH_52WEEK")*100)</f>
        <v/>
      </c>
      <c r="I2120">
        <f>IF(D2120="","",D2120&gt;=5)</f>
        <v/>
      </c>
      <c r="J2120">
        <f>IF(F2120="","",F2120&gt;=5)</f>
        <v/>
      </c>
      <c r="K2120">
        <f>IF(H2120="","",H2120&gt;=75)</f>
        <v/>
      </c>
      <c r="L2120">
        <f>IF(OR(I2120="",J2120="",K2120=""),FALSE,AND(I2120,J2120,K2120))</f>
        <v/>
      </c>
    </row>
    <row r="2121">
      <c r="A2121">
        <f>Universe!A2121</f>
        <v/>
      </c>
      <c r="B2121" s="10" t="n"/>
      <c r="C2121" s="11">
        <f>IF(B2121="","",PERCENTRANK.INC($B$2:$B$2501,B2121)*100)</f>
        <v/>
      </c>
      <c r="D2121" s="10" t="n"/>
      <c r="E2121" s="10">
        <f>IF(D2121="","",MIN(D2121,100))</f>
        <v/>
      </c>
      <c r="F2121" s="10" t="n"/>
      <c r="G2121" s="10">
        <f>IF(F2121="","",MIN(F2121,100))</f>
        <v/>
      </c>
      <c r="H2121" s="11">
        <f>IF(A2121="","",Universe!E2121/BDP(A2121&amp;" US Equity","HIGH_52WEEK")*100)</f>
        <v/>
      </c>
      <c r="I2121">
        <f>IF(D2121="","",D2121&gt;=5)</f>
        <v/>
      </c>
      <c r="J2121">
        <f>IF(F2121="","",F2121&gt;=5)</f>
        <v/>
      </c>
      <c r="K2121">
        <f>IF(H2121="","",H2121&gt;=75)</f>
        <v/>
      </c>
      <c r="L2121">
        <f>IF(OR(I2121="",J2121="",K2121=""),FALSE,AND(I2121,J2121,K2121))</f>
        <v/>
      </c>
    </row>
    <row r="2122">
      <c r="A2122">
        <f>Universe!A2122</f>
        <v/>
      </c>
      <c r="B2122" s="10" t="n"/>
      <c r="C2122" s="11">
        <f>IF(B2122="","",PERCENTRANK.INC($B$2:$B$2501,B2122)*100)</f>
        <v/>
      </c>
      <c r="D2122" s="10" t="n"/>
      <c r="E2122" s="10">
        <f>IF(D2122="","",MIN(D2122,100))</f>
        <v/>
      </c>
      <c r="F2122" s="10" t="n"/>
      <c r="G2122" s="10">
        <f>IF(F2122="","",MIN(F2122,100))</f>
        <v/>
      </c>
      <c r="H2122" s="11">
        <f>IF(A2122="","",Universe!E2122/BDP(A2122&amp;" US Equity","HIGH_52WEEK")*100)</f>
        <v/>
      </c>
      <c r="I2122">
        <f>IF(D2122="","",D2122&gt;=5)</f>
        <v/>
      </c>
      <c r="J2122">
        <f>IF(F2122="","",F2122&gt;=5)</f>
        <v/>
      </c>
      <c r="K2122">
        <f>IF(H2122="","",H2122&gt;=75)</f>
        <v/>
      </c>
      <c r="L2122">
        <f>IF(OR(I2122="",J2122="",K2122=""),FALSE,AND(I2122,J2122,K2122))</f>
        <v/>
      </c>
    </row>
    <row r="2123">
      <c r="A2123">
        <f>Universe!A2123</f>
        <v/>
      </c>
      <c r="B2123" s="10" t="n"/>
      <c r="C2123" s="11">
        <f>IF(B2123="","",PERCENTRANK.INC($B$2:$B$2501,B2123)*100)</f>
        <v/>
      </c>
      <c r="D2123" s="10" t="n"/>
      <c r="E2123" s="10">
        <f>IF(D2123="","",MIN(D2123,100))</f>
        <v/>
      </c>
      <c r="F2123" s="10" t="n"/>
      <c r="G2123" s="10">
        <f>IF(F2123="","",MIN(F2123,100))</f>
        <v/>
      </c>
      <c r="H2123" s="11">
        <f>IF(A2123="","",Universe!E2123/BDP(A2123&amp;" US Equity","HIGH_52WEEK")*100)</f>
        <v/>
      </c>
      <c r="I2123">
        <f>IF(D2123="","",D2123&gt;=5)</f>
        <v/>
      </c>
      <c r="J2123">
        <f>IF(F2123="","",F2123&gt;=5)</f>
        <v/>
      </c>
      <c r="K2123">
        <f>IF(H2123="","",H2123&gt;=75)</f>
        <v/>
      </c>
      <c r="L2123">
        <f>IF(OR(I2123="",J2123="",K2123=""),FALSE,AND(I2123,J2123,K2123))</f>
        <v/>
      </c>
    </row>
    <row r="2124">
      <c r="A2124">
        <f>Universe!A2124</f>
        <v/>
      </c>
      <c r="B2124" s="10" t="n"/>
      <c r="C2124" s="11">
        <f>IF(B2124="","",PERCENTRANK.INC($B$2:$B$2501,B2124)*100)</f>
        <v/>
      </c>
      <c r="D2124" s="10" t="n"/>
      <c r="E2124" s="10">
        <f>IF(D2124="","",MIN(D2124,100))</f>
        <v/>
      </c>
      <c r="F2124" s="10" t="n"/>
      <c r="G2124" s="10">
        <f>IF(F2124="","",MIN(F2124,100))</f>
        <v/>
      </c>
      <c r="H2124" s="11">
        <f>IF(A2124="","",Universe!E2124/BDP(A2124&amp;" US Equity","HIGH_52WEEK")*100)</f>
        <v/>
      </c>
      <c r="I2124">
        <f>IF(D2124="","",D2124&gt;=5)</f>
        <v/>
      </c>
      <c r="J2124">
        <f>IF(F2124="","",F2124&gt;=5)</f>
        <v/>
      </c>
      <c r="K2124">
        <f>IF(H2124="","",H2124&gt;=75)</f>
        <v/>
      </c>
      <c r="L2124">
        <f>IF(OR(I2124="",J2124="",K2124=""),FALSE,AND(I2124,J2124,K2124))</f>
        <v/>
      </c>
    </row>
    <row r="2125">
      <c r="A2125">
        <f>Universe!A2125</f>
        <v/>
      </c>
      <c r="B2125" s="10" t="n"/>
      <c r="C2125" s="11">
        <f>IF(B2125="","",PERCENTRANK.INC($B$2:$B$2501,B2125)*100)</f>
        <v/>
      </c>
      <c r="D2125" s="10" t="n"/>
      <c r="E2125" s="10">
        <f>IF(D2125="","",MIN(D2125,100))</f>
        <v/>
      </c>
      <c r="F2125" s="10" t="n"/>
      <c r="G2125" s="10">
        <f>IF(F2125="","",MIN(F2125,100))</f>
        <v/>
      </c>
      <c r="H2125" s="11">
        <f>IF(A2125="","",Universe!E2125/BDP(A2125&amp;" US Equity","HIGH_52WEEK")*100)</f>
        <v/>
      </c>
      <c r="I2125">
        <f>IF(D2125="","",D2125&gt;=5)</f>
        <v/>
      </c>
      <c r="J2125">
        <f>IF(F2125="","",F2125&gt;=5)</f>
        <v/>
      </c>
      <c r="K2125">
        <f>IF(H2125="","",H2125&gt;=75)</f>
        <v/>
      </c>
      <c r="L2125">
        <f>IF(OR(I2125="",J2125="",K2125=""),FALSE,AND(I2125,J2125,K2125))</f>
        <v/>
      </c>
    </row>
    <row r="2126">
      <c r="A2126">
        <f>Universe!A2126</f>
        <v/>
      </c>
      <c r="B2126" s="10" t="n"/>
      <c r="C2126" s="11">
        <f>IF(B2126="","",PERCENTRANK.INC($B$2:$B$2501,B2126)*100)</f>
        <v/>
      </c>
      <c r="D2126" s="10" t="n"/>
      <c r="E2126" s="10">
        <f>IF(D2126="","",MIN(D2126,100))</f>
        <v/>
      </c>
      <c r="F2126" s="10" t="n"/>
      <c r="G2126" s="10">
        <f>IF(F2126="","",MIN(F2126,100))</f>
        <v/>
      </c>
      <c r="H2126" s="11">
        <f>IF(A2126="","",Universe!E2126/BDP(A2126&amp;" US Equity","HIGH_52WEEK")*100)</f>
        <v/>
      </c>
      <c r="I2126">
        <f>IF(D2126="","",D2126&gt;=5)</f>
        <v/>
      </c>
      <c r="J2126">
        <f>IF(F2126="","",F2126&gt;=5)</f>
        <v/>
      </c>
      <c r="K2126">
        <f>IF(H2126="","",H2126&gt;=75)</f>
        <v/>
      </c>
      <c r="L2126">
        <f>IF(OR(I2126="",J2126="",K2126=""),FALSE,AND(I2126,J2126,K2126))</f>
        <v/>
      </c>
    </row>
    <row r="2127">
      <c r="A2127">
        <f>Universe!A2127</f>
        <v/>
      </c>
      <c r="B2127" s="10" t="n"/>
      <c r="C2127" s="11">
        <f>IF(B2127="","",PERCENTRANK.INC($B$2:$B$2501,B2127)*100)</f>
        <v/>
      </c>
      <c r="D2127" s="10" t="n"/>
      <c r="E2127" s="10">
        <f>IF(D2127="","",MIN(D2127,100))</f>
        <v/>
      </c>
      <c r="F2127" s="10" t="n"/>
      <c r="G2127" s="10">
        <f>IF(F2127="","",MIN(F2127,100))</f>
        <v/>
      </c>
      <c r="H2127" s="11">
        <f>IF(A2127="","",Universe!E2127/BDP(A2127&amp;" US Equity","HIGH_52WEEK")*100)</f>
        <v/>
      </c>
      <c r="I2127">
        <f>IF(D2127="","",D2127&gt;=5)</f>
        <v/>
      </c>
      <c r="J2127">
        <f>IF(F2127="","",F2127&gt;=5)</f>
        <v/>
      </c>
      <c r="K2127">
        <f>IF(H2127="","",H2127&gt;=75)</f>
        <v/>
      </c>
      <c r="L2127">
        <f>IF(OR(I2127="",J2127="",K2127=""),FALSE,AND(I2127,J2127,K2127))</f>
        <v/>
      </c>
    </row>
    <row r="2128">
      <c r="A2128">
        <f>Universe!A2128</f>
        <v/>
      </c>
      <c r="B2128" s="10" t="n"/>
      <c r="C2128" s="11">
        <f>IF(B2128="","",PERCENTRANK.INC($B$2:$B$2501,B2128)*100)</f>
        <v/>
      </c>
      <c r="D2128" s="10" t="n"/>
      <c r="E2128" s="10">
        <f>IF(D2128="","",MIN(D2128,100))</f>
        <v/>
      </c>
      <c r="F2128" s="10" t="n"/>
      <c r="G2128" s="10">
        <f>IF(F2128="","",MIN(F2128,100))</f>
        <v/>
      </c>
      <c r="H2128" s="11">
        <f>IF(A2128="","",Universe!E2128/BDP(A2128&amp;" US Equity","HIGH_52WEEK")*100)</f>
        <v/>
      </c>
      <c r="I2128">
        <f>IF(D2128="","",D2128&gt;=5)</f>
        <v/>
      </c>
      <c r="J2128">
        <f>IF(F2128="","",F2128&gt;=5)</f>
        <v/>
      </c>
      <c r="K2128">
        <f>IF(H2128="","",H2128&gt;=75)</f>
        <v/>
      </c>
      <c r="L2128">
        <f>IF(OR(I2128="",J2128="",K2128=""),FALSE,AND(I2128,J2128,K2128))</f>
        <v/>
      </c>
    </row>
    <row r="2129">
      <c r="A2129">
        <f>Universe!A2129</f>
        <v/>
      </c>
      <c r="B2129" s="10" t="n"/>
      <c r="C2129" s="11">
        <f>IF(B2129="","",PERCENTRANK.INC($B$2:$B$2501,B2129)*100)</f>
        <v/>
      </c>
      <c r="D2129" s="10" t="n"/>
      <c r="E2129" s="10">
        <f>IF(D2129="","",MIN(D2129,100))</f>
        <v/>
      </c>
      <c r="F2129" s="10" t="n"/>
      <c r="G2129" s="10">
        <f>IF(F2129="","",MIN(F2129,100))</f>
        <v/>
      </c>
      <c r="H2129" s="11">
        <f>IF(A2129="","",Universe!E2129/BDP(A2129&amp;" US Equity","HIGH_52WEEK")*100)</f>
        <v/>
      </c>
      <c r="I2129">
        <f>IF(D2129="","",D2129&gt;=5)</f>
        <v/>
      </c>
      <c r="J2129">
        <f>IF(F2129="","",F2129&gt;=5)</f>
        <v/>
      </c>
      <c r="K2129">
        <f>IF(H2129="","",H2129&gt;=75)</f>
        <v/>
      </c>
      <c r="L2129">
        <f>IF(OR(I2129="",J2129="",K2129=""),FALSE,AND(I2129,J2129,K2129))</f>
        <v/>
      </c>
    </row>
    <row r="2130">
      <c r="A2130">
        <f>Universe!A2130</f>
        <v/>
      </c>
      <c r="B2130" s="10" t="n"/>
      <c r="C2130" s="11">
        <f>IF(B2130="","",PERCENTRANK.INC($B$2:$B$2501,B2130)*100)</f>
        <v/>
      </c>
      <c r="D2130" s="10" t="n"/>
      <c r="E2130" s="10">
        <f>IF(D2130="","",MIN(D2130,100))</f>
        <v/>
      </c>
      <c r="F2130" s="10" t="n"/>
      <c r="G2130" s="10">
        <f>IF(F2130="","",MIN(F2130,100))</f>
        <v/>
      </c>
      <c r="H2130" s="11">
        <f>IF(A2130="","",Universe!E2130/BDP(A2130&amp;" US Equity","HIGH_52WEEK")*100)</f>
        <v/>
      </c>
      <c r="I2130">
        <f>IF(D2130="","",D2130&gt;=5)</f>
        <v/>
      </c>
      <c r="J2130">
        <f>IF(F2130="","",F2130&gt;=5)</f>
        <v/>
      </c>
      <c r="K2130">
        <f>IF(H2130="","",H2130&gt;=75)</f>
        <v/>
      </c>
      <c r="L2130">
        <f>IF(OR(I2130="",J2130="",K2130=""),FALSE,AND(I2130,J2130,K2130))</f>
        <v/>
      </c>
    </row>
    <row r="2131">
      <c r="A2131">
        <f>Universe!A2131</f>
        <v/>
      </c>
      <c r="B2131" s="10" t="n"/>
      <c r="C2131" s="11">
        <f>IF(B2131="","",PERCENTRANK.INC($B$2:$B$2501,B2131)*100)</f>
        <v/>
      </c>
      <c r="D2131" s="10" t="n"/>
      <c r="E2131" s="10">
        <f>IF(D2131="","",MIN(D2131,100))</f>
        <v/>
      </c>
      <c r="F2131" s="10" t="n"/>
      <c r="G2131" s="10">
        <f>IF(F2131="","",MIN(F2131,100))</f>
        <v/>
      </c>
      <c r="H2131" s="11">
        <f>IF(A2131="","",Universe!E2131/BDP(A2131&amp;" US Equity","HIGH_52WEEK")*100)</f>
        <v/>
      </c>
      <c r="I2131">
        <f>IF(D2131="","",D2131&gt;=5)</f>
        <v/>
      </c>
      <c r="J2131">
        <f>IF(F2131="","",F2131&gt;=5)</f>
        <v/>
      </c>
      <c r="K2131">
        <f>IF(H2131="","",H2131&gt;=75)</f>
        <v/>
      </c>
      <c r="L2131">
        <f>IF(OR(I2131="",J2131="",K2131=""),FALSE,AND(I2131,J2131,K2131))</f>
        <v/>
      </c>
    </row>
    <row r="2132">
      <c r="A2132">
        <f>Universe!A2132</f>
        <v/>
      </c>
      <c r="B2132" s="10" t="n"/>
      <c r="C2132" s="11">
        <f>IF(B2132="","",PERCENTRANK.INC($B$2:$B$2501,B2132)*100)</f>
        <v/>
      </c>
      <c r="D2132" s="10" t="n"/>
      <c r="E2132" s="10">
        <f>IF(D2132="","",MIN(D2132,100))</f>
        <v/>
      </c>
      <c r="F2132" s="10" t="n"/>
      <c r="G2132" s="10">
        <f>IF(F2132="","",MIN(F2132,100))</f>
        <v/>
      </c>
      <c r="H2132" s="11">
        <f>IF(A2132="","",Universe!E2132/BDP(A2132&amp;" US Equity","HIGH_52WEEK")*100)</f>
        <v/>
      </c>
      <c r="I2132">
        <f>IF(D2132="","",D2132&gt;=5)</f>
        <v/>
      </c>
      <c r="J2132">
        <f>IF(F2132="","",F2132&gt;=5)</f>
        <v/>
      </c>
      <c r="K2132">
        <f>IF(H2132="","",H2132&gt;=75)</f>
        <v/>
      </c>
      <c r="L2132">
        <f>IF(OR(I2132="",J2132="",K2132=""),FALSE,AND(I2132,J2132,K2132))</f>
        <v/>
      </c>
    </row>
    <row r="2133">
      <c r="A2133">
        <f>Universe!A2133</f>
        <v/>
      </c>
      <c r="B2133" s="10" t="n"/>
      <c r="C2133" s="11">
        <f>IF(B2133="","",PERCENTRANK.INC($B$2:$B$2501,B2133)*100)</f>
        <v/>
      </c>
      <c r="D2133" s="10" t="n"/>
      <c r="E2133" s="10">
        <f>IF(D2133="","",MIN(D2133,100))</f>
        <v/>
      </c>
      <c r="F2133" s="10" t="n"/>
      <c r="G2133" s="10">
        <f>IF(F2133="","",MIN(F2133,100))</f>
        <v/>
      </c>
      <c r="H2133" s="11">
        <f>IF(A2133="","",Universe!E2133/BDP(A2133&amp;" US Equity","HIGH_52WEEK")*100)</f>
        <v/>
      </c>
      <c r="I2133">
        <f>IF(D2133="","",D2133&gt;=5)</f>
        <v/>
      </c>
      <c r="J2133">
        <f>IF(F2133="","",F2133&gt;=5)</f>
        <v/>
      </c>
      <c r="K2133">
        <f>IF(H2133="","",H2133&gt;=75)</f>
        <v/>
      </c>
      <c r="L2133">
        <f>IF(OR(I2133="",J2133="",K2133=""),FALSE,AND(I2133,J2133,K2133))</f>
        <v/>
      </c>
    </row>
    <row r="2134">
      <c r="A2134">
        <f>Universe!A2134</f>
        <v/>
      </c>
      <c r="B2134" s="10" t="n"/>
      <c r="C2134" s="11">
        <f>IF(B2134="","",PERCENTRANK.INC($B$2:$B$2501,B2134)*100)</f>
        <v/>
      </c>
      <c r="D2134" s="10" t="n"/>
      <c r="E2134" s="10">
        <f>IF(D2134="","",MIN(D2134,100))</f>
        <v/>
      </c>
      <c r="F2134" s="10" t="n"/>
      <c r="G2134" s="10">
        <f>IF(F2134="","",MIN(F2134,100))</f>
        <v/>
      </c>
      <c r="H2134" s="11">
        <f>IF(A2134="","",Universe!E2134/BDP(A2134&amp;" US Equity","HIGH_52WEEK")*100)</f>
        <v/>
      </c>
      <c r="I2134">
        <f>IF(D2134="","",D2134&gt;=5)</f>
        <v/>
      </c>
      <c r="J2134">
        <f>IF(F2134="","",F2134&gt;=5)</f>
        <v/>
      </c>
      <c r="K2134">
        <f>IF(H2134="","",H2134&gt;=75)</f>
        <v/>
      </c>
      <c r="L2134">
        <f>IF(OR(I2134="",J2134="",K2134=""),FALSE,AND(I2134,J2134,K2134))</f>
        <v/>
      </c>
    </row>
    <row r="2135">
      <c r="A2135">
        <f>Universe!A2135</f>
        <v/>
      </c>
      <c r="B2135" s="10" t="n"/>
      <c r="C2135" s="11">
        <f>IF(B2135="","",PERCENTRANK.INC($B$2:$B$2501,B2135)*100)</f>
        <v/>
      </c>
      <c r="D2135" s="10" t="n"/>
      <c r="E2135" s="10">
        <f>IF(D2135="","",MIN(D2135,100))</f>
        <v/>
      </c>
      <c r="F2135" s="10" t="n"/>
      <c r="G2135" s="10">
        <f>IF(F2135="","",MIN(F2135,100))</f>
        <v/>
      </c>
      <c r="H2135" s="11">
        <f>IF(A2135="","",Universe!E2135/BDP(A2135&amp;" US Equity","HIGH_52WEEK")*100)</f>
        <v/>
      </c>
      <c r="I2135">
        <f>IF(D2135="","",D2135&gt;=5)</f>
        <v/>
      </c>
      <c r="J2135">
        <f>IF(F2135="","",F2135&gt;=5)</f>
        <v/>
      </c>
      <c r="K2135">
        <f>IF(H2135="","",H2135&gt;=75)</f>
        <v/>
      </c>
      <c r="L2135">
        <f>IF(OR(I2135="",J2135="",K2135=""),FALSE,AND(I2135,J2135,K2135))</f>
        <v/>
      </c>
    </row>
    <row r="2136">
      <c r="A2136">
        <f>Universe!A2136</f>
        <v/>
      </c>
      <c r="B2136" s="10" t="n"/>
      <c r="C2136" s="11">
        <f>IF(B2136="","",PERCENTRANK.INC($B$2:$B$2501,B2136)*100)</f>
        <v/>
      </c>
      <c r="D2136" s="10" t="n"/>
      <c r="E2136" s="10">
        <f>IF(D2136="","",MIN(D2136,100))</f>
        <v/>
      </c>
      <c r="F2136" s="10" t="n"/>
      <c r="G2136" s="10">
        <f>IF(F2136="","",MIN(F2136,100))</f>
        <v/>
      </c>
      <c r="H2136" s="11">
        <f>IF(A2136="","",Universe!E2136/BDP(A2136&amp;" US Equity","HIGH_52WEEK")*100)</f>
        <v/>
      </c>
      <c r="I2136">
        <f>IF(D2136="","",D2136&gt;=5)</f>
        <v/>
      </c>
      <c r="J2136">
        <f>IF(F2136="","",F2136&gt;=5)</f>
        <v/>
      </c>
      <c r="K2136">
        <f>IF(H2136="","",H2136&gt;=75)</f>
        <v/>
      </c>
      <c r="L2136">
        <f>IF(OR(I2136="",J2136="",K2136=""),FALSE,AND(I2136,J2136,K2136))</f>
        <v/>
      </c>
    </row>
    <row r="2137">
      <c r="A2137">
        <f>Universe!A2137</f>
        <v/>
      </c>
      <c r="B2137" s="10" t="n"/>
      <c r="C2137" s="11">
        <f>IF(B2137="","",PERCENTRANK.INC($B$2:$B$2501,B2137)*100)</f>
        <v/>
      </c>
      <c r="D2137" s="10" t="n"/>
      <c r="E2137" s="10">
        <f>IF(D2137="","",MIN(D2137,100))</f>
        <v/>
      </c>
      <c r="F2137" s="10" t="n"/>
      <c r="G2137" s="10">
        <f>IF(F2137="","",MIN(F2137,100))</f>
        <v/>
      </c>
      <c r="H2137" s="11">
        <f>IF(A2137="","",Universe!E2137/BDP(A2137&amp;" US Equity","HIGH_52WEEK")*100)</f>
        <v/>
      </c>
      <c r="I2137">
        <f>IF(D2137="","",D2137&gt;=5)</f>
        <v/>
      </c>
      <c r="J2137">
        <f>IF(F2137="","",F2137&gt;=5)</f>
        <v/>
      </c>
      <c r="K2137">
        <f>IF(H2137="","",H2137&gt;=75)</f>
        <v/>
      </c>
      <c r="L2137">
        <f>IF(OR(I2137="",J2137="",K2137=""),FALSE,AND(I2137,J2137,K2137))</f>
        <v/>
      </c>
    </row>
    <row r="2138">
      <c r="A2138">
        <f>Universe!A2138</f>
        <v/>
      </c>
      <c r="B2138" s="10" t="n"/>
      <c r="C2138" s="11">
        <f>IF(B2138="","",PERCENTRANK.INC($B$2:$B$2501,B2138)*100)</f>
        <v/>
      </c>
      <c r="D2138" s="10" t="n"/>
      <c r="E2138" s="10">
        <f>IF(D2138="","",MIN(D2138,100))</f>
        <v/>
      </c>
      <c r="F2138" s="10" t="n"/>
      <c r="G2138" s="10">
        <f>IF(F2138="","",MIN(F2138,100))</f>
        <v/>
      </c>
      <c r="H2138" s="11">
        <f>IF(A2138="","",Universe!E2138/BDP(A2138&amp;" US Equity","HIGH_52WEEK")*100)</f>
        <v/>
      </c>
      <c r="I2138">
        <f>IF(D2138="","",D2138&gt;=5)</f>
        <v/>
      </c>
      <c r="J2138">
        <f>IF(F2138="","",F2138&gt;=5)</f>
        <v/>
      </c>
      <c r="K2138">
        <f>IF(H2138="","",H2138&gt;=75)</f>
        <v/>
      </c>
      <c r="L2138">
        <f>IF(OR(I2138="",J2138="",K2138=""),FALSE,AND(I2138,J2138,K2138))</f>
        <v/>
      </c>
    </row>
    <row r="2139">
      <c r="A2139">
        <f>Universe!A2139</f>
        <v/>
      </c>
      <c r="B2139" s="10" t="n"/>
      <c r="C2139" s="11">
        <f>IF(B2139="","",PERCENTRANK.INC($B$2:$B$2501,B2139)*100)</f>
        <v/>
      </c>
      <c r="D2139" s="10" t="n"/>
      <c r="E2139" s="10">
        <f>IF(D2139="","",MIN(D2139,100))</f>
        <v/>
      </c>
      <c r="F2139" s="10" t="n"/>
      <c r="G2139" s="10">
        <f>IF(F2139="","",MIN(F2139,100))</f>
        <v/>
      </c>
      <c r="H2139" s="11">
        <f>IF(A2139="","",Universe!E2139/BDP(A2139&amp;" US Equity","HIGH_52WEEK")*100)</f>
        <v/>
      </c>
      <c r="I2139">
        <f>IF(D2139="","",D2139&gt;=5)</f>
        <v/>
      </c>
      <c r="J2139">
        <f>IF(F2139="","",F2139&gt;=5)</f>
        <v/>
      </c>
      <c r="K2139">
        <f>IF(H2139="","",H2139&gt;=75)</f>
        <v/>
      </c>
      <c r="L2139">
        <f>IF(OR(I2139="",J2139="",K2139=""),FALSE,AND(I2139,J2139,K2139))</f>
        <v/>
      </c>
    </row>
    <row r="2140">
      <c r="A2140">
        <f>Universe!A2140</f>
        <v/>
      </c>
      <c r="B2140" s="10" t="n"/>
      <c r="C2140" s="11">
        <f>IF(B2140="","",PERCENTRANK.INC($B$2:$B$2501,B2140)*100)</f>
        <v/>
      </c>
      <c r="D2140" s="10" t="n"/>
      <c r="E2140" s="10">
        <f>IF(D2140="","",MIN(D2140,100))</f>
        <v/>
      </c>
      <c r="F2140" s="10" t="n"/>
      <c r="G2140" s="10">
        <f>IF(F2140="","",MIN(F2140,100))</f>
        <v/>
      </c>
      <c r="H2140" s="11">
        <f>IF(A2140="","",Universe!E2140/BDP(A2140&amp;" US Equity","HIGH_52WEEK")*100)</f>
        <v/>
      </c>
      <c r="I2140">
        <f>IF(D2140="","",D2140&gt;=5)</f>
        <v/>
      </c>
      <c r="J2140">
        <f>IF(F2140="","",F2140&gt;=5)</f>
        <v/>
      </c>
      <c r="K2140">
        <f>IF(H2140="","",H2140&gt;=75)</f>
        <v/>
      </c>
      <c r="L2140">
        <f>IF(OR(I2140="",J2140="",K2140=""),FALSE,AND(I2140,J2140,K2140))</f>
        <v/>
      </c>
    </row>
    <row r="2141">
      <c r="A2141">
        <f>Universe!A2141</f>
        <v/>
      </c>
      <c r="B2141" s="10" t="n"/>
      <c r="C2141" s="11">
        <f>IF(B2141="","",PERCENTRANK.INC($B$2:$B$2501,B2141)*100)</f>
        <v/>
      </c>
      <c r="D2141" s="10" t="n"/>
      <c r="E2141" s="10">
        <f>IF(D2141="","",MIN(D2141,100))</f>
        <v/>
      </c>
      <c r="F2141" s="10" t="n"/>
      <c r="G2141" s="10">
        <f>IF(F2141="","",MIN(F2141,100))</f>
        <v/>
      </c>
      <c r="H2141" s="11">
        <f>IF(A2141="","",Universe!E2141/BDP(A2141&amp;" US Equity","HIGH_52WEEK")*100)</f>
        <v/>
      </c>
      <c r="I2141">
        <f>IF(D2141="","",D2141&gt;=5)</f>
        <v/>
      </c>
      <c r="J2141">
        <f>IF(F2141="","",F2141&gt;=5)</f>
        <v/>
      </c>
      <c r="K2141">
        <f>IF(H2141="","",H2141&gt;=75)</f>
        <v/>
      </c>
      <c r="L2141">
        <f>IF(OR(I2141="",J2141="",K2141=""),FALSE,AND(I2141,J2141,K2141))</f>
        <v/>
      </c>
    </row>
    <row r="2142">
      <c r="A2142">
        <f>Universe!A2142</f>
        <v/>
      </c>
      <c r="B2142" s="10" t="n"/>
      <c r="C2142" s="11">
        <f>IF(B2142="","",PERCENTRANK.INC($B$2:$B$2501,B2142)*100)</f>
        <v/>
      </c>
      <c r="D2142" s="10" t="n"/>
      <c r="E2142" s="10">
        <f>IF(D2142="","",MIN(D2142,100))</f>
        <v/>
      </c>
      <c r="F2142" s="10" t="n"/>
      <c r="G2142" s="10">
        <f>IF(F2142="","",MIN(F2142,100))</f>
        <v/>
      </c>
      <c r="H2142" s="11">
        <f>IF(A2142="","",Universe!E2142/BDP(A2142&amp;" US Equity","HIGH_52WEEK")*100)</f>
        <v/>
      </c>
      <c r="I2142">
        <f>IF(D2142="","",D2142&gt;=5)</f>
        <v/>
      </c>
      <c r="J2142">
        <f>IF(F2142="","",F2142&gt;=5)</f>
        <v/>
      </c>
      <c r="K2142">
        <f>IF(H2142="","",H2142&gt;=75)</f>
        <v/>
      </c>
      <c r="L2142">
        <f>IF(OR(I2142="",J2142="",K2142=""),FALSE,AND(I2142,J2142,K2142))</f>
        <v/>
      </c>
    </row>
    <row r="2143">
      <c r="A2143">
        <f>Universe!A2143</f>
        <v/>
      </c>
      <c r="B2143" s="10" t="n"/>
      <c r="C2143" s="11">
        <f>IF(B2143="","",PERCENTRANK.INC($B$2:$B$2501,B2143)*100)</f>
        <v/>
      </c>
      <c r="D2143" s="10" t="n"/>
      <c r="E2143" s="10">
        <f>IF(D2143="","",MIN(D2143,100))</f>
        <v/>
      </c>
      <c r="F2143" s="10" t="n"/>
      <c r="G2143" s="10">
        <f>IF(F2143="","",MIN(F2143,100))</f>
        <v/>
      </c>
      <c r="H2143" s="11">
        <f>IF(A2143="","",Universe!E2143/BDP(A2143&amp;" US Equity","HIGH_52WEEK")*100)</f>
        <v/>
      </c>
      <c r="I2143">
        <f>IF(D2143="","",D2143&gt;=5)</f>
        <v/>
      </c>
      <c r="J2143">
        <f>IF(F2143="","",F2143&gt;=5)</f>
        <v/>
      </c>
      <c r="K2143">
        <f>IF(H2143="","",H2143&gt;=75)</f>
        <v/>
      </c>
      <c r="L2143">
        <f>IF(OR(I2143="",J2143="",K2143=""),FALSE,AND(I2143,J2143,K2143))</f>
        <v/>
      </c>
    </row>
    <row r="2144">
      <c r="A2144">
        <f>Universe!A2144</f>
        <v/>
      </c>
      <c r="B2144" s="10" t="n"/>
      <c r="C2144" s="11">
        <f>IF(B2144="","",PERCENTRANK.INC($B$2:$B$2501,B2144)*100)</f>
        <v/>
      </c>
      <c r="D2144" s="10" t="n"/>
      <c r="E2144" s="10">
        <f>IF(D2144="","",MIN(D2144,100))</f>
        <v/>
      </c>
      <c r="F2144" s="10" t="n"/>
      <c r="G2144" s="10">
        <f>IF(F2144="","",MIN(F2144,100))</f>
        <v/>
      </c>
      <c r="H2144" s="11">
        <f>IF(A2144="","",Universe!E2144/BDP(A2144&amp;" US Equity","HIGH_52WEEK")*100)</f>
        <v/>
      </c>
      <c r="I2144">
        <f>IF(D2144="","",D2144&gt;=5)</f>
        <v/>
      </c>
      <c r="J2144">
        <f>IF(F2144="","",F2144&gt;=5)</f>
        <v/>
      </c>
      <c r="K2144">
        <f>IF(H2144="","",H2144&gt;=75)</f>
        <v/>
      </c>
      <c r="L2144">
        <f>IF(OR(I2144="",J2144="",K2144=""),FALSE,AND(I2144,J2144,K2144))</f>
        <v/>
      </c>
    </row>
    <row r="2145">
      <c r="A2145">
        <f>Universe!A2145</f>
        <v/>
      </c>
      <c r="B2145" s="10" t="n"/>
      <c r="C2145" s="11">
        <f>IF(B2145="","",PERCENTRANK.INC($B$2:$B$2501,B2145)*100)</f>
        <v/>
      </c>
      <c r="D2145" s="10" t="n"/>
      <c r="E2145" s="10">
        <f>IF(D2145="","",MIN(D2145,100))</f>
        <v/>
      </c>
      <c r="F2145" s="10" t="n"/>
      <c r="G2145" s="10">
        <f>IF(F2145="","",MIN(F2145,100))</f>
        <v/>
      </c>
      <c r="H2145" s="11">
        <f>IF(A2145="","",Universe!E2145/BDP(A2145&amp;" US Equity","HIGH_52WEEK")*100)</f>
        <v/>
      </c>
      <c r="I2145">
        <f>IF(D2145="","",D2145&gt;=5)</f>
        <v/>
      </c>
      <c r="J2145">
        <f>IF(F2145="","",F2145&gt;=5)</f>
        <v/>
      </c>
      <c r="K2145">
        <f>IF(H2145="","",H2145&gt;=75)</f>
        <v/>
      </c>
      <c r="L2145">
        <f>IF(OR(I2145="",J2145="",K2145=""),FALSE,AND(I2145,J2145,K2145))</f>
        <v/>
      </c>
    </row>
    <row r="2146">
      <c r="A2146">
        <f>Universe!A2146</f>
        <v/>
      </c>
      <c r="B2146" s="10" t="n"/>
      <c r="C2146" s="11">
        <f>IF(B2146="","",PERCENTRANK.INC($B$2:$B$2501,B2146)*100)</f>
        <v/>
      </c>
      <c r="D2146" s="10" t="n"/>
      <c r="E2146" s="10">
        <f>IF(D2146="","",MIN(D2146,100))</f>
        <v/>
      </c>
      <c r="F2146" s="10" t="n"/>
      <c r="G2146" s="10">
        <f>IF(F2146="","",MIN(F2146,100))</f>
        <v/>
      </c>
      <c r="H2146" s="11">
        <f>IF(A2146="","",Universe!E2146/BDP(A2146&amp;" US Equity","HIGH_52WEEK")*100)</f>
        <v/>
      </c>
      <c r="I2146">
        <f>IF(D2146="","",D2146&gt;=5)</f>
        <v/>
      </c>
      <c r="J2146">
        <f>IF(F2146="","",F2146&gt;=5)</f>
        <v/>
      </c>
      <c r="K2146">
        <f>IF(H2146="","",H2146&gt;=75)</f>
        <v/>
      </c>
      <c r="L2146">
        <f>IF(OR(I2146="",J2146="",K2146=""),FALSE,AND(I2146,J2146,K2146))</f>
        <v/>
      </c>
    </row>
    <row r="2147">
      <c r="A2147">
        <f>Universe!A2147</f>
        <v/>
      </c>
      <c r="B2147" s="10" t="n"/>
      <c r="C2147" s="11">
        <f>IF(B2147="","",PERCENTRANK.INC($B$2:$B$2501,B2147)*100)</f>
        <v/>
      </c>
      <c r="D2147" s="10" t="n"/>
      <c r="E2147" s="10">
        <f>IF(D2147="","",MIN(D2147,100))</f>
        <v/>
      </c>
      <c r="F2147" s="10" t="n"/>
      <c r="G2147" s="10">
        <f>IF(F2147="","",MIN(F2147,100))</f>
        <v/>
      </c>
      <c r="H2147" s="11">
        <f>IF(A2147="","",Universe!E2147/BDP(A2147&amp;" US Equity","HIGH_52WEEK")*100)</f>
        <v/>
      </c>
      <c r="I2147">
        <f>IF(D2147="","",D2147&gt;=5)</f>
        <v/>
      </c>
      <c r="J2147">
        <f>IF(F2147="","",F2147&gt;=5)</f>
        <v/>
      </c>
      <c r="K2147">
        <f>IF(H2147="","",H2147&gt;=75)</f>
        <v/>
      </c>
      <c r="L2147">
        <f>IF(OR(I2147="",J2147="",K2147=""),FALSE,AND(I2147,J2147,K2147))</f>
        <v/>
      </c>
    </row>
    <row r="2148">
      <c r="A2148">
        <f>Universe!A2148</f>
        <v/>
      </c>
      <c r="B2148" s="10" t="n"/>
      <c r="C2148" s="11">
        <f>IF(B2148="","",PERCENTRANK.INC($B$2:$B$2501,B2148)*100)</f>
        <v/>
      </c>
      <c r="D2148" s="10" t="n"/>
      <c r="E2148" s="10">
        <f>IF(D2148="","",MIN(D2148,100))</f>
        <v/>
      </c>
      <c r="F2148" s="10" t="n"/>
      <c r="G2148" s="10">
        <f>IF(F2148="","",MIN(F2148,100))</f>
        <v/>
      </c>
      <c r="H2148" s="11">
        <f>IF(A2148="","",Universe!E2148/BDP(A2148&amp;" US Equity","HIGH_52WEEK")*100)</f>
        <v/>
      </c>
      <c r="I2148">
        <f>IF(D2148="","",D2148&gt;=5)</f>
        <v/>
      </c>
      <c r="J2148">
        <f>IF(F2148="","",F2148&gt;=5)</f>
        <v/>
      </c>
      <c r="K2148">
        <f>IF(H2148="","",H2148&gt;=75)</f>
        <v/>
      </c>
      <c r="L2148">
        <f>IF(OR(I2148="",J2148="",K2148=""),FALSE,AND(I2148,J2148,K2148))</f>
        <v/>
      </c>
    </row>
    <row r="2149">
      <c r="A2149">
        <f>Universe!A2149</f>
        <v/>
      </c>
      <c r="B2149" s="10" t="n"/>
      <c r="C2149" s="11">
        <f>IF(B2149="","",PERCENTRANK.INC($B$2:$B$2501,B2149)*100)</f>
        <v/>
      </c>
      <c r="D2149" s="10" t="n"/>
      <c r="E2149" s="10">
        <f>IF(D2149="","",MIN(D2149,100))</f>
        <v/>
      </c>
      <c r="F2149" s="10" t="n"/>
      <c r="G2149" s="10">
        <f>IF(F2149="","",MIN(F2149,100))</f>
        <v/>
      </c>
      <c r="H2149" s="11">
        <f>IF(A2149="","",Universe!E2149/BDP(A2149&amp;" US Equity","HIGH_52WEEK")*100)</f>
        <v/>
      </c>
      <c r="I2149">
        <f>IF(D2149="","",D2149&gt;=5)</f>
        <v/>
      </c>
      <c r="J2149">
        <f>IF(F2149="","",F2149&gt;=5)</f>
        <v/>
      </c>
      <c r="K2149">
        <f>IF(H2149="","",H2149&gt;=75)</f>
        <v/>
      </c>
      <c r="L2149">
        <f>IF(OR(I2149="",J2149="",K2149=""),FALSE,AND(I2149,J2149,K2149))</f>
        <v/>
      </c>
    </row>
    <row r="2150">
      <c r="A2150">
        <f>Universe!A2150</f>
        <v/>
      </c>
      <c r="B2150" s="10" t="n"/>
      <c r="C2150" s="11">
        <f>IF(B2150="","",PERCENTRANK.INC($B$2:$B$2501,B2150)*100)</f>
        <v/>
      </c>
      <c r="D2150" s="10" t="n"/>
      <c r="E2150" s="10">
        <f>IF(D2150="","",MIN(D2150,100))</f>
        <v/>
      </c>
      <c r="F2150" s="10" t="n"/>
      <c r="G2150" s="10">
        <f>IF(F2150="","",MIN(F2150,100))</f>
        <v/>
      </c>
      <c r="H2150" s="11">
        <f>IF(A2150="","",Universe!E2150/BDP(A2150&amp;" US Equity","HIGH_52WEEK")*100)</f>
        <v/>
      </c>
      <c r="I2150">
        <f>IF(D2150="","",D2150&gt;=5)</f>
        <v/>
      </c>
      <c r="J2150">
        <f>IF(F2150="","",F2150&gt;=5)</f>
        <v/>
      </c>
      <c r="K2150">
        <f>IF(H2150="","",H2150&gt;=75)</f>
        <v/>
      </c>
      <c r="L2150">
        <f>IF(OR(I2150="",J2150="",K2150=""),FALSE,AND(I2150,J2150,K2150))</f>
        <v/>
      </c>
    </row>
    <row r="2151">
      <c r="A2151">
        <f>Universe!A2151</f>
        <v/>
      </c>
      <c r="B2151" s="10" t="n"/>
      <c r="C2151" s="11">
        <f>IF(B2151="","",PERCENTRANK.INC($B$2:$B$2501,B2151)*100)</f>
        <v/>
      </c>
      <c r="D2151" s="10" t="n"/>
      <c r="E2151" s="10">
        <f>IF(D2151="","",MIN(D2151,100))</f>
        <v/>
      </c>
      <c r="F2151" s="10" t="n"/>
      <c r="G2151" s="10">
        <f>IF(F2151="","",MIN(F2151,100))</f>
        <v/>
      </c>
      <c r="H2151" s="11">
        <f>IF(A2151="","",Universe!E2151/BDP(A2151&amp;" US Equity","HIGH_52WEEK")*100)</f>
        <v/>
      </c>
      <c r="I2151">
        <f>IF(D2151="","",D2151&gt;=5)</f>
        <v/>
      </c>
      <c r="J2151">
        <f>IF(F2151="","",F2151&gt;=5)</f>
        <v/>
      </c>
      <c r="K2151">
        <f>IF(H2151="","",H2151&gt;=75)</f>
        <v/>
      </c>
      <c r="L2151">
        <f>IF(OR(I2151="",J2151="",K2151=""),FALSE,AND(I2151,J2151,K2151))</f>
        <v/>
      </c>
    </row>
    <row r="2152">
      <c r="A2152">
        <f>Universe!A2152</f>
        <v/>
      </c>
      <c r="B2152" s="10" t="n"/>
      <c r="C2152" s="11">
        <f>IF(B2152="","",PERCENTRANK.INC($B$2:$B$2501,B2152)*100)</f>
        <v/>
      </c>
      <c r="D2152" s="10" t="n"/>
      <c r="E2152" s="10">
        <f>IF(D2152="","",MIN(D2152,100))</f>
        <v/>
      </c>
      <c r="F2152" s="10" t="n"/>
      <c r="G2152" s="10">
        <f>IF(F2152="","",MIN(F2152,100))</f>
        <v/>
      </c>
      <c r="H2152" s="11">
        <f>IF(A2152="","",Universe!E2152/BDP(A2152&amp;" US Equity","HIGH_52WEEK")*100)</f>
        <v/>
      </c>
      <c r="I2152">
        <f>IF(D2152="","",D2152&gt;=5)</f>
        <v/>
      </c>
      <c r="J2152">
        <f>IF(F2152="","",F2152&gt;=5)</f>
        <v/>
      </c>
      <c r="K2152">
        <f>IF(H2152="","",H2152&gt;=75)</f>
        <v/>
      </c>
      <c r="L2152">
        <f>IF(OR(I2152="",J2152="",K2152=""),FALSE,AND(I2152,J2152,K2152))</f>
        <v/>
      </c>
    </row>
    <row r="2153">
      <c r="A2153">
        <f>Universe!A2153</f>
        <v/>
      </c>
      <c r="B2153" s="10" t="n"/>
      <c r="C2153" s="11">
        <f>IF(B2153="","",PERCENTRANK.INC($B$2:$B$2501,B2153)*100)</f>
        <v/>
      </c>
      <c r="D2153" s="10" t="n"/>
      <c r="E2153" s="10">
        <f>IF(D2153="","",MIN(D2153,100))</f>
        <v/>
      </c>
      <c r="F2153" s="10" t="n"/>
      <c r="G2153" s="10">
        <f>IF(F2153="","",MIN(F2153,100))</f>
        <v/>
      </c>
      <c r="H2153" s="11">
        <f>IF(A2153="","",Universe!E2153/BDP(A2153&amp;" US Equity","HIGH_52WEEK")*100)</f>
        <v/>
      </c>
      <c r="I2153">
        <f>IF(D2153="","",D2153&gt;=5)</f>
        <v/>
      </c>
      <c r="J2153">
        <f>IF(F2153="","",F2153&gt;=5)</f>
        <v/>
      </c>
      <c r="K2153">
        <f>IF(H2153="","",H2153&gt;=75)</f>
        <v/>
      </c>
      <c r="L2153">
        <f>IF(OR(I2153="",J2153="",K2153=""),FALSE,AND(I2153,J2153,K2153))</f>
        <v/>
      </c>
    </row>
    <row r="2154">
      <c r="A2154">
        <f>Universe!A2154</f>
        <v/>
      </c>
      <c r="B2154" s="10" t="n"/>
      <c r="C2154" s="11">
        <f>IF(B2154="","",PERCENTRANK.INC($B$2:$B$2501,B2154)*100)</f>
        <v/>
      </c>
      <c r="D2154" s="10" t="n"/>
      <c r="E2154" s="10">
        <f>IF(D2154="","",MIN(D2154,100))</f>
        <v/>
      </c>
      <c r="F2154" s="10" t="n"/>
      <c r="G2154" s="10">
        <f>IF(F2154="","",MIN(F2154,100))</f>
        <v/>
      </c>
      <c r="H2154" s="11">
        <f>IF(A2154="","",Universe!E2154/BDP(A2154&amp;" US Equity","HIGH_52WEEK")*100)</f>
        <v/>
      </c>
      <c r="I2154">
        <f>IF(D2154="","",D2154&gt;=5)</f>
        <v/>
      </c>
      <c r="J2154">
        <f>IF(F2154="","",F2154&gt;=5)</f>
        <v/>
      </c>
      <c r="K2154">
        <f>IF(H2154="","",H2154&gt;=75)</f>
        <v/>
      </c>
      <c r="L2154">
        <f>IF(OR(I2154="",J2154="",K2154=""),FALSE,AND(I2154,J2154,K2154))</f>
        <v/>
      </c>
    </row>
    <row r="2155">
      <c r="A2155">
        <f>Universe!A2155</f>
        <v/>
      </c>
      <c r="B2155" s="10" t="n"/>
      <c r="C2155" s="11">
        <f>IF(B2155="","",PERCENTRANK.INC($B$2:$B$2501,B2155)*100)</f>
        <v/>
      </c>
      <c r="D2155" s="10" t="n"/>
      <c r="E2155" s="10">
        <f>IF(D2155="","",MIN(D2155,100))</f>
        <v/>
      </c>
      <c r="F2155" s="10" t="n"/>
      <c r="G2155" s="10">
        <f>IF(F2155="","",MIN(F2155,100))</f>
        <v/>
      </c>
      <c r="H2155" s="11">
        <f>IF(A2155="","",Universe!E2155/BDP(A2155&amp;" US Equity","HIGH_52WEEK")*100)</f>
        <v/>
      </c>
      <c r="I2155">
        <f>IF(D2155="","",D2155&gt;=5)</f>
        <v/>
      </c>
      <c r="J2155">
        <f>IF(F2155="","",F2155&gt;=5)</f>
        <v/>
      </c>
      <c r="K2155">
        <f>IF(H2155="","",H2155&gt;=75)</f>
        <v/>
      </c>
      <c r="L2155">
        <f>IF(OR(I2155="",J2155="",K2155=""),FALSE,AND(I2155,J2155,K2155))</f>
        <v/>
      </c>
    </row>
    <row r="2156">
      <c r="A2156">
        <f>Universe!A2156</f>
        <v/>
      </c>
      <c r="B2156" s="10" t="n"/>
      <c r="C2156" s="11">
        <f>IF(B2156="","",PERCENTRANK.INC($B$2:$B$2501,B2156)*100)</f>
        <v/>
      </c>
      <c r="D2156" s="10" t="n"/>
      <c r="E2156" s="10">
        <f>IF(D2156="","",MIN(D2156,100))</f>
        <v/>
      </c>
      <c r="F2156" s="10" t="n"/>
      <c r="G2156" s="10">
        <f>IF(F2156="","",MIN(F2156,100))</f>
        <v/>
      </c>
      <c r="H2156" s="11">
        <f>IF(A2156="","",Universe!E2156/BDP(A2156&amp;" US Equity","HIGH_52WEEK")*100)</f>
        <v/>
      </c>
      <c r="I2156">
        <f>IF(D2156="","",D2156&gt;=5)</f>
        <v/>
      </c>
      <c r="J2156">
        <f>IF(F2156="","",F2156&gt;=5)</f>
        <v/>
      </c>
      <c r="K2156">
        <f>IF(H2156="","",H2156&gt;=75)</f>
        <v/>
      </c>
      <c r="L2156">
        <f>IF(OR(I2156="",J2156="",K2156=""),FALSE,AND(I2156,J2156,K2156))</f>
        <v/>
      </c>
    </row>
    <row r="2157">
      <c r="A2157">
        <f>Universe!A2157</f>
        <v/>
      </c>
      <c r="B2157" s="10" t="n"/>
      <c r="C2157" s="11">
        <f>IF(B2157="","",PERCENTRANK.INC($B$2:$B$2501,B2157)*100)</f>
        <v/>
      </c>
      <c r="D2157" s="10" t="n"/>
      <c r="E2157" s="10">
        <f>IF(D2157="","",MIN(D2157,100))</f>
        <v/>
      </c>
      <c r="F2157" s="10" t="n"/>
      <c r="G2157" s="10">
        <f>IF(F2157="","",MIN(F2157,100))</f>
        <v/>
      </c>
      <c r="H2157" s="11">
        <f>IF(A2157="","",Universe!E2157/BDP(A2157&amp;" US Equity","HIGH_52WEEK")*100)</f>
        <v/>
      </c>
      <c r="I2157">
        <f>IF(D2157="","",D2157&gt;=5)</f>
        <v/>
      </c>
      <c r="J2157">
        <f>IF(F2157="","",F2157&gt;=5)</f>
        <v/>
      </c>
      <c r="K2157">
        <f>IF(H2157="","",H2157&gt;=75)</f>
        <v/>
      </c>
      <c r="L2157">
        <f>IF(OR(I2157="",J2157="",K2157=""),FALSE,AND(I2157,J2157,K2157))</f>
        <v/>
      </c>
    </row>
    <row r="2158">
      <c r="A2158">
        <f>Universe!A2158</f>
        <v/>
      </c>
      <c r="B2158" s="10" t="n"/>
      <c r="C2158" s="11">
        <f>IF(B2158="","",PERCENTRANK.INC($B$2:$B$2501,B2158)*100)</f>
        <v/>
      </c>
      <c r="D2158" s="10" t="n"/>
      <c r="E2158" s="10">
        <f>IF(D2158="","",MIN(D2158,100))</f>
        <v/>
      </c>
      <c r="F2158" s="10" t="n"/>
      <c r="G2158" s="10">
        <f>IF(F2158="","",MIN(F2158,100))</f>
        <v/>
      </c>
      <c r="H2158" s="11">
        <f>IF(A2158="","",Universe!E2158/BDP(A2158&amp;" US Equity","HIGH_52WEEK")*100)</f>
        <v/>
      </c>
      <c r="I2158">
        <f>IF(D2158="","",D2158&gt;=5)</f>
        <v/>
      </c>
      <c r="J2158">
        <f>IF(F2158="","",F2158&gt;=5)</f>
        <v/>
      </c>
      <c r="K2158">
        <f>IF(H2158="","",H2158&gt;=75)</f>
        <v/>
      </c>
      <c r="L2158">
        <f>IF(OR(I2158="",J2158="",K2158=""),FALSE,AND(I2158,J2158,K2158))</f>
        <v/>
      </c>
    </row>
    <row r="2159">
      <c r="A2159">
        <f>Universe!A2159</f>
        <v/>
      </c>
      <c r="B2159" s="10" t="n"/>
      <c r="C2159" s="11">
        <f>IF(B2159="","",PERCENTRANK.INC($B$2:$B$2501,B2159)*100)</f>
        <v/>
      </c>
      <c r="D2159" s="10" t="n"/>
      <c r="E2159" s="10">
        <f>IF(D2159="","",MIN(D2159,100))</f>
        <v/>
      </c>
      <c r="F2159" s="10" t="n"/>
      <c r="G2159" s="10">
        <f>IF(F2159="","",MIN(F2159,100))</f>
        <v/>
      </c>
      <c r="H2159" s="11">
        <f>IF(A2159="","",Universe!E2159/BDP(A2159&amp;" US Equity","HIGH_52WEEK")*100)</f>
        <v/>
      </c>
      <c r="I2159">
        <f>IF(D2159="","",D2159&gt;=5)</f>
        <v/>
      </c>
      <c r="J2159">
        <f>IF(F2159="","",F2159&gt;=5)</f>
        <v/>
      </c>
      <c r="K2159">
        <f>IF(H2159="","",H2159&gt;=75)</f>
        <v/>
      </c>
      <c r="L2159">
        <f>IF(OR(I2159="",J2159="",K2159=""),FALSE,AND(I2159,J2159,K2159))</f>
        <v/>
      </c>
    </row>
    <row r="2160">
      <c r="A2160">
        <f>Universe!A2160</f>
        <v/>
      </c>
      <c r="B2160" s="10" t="n"/>
      <c r="C2160" s="11">
        <f>IF(B2160="","",PERCENTRANK.INC($B$2:$B$2501,B2160)*100)</f>
        <v/>
      </c>
      <c r="D2160" s="10" t="n"/>
      <c r="E2160" s="10">
        <f>IF(D2160="","",MIN(D2160,100))</f>
        <v/>
      </c>
      <c r="F2160" s="10" t="n"/>
      <c r="G2160" s="10">
        <f>IF(F2160="","",MIN(F2160,100))</f>
        <v/>
      </c>
      <c r="H2160" s="11">
        <f>IF(A2160="","",Universe!E2160/BDP(A2160&amp;" US Equity","HIGH_52WEEK")*100)</f>
        <v/>
      </c>
      <c r="I2160">
        <f>IF(D2160="","",D2160&gt;=5)</f>
        <v/>
      </c>
      <c r="J2160">
        <f>IF(F2160="","",F2160&gt;=5)</f>
        <v/>
      </c>
      <c r="K2160">
        <f>IF(H2160="","",H2160&gt;=75)</f>
        <v/>
      </c>
      <c r="L2160">
        <f>IF(OR(I2160="",J2160="",K2160=""),FALSE,AND(I2160,J2160,K2160))</f>
        <v/>
      </c>
    </row>
    <row r="2161">
      <c r="A2161">
        <f>Universe!A2161</f>
        <v/>
      </c>
      <c r="B2161" s="10" t="n"/>
      <c r="C2161" s="11">
        <f>IF(B2161="","",PERCENTRANK.INC($B$2:$B$2501,B2161)*100)</f>
        <v/>
      </c>
      <c r="D2161" s="10" t="n"/>
      <c r="E2161" s="10">
        <f>IF(D2161="","",MIN(D2161,100))</f>
        <v/>
      </c>
      <c r="F2161" s="10" t="n"/>
      <c r="G2161" s="10">
        <f>IF(F2161="","",MIN(F2161,100))</f>
        <v/>
      </c>
      <c r="H2161" s="11">
        <f>IF(A2161="","",Universe!E2161/BDP(A2161&amp;" US Equity","HIGH_52WEEK")*100)</f>
        <v/>
      </c>
      <c r="I2161">
        <f>IF(D2161="","",D2161&gt;=5)</f>
        <v/>
      </c>
      <c r="J2161">
        <f>IF(F2161="","",F2161&gt;=5)</f>
        <v/>
      </c>
      <c r="K2161">
        <f>IF(H2161="","",H2161&gt;=75)</f>
        <v/>
      </c>
      <c r="L2161">
        <f>IF(OR(I2161="",J2161="",K2161=""),FALSE,AND(I2161,J2161,K2161))</f>
        <v/>
      </c>
    </row>
    <row r="2162">
      <c r="A2162">
        <f>Universe!A2162</f>
        <v/>
      </c>
      <c r="B2162" s="10" t="n"/>
      <c r="C2162" s="11">
        <f>IF(B2162="","",PERCENTRANK.INC($B$2:$B$2501,B2162)*100)</f>
        <v/>
      </c>
      <c r="D2162" s="10" t="n"/>
      <c r="E2162" s="10">
        <f>IF(D2162="","",MIN(D2162,100))</f>
        <v/>
      </c>
      <c r="F2162" s="10" t="n"/>
      <c r="G2162" s="10">
        <f>IF(F2162="","",MIN(F2162,100))</f>
        <v/>
      </c>
      <c r="H2162" s="11">
        <f>IF(A2162="","",Universe!E2162/BDP(A2162&amp;" US Equity","HIGH_52WEEK")*100)</f>
        <v/>
      </c>
      <c r="I2162">
        <f>IF(D2162="","",D2162&gt;=5)</f>
        <v/>
      </c>
      <c r="J2162">
        <f>IF(F2162="","",F2162&gt;=5)</f>
        <v/>
      </c>
      <c r="K2162">
        <f>IF(H2162="","",H2162&gt;=75)</f>
        <v/>
      </c>
      <c r="L2162">
        <f>IF(OR(I2162="",J2162="",K2162=""),FALSE,AND(I2162,J2162,K2162))</f>
        <v/>
      </c>
    </row>
    <row r="2163">
      <c r="A2163">
        <f>Universe!A2163</f>
        <v/>
      </c>
      <c r="B2163" s="10" t="n"/>
      <c r="C2163" s="11">
        <f>IF(B2163="","",PERCENTRANK.INC($B$2:$B$2501,B2163)*100)</f>
        <v/>
      </c>
      <c r="D2163" s="10" t="n"/>
      <c r="E2163" s="10">
        <f>IF(D2163="","",MIN(D2163,100))</f>
        <v/>
      </c>
      <c r="F2163" s="10" t="n"/>
      <c r="G2163" s="10">
        <f>IF(F2163="","",MIN(F2163,100))</f>
        <v/>
      </c>
      <c r="H2163" s="11">
        <f>IF(A2163="","",Universe!E2163/BDP(A2163&amp;" US Equity","HIGH_52WEEK")*100)</f>
        <v/>
      </c>
      <c r="I2163">
        <f>IF(D2163="","",D2163&gt;=5)</f>
        <v/>
      </c>
      <c r="J2163">
        <f>IF(F2163="","",F2163&gt;=5)</f>
        <v/>
      </c>
      <c r="K2163">
        <f>IF(H2163="","",H2163&gt;=75)</f>
        <v/>
      </c>
      <c r="L2163">
        <f>IF(OR(I2163="",J2163="",K2163=""),FALSE,AND(I2163,J2163,K2163))</f>
        <v/>
      </c>
    </row>
    <row r="2164">
      <c r="A2164">
        <f>Universe!A2164</f>
        <v/>
      </c>
      <c r="B2164" s="10" t="n"/>
      <c r="C2164" s="11">
        <f>IF(B2164="","",PERCENTRANK.INC($B$2:$B$2501,B2164)*100)</f>
        <v/>
      </c>
      <c r="D2164" s="10" t="n"/>
      <c r="E2164" s="10">
        <f>IF(D2164="","",MIN(D2164,100))</f>
        <v/>
      </c>
      <c r="F2164" s="10" t="n"/>
      <c r="G2164" s="10">
        <f>IF(F2164="","",MIN(F2164,100))</f>
        <v/>
      </c>
      <c r="H2164" s="11">
        <f>IF(A2164="","",Universe!E2164/BDP(A2164&amp;" US Equity","HIGH_52WEEK")*100)</f>
        <v/>
      </c>
      <c r="I2164">
        <f>IF(D2164="","",D2164&gt;=5)</f>
        <v/>
      </c>
      <c r="J2164">
        <f>IF(F2164="","",F2164&gt;=5)</f>
        <v/>
      </c>
      <c r="K2164">
        <f>IF(H2164="","",H2164&gt;=75)</f>
        <v/>
      </c>
      <c r="L2164">
        <f>IF(OR(I2164="",J2164="",K2164=""),FALSE,AND(I2164,J2164,K2164))</f>
        <v/>
      </c>
    </row>
    <row r="2165">
      <c r="A2165">
        <f>Universe!A2165</f>
        <v/>
      </c>
      <c r="B2165" s="10" t="n"/>
      <c r="C2165" s="11">
        <f>IF(B2165="","",PERCENTRANK.INC($B$2:$B$2501,B2165)*100)</f>
        <v/>
      </c>
      <c r="D2165" s="10" t="n"/>
      <c r="E2165" s="10">
        <f>IF(D2165="","",MIN(D2165,100))</f>
        <v/>
      </c>
      <c r="F2165" s="10" t="n"/>
      <c r="G2165" s="10">
        <f>IF(F2165="","",MIN(F2165,100))</f>
        <v/>
      </c>
      <c r="H2165" s="11">
        <f>IF(A2165="","",Universe!E2165/BDP(A2165&amp;" US Equity","HIGH_52WEEK")*100)</f>
        <v/>
      </c>
      <c r="I2165">
        <f>IF(D2165="","",D2165&gt;=5)</f>
        <v/>
      </c>
      <c r="J2165">
        <f>IF(F2165="","",F2165&gt;=5)</f>
        <v/>
      </c>
      <c r="K2165">
        <f>IF(H2165="","",H2165&gt;=75)</f>
        <v/>
      </c>
      <c r="L2165">
        <f>IF(OR(I2165="",J2165="",K2165=""),FALSE,AND(I2165,J2165,K2165))</f>
        <v/>
      </c>
    </row>
    <row r="2166">
      <c r="A2166">
        <f>Universe!A2166</f>
        <v/>
      </c>
      <c r="B2166" s="10" t="n"/>
      <c r="C2166" s="11">
        <f>IF(B2166="","",PERCENTRANK.INC($B$2:$B$2501,B2166)*100)</f>
        <v/>
      </c>
      <c r="D2166" s="10" t="n"/>
      <c r="E2166" s="10">
        <f>IF(D2166="","",MIN(D2166,100))</f>
        <v/>
      </c>
      <c r="F2166" s="10" t="n"/>
      <c r="G2166" s="10">
        <f>IF(F2166="","",MIN(F2166,100))</f>
        <v/>
      </c>
      <c r="H2166" s="11">
        <f>IF(A2166="","",Universe!E2166/BDP(A2166&amp;" US Equity","HIGH_52WEEK")*100)</f>
        <v/>
      </c>
      <c r="I2166">
        <f>IF(D2166="","",D2166&gt;=5)</f>
        <v/>
      </c>
      <c r="J2166">
        <f>IF(F2166="","",F2166&gt;=5)</f>
        <v/>
      </c>
      <c r="K2166">
        <f>IF(H2166="","",H2166&gt;=75)</f>
        <v/>
      </c>
      <c r="L2166">
        <f>IF(OR(I2166="",J2166="",K2166=""),FALSE,AND(I2166,J2166,K2166))</f>
        <v/>
      </c>
    </row>
    <row r="2167">
      <c r="A2167">
        <f>Universe!A2167</f>
        <v/>
      </c>
      <c r="B2167" s="10" t="n"/>
      <c r="C2167" s="11">
        <f>IF(B2167="","",PERCENTRANK.INC($B$2:$B$2501,B2167)*100)</f>
        <v/>
      </c>
      <c r="D2167" s="10" t="n"/>
      <c r="E2167" s="10">
        <f>IF(D2167="","",MIN(D2167,100))</f>
        <v/>
      </c>
      <c r="F2167" s="10" t="n"/>
      <c r="G2167" s="10">
        <f>IF(F2167="","",MIN(F2167,100))</f>
        <v/>
      </c>
      <c r="H2167" s="11">
        <f>IF(A2167="","",Universe!E2167/BDP(A2167&amp;" US Equity","HIGH_52WEEK")*100)</f>
        <v/>
      </c>
      <c r="I2167">
        <f>IF(D2167="","",D2167&gt;=5)</f>
        <v/>
      </c>
      <c r="J2167">
        <f>IF(F2167="","",F2167&gt;=5)</f>
        <v/>
      </c>
      <c r="K2167">
        <f>IF(H2167="","",H2167&gt;=75)</f>
        <v/>
      </c>
      <c r="L2167">
        <f>IF(OR(I2167="",J2167="",K2167=""),FALSE,AND(I2167,J2167,K2167))</f>
        <v/>
      </c>
    </row>
    <row r="2168">
      <c r="A2168">
        <f>Universe!A2168</f>
        <v/>
      </c>
      <c r="B2168" s="10" t="n"/>
      <c r="C2168" s="11">
        <f>IF(B2168="","",PERCENTRANK.INC($B$2:$B$2501,B2168)*100)</f>
        <v/>
      </c>
      <c r="D2168" s="10" t="n"/>
      <c r="E2168" s="10">
        <f>IF(D2168="","",MIN(D2168,100))</f>
        <v/>
      </c>
      <c r="F2168" s="10" t="n"/>
      <c r="G2168" s="10">
        <f>IF(F2168="","",MIN(F2168,100))</f>
        <v/>
      </c>
      <c r="H2168" s="11">
        <f>IF(A2168="","",Universe!E2168/BDP(A2168&amp;" US Equity","HIGH_52WEEK")*100)</f>
        <v/>
      </c>
      <c r="I2168">
        <f>IF(D2168="","",D2168&gt;=5)</f>
        <v/>
      </c>
      <c r="J2168">
        <f>IF(F2168="","",F2168&gt;=5)</f>
        <v/>
      </c>
      <c r="K2168">
        <f>IF(H2168="","",H2168&gt;=75)</f>
        <v/>
      </c>
      <c r="L2168">
        <f>IF(OR(I2168="",J2168="",K2168=""),FALSE,AND(I2168,J2168,K2168))</f>
        <v/>
      </c>
    </row>
    <row r="2169">
      <c r="A2169">
        <f>Universe!A2169</f>
        <v/>
      </c>
      <c r="B2169" s="10" t="n"/>
      <c r="C2169" s="11">
        <f>IF(B2169="","",PERCENTRANK.INC($B$2:$B$2501,B2169)*100)</f>
        <v/>
      </c>
      <c r="D2169" s="10" t="n"/>
      <c r="E2169" s="10">
        <f>IF(D2169="","",MIN(D2169,100))</f>
        <v/>
      </c>
      <c r="F2169" s="10" t="n"/>
      <c r="G2169" s="10">
        <f>IF(F2169="","",MIN(F2169,100))</f>
        <v/>
      </c>
      <c r="H2169" s="11">
        <f>IF(A2169="","",Universe!E2169/BDP(A2169&amp;" US Equity","HIGH_52WEEK")*100)</f>
        <v/>
      </c>
      <c r="I2169">
        <f>IF(D2169="","",D2169&gt;=5)</f>
        <v/>
      </c>
      <c r="J2169">
        <f>IF(F2169="","",F2169&gt;=5)</f>
        <v/>
      </c>
      <c r="K2169">
        <f>IF(H2169="","",H2169&gt;=75)</f>
        <v/>
      </c>
      <c r="L2169">
        <f>IF(OR(I2169="",J2169="",K2169=""),FALSE,AND(I2169,J2169,K2169))</f>
        <v/>
      </c>
    </row>
    <row r="2170">
      <c r="A2170">
        <f>Universe!A2170</f>
        <v/>
      </c>
      <c r="B2170" s="10" t="n"/>
      <c r="C2170" s="11">
        <f>IF(B2170="","",PERCENTRANK.INC($B$2:$B$2501,B2170)*100)</f>
        <v/>
      </c>
      <c r="D2170" s="10" t="n"/>
      <c r="E2170" s="10">
        <f>IF(D2170="","",MIN(D2170,100))</f>
        <v/>
      </c>
      <c r="F2170" s="10" t="n"/>
      <c r="G2170" s="10">
        <f>IF(F2170="","",MIN(F2170,100))</f>
        <v/>
      </c>
      <c r="H2170" s="11">
        <f>IF(A2170="","",Universe!E2170/BDP(A2170&amp;" US Equity","HIGH_52WEEK")*100)</f>
        <v/>
      </c>
      <c r="I2170">
        <f>IF(D2170="","",D2170&gt;=5)</f>
        <v/>
      </c>
      <c r="J2170">
        <f>IF(F2170="","",F2170&gt;=5)</f>
        <v/>
      </c>
      <c r="K2170">
        <f>IF(H2170="","",H2170&gt;=75)</f>
        <v/>
      </c>
      <c r="L2170">
        <f>IF(OR(I2170="",J2170="",K2170=""),FALSE,AND(I2170,J2170,K2170))</f>
        <v/>
      </c>
    </row>
    <row r="2171">
      <c r="A2171">
        <f>Universe!A2171</f>
        <v/>
      </c>
      <c r="B2171" s="10" t="n"/>
      <c r="C2171" s="11">
        <f>IF(B2171="","",PERCENTRANK.INC($B$2:$B$2501,B2171)*100)</f>
        <v/>
      </c>
      <c r="D2171" s="10" t="n"/>
      <c r="E2171" s="10">
        <f>IF(D2171="","",MIN(D2171,100))</f>
        <v/>
      </c>
      <c r="F2171" s="10" t="n"/>
      <c r="G2171" s="10">
        <f>IF(F2171="","",MIN(F2171,100))</f>
        <v/>
      </c>
      <c r="H2171" s="11">
        <f>IF(A2171="","",Universe!E2171/BDP(A2171&amp;" US Equity","HIGH_52WEEK")*100)</f>
        <v/>
      </c>
      <c r="I2171">
        <f>IF(D2171="","",D2171&gt;=5)</f>
        <v/>
      </c>
      <c r="J2171">
        <f>IF(F2171="","",F2171&gt;=5)</f>
        <v/>
      </c>
      <c r="K2171">
        <f>IF(H2171="","",H2171&gt;=75)</f>
        <v/>
      </c>
      <c r="L2171">
        <f>IF(OR(I2171="",J2171="",K2171=""),FALSE,AND(I2171,J2171,K2171))</f>
        <v/>
      </c>
    </row>
    <row r="2172">
      <c r="A2172">
        <f>Universe!A2172</f>
        <v/>
      </c>
      <c r="B2172" s="10" t="n"/>
      <c r="C2172" s="11">
        <f>IF(B2172="","",PERCENTRANK.INC($B$2:$B$2501,B2172)*100)</f>
        <v/>
      </c>
      <c r="D2172" s="10" t="n"/>
      <c r="E2172" s="10">
        <f>IF(D2172="","",MIN(D2172,100))</f>
        <v/>
      </c>
      <c r="F2172" s="10" t="n"/>
      <c r="G2172" s="10">
        <f>IF(F2172="","",MIN(F2172,100))</f>
        <v/>
      </c>
      <c r="H2172" s="11">
        <f>IF(A2172="","",Universe!E2172/BDP(A2172&amp;" US Equity","HIGH_52WEEK")*100)</f>
        <v/>
      </c>
      <c r="I2172">
        <f>IF(D2172="","",D2172&gt;=5)</f>
        <v/>
      </c>
      <c r="J2172">
        <f>IF(F2172="","",F2172&gt;=5)</f>
        <v/>
      </c>
      <c r="K2172">
        <f>IF(H2172="","",H2172&gt;=75)</f>
        <v/>
      </c>
      <c r="L2172">
        <f>IF(OR(I2172="",J2172="",K2172=""),FALSE,AND(I2172,J2172,K2172))</f>
        <v/>
      </c>
    </row>
    <row r="2173">
      <c r="A2173">
        <f>Universe!A2173</f>
        <v/>
      </c>
      <c r="B2173" s="10" t="n"/>
      <c r="C2173" s="11">
        <f>IF(B2173="","",PERCENTRANK.INC($B$2:$B$2501,B2173)*100)</f>
        <v/>
      </c>
      <c r="D2173" s="10" t="n"/>
      <c r="E2173" s="10">
        <f>IF(D2173="","",MIN(D2173,100))</f>
        <v/>
      </c>
      <c r="F2173" s="10" t="n"/>
      <c r="G2173" s="10">
        <f>IF(F2173="","",MIN(F2173,100))</f>
        <v/>
      </c>
      <c r="H2173" s="11">
        <f>IF(A2173="","",Universe!E2173/BDP(A2173&amp;" US Equity","HIGH_52WEEK")*100)</f>
        <v/>
      </c>
      <c r="I2173">
        <f>IF(D2173="","",D2173&gt;=5)</f>
        <v/>
      </c>
      <c r="J2173">
        <f>IF(F2173="","",F2173&gt;=5)</f>
        <v/>
      </c>
      <c r="K2173">
        <f>IF(H2173="","",H2173&gt;=75)</f>
        <v/>
      </c>
      <c r="L2173">
        <f>IF(OR(I2173="",J2173="",K2173=""),FALSE,AND(I2173,J2173,K2173))</f>
        <v/>
      </c>
    </row>
    <row r="2174">
      <c r="A2174">
        <f>Universe!A2174</f>
        <v/>
      </c>
      <c r="B2174" s="10" t="n"/>
      <c r="C2174" s="11">
        <f>IF(B2174="","",PERCENTRANK.INC($B$2:$B$2501,B2174)*100)</f>
        <v/>
      </c>
      <c r="D2174" s="10" t="n"/>
      <c r="E2174" s="10">
        <f>IF(D2174="","",MIN(D2174,100))</f>
        <v/>
      </c>
      <c r="F2174" s="10" t="n"/>
      <c r="G2174" s="10">
        <f>IF(F2174="","",MIN(F2174,100))</f>
        <v/>
      </c>
      <c r="H2174" s="11">
        <f>IF(A2174="","",Universe!E2174/BDP(A2174&amp;" US Equity","HIGH_52WEEK")*100)</f>
        <v/>
      </c>
      <c r="I2174">
        <f>IF(D2174="","",D2174&gt;=5)</f>
        <v/>
      </c>
      <c r="J2174">
        <f>IF(F2174="","",F2174&gt;=5)</f>
        <v/>
      </c>
      <c r="K2174">
        <f>IF(H2174="","",H2174&gt;=75)</f>
        <v/>
      </c>
      <c r="L2174">
        <f>IF(OR(I2174="",J2174="",K2174=""),FALSE,AND(I2174,J2174,K2174))</f>
        <v/>
      </c>
    </row>
    <row r="2175">
      <c r="A2175">
        <f>Universe!A2175</f>
        <v/>
      </c>
      <c r="B2175" s="10" t="n"/>
      <c r="C2175" s="11">
        <f>IF(B2175="","",PERCENTRANK.INC($B$2:$B$2501,B2175)*100)</f>
        <v/>
      </c>
      <c r="D2175" s="10" t="n"/>
      <c r="E2175" s="10">
        <f>IF(D2175="","",MIN(D2175,100))</f>
        <v/>
      </c>
      <c r="F2175" s="10" t="n"/>
      <c r="G2175" s="10">
        <f>IF(F2175="","",MIN(F2175,100))</f>
        <v/>
      </c>
      <c r="H2175" s="11">
        <f>IF(A2175="","",Universe!E2175/BDP(A2175&amp;" US Equity","HIGH_52WEEK")*100)</f>
        <v/>
      </c>
      <c r="I2175">
        <f>IF(D2175="","",D2175&gt;=5)</f>
        <v/>
      </c>
      <c r="J2175">
        <f>IF(F2175="","",F2175&gt;=5)</f>
        <v/>
      </c>
      <c r="K2175">
        <f>IF(H2175="","",H2175&gt;=75)</f>
        <v/>
      </c>
      <c r="L2175">
        <f>IF(OR(I2175="",J2175="",K2175=""),FALSE,AND(I2175,J2175,K2175))</f>
        <v/>
      </c>
    </row>
    <row r="2176">
      <c r="A2176">
        <f>Universe!A2176</f>
        <v/>
      </c>
      <c r="B2176" s="10" t="n"/>
      <c r="C2176" s="11">
        <f>IF(B2176="","",PERCENTRANK.INC($B$2:$B$2501,B2176)*100)</f>
        <v/>
      </c>
      <c r="D2176" s="10" t="n"/>
      <c r="E2176" s="10">
        <f>IF(D2176="","",MIN(D2176,100))</f>
        <v/>
      </c>
      <c r="F2176" s="10" t="n"/>
      <c r="G2176" s="10">
        <f>IF(F2176="","",MIN(F2176,100))</f>
        <v/>
      </c>
      <c r="H2176" s="11">
        <f>IF(A2176="","",Universe!E2176/BDP(A2176&amp;" US Equity","HIGH_52WEEK")*100)</f>
        <v/>
      </c>
      <c r="I2176">
        <f>IF(D2176="","",D2176&gt;=5)</f>
        <v/>
      </c>
      <c r="J2176">
        <f>IF(F2176="","",F2176&gt;=5)</f>
        <v/>
      </c>
      <c r="K2176">
        <f>IF(H2176="","",H2176&gt;=75)</f>
        <v/>
      </c>
      <c r="L2176">
        <f>IF(OR(I2176="",J2176="",K2176=""),FALSE,AND(I2176,J2176,K2176))</f>
        <v/>
      </c>
    </row>
    <row r="2177">
      <c r="A2177">
        <f>Universe!A2177</f>
        <v/>
      </c>
      <c r="B2177" s="10" t="n"/>
      <c r="C2177" s="11">
        <f>IF(B2177="","",PERCENTRANK.INC($B$2:$B$2501,B2177)*100)</f>
        <v/>
      </c>
      <c r="D2177" s="10" t="n"/>
      <c r="E2177" s="10">
        <f>IF(D2177="","",MIN(D2177,100))</f>
        <v/>
      </c>
      <c r="F2177" s="10" t="n"/>
      <c r="G2177" s="10">
        <f>IF(F2177="","",MIN(F2177,100))</f>
        <v/>
      </c>
      <c r="H2177" s="11">
        <f>IF(A2177="","",Universe!E2177/BDP(A2177&amp;" US Equity","HIGH_52WEEK")*100)</f>
        <v/>
      </c>
      <c r="I2177">
        <f>IF(D2177="","",D2177&gt;=5)</f>
        <v/>
      </c>
      <c r="J2177">
        <f>IF(F2177="","",F2177&gt;=5)</f>
        <v/>
      </c>
      <c r="K2177">
        <f>IF(H2177="","",H2177&gt;=75)</f>
        <v/>
      </c>
      <c r="L2177">
        <f>IF(OR(I2177="",J2177="",K2177=""),FALSE,AND(I2177,J2177,K2177))</f>
        <v/>
      </c>
    </row>
    <row r="2178">
      <c r="A2178">
        <f>Universe!A2178</f>
        <v/>
      </c>
      <c r="B2178" s="10" t="n"/>
      <c r="C2178" s="11">
        <f>IF(B2178="","",PERCENTRANK.INC($B$2:$B$2501,B2178)*100)</f>
        <v/>
      </c>
      <c r="D2178" s="10" t="n"/>
      <c r="E2178" s="10">
        <f>IF(D2178="","",MIN(D2178,100))</f>
        <v/>
      </c>
      <c r="F2178" s="10" t="n"/>
      <c r="G2178" s="10">
        <f>IF(F2178="","",MIN(F2178,100))</f>
        <v/>
      </c>
      <c r="H2178" s="11">
        <f>IF(A2178="","",Universe!E2178/BDP(A2178&amp;" US Equity","HIGH_52WEEK")*100)</f>
        <v/>
      </c>
      <c r="I2178">
        <f>IF(D2178="","",D2178&gt;=5)</f>
        <v/>
      </c>
      <c r="J2178">
        <f>IF(F2178="","",F2178&gt;=5)</f>
        <v/>
      </c>
      <c r="K2178">
        <f>IF(H2178="","",H2178&gt;=75)</f>
        <v/>
      </c>
      <c r="L2178">
        <f>IF(OR(I2178="",J2178="",K2178=""),FALSE,AND(I2178,J2178,K2178))</f>
        <v/>
      </c>
    </row>
    <row r="2179">
      <c r="A2179">
        <f>Universe!A2179</f>
        <v/>
      </c>
      <c r="B2179" s="10" t="n"/>
      <c r="C2179" s="11">
        <f>IF(B2179="","",PERCENTRANK.INC($B$2:$B$2501,B2179)*100)</f>
        <v/>
      </c>
      <c r="D2179" s="10" t="n"/>
      <c r="E2179" s="10">
        <f>IF(D2179="","",MIN(D2179,100))</f>
        <v/>
      </c>
      <c r="F2179" s="10" t="n"/>
      <c r="G2179" s="10">
        <f>IF(F2179="","",MIN(F2179,100))</f>
        <v/>
      </c>
      <c r="H2179" s="11">
        <f>IF(A2179="","",Universe!E2179/BDP(A2179&amp;" US Equity","HIGH_52WEEK")*100)</f>
        <v/>
      </c>
      <c r="I2179">
        <f>IF(D2179="","",D2179&gt;=5)</f>
        <v/>
      </c>
      <c r="J2179">
        <f>IF(F2179="","",F2179&gt;=5)</f>
        <v/>
      </c>
      <c r="K2179">
        <f>IF(H2179="","",H2179&gt;=75)</f>
        <v/>
      </c>
      <c r="L2179">
        <f>IF(OR(I2179="",J2179="",K2179=""),FALSE,AND(I2179,J2179,K2179))</f>
        <v/>
      </c>
    </row>
    <row r="2180">
      <c r="A2180">
        <f>Universe!A2180</f>
        <v/>
      </c>
      <c r="B2180" s="10" t="n"/>
      <c r="C2180" s="11">
        <f>IF(B2180="","",PERCENTRANK.INC($B$2:$B$2501,B2180)*100)</f>
        <v/>
      </c>
      <c r="D2180" s="10" t="n"/>
      <c r="E2180" s="10">
        <f>IF(D2180="","",MIN(D2180,100))</f>
        <v/>
      </c>
      <c r="F2180" s="10" t="n"/>
      <c r="G2180" s="10">
        <f>IF(F2180="","",MIN(F2180,100))</f>
        <v/>
      </c>
      <c r="H2180" s="11">
        <f>IF(A2180="","",Universe!E2180/BDP(A2180&amp;" US Equity","HIGH_52WEEK")*100)</f>
        <v/>
      </c>
      <c r="I2180">
        <f>IF(D2180="","",D2180&gt;=5)</f>
        <v/>
      </c>
      <c r="J2180">
        <f>IF(F2180="","",F2180&gt;=5)</f>
        <v/>
      </c>
      <c r="K2180">
        <f>IF(H2180="","",H2180&gt;=75)</f>
        <v/>
      </c>
      <c r="L2180">
        <f>IF(OR(I2180="",J2180="",K2180=""),FALSE,AND(I2180,J2180,K2180))</f>
        <v/>
      </c>
    </row>
    <row r="2181">
      <c r="A2181">
        <f>Universe!A2181</f>
        <v/>
      </c>
      <c r="B2181" s="10" t="n"/>
      <c r="C2181" s="11">
        <f>IF(B2181="","",PERCENTRANK.INC($B$2:$B$2501,B2181)*100)</f>
        <v/>
      </c>
      <c r="D2181" s="10" t="n"/>
      <c r="E2181" s="10">
        <f>IF(D2181="","",MIN(D2181,100))</f>
        <v/>
      </c>
      <c r="F2181" s="10" t="n"/>
      <c r="G2181" s="10">
        <f>IF(F2181="","",MIN(F2181,100))</f>
        <v/>
      </c>
      <c r="H2181" s="11">
        <f>IF(A2181="","",Universe!E2181/BDP(A2181&amp;" US Equity","HIGH_52WEEK")*100)</f>
        <v/>
      </c>
      <c r="I2181">
        <f>IF(D2181="","",D2181&gt;=5)</f>
        <v/>
      </c>
      <c r="J2181">
        <f>IF(F2181="","",F2181&gt;=5)</f>
        <v/>
      </c>
      <c r="K2181">
        <f>IF(H2181="","",H2181&gt;=75)</f>
        <v/>
      </c>
      <c r="L2181">
        <f>IF(OR(I2181="",J2181="",K2181=""),FALSE,AND(I2181,J2181,K2181))</f>
        <v/>
      </c>
    </row>
    <row r="2182">
      <c r="A2182">
        <f>Universe!A2182</f>
        <v/>
      </c>
      <c r="B2182" s="10" t="n"/>
      <c r="C2182" s="11">
        <f>IF(B2182="","",PERCENTRANK.INC($B$2:$B$2501,B2182)*100)</f>
        <v/>
      </c>
      <c r="D2182" s="10" t="n"/>
      <c r="E2182" s="10">
        <f>IF(D2182="","",MIN(D2182,100))</f>
        <v/>
      </c>
      <c r="F2182" s="10" t="n"/>
      <c r="G2182" s="10">
        <f>IF(F2182="","",MIN(F2182,100))</f>
        <v/>
      </c>
      <c r="H2182" s="11">
        <f>IF(A2182="","",Universe!E2182/BDP(A2182&amp;" US Equity","HIGH_52WEEK")*100)</f>
        <v/>
      </c>
      <c r="I2182">
        <f>IF(D2182="","",D2182&gt;=5)</f>
        <v/>
      </c>
      <c r="J2182">
        <f>IF(F2182="","",F2182&gt;=5)</f>
        <v/>
      </c>
      <c r="K2182">
        <f>IF(H2182="","",H2182&gt;=75)</f>
        <v/>
      </c>
      <c r="L2182">
        <f>IF(OR(I2182="",J2182="",K2182=""),FALSE,AND(I2182,J2182,K2182))</f>
        <v/>
      </c>
    </row>
    <row r="2183">
      <c r="A2183">
        <f>Universe!A2183</f>
        <v/>
      </c>
      <c r="B2183" s="10" t="n"/>
      <c r="C2183" s="11">
        <f>IF(B2183="","",PERCENTRANK.INC($B$2:$B$2501,B2183)*100)</f>
        <v/>
      </c>
      <c r="D2183" s="10" t="n"/>
      <c r="E2183" s="10">
        <f>IF(D2183="","",MIN(D2183,100))</f>
        <v/>
      </c>
      <c r="F2183" s="10" t="n"/>
      <c r="G2183" s="10">
        <f>IF(F2183="","",MIN(F2183,100))</f>
        <v/>
      </c>
      <c r="H2183" s="11">
        <f>IF(A2183="","",Universe!E2183/BDP(A2183&amp;" US Equity","HIGH_52WEEK")*100)</f>
        <v/>
      </c>
      <c r="I2183">
        <f>IF(D2183="","",D2183&gt;=5)</f>
        <v/>
      </c>
      <c r="J2183">
        <f>IF(F2183="","",F2183&gt;=5)</f>
        <v/>
      </c>
      <c r="K2183">
        <f>IF(H2183="","",H2183&gt;=75)</f>
        <v/>
      </c>
      <c r="L2183">
        <f>IF(OR(I2183="",J2183="",K2183=""),FALSE,AND(I2183,J2183,K2183))</f>
        <v/>
      </c>
    </row>
    <row r="2184">
      <c r="A2184">
        <f>Universe!A2184</f>
        <v/>
      </c>
      <c r="B2184" s="10" t="n"/>
      <c r="C2184" s="11">
        <f>IF(B2184="","",PERCENTRANK.INC($B$2:$B$2501,B2184)*100)</f>
        <v/>
      </c>
      <c r="D2184" s="10" t="n"/>
      <c r="E2184" s="10">
        <f>IF(D2184="","",MIN(D2184,100))</f>
        <v/>
      </c>
      <c r="F2184" s="10" t="n"/>
      <c r="G2184" s="10">
        <f>IF(F2184="","",MIN(F2184,100))</f>
        <v/>
      </c>
      <c r="H2184" s="11">
        <f>IF(A2184="","",Universe!E2184/BDP(A2184&amp;" US Equity","HIGH_52WEEK")*100)</f>
        <v/>
      </c>
      <c r="I2184">
        <f>IF(D2184="","",D2184&gt;=5)</f>
        <v/>
      </c>
      <c r="J2184">
        <f>IF(F2184="","",F2184&gt;=5)</f>
        <v/>
      </c>
      <c r="K2184">
        <f>IF(H2184="","",H2184&gt;=75)</f>
        <v/>
      </c>
      <c r="L2184">
        <f>IF(OR(I2184="",J2184="",K2184=""),FALSE,AND(I2184,J2184,K2184))</f>
        <v/>
      </c>
    </row>
    <row r="2185">
      <c r="A2185">
        <f>Universe!A2185</f>
        <v/>
      </c>
      <c r="B2185" s="10" t="n"/>
      <c r="C2185" s="11">
        <f>IF(B2185="","",PERCENTRANK.INC($B$2:$B$2501,B2185)*100)</f>
        <v/>
      </c>
      <c r="D2185" s="10" t="n"/>
      <c r="E2185" s="10">
        <f>IF(D2185="","",MIN(D2185,100))</f>
        <v/>
      </c>
      <c r="F2185" s="10" t="n"/>
      <c r="G2185" s="10">
        <f>IF(F2185="","",MIN(F2185,100))</f>
        <v/>
      </c>
      <c r="H2185" s="11">
        <f>IF(A2185="","",Universe!E2185/BDP(A2185&amp;" US Equity","HIGH_52WEEK")*100)</f>
        <v/>
      </c>
      <c r="I2185">
        <f>IF(D2185="","",D2185&gt;=5)</f>
        <v/>
      </c>
      <c r="J2185">
        <f>IF(F2185="","",F2185&gt;=5)</f>
        <v/>
      </c>
      <c r="K2185">
        <f>IF(H2185="","",H2185&gt;=75)</f>
        <v/>
      </c>
      <c r="L2185">
        <f>IF(OR(I2185="",J2185="",K2185=""),FALSE,AND(I2185,J2185,K2185))</f>
        <v/>
      </c>
    </row>
    <row r="2186">
      <c r="A2186">
        <f>Universe!A2186</f>
        <v/>
      </c>
      <c r="B2186" s="10" t="n"/>
      <c r="C2186" s="11">
        <f>IF(B2186="","",PERCENTRANK.INC($B$2:$B$2501,B2186)*100)</f>
        <v/>
      </c>
      <c r="D2186" s="10" t="n"/>
      <c r="E2186" s="10">
        <f>IF(D2186="","",MIN(D2186,100))</f>
        <v/>
      </c>
      <c r="F2186" s="10" t="n"/>
      <c r="G2186" s="10">
        <f>IF(F2186="","",MIN(F2186,100))</f>
        <v/>
      </c>
      <c r="H2186" s="11">
        <f>IF(A2186="","",Universe!E2186/BDP(A2186&amp;" US Equity","HIGH_52WEEK")*100)</f>
        <v/>
      </c>
      <c r="I2186">
        <f>IF(D2186="","",D2186&gt;=5)</f>
        <v/>
      </c>
      <c r="J2186">
        <f>IF(F2186="","",F2186&gt;=5)</f>
        <v/>
      </c>
      <c r="K2186">
        <f>IF(H2186="","",H2186&gt;=75)</f>
        <v/>
      </c>
      <c r="L2186">
        <f>IF(OR(I2186="",J2186="",K2186=""),FALSE,AND(I2186,J2186,K2186))</f>
        <v/>
      </c>
    </row>
    <row r="2187">
      <c r="A2187">
        <f>Universe!A2187</f>
        <v/>
      </c>
      <c r="B2187" s="10" t="n"/>
      <c r="C2187" s="11">
        <f>IF(B2187="","",PERCENTRANK.INC($B$2:$B$2501,B2187)*100)</f>
        <v/>
      </c>
      <c r="D2187" s="10" t="n"/>
      <c r="E2187" s="10">
        <f>IF(D2187="","",MIN(D2187,100))</f>
        <v/>
      </c>
      <c r="F2187" s="10" t="n"/>
      <c r="G2187" s="10">
        <f>IF(F2187="","",MIN(F2187,100))</f>
        <v/>
      </c>
      <c r="H2187" s="11">
        <f>IF(A2187="","",Universe!E2187/BDP(A2187&amp;" US Equity","HIGH_52WEEK")*100)</f>
        <v/>
      </c>
      <c r="I2187">
        <f>IF(D2187="","",D2187&gt;=5)</f>
        <v/>
      </c>
      <c r="J2187">
        <f>IF(F2187="","",F2187&gt;=5)</f>
        <v/>
      </c>
      <c r="K2187">
        <f>IF(H2187="","",H2187&gt;=75)</f>
        <v/>
      </c>
      <c r="L2187">
        <f>IF(OR(I2187="",J2187="",K2187=""),FALSE,AND(I2187,J2187,K2187))</f>
        <v/>
      </c>
    </row>
    <row r="2188">
      <c r="A2188">
        <f>Universe!A2188</f>
        <v/>
      </c>
      <c r="B2188" s="10" t="n"/>
      <c r="C2188" s="11">
        <f>IF(B2188="","",PERCENTRANK.INC($B$2:$B$2501,B2188)*100)</f>
        <v/>
      </c>
      <c r="D2188" s="10" t="n"/>
      <c r="E2188" s="10">
        <f>IF(D2188="","",MIN(D2188,100))</f>
        <v/>
      </c>
      <c r="F2188" s="10" t="n"/>
      <c r="G2188" s="10">
        <f>IF(F2188="","",MIN(F2188,100))</f>
        <v/>
      </c>
      <c r="H2188" s="11">
        <f>IF(A2188="","",Universe!E2188/BDP(A2188&amp;" US Equity","HIGH_52WEEK")*100)</f>
        <v/>
      </c>
      <c r="I2188">
        <f>IF(D2188="","",D2188&gt;=5)</f>
        <v/>
      </c>
      <c r="J2188">
        <f>IF(F2188="","",F2188&gt;=5)</f>
        <v/>
      </c>
      <c r="K2188">
        <f>IF(H2188="","",H2188&gt;=75)</f>
        <v/>
      </c>
      <c r="L2188">
        <f>IF(OR(I2188="",J2188="",K2188=""),FALSE,AND(I2188,J2188,K2188))</f>
        <v/>
      </c>
    </row>
    <row r="2189">
      <c r="A2189">
        <f>Universe!A2189</f>
        <v/>
      </c>
      <c r="B2189" s="10" t="n"/>
      <c r="C2189" s="11">
        <f>IF(B2189="","",PERCENTRANK.INC($B$2:$B$2501,B2189)*100)</f>
        <v/>
      </c>
      <c r="D2189" s="10" t="n"/>
      <c r="E2189" s="10">
        <f>IF(D2189="","",MIN(D2189,100))</f>
        <v/>
      </c>
      <c r="F2189" s="10" t="n"/>
      <c r="G2189" s="10">
        <f>IF(F2189="","",MIN(F2189,100))</f>
        <v/>
      </c>
      <c r="H2189" s="11">
        <f>IF(A2189="","",Universe!E2189/BDP(A2189&amp;" US Equity","HIGH_52WEEK")*100)</f>
        <v/>
      </c>
      <c r="I2189">
        <f>IF(D2189="","",D2189&gt;=5)</f>
        <v/>
      </c>
      <c r="J2189">
        <f>IF(F2189="","",F2189&gt;=5)</f>
        <v/>
      </c>
      <c r="K2189">
        <f>IF(H2189="","",H2189&gt;=75)</f>
        <v/>
      </c>
      <c r="L2189">
        <f>IF(OR(I2189="",J2189="",K2189=""),FALSE,AND(I2189,J2189,K2189))</f>
        <v/>
      </c>
    </row>
    <row r="2190">
      <c r="A2190">
        <f>Universe!A2190</f>
        <v/>
      </c>
      <c r="B2190" s="10" t="n"/>
      <c r="C2190" s="11">
        <f>IF(B2190="","",PERCENTRANK.INC($B$2:$B$2501,B2190)*100)</f>
        <v/>
      </c>
      <c r="D2190" s="10" t="n"/>
      <c r="E2190" s="10">
        <f>IF(D2190="","",MIN(D2190,100))</f>
        <v/>
      </c>
      <c r="F2190" s="10" t="n"/>
      <c r="G2190" s="10">
        <f>IF(F2190="","",MIN(F2190,100))</f>
        <v/>
      </c>
      <c r="H2190" s="11">
        <f>IF(A2190="","",Universe!E2190/BDP(A2190&amp;" US Equity","HIGH_52WEEK")*100)</f>
        <v/>
      </c>
      <c r="I2190">
        <f>IF(D2190="","",D2190&gt;=5)</f>
        <v/>
      </c>
      <c r="J2190">
        <f>IF(F2190="","",F2190&gt;=5)</f>
        <v/>
      </c>
      <c r="K2190">
        <f>IF(H2190="","",H2190&gt;=75)</f>
        <v/>
      </c>
      <c r="L2190">
        <f>IF(OR(I2190="",J2190="",K2190=""),FALSE,AND(I2190,J2190,K2190))</f>
        <v/>
      </c>
    </row>
    <row r="2191">
      <c r="A2191">
        <f>Universe!A2191</f>
        <v/>
      </c>
      <c r="B2191" s="10" t="n"/>
      <c r="C2191" s="11">
        <f>IF(B2191="","",PERCENTRANK.INC($B$2:$B$2501,B2191)*100)</f>
        <v/>
      </c>
      <c r="D2191" s="10" t="n"/>
      <c r="E2191" s="10">
        <f>IF(D2191="","",MIN(D2191,100))</f>
        <v/>
      </c>
      <c r="F2191" s="10" t="n"/>
      <c r="G2191" s="10">
        <f>IF(F2191="","",MIN(F2191,100))</f>
        <v/>
      </c>
      <c r="H2191" s="11">
        <f>IF(A2191="","",Universe!E2191/BDP(A2191&amp;" US Equity","HIGH_52WEEK")*100)</f>
        <v/>
      </c>
      <c r="I2191">
        <f>IF(D2191="","",D2191&gt;=5)</f>
        <v/>
      </c>
      <c r="J2191">
        <f>IF(F2191="","",F2191&gt;=5)</f>
        <v/>
      </c>
      <c r="K2191">
        <f>IF(H2191="","",H2191&gt;=75)</f>
        <v/>
      </c>
      <c r="L2191">
        <f>IF(OR(I2191="",J2191="",K2191=""),FALSE,AND(I2191,J2191,K2191))</f>
        <v/>
      </c>
    </row>
    <row r="2192">
      <c r="A2192">
        <f>Universe!A2192</f>
        <v/>
      </c>
      <c r="B2192" s="10" t="n"/>
      <c r="C2192" s="11">
        <f>IF(B2192="","",PERCENTRANK.INC($B$2:$B$2501,B2192)*100)</f>
        <v/>
      </c>
      <c r="D2192" s="10" t="n"/>
      <c r="E2192" s="10">
        <f>IF(D2192="","",MIN(D2192,100))</f>
        <v/>
      </c>
      <c r="F2192" s="10" t="n"/>
      <c r="G2192" s="10">
        <f>IF(F2192="","",MIN(F2192,100))</f>
        <v/>
      </c>
      <c r="H2192" s="11">
        <f>IF(A2192="","",Universe!E2192/BDP(A2192&amp;" US Equity","HIGH_52WEEK")*100)</f>
        <v/>
      </c>
      <c r="I2192">
        <f>IF(D2192="","",D2192&gt;=5)</f>
        <v/>
      </c>
      <c r="J2192">
        <f>IF(F2192="","",F2192&gt;=5)</f>
        <v/>
      </c>
      <c r="K2192">
        <f>IF(H2192="","",H2192&gt;=75)</f>
        <v/>
      </c>
      <c r="L2192">
        <f>IF(OR(I2192="",J2192="",K2192=""),FALSE,AND(I2192,J2192,K2192))</f>
        <v/>
      </c>
    </row>
    <row r="2193">
      <c r="A2193">
        <f>Universe!A2193</f>
        <v/>
      </c>
      <c r="B2193" s="10" t="n"/>
      <c r="C2193" s="11">
        <f>IF(B2193="","",PERCENTRANK.INC($B$2:$B$2501,B2193)*100)</f>
        <v/>
      </c>
      <c r="D2193" s="10" t="n"/>
      <c r="E2193" s="10">
        <f>IF(D2193="","",MIN(D2193,100))</f>
        <v/>
      </c>
      <c r="F2193" s="10" t="n"/>
      <c r="G2193" s="10">
        <f>IF(F2193="","",MIN(F2193,100))</f>
        <v/>
      </c>
      <c r="H2193" s="11">
        <f>IF(A2193="","",Universe!E2193/BDP(A2193&amp;" US Equity","HIGH_52WEEK")*100)</f>
        <v/>
      </c>
      <c r="I2193">
        <f>IF(D2193="","",D2193&gt;=5)</f>
        <v/>
      </c>
      <c r="J2193">
        <f>IF(F2193="","",F2193&gt;=5)</f>
        <v/>
      </c>
      <c r="K2193">
        <f>IF(H2193="","",H2193&gt;=75)</f>
        <v/>
      </c>
      <c r="L2193">
        <f>IF(OR(I2193="",J2193="",K2193=""),FALSE,AND(I2193,J2193,K2193))</f>
        <v/>
      </c>
    </row>
    <row r="2194">
      <c r="A2194">
        <f>Universe!A2194</f>
        <v/>
      </c>
      <c r="B2194" s="10" t="n"/>
      <c r="C2194" s="11">
        <f>IF(B2194="","",PERCENTRANK.INC($B$2:$B$2501,B2194)*100)</f>
        <v/>
      </c>
      <c r="D2194" s="10" t="n"/>
      <c r="E2194" s="10">
        <f>IF(D2194="","",MIN(D2194,100))</f>
        <v/>
      </c>
      <c r="F2194" s="10" t="n"/>
      <c r="G2194" s="10">
        <f>IF(F2194="","",MIN(F2194,100))</f>
        <v/>
      </c>
      <c r="H2194" s="11">
        <f>IF(A2194="","",Universe!E2194/BDP(A2194&amp;" US Equity","HIGH_52WEEK")*100)</f>
        <v/>
      </c>
      <c r="I2194">
        <f>IF(D2194="","",D2194&gt;=5)</f>
        <v/>
      </c>
      <c r="J2194">
        <f>IF(F2194="","",F2194&gt;=5)</f>
        <v/>
      </c>
      <c r="K2194">
        <f>IF(H2194="","",H2194&gt;=75)</f>
        <v/>
      </c>
      <c r="L2194">
        <f>IF(OR(I2194="",J2194="",K2194=""),FALSE,AND(I2194,J2194,K2194))</f>
        <v/>
      </c>
    </row>
    <row r="2195">
      <c r="A2195">
        <f>Universe!A2195</f>
        <v/>
      </c>
      <c r="B2195" s="10" t="n"/>
      <c r="C2195" s="11">
        <f>IF(B2195="","",PERCENTRANK.INC($B$2:$B$2501,B2195)*100)</f>
        <v/>
      </c>
      <c r="D2195" s="10" t="n"/>
      <c r="E2195" s="10">
        <f>IF(D2195="","",MIN(D2195,100))</f>
        <v/>
      </c>
      <c r="F2195" s="10" t="n"/>
      <c r="G2195" s="10">
        <f>IF(F2195="","",MIN(F2195,100))</f>
        <v/>
      </c>
      <c r="H2195" s="11">
        <f>IF(A2195="","",Universe!E2195/BDP(A2195&amp;" US Equity","HIGH_52WEEK")*100)</f>
        <v/>
      </c>
      <c r="I2195">
        <f>IF(D2195="","",D2195&gt;=5)</f>
        <v/>
      </c>
      <c r="J2195">
        <f>IF(F2195="","",F2195&gt;=5)</f>
        <v/>
      </c>
      <c r="K2195">
        <f>IF(H2195="","",H2195&gt;=75)</f>
        <v/>
      </c>
      <c r="L2195">
        <f>IF(OR(I2195="",J2195="",K2195=""),FALSE,AND(I2195,J2195,K2195))</f>
        <v/>
      </c>
    </row>
    <row r="2196">
      <c r="A2196">
        <f>Universe!A2196</f>
        <v/>
      </c>
      <c r="B2196" s="10" t="n"/>
      <c r="C2196" s="11">
        <f>IF(B2196="","",PERCENTRANK.INC($B$2:$B$2501,B2196)*100)</f>
        <v/>
      </c>
      <c r="D2196" s="10" t="n"/>
      <c r="E2196" s="10">
        <f>IF(D2196="","",MIN(D2196,100))</f>
        <v/>
      </c>
      <c r="F2196" s="10" t="n"/>
      <c r="G2196" s="10">
        <f>IF(F2196="","",MIN(F2196,100))</f>
        <v/>
      </c>
      <c r="H2196" s="11">
        <f>IF(A2196="","",Universe!E2196/BDP(A2196&amp;" US Equity","HIGH_52WEEK")*100)</f>
        <v/>
      </c>
      <c r="I2196">
        <f>IF(D2196="","",D2196&gt;=5)</f>
        <v/>
      </c>
      <c r="J2196">
        <f>IF(F2196="","",F2196&gt;=5)</f>
        <v/>
      </c>
      <c r="K2196">
        <f>IF(H2196="","",H2196&gt;=75)</f>
        <v/>
      </c>
      <c r="L2196">
        <f>IF(OR(I2196="",J2196="",K2196=""),FALSE,AND(I2196,J2196,K2196))</f>
        <v/>
      </c>
    </row>
    <row r="2197">
      <c r="A2197">
        <f>Universe!A2197</f>
        <v/>
      </c>
      <c r="B2197" s="10" t="n"/>
      <c r="C2197" s="11">
        <f>IF(B2197="","",PERCENTRANK.INC($B$2:$B$2501,B2197)*100)</f>
        <v/>
      </c>
      <c r="D2197" s="10" t="n"/>
      <c r="E2197" s="10">
        <f>IF(D2197="","",MIN(D2197,100))</f>
        <v/>
      </c>
      <c r="F2197" s="10" t="n"/>
      <c r="G2197" s="10">
        <f>IF(F2197="","",MIN(F2197,100))</f>
        <v/>
      </c>
      <c r="H2197" s="11">
        <f>IF(A2197="","",Universe!E2197/BDP(A2197&amp;" US Equity","HIGH_52WEEK")*100)</f>
        <v/>
      </c>
      <c r="I2197">
        <f>IF(D2197="","",D2197&gt;=5)</f>
        <v/>
      </c>
      <c r="J2197">
        <f>IF(F2197="","",F2197&gt;=5)</f>
        <v/>
      </c>
      <c r="K2197">
        <f>IF(H2197="","",H2197&gt;=75)</f>
        <v/>
      </c>
      <c r="L2197">
        <f>IF(OR(I2197="",J2197="",K2197=""),FALSE,AND(I2197,J2197,K2197))</f>
        <v/>
      </c>
    </row>
    <row r="2198">
      <c r="A2198">
        <f>Universe!A2198</f>
        <v/>
      </c>
      <c r="B2198" s="10" t="n"/>
      <c r="C2198" s="11">
        <f>IF(B2198="","",PERCENTRANK.INC($B$2:$B$2501,B2198)*100)</f>
        <v/>
      </c>
      <c r="D2198" s="10" t="n"/>
      <c r="E2198" s="10">
        <f>IF(D2198="","",MIN(D2198,100))</f>
        <v/>
      </c>
      <c r="F2198" s="10" t="n"/>
      <c r="G2198" s="10">
        <f>IF(F2198="","",MIN(F2198,100))</f>
        <v/>
      </c>
      <c r="H2198" s="11">
        <f>IF(A2198="","",Universe!E2198/BDP(A2198&amp;" US Equity","HIGH_52WEEK")*100)</f>
        <v/>
      </c>
      <c r="I2198">
        <f>IF(D2198="","",D2198&gt;=5)</f>
        <v/>
      </c>
      <c r="J2198">
        <f>IF(F2198="","",F2198&gt;=5)</f>
        <v/>
      </c>
      <c r="K2198">
        <f>IF(H2198="","",H2198&gt;=75)</f>
        <v/>
      </c>
      <c r="L2198">
        <f>IF(OR(I2198="",J2198="",K2198=""),FALSE,AND(I2198,J2198,K2198))</f>
        <v/>
      </c>
    </row>
    <row r="2199">
      <c r="A2199">
        <f>Universe!A2199</f>
        <v/>
      </c>
      <c r="B2199" s="10" t="n"/>
      <c r="C2199" s="11">
        <f>IF(B2199="","",PERCENTRANK.INC($B$2:$B$2501,B2199)*100)</f>
        <v/>
      </c>
      <c r="D2199" s="10" t="n"/>
      <c r="E2199" s="10">
        <f>IF(D2199="","",MIN(D2199,100))</f>
        <v/>
      </c>
      <c r="F2199" s="10" t="n"/>
      <c r="G2199" s="10">
        <f>IF(F2199="","",MIN(F2199,100))</f>
        <v/>
      </c>
      <c r="H2199" s="11">
        <f>IF(A2199="","",Universe!E2199/BDP(A2199&amp;" US Equity","HIGH_52WEEK")*100)</f>
        <v/>
      </c>
      <c r="I2199">
        <f>IF(D2199="","",D2199&gt;=5)</f>
        <v/>
      </c>
      <c r="J2199">
        <f>IF(F2199="","",F2199&gt;=5)</f>
        <v/>
      </c>
      <c r="K2199">
        <f>IF(H2199="","",H2199&gt;=75)</f>
        <v/>
      </c>
      <c r="L2199">
        <f>IF(OR(I2199="",J2199="",K2199=""),FALSE,AND(I2199,J2199,K2199))</f>
        <v/>
      </c>
    </row>
    <row r="2200">
      <c r="A2200">
        <f>Universe!A2200</f>
        <v/>
      </c>
      <c r="B2200" s="10" t="n"/>
      <c r="C2200" s="11">
        <f>IF(B2200="","",PERCENTRANK.INC($B$2:$B$2501,B2200)*100)</f>
        <v/>
      </c>
      <c r="D2200" s="10" t="n"/>
      <c r="E2200" s="10">
        <f>IF(D2200="","",MIN(D2200,100))</f>
        <v/>
      </c>
      <c r="F2200" s="10" t="n"/>
      <c r="G2200" s="10">
        <f>IF(F2200="","",MIN(F2200,100))</f>
        <v/>
      </c>
      <c r="H2200" s="11">
        <f>IF(A2200="","",Universe!E2200/BDP(A2200&amp;" US Equity","HIGH_52WEEK")*100)</f>
        <v/>
      </c>
      <c r="I2200">
        <f>IF(D2200="","",D2200&gt;=5)</f>
        <v/>
      </c>
      <c r="J2200">
        <f>IF(F2200="","",F2200&gt;=5)</f>
        <v/>
      </c>
      <c r="K2200">
        <f>IF(H2200="","",H2200&gt;=75)</f>
        <v/>
      </c>
      <c r="L2200">
        <f>IF(OR(I2200="",J2200="",K2200=""),FALSE,AND(I2200,J2200,K2200))</f>
        <v/>
      </c>
    </row>
    <row r="2201">
      <c r="A2201">
        <f>Universe!A2201</f>
        <v/>
      </c>
      <c r="B2201" s="10" t="n"/>
      <c r="C2201" s="11">
        <f>IF(B2201="","",PERCENTRANK.INC($B$2:$B$2501,B2201)*100)</f>
        <v/>
      </c>
      <c r="D2201" s="10" t="n"/>
      <c r="E2201" s="10">
        <f>IF(D2201="","",MIN(D2201,100))</f>
        <v/>
      </c>
      <c r="F2201" s="10" t="n"/>
      <c r="G2201" s="10">
        <f>IF(F2201="","",MIN(F2201,100))</f>
        <v/>
      </c>
      <c r="H2201" s="11">
        <f>IF(A2201="","",Universe!E2201/BDP(A2201&amp;" US Equity","HIGH_52WEEK")*100)</f>
        <v/>
      </c>
      <c r="I2201">
        <f>IF(D2201="","",D2201&gt;=5)</f>
        <v/>
      </c>
      <c r="J2201">
        <f>IF(F2201="","",F2201&gt;=5)</f>
        <v/>
      </c>
      <c r="K2201">
        <f>IF(H2201="","",H2201&gt;=75)</f>
        <v/>
      </c>
      <c r="L2201">
        <f>IF(OR(I2201="",J2201="",K2201=""),FALSE,AND(I2201,J2201,K2201))</f>
        <v/>
      </c>
    </row>
    <row r="2202">
      <c r="A2202">
        <f>Universe!A2202</f>
        <v/>
      </c>
      <c r="B2202" s="10" t="n"/>
      <c r="C2202" s="11">
        <f>IF(B2202="","",PERCENTRANK.INC($B$2:$B$2501,B2202)*100)</f>
        <v/>
      </c>
      <c r="D2202" s="10" t="n"/>
      <c r="E2202" s="10">
        <f>IF(D2202="","",MIN(D2202,100))</f>
        <v/>
      </c>
      <c r="F2202" s="10" t="n"/>
      <c r="G2202" s="10">
        <f>IF(F2202="","",MIN(F2202,100))</f>
        <v/>
      </c>
      <c r="H2202" s="11">
        <f>IF(A2202="","",Universe!E2202/BDP(A2202&amp;" US Equity","HIGH_52WEEK")*100)</f>
        <v/>
      </c>
      <c r="I2202">
        <f>IF(D2202="","",D2202&gt;=5)</f>
        <v/>
      </c>
      <c r="J2202">
        <f>IF(F2202="","",F2202&gt;=5)</f>
        <v/>
      </c>
      <c r="K2202">
        <f>IF(H2202="","",H2202&gt;=75)</f>
        <v/>
      </c>
      <c r="L2202">
        <f>IF(OR(I2202="",J2202="",K2202=""),FALSE,AND(I2202,J2202,K2202))</f>
        <v/>
      </c>
    </row>
    <row r="2203">
      <c r="A2203">
        <f>Universe!A2203</f>
        <v/>
      </c>
      <c r="B2203" s="10" t="n"/>
      <c r="C2203" s="11">
        <f>IF(B2203="","",PERCENTRANK.INC($B$2:$B$2501,B2203)*100)</f>
        <v/>
      </c>
      <c r="D2203" s="10" t="n"/>
      <c r="E2203" s="10">
        <f>IF(D2203="","",MIN(D2203,100))</f>
        <v/>
      </c>
      <c r="F2203" s="10" t="n"/>
      <c r="G2203" s="10">
        <f>IF(F2203="","",MIN(F2203,100))</f>
        <v/>
      </c>
      <c r="H2203" s="11">
        <f>IF(A2203="","",Universe!E2203/BDP(A2203&amp;" US Equity","HIGH_52WEEK")*100)</f>
        <v/>
      </c>
      <c r="I2203">
        <f>IF(D2203="","",D2203&gt;=5)</f>
        <v/>
      </c>
      <c r="J2203">
        <f>IF(F2203="","",F2203&gt;=5)</f>
        <v/>
      </c>
      <c r="K2203">
        <f>IF(H2203="","",H2203&gt;=75)</f>
        <v/>
      </c>
      <c r="L2203">
        <f>IF(OR(I2203="",J2203="",K2203=""),FALSE,AND(I2203,J2203,K2203))</f>
        <v/>
      </c>
    </row>
    <row r="2204">
      <c r="A2204">
        <f>Universe!A2204</f>
        <v/>
      </c>
      <c r="B2204" s="10" t="n"/>
      <c r="C2204" s="11">
        <f>IF(B2204="","",PERCENTRANK.INC($B$2:$B$2501,B2204)*100)</f>
        <v/>
      </c>
      <c r="D2204" s="10" t="n"/>
      <c r="E2204" s="10">
        <f>IF(D2204="","",MIN(D2204,100))</f>
        <v/>
      </c>
      <c r="F2204" s="10" t="n"/>
      <c r="G2204" s="10">
        <f>IF(F2204="","",MIN(F2204,100))</f>
        <v/>
      </c>
      <c r="H2204" s="11">
        <f>IF(A2204="","",Universe!E2204/BDP(A2204&amp;" US Equity","HIGH_52WEEK")*100)</f>
        <v/>
      </c>
      <c r="I2204">
        <f>IF(D2204="","",D2204&gt;=5)</f>
        <v/>
      </c>
      <c r="J2204">
        <f>IF(F2204="","",F2204&gt;=5)</f>
        <v/>
      </c>
      <c r="K2204">
        <f>IF(H2204="","",H2204&gt;=75)</f>
        <v/>
      </c>
      <c r="L2204">
        <f>IF(OR(I2204="",J2204="",K2204=""),FALSE,AND(I2204,J2204,K2204))</f>
        <v/>
      </c>
    </row>
    <row r="2205">
      <c r="A2205">
        <f>Universe!A2205</f>
        <v/>
      </c>
      <c r="B2205" s="10" t="n"/>
      <c r="C2205" s="11">
        <f>IF(B2205="","",PERCENTRANK.INC($B$2:$B$2501,B2205)*100)</f>
        <v/>
      </c>
      <c r="D2205" s="10" t="n"/>
      <c r="E2205" s="10">
        <f>IF(D2205="","",MIN(D2205,100))</f>
        <v/>
      </c>
      <c r="F2205" s="10" t="n"/>
      <c r="G2205" s="10">
        <f>IF(F2205="","",MIN(F2205,100))</f>
        <v/>
      </c>
      <c r="H2205" s="11">
        <f>IF(A2205="","",Universe!E2205/BDP(A2205&amp;" US Equity","HIGH_52WEEK")*100)</f>
        <v/>
      </c>
      <c r="I2205">
        <f>IF(D2205="","",D2205&gt;=5)</f>
        <v/>
      </c>
      <c r="J2205">
        <f>IF(F2205="","",F2205&gt;=5)</f>
        <v/>
      </c>
      <c r="K2205">
        <f>IF(H2205="","",H2205&gt;=75)</f>
        <v/>
      </c>
      <c r="L2205">
        <f>IF(OR(I2205="",J2205="",K2205=""),FALSE,AND(I2205,J2205,K2205))</f>
        <v/>
      </c>
    </row>
    <row r="2206">
      <c r="A2206">
        <f>Universe!A2206</f>
        <v/>
      </c>
      <c r="B2206" s="10" t="n"/>
      <c r="C2206" s="11">
        <f>IF(B2206="","",PERCENTRANK.INC($B$2:$B$2501,B2206)*100)</f>
        <v/>
      </c>
      <c r="D2206" s="10" t="n"/>
      <c r="E2206" s="10">
        <f>IF(D2206="","",MIN(D2206,100))</f>
        <v/>
      </c>
      <c r="F2206" s="10" t="n"/>
      <c r="G2206" s="10">
        <f>IF(F2206="","",MIN(F2206,100))</f>
        <v/>
      </c>
      <c r="H2206" s="11">
        <f>IF(A2206="","",Universe!E2206/BDP(A2206&amp;" US Equity","HIGH_52WEEK")*100)</f>
        <v/>
      </c>
      <c r="I2206">
        <f>IF(D2206="","",D2206&gt;=5)</f>
        <v/>
      </c>
      <c r="J2206">
        <f>IF(F2206="","",F2206&gt;=5)</f>
        <v/>
      </c>
      <c r="K2206">
        <f>IF(H2206="","",H2206&gt;=75)</f>
        <v/>
      </c>
      <c r="L2206">
        <f>IF(OR(I2206="",J2206="",K2206=""),FALSE,AND(I2206,J2206,K2206))</f>
        <v/>
      </c>
    </row>
    <row r="2207">
      <c r="A2207">
        <f>Universe!A2207</f>
        <v/>
      </c>
      <c r="B2207" s="10" t="n"/>
      <c r="C2207" s="11">
        <f>IF(B2207="","",PERCENTRANK.INC($B$2:$B$2501,B2207)*100)</f>
        <v/>
      </c>
      <c r="D2207" s="10" t="n"/>
      <c r="E2207" s="10">
        <f>IF(D2207="","",MIN(D2207,100))</f>
        <v/>
      </c>
      <c r="F2207" s="10" t="n"/>
      <c r="G2207" s="10">
        <f>IF(F2207="","",MIN(F2207,100))</f>
        <v/>
      </c>
      <c r="H2207" s="11">
        <f>IF(A2207="","",Universe!E2207/BDP(A2207&amp;" US Equity","HIGH_52WEEK")*100)</f>
        <v/>
      </c>
      <c r="I2207">
        <f>IF(D2207="","",D2207&gt;=5)</f>
        <v/>
      </c>
      <c r="J2207">
        <f>IF(F2207="","",F2207&gt;=5)</f>
        <v/>
      </c>
      <c r="K2207">
        <f>IF(H2207="","",H2207&gt;=75)</f>
        <v/>
      </c>
      <c r="L2207">
        <f>IF(OR(I2207="",J2207="",K2207=""),FALSE,AND(I2207,J2207,K2207))</f>
        <v/>
      </c>
    </row>
    <row r="2208">
      <c r="A2208">
        <f>Universe!A2208</f>
        <v/>
      </c>
      <c r="B2208" s="10" t="n"/>
      <c r="C2208" s="11">
        <f>IF(B2208="","",PERCENTRANK.INC($B$2:$B$2501,B2208)*100)</f>
        <v/>
      </c>
      <c r="D2208" s="10" t="n"/>
      <c r="E2208" s="10">
        <f>IF(D2208="","",MIN(D2208,100))</f>
        <v/>
      </c>
      <c r="F2208" s="10" t="n"/>
      <c r="G2208" s="10">
        <f>IF(F2208="","",MIN(F2208,100))</f>
        <v/>
      </c>
      <c r="H2208" s="11">
        <f>IF(A2208="","",Universe!E2208/BDP(A2208&amp;" US Equity","HIGH_52WEEK")*100)</f>
        <v/>
      </c>
      <c r="I2208">
        <f>IF(D2208="","",D2208&gt;=5)</f>
        <v/>
      </c>
      <c r="J2208">
        <f>IF(F2208="","",F2208&gt;=5)</f>
        <v/>
      </c>
      <c r="K2208">
        <f>IF(H2208="","",H2208&gt;=75)</f>
        <v/>
      </c>
      <c r="L2208">
        <f>IF(OR(I2208="",J2208="",K2208=""),FALSE,AND(I2208,J2208,K2208))</f>
        <v/>
      </c>
    </row>
    <row r="2209">
      <c r="A2209">
        <f>Universe!A2209</f>
        <v/>
      </c>
      <c r="B2209" s="10" t="n"/>
      <c r="C2209" s="11">
        <f>IF(B2209="","",PERCENTRANK.INC($B$2:$B$2501,B2209)*100)</f>
        <v/>
      </c>
      <c r="D2209" s="10" t="n"/>
      <c r="E2209" s="10">
        <f>IF(D2209="","",MIN(D2209,100))</f>
        <v/>
      </c>
      <c r="F2209" s="10" t="n"/>
      <c r="G2209" s="10">
        <f>IF(F2209="","",MIN(F2209,100))</f>
        <v/>
      </c>
      <c r="H2209" s="11">
        <f>IF(A2209="","",Universe!E2209/BDP(A2209&amp;" US Equity","HIGH_52WEEK")*100)</f>
        <v/>
      </c>
      <c r="I2209">
        <f>IF(D2209="","",D2209&gt;=5)</f>
        <v/>
      </c>
      <c r="J2209">
        <f>IF(F2209="","",F2209&gt;=5)</f>
        <v/>
      </c>
      <c r="K2209">
        <f>IF(H2209="","",H2209&gt;=75)</f>
        <v/>
      </c>
      <c r="L2209">
        <f>IF(OR(I2209="",J2209="",K2209=""),FALSE,AND(I2209,J2209,K2209))</f>
        <v/>
      </c>
    </row>
    <row r="2210">
      <c r="A2210">
        <f>Universe!A2210</f>
        <v/>
      </c>
      <c r="B2210" s="10" t="n"/>
      <c r="C2210" s="11">
        <f>IF(B2210="","",PERCENTRANK.INC($B$2:$B$2501,B2210)*100)</f>
        <v/>
      </c>
      <c r="D2210" s="10" t="n"/>
      <c r="E2210" s="10">
        <f>IF(D2210="","",MIN(D2210,100))</f>
        <v/>
      </c>
      <c r="F2210" s="10" t="n"/>
      <c r="G2210" s="10">
        <f>IF(F2210="","",MIN(F2210,100))</f>
        <v/>
      </c>
      <c r="H2210" s="11">
        <f>IF(A2210="","",Universe!E2210/BDP(A2210&amp;" US Equity","HIGH_52WEEK")*100)</f>
        <v/>
      </c>
      <c r="I2210">
        <f>IF(D2210="","",D2210&gt;=5)</f>
        <v/>
      </c>
      <c r="J2210">
        <f>IF(F2210="","",F2210&gt;=5)</f>
        <v/>
      </c>
      <c r="K2210">
        <f>IF(H2210="","",H2210&gt;=75)</f>
        <v/>
      </c>
      <c r="L2210">
        <f>IF(OR(I2210="",J2210="",K2210=""),FALSE,AND(I2210,J2210,K2210))</f>
        <v/>
      </c>
    </row>
    <row r="2211">
      <c r="A2211">
        <f>Universe!A2211</f>
        <v/>
      </c>
      <c r="B2211" s="10" t="n"/>
      <c r="C2211" s="11">
        <f>IF(B2211="","",PERCENTRANK.INC($B$2:$B$2501,B2211)*100)</f>
        <v/>
      </c>
      <c r="D2211" s="10" t="n"/>
      <c r="E2211" s="10">
        <f>IF(D2211="","",MIN(D2211,100))</f>
        <v/>
      </c>
      <c r="F2211" s="10" t="n"/>
      <c r="G2211" s="10">
        <f>IF(F2211="","",MIN(F2211,100))</f>
        <v/>
      </c>
      <c r="H2211" s="11">
        <f>IF(A2211="","",Universe!E2211/BDP(A2211&amp;" US Equity","HIGH_52WEEK")*100)</f>
        <v/>
      </c>
      <c r="I2211">
        <f>IF(D2211="","",D2211&gt;=5)</f>
        <v/>
      </c>
      <c r="J2211">
        <f>IF(F2211="","",F2211&gt;=5)</f>
        <v/>
      </c>
      <c r="K2211">
        <f>IF(H2211="","",H2211&gt;=75)</f>
        <v/>
      </c>
      <c r="L2211">
        <f>IF(OR(I2211="",J2211="",K2211=""),FALSE,AND(I2211,J2211,K2211))</f>
        <v/>
      </c>
    </row>
    <row r="2212">
      <c r="A2212">
        <f>Universe!A2212</f>
        <v/>
      </c>
      <c r="B2212" s="10" t="n"/>
      <c r="C2212" s="11">
        <f>IF(B2212="","",PERCENTRANK.INC($B$2:$B$2501,B2212)*100)</f>
        <v/>
      </c>
      <c r="D2212" s="10" t="n"/>
      <c r="E2212" s="10">
        <f>IF(D2212="","",MIN(D2212,100))</f>
        <v/>
      </c>
      <c r="F2212" s="10" t="n"/>
      <c r="G2212" s="10">
        <f>IF(F2212="","",MIN(F2212,100))</f>
        <v/>
      </c>
      <c r="H2212" s="11">
        <f>IF(A2212="","",Universe!E2212/BDP(A2212&amp;" US Equity","HIGH_52WEEK")*100)</f>
        <v/>
      </c>
      <c r="I2212">
        <f>IF(D2212="","",D2212&gt;=5)</f>
        <v/>
      </c>
      <c r="J2212">
        <f>IF(F2212="","",F2212&gt;=5)</f>
        <v/>
      </c>
      <c r="K2212">
        <f>IF(H2212="","",H2212&gt;=75)</f>
        <v/>
      </c>
      <c r="L2212">
        <f>IF(OR(I2212="",J2212="",K2212=""),FALSE,AND(I2212,J2212,K2212))</f>
        <v/>
      </c>
    </row>
    <row r="2213">
      <c r="A2213">
        <f>Universe!A2213</f>
        <v/>
      </c>
      <c r="B2213" s="10" t="n"/>
      <c r="C2213" s="11">
        <f>IF(B2213="","",PERCENTRANK.INC($B$2:$B$2501,B2213)*100)</f>
        <v/>
      </c>
      <c r="D2213" s="10" t="n"/>
      <c r="E2213" s="10">
        <f>IF(D2213="","",MIN(D2213,100))</f>
        <v/>
      </c>
      <c r="F2213" s="10" t="n"/>
      <c r="G2213" s="10">
        <f>IF(F2213="","",MIN(F2213,100))</f>
        <v/>
      </c>
      <c r="H2213" s="11">
        <f>IF(A2213="","",Universe!E2213/BDP(A2213&amp;" US Equity","HIGH_52WEEK")*100)</f>
        <v/>
      </c>
      <c r="I2213">
        <f>IF(D2213="","",D2213&gt;=5)</f>
        <v/>
      </c>
      <c r="J2213">
        <f>IF(F2213="","",F2213&gt;=5)</f>
        <v/>
      </c>
      <c r="K2213">
        <f>IF(H2213="","",H2213&gt;=75)</f>
        <v/>
      </c>
      <c r="L2213">
        <f>IF(OR(I2213="",J2213="",K2213=""),FALSE,AND(I2213,J2213,K2213))</f>
        <v/>
      </c>
    </row>
    <row r="2214">
      <c r="A2214">
        <f>Universe!A2214</f>
        <v/>
      </c>
      <c r="B2214" s="10" t="n"/>
      <c r="C2214" s="11">
        <f>IF(B2214="","",PERCENTRANK.INC($B$2:$B$2501,B2214)*100)</f>
        <v/>
      </c>
      <c r="D2214" s="10" t="n"/>
      <c r="E2214" s="10">
        <f>IF(D2214="","",MIN(D2214,100))</f>
        <v/>
      </c>
      <c r="F2214" s="10" t="n"/>
      <c r="G2214" s="10">
        <f>IF(F2214="","",MIN(F2214,100))</f>
        <v/>
      </c>
      <c r="H2214" s="11">
        <f>IF(A2214="","",Universe!E2214/BDP(A2214&amp;" US Equity","HIGH_52WEEK")*100)</f>
        <v/>
      </c>
      <c r="I2214">
        <f>IF(D2214="","",D2214&gt;=5)</f>
        <v/>
      </c>
      <c r="J2214">
        <f>IF(F2214="","",F2214&gt;=5)</f>
        <v/>
      </c>
      <c r="K2214">
        <f>IF(H2214="","",H2214&gt;=75)</f>
        <v/>
      </c>
      <c r="L2214">
        <f>IF(OR(I2214="",J2214="",K2214=""),FALSE,AND(I2214,J2214,K2214))</f>
        <v/>
      </c>
    </row>
    <row r="2215">
      <c r="A2215">
        <f>Universe!A2215</f>
        <v/>
      </c>
      <c r="B2215" s="10" t="n"/>
      <c r="C2215" s="11">
        <f>IF(B2215="","",PERCENTRANK.INC($B$2:$B$2501,B2215)*100)</f>
        <v/>
      </c>
      <c r="D2215" s="10" t="n"/>
      <c r="E2215" s="10">
        <f>IF(D2215="","",MIN(D2215,100))</f>
        <v/>
      </c>
      <c r="F2215" s="10" t="n"/>
      <c r="G2215" s="10">
        <f>IF(F2215="","",MIN(F2215,100))</f>
        <v/>
      </c>
      <c r="H2215" s="11">
        <f>IF(A2215="","",Universe!E2215/BDP(A2215&amp;" US Equity","HIGH_52WEEK")*100)</f>
        <v/>
      </c>
      <c r="I2215">
        <f>IF(D2215="","",D2215&gt;=5)</f>
        <v/>
      </c>
      <c r="J2215">
        <f>IF(F2215="","",F2215&gt;=5)</f>
        <v/>
      </c>
      <c r="K2215">
        <f>IF(H2215="","",H2215&gt;=75)</f>
        <v/>
      </c>
      <c r="L2215">
        <f>IF(OR(I2215="",J2215="",K2215=""),FALSE,AND(I2215,J2215,K2215))</f>
        <v/>
      </c>
    </row>
    <row r="2216">
      <c r="A2216">
        <f>Universe!A2216</f>
        <v/>
      </c>
      <c r="B2216" s="10" t="n"/>
      <c r="C2216" s="11">
        <f>IF(B2216="","",PERCENTRANK.INC($B$2:$B$2501,B2216)*100)</f>
        <v/>
      </c>
      <c r="D2216" s="10" t="n"/>
      <c r="E2216" s="10">
        <f>IF(D2216="","",MIN(D2216,100))</f>
        <v/>
      </c>
      <c r="F2216" s="10" t="n"/>
      <c r="G2216" s="10">
        <f>IF(F2216="","",MIN(F2216,100))</f>
        <v/>
      </c>
      <c r="H2216" s="11">
        <f>IF(A2216="","",Universe!E2216/BDP(A2216&amp;" US Equity","HIGH_52WEEK")*100)</f>
        <v/>
      </c>
      <c r="I2216">
        <f>IF(D2216="","",D2216&gt;=5)</f>
        <v/>
      </c>
      <c r="J2216">
        <f>IF(F2216="","",F2216&gt;=5)</f>
        <v/>
      </c>
      <c r="K2216">
        <f>IF(H2216="","",H2216&gt;=75)</f>
        <v/>
      </c>
      <c r="L2216">
        <f>IF(OR(I2216="",J2216="",K2216=""),FALSE,AND(I2216,J2216,K2216))</f>
        <v/>
      </c>
    </row>
    <row r="2217">
      <c r="A2217">
        <f>Universe!A2217</f>
        <v/>
      </c>
      <c r="B2217" s="10" t="n"/>
      <c r="C2217" s="11">
        <f>IF(B2217="","",PERCENTRANK.INC($B$2:$B$2501,B2217)*100)</f>
        <v/>
      </c>
      <c r="D2217" s="10" t="n"/>
      <c r="E2217" s="10">
        <f>IF(D2217="","",MIN(D2217,100))</f>
        <v/>
      </c>
      <c r="F2217" s="10" t="n"/>
      <c r="G2217" s="10">
        <f>IF(F2217="","",MIN(F2217,100))</f>
        <v/>
      </c>
      <c r="H2217" s="11">
        <f>IF(A2217="","",Universe!E2217/BDP(A2217&amp;" US Equity","HIGH_52WEEK")*100)</f>
        <v/>
      </c>
      <c r="I2217">
        <f>IF(D2217="","",D2217&gt;=5)</f>
        <v/>
      </c>
      <c r="J2217">
        <f>IF(F2217="","",F2217&gt;=5)</f>
        <v/>
      </c>
      <c r="K2217">
        <f>IF(H2217="","",H2217&gt;=75)</f>
        <v/>
      </c>
      <c r="L2217">
        <f>IF(OR(I2217="",J2217="",K2217=""),FALSE,AND(I2217,J2217,K2217))</f>
        <v/>
      </c>
    </row>
    <row r="2218">
      <c r="A2218">
        <f>Universe!A2218</f>
        <v/>
      </c>
      <c r="B2218" s="10" t="n"/>
      <c r="C2218" s="11">
        <f>IF(B2218="","",PERCENTRANK.INC($B$2:$B$2501,B2218)*100)</f>
        <v/>
      </c>
      <c r="D2218" s="10" t="n"/>
      <c r="E2218" s="10">
        <f>IF(D2218="","",MIN(D2218,100))</f>
        <v/>
      </c>
      <c r="F2218" s="10" t="n"/>
      <c r="G2218" s="10">
        <f>IF(F2218="","",MIN(F2218,100))</f>
        <v/>
      </c>
      <c r="H2218" s="11">
        <f>IF(A2218="","",Universe!E2218/BDP(A2218&amp;" US Equity","HIGH_52WEEK")*100)</f>
        <v/>
      </c>
      <c r="I2218">
        <f>IF(D2218="","",D2218&gt;=5)</f>
        <v/>
      </c>
      <c r="J2218">
        <f>IF(F2218="","",F2218&gt;=5)</f>
        <v/>
      </c>
      <c r="K2218">
        <f>IF(H2218="","",H2218&gt;=75)</f>
        <v/>
      </c>
      <c r="L2218">
        <f>IF(OR(I2218="",J2218="",K2218=""),FALSE,AND(I2218,J2218,K2218))</f>
        <v/>
      </c>
    </row>
    <row r="2219">
      <c r="A2219">
        <f>Universe!A2219</f>
        <v/>
      </c>
      <c r="B2219" s="10" t="n"/>
      <c r="C2219" s="11">
        <f>IF(B2219="","",PERCENTRANK.INC($B$2:$B$2501,B2219)*100)</f>
        <v/>
      </c>
      <c r="D2219" s="10" t="n"/>
      <c r="E2219" s="10">
        <f>IF(D2219="","",MIN(D2219,100))</f>
        <v/>
      </c>
      <c r="F2219" s="10" t="n"/>
      <c r="G2219" s="10">
        <f>IF(F2219="","",MIN(F2219,100))</f>
        <v/>
      </c>
      <c r="H2219" s="11">
        <f>IF(A2219="","",Universe!E2219/BDP(A2219&amp;" US Equity","HIGH_52WEEK")*100)</f>
        <v/>
      </c>
      <c r="I2219">
        <f>IF(D2219="","",D2219&gt;=5)</f>
        <v/>
      </c>
      <c r="J2219">
        <f>IF(F2219="","",F2219&gt;=5)</f>
        <v/>
      </c>
      <c r="K2219">
        <f>IF(H2219="","",H2219&gt;=75)</f>
        <v/>
      </c>
      <c r="L2219">
        <f>IF(OR(I2219="",J2219="",K2219=""),FALSE,AND(I2219,J2219,K2219))</f>
        <v/>
      </c>
    </row>
    <row r="2220">
      <c r="A2220">
        <f>Universe!A2220</f>
        <v/>
      </c>
      <c r="B2220" s="10" t="n"/>
      <c r="C2220" s="11">
        <f>IF(B2220="","",PERCENTRANK.INC($B$2:$B$2501,B2220)*100)</f>
        <v/>
      </c>
      <c r="D2220" s="10" t="n"/>
      <c r="E2220" s="10">
        <f>IF(D2220="","",MIN(D2220,100))</f>
        <v/>
      </c>
      <c r="F2220" s="10" t="n"/>
      <c r="G2220" s="10">
        <f>IF(F2220="","",MIN(F2220,100))</f>
        <v/>
      </c>
      <c r="H2220" s="11">
        <f>IF(A2220="","",Universe!E2220/BDP(A2220&amp;" US Equity","HIGH_52WEEK")*100)</f>
        <v/>
      </c>
      <c r="I2220">
        <f>IF(D2220="","",D2220&gt;=5)</f>
        <v/>
      </c>
      <c r="J2220">
        <f>IF(F2220="","",F2220&gt;=5)</f>
        <v/>
      </c>
      <c r="K2220">
        <f>IF(H2220="","",H2220&gt;=75)</f>
        <v/>
      </c>
      <c r="L2220">
        <f>IF(OR(I2220="",J2220="",K2220=""),FALSE,AND(I2220,J2220,K2220))</f>
        <v/>
      </c>
    </row>
    <row r="2221">
      <c r="A2221">
        <f>Universe!A2221</f>
        <v/>
      </c>
      <c r="B2221" s="10" t="n"/>
      <c r="C2221" s="11">
        <f>IF(B2221="","",PERCENTRANK.INC($B$2:$B$2501,B2221)*100)</f>
        <v/>
      </c>
      <c r="D2221" s="10" t="n"/>
      <c r="E2221" s="10">
        <f>IF(D2221="","",MIN(D2221,100))</f>
        <v/>
      </c>
      <c r="F2221" s="10" t="n"/>
      <c r="G2221" s="10">
        <f>IF(F2221="","",MIN(F2221,100))</f>
        <v/>
      </c>
      <c r="H2221" s="11">
        <f>IF(A2221="","",Universe!E2221/BDP(A2221&amp;" US Equity","HIGH_52WEEK")*100)</f>
        <v/>
      </c>
      <c r="I2221">
        <f>IF(D2221="","",D2221&gt;=5)</f>
        <v/>
      </c>
      <c r="J2221">
        <f>IF(F2221="","",F2221&gt;=5)</f>
        <v/>
      </c>
      <c r="K2221">
        <f>IF(H2221="","",H2221&gt;=75)</f>
        <v/>
      </c>
      <c r="L2221">
        <f>IF(OR(I2221="",J2221="",K2221=""),FALSE,AND(I2221,J2221,K2221))</f>
        <v/>
      </c>
    </row>
    <row r="2222">
      <c r="A2222">
        <f>Universe!A2222</f>
        <v/>
      </c>
      <c r="B2222" s="10" t="n"/>
      <c r="C2222" s="11">
        <f>IF(B2222="","",PERCENTRANK.INC($B$2:$B$2501,B2222)*100)</f>
        <v/>
      </c>
      <c r="D2222" s="10" t="n"/>
      <c r="E2222" s="10">
        <f>IF(D2222="","",MIN(D2222,100))</f>
        <v/>
      </c>
      <c r="F2222" s="10" t="n"/>
      <c r="G2222" s="10">
        <f>IF(F2222="","",MIN(F2222,100))</f>
        <v/>
      </c>
      <c r="H2222" s="11">
        <f>IF(A2222="","",Universe!E2222/BDP(A2222&amp;" US Equity","HIGH_52WEEK")*100)</f>
        <v/>
      </c>
      <c r="I2222">
        <f>IF(D2222="","",D2222&gt;=5)</f>
        <v/>
      </c>
      <c r="J2222">
        <f>IF(F2222="","",F2222&gt;=5)</f>
        <v/>
      </c>
      <c r="K2222">
        <f>IF(H2222="","",H2222&gt;=75)</f>
        <v/>
      </c>
      <c r="L2222">
        <f>IF(OR(I2222="",J2222="",K2222=""),FALSE,AND(I2222,J2222,K2222))</f>
        <v/>
      </c>
    </row>
    <row r="2223">
      <c r="A2223">
        <f>Universe!A2223</f>
        <v/>
      </c>
      <c r="B2223" s="10" t="n"/>
      <c r="C2223" s="11">
        <f>IF(B2223="","",PERCENTRANK.INC($B$2:$B$2501,B2223)*100)</f>
        <v/>
      </c>
      <c r="D2223" s="10" t="n"/>
      <c r="E2223" s="10">
        <f>IF(D2223="","",MIN(D2223,100))</f>
        <v/>
      </c>
      <c r="F2223" s="10" t="n"/>
      <c r="G2223" s="10">
        <f>IF(F2223="","",MIN(F2223,100))</f>
        <v/>
      </c>
      <c r="H2223" s="11">
        <f>IF(A2223="","",Universe!E2223/BDP(A2223&amp;" US Equity","HIGH_52WEEK")*100)</f>
        <v/>
      </c>
      <c r="I2223">
        <f>IF(D2223="","",D2223&gt;=5)</f>
        <v/>
      </c>
      <c r="J2223">
        <f>IF(F2223="","",F2223&gt;=5)</f>
        <v/>
      </c>
      <c r="K2223">
        <f>IF(H2223="","",H2223&gt;=75)</f>
        <v/>
      </c>
      <c r="L2223">
        <f>IF(OR(I2223="",J2223="",K2223=""),FALSE,AND(I2223,J2223,K2223))</f>
        <v/>
      </c>
    </row>
    <row r="2224">
      <c r="A2224">
        <f>Universe!A2224</f>
        <v/>
      </c>
      <c r="B2224" s="10" t="n"/>
      <c r="C2224" s="11">
        <f>IF(B2224="","",PERCENTRANK.INC($B$2:$B$2501,B2224)*100)</f>
        <v/>
      </c>
      <c r="D2224" s="10" t="n"/>
      <c r="E2224" s="10">
        <f>IF(D2224="","",MIN(D2224,100))</f>
        <v/>
      </c>
      <c r="F2224" s="10" t="n"/>
      <c r="G2224" s="10">
        <f>IF(F2224="","",MIN(F2224,100))</f>
        <v/>
      </c>
      <c r="H2224" s="11">
        <f>IF(A2224="","",Universe!E2224/BDP(A2224&amp;" US Equity","HIGH_52WEEK")*100)</f>
        <v/>
      </c>
      <c r="I2224">
        <f>IF(D2224="","",D2224&gt;=5)</f>
        <v/>
      </c>
      <c r="J2224">
        <f>IF(F2224="","",F2224&gt;=5)</f>
        <v/>
      </c>
      <c r="K2224">
        <f>IF(H2224="","",H2224&gt;=75)</f>
        <v/>
      </c>
      <c r="L2224">
        <f>IF(OR(I2224="",J2224="",K2224=""),FALSE,AND(I2224,J2224,K2224))</f>
        <v/>
      </c>
    </row>
    <row r="2225">
      <c r="A2225">
        <f>Universe!A2225</f>
        <v/>
      </c>
      <c r="B2225" s="10" t="n"/>
      <c r="C2225" s="11">
        <f>IF(B2225="","",PERCENTRANK.INC($B$2:$B$2501,B2225)*100)</f>
        <v/>
      </c>
      <c r="D2225" s="10" t="n"/>
      <c r="E2225" s="10">
        <f>IF(D2225="","",MIN(D2225,100))</f>
        <v/>
      </c>
      <c r="F2225" s="10" t="n"/>
      <c r="G2225" s="10">
        <f>IF(F2225="","",MIN(F2225,100))</f>
        <v/>
      </c>
      <c r="H2225" s="11">
        <f>IF(A2225="","",Universe!E2225/BDP(A2225&amp;" US Equity","HIGH_52WEEK")*100)</f>
        <v/>
      </c>
      <c r="I2225">
        <f>IF(D2225="","",D2225&gt;=5)</f>
        <v/>
      </c>
      <c r="J2225">
        <f>IF(F2225="","",F2225&gt;=5)</f>
        <v/>
      </c>
      <c r="K2225">
        <f>IF(H2225="","",H2225&gt;=75)</f>
        <v/>
      </c>
      <c r="L2225">
        <f>IF(OR(I2225="",J2225="",K2225=""),FALSE,AND(I2225,J2225,K2225))</f>
        <v/>
      </c>
    </row>
    <row r="2226">
      <c r="A2226">
        <f>Universe!A2226</f>
        <v/>
      </c>
      <c r="B2226" s="10" t="n"/>
      <c r="C2226" s="11">
        <f>IF(B2226="","",PERCENTRANK.INC($B$2:$B$2501,B2226)*100)</f>
        <v/>
      </c>
      <c r="D2226" s="10" t="n"/>
      <c r="E2226" s="10">
        <f>IF(D2226="","",MIN(D2226,100))</f>
        <v/>
      </c>
      <c r="F2226" s="10" t="n"/>
      <c r="G2226" s="10">
        <f>IF(F2226="","",MIN(F2226,100))</f>
        <v/>
      </c>
      <c r="H2226" s="11">
        <f>IF(A2226="","",Universe!E2226/BDP(A2226&amp;" US Equity","HIGH_52WEEK")*100)</f>
        <v/>
      </c>
      <c r="I2226">
        <f>IF(D2226="","",D2226&gt;=5)</f>
        <v/>
      </c>
      <c r="J2226">
        <f>IF(F2226="","",F2226&gt;=5)</f>
        <v/>
      </c>
      <c r="K2226">
        <f>IF(H2226="","",H2226&gt;=75)</f>
        <v/>
      </c>
      <c r="L2226">
        <f>IF(OR(I2226="",J2226="",K2226=""),FALSE,AND(I2226,J2226,K2226))</f>
        <v/>
      </c>
    </row>
    <row r="2227">
      <c r="A2227">
        <f>Universe!A2227</f>
        <v/>
      </c>
      <c r="B2227" s="10" t="n"/>
      <c r="C2227" s="11">
        <f>IF(B2227="","",PERCENTRANK.INC($B$2:$B$2501,B2227)*100)</f>
        <v/>
      </c>
      <c r="D2227" s="10" t="n"/>
      <c r="E2227" s="10">
        <f>IF(D2227="","",MIN(D2227,100))</f>
        <v/>
      </c>
      <c r="F2227" s="10" t="n"/>
      <c r="G2227" s="10">
        <f>IF(F2227="","",MIN(F2227,100))</f>
        <v/>
      </c>
      <c r="H2227" s="11">
        <f>IF(A2227="","",Universe!E2227/BDP(A2227&amp;" US Equity","HIGH_52WEEK")*100)</f>
        <v/>
      </c>
      <c r="I2227">
        <f>IF(D2227="","",D2227&gt;=5)</f>
        <v/>
      </c>
      <c r="J2227">
        <f>IF(F2227="","",F2227&gt;=5)</f>
        <v/>
      </c>
      <c r="K2227">
        <f>IF(H2227="","",H2227&gt;=75)</f>
        <v/>
      </c>
      <c r="L2227">
        <f>IF(OR(I2227="",J2227="",K2227=""),FALSE,AND(I2227,J2227,K2227))</f>
        <v/>
      </c>
    </row>
    <row r="2228">
      <c r="A2228">
        <f>Universe!A2228</f>
        <v/>
      </c>
      <c r="B2228" s="10" t="n"/>
      <c r="C2228" s="11">
        <f>IF(B2228="","",PERCENTRANK.INC($B$2:$B$2501,B2228)*100)</f>
        <v/>
      </c>
      <c r="D2228" s="10" t="n"/>
      <c r="E2228" s="10">
        <f>IF(D2228="","",MIN(D2228,100))</f>
        <v/>
      </c>
      <c r="F2228" s="10" t="n"/>
      <c r="G2228" s="10">
        <f>IF(F2228="","",MIN(F2228,100))</f>
        <v/>
      </c>
      <c r="H2228" s="11">
        <f>IF(A2228="","",Universe!E2228/BDP(A2228&amp;" US Equity","HIGH_52WEEK")*100)</f>
        <v/>
      </c>
      <c r="I2228">
        <f>IF(D2228="","",D2228&gt;=5)</f>
        <v/>
      </c>
      <c r="J2228">
        <f>IF(F2228="","",F2228&gt;=5)</f>
        <v/>
      </c>
      <c r="K2228">
        <f>IF(H2228="","",H2228&gt;=75)</f>
        <v/>
      </c>
      <c r="L2228">
        <f>IF(OR(I2228="",J2228="",K2228=""),FALSE,AND(I2228,J2228,K2228))</f>
        <v/>
      </c>
    </row>
    <row r="2229">
      <c r="A2229">
        <f>Universe!A2229</f>
        <v/>
      </c>
      <c r="B2229" s="10" t="n"/>
      <c r="C2229" s="11">
        <f>IF(B2229="","",PERCENTRANK.INC($B$2:$B$2501,B2229)*100)</f>
        <v/>
      </c>
      <c r="D2229" s="10" t="n"/>
      <c r="E2229" s="10">
        <f>IF(D2229="","",MIN(D2229,100))</f>
        <v/>
      </c>
      <c r="F2229" s="10" t="n"/>
      <c r="G2229" s="10">
        <f>IF(F2229="","",MIN(F2229,100))</f>
        <v/>
      </c>
      <c r="H2229" s="11">
        <f>IF(A2229="","",Universe!E2229/BDP(A2229&amp;" US Equity","HIGH_52WEEK")*100)</f>
        <v/>
      </c>
      <c r="I2229">
        <f>IF(D2229="","",D2229&gt;=5)</f>
        <v/>
      </c>
      <c r="J2229">
        <f>IF(F2229="","",F2229&gt;=5)</f>
        <v/>
      </c>
      <c r="K2229">
        <f>IF(H2229="","",H2229&gt;=75)</f>
        <v/>
      </c>
      <c r="L2229">
        <f>IF(OR(I2229="",J2229="",K2229=""),FALSE,AND(I2229,J2229,K2229))</f>
        <v/>
      </c>
    </row>
    <row r="2230">
      <c r="A2230">
        <f>Universe!A2230</f>
        <v/>
      </c>
      <c r="B2230" s="10" t="n"/>
      <c r="C2230" s="11">
        <f>IF(B2230="","",PERCENTRANK.INC($B$2:$B$2501,B2230)*100)</f>
        <v/>
      </c>
      <c r="D2230" s="10" t="n"/>
      <c r="E2230" s="10">
        <f>IF(D2230="","",MIN(D2230,100))</f>
        <v/>
      </c>
      <c r="F2230" s="10" t="n"/>
      <c r="G2230" s="10">
        <f>IF(F2230="","",MIN(F2230,100))</f>
        <v/>
      </c>
      <c r="H2230" s="11">
        <f>IF(A2230="","",Universe!E2230/BDP(A2230&amp;" US Equity","HIGH_52WEEK")*100)</f>
        <v/>
      </c>
      <c r="I2230">
        <f>IF(D2230="","",D2230&gt;=5)</f>
        <v/>
      </c>
      <c r="J2230">
        <f>IF(F2230="","",F2230&gt;=5)</f>
        <v/>
      </c>
      <c r="K2230">
        <f>IF(H2230="","",H2230&gt;=75)</f>
        <v/>
      </c>
      <c r="L2230">
        <f>IF(OR(I2230="",J2230="",K2230=""),FALSE,AND(I2230,J2230,K2230))</f>
        <v/>
      </c>
    </row>
    <row r="2231">
      <c r="A2231">
        <f>Universe!A2231</f>
        <v/>
      </c>
      <c r="B2231" s="10" t="n"/>
      <c r="C2231" s="11">
        <f>IF(B2231="","",PERCENTRANK.INC($B$2:$B$2501,B2231)*100)</f>
        <v/>
      </c>
      <c r="D2231" s="10" t="n"/>
      <c r="E2231" s="10">
        <f>IF(D2231="","",MIN(D2231,100))</f>
        <v/>
      </c>
      <c r="F2231" s="10" t="n"/>
      <c r="G2231" s="10">
        <f>IF(F2231="","",MIN(F2231,100))</f>
        <v/>
      </c>
      <c r="H2231" s="11">
        <f>IF(A2231="","",Universe!E2231/BDP(A2231&amp;" US Equity","HIGH_52WEEK")*100)</f>
        <v/>
      </c>
      <c r="I2231">
        <f>IF(D2231="","",D2231&gt;=5)</f>
        <v/>
      </c>
      <c r="J2231">
        <f>IF(F2231="","",F2231&gt;=5)</f>
        <v/>
      </c>
      <c r="K2231">
        <f>IF(H2231="","",H2231&gt;=75)</f>
        <v/>
      </c>
      <c r="L2231">
        <f>IF(OR(I2231="",J2231="",K2231=""),FALSE,AND(I2231,J2231,K2231))</f>
        <v/>
      </c>
    </row>
    <row r="2232">
      <c r="A2232">
        <f>Universe!A2232</f>
        <v/>
      </c>
      <c r="B2232" s="10" t="n"/>
      <c r="C2232" s="11">
        <f>IF(B2232="","",PERCENTRANK.INC($B$2:$B$2501,B2232)*100)</f>
        <v/>
      </c>
      <c r="D2232" s="10" t="n"/>
      <c r="E2232" s="10">
        <f>IF(D2232="","",MIN(D2232,100))</f>
        <v/>
      </c>
      <c r="F2232" s="10" t="n"/>
      <c r="G2232" s="10">
        <f>IF(F2232="","",MIN(F2232,100))</f>
        <v/>
      </c>
      <c r="H2232" s="11">
        <f>IF(A2232="","",Universe!E2232/BDP(A2232&amp;" US Equity","HIGH_52WEEK")*100)</f>
        <v/>
      </c>
      <c r="I2232">
        <f>IF(D2232="","",D2232&gt;=5)</f>
        <v/>
      </c>
      <c r="J2232">
        <f>IF(F2232="","",F2232&gt;=5)</f>
        <v/>
      </c>
      <c r="K2232">
        <f>IF(H2232="","",H2232&gt;=75)</f>
        <v/>
      </c>
      <c r="L2232">
        <f>IF(OR(I2232="",J2232="",K2232=""),FALSE,AND(I2232,J2232,K2232))</f>
        <v/>
      </c>
    </row>
    <row r="2233">
      <c r="A2233">
        <f>Universe!A2233</f>
        <v/>
      </c>
      <c r="B2233" s="10" t="n"/>
      <c r="C2233" s="11">
        <f>IF(B2233="","",PERCENTRANK.INC($B$2:$B$2501,B2233)*100)</f>
        <v/>
      </c>
      <c r="D2233" s="10" t="n"/>
      <c r="E2233" s="10">
        <f>IF(D2233="","",MIN(D2233,100))</f>
        <v/>
      </c>
      <c r="F2233" s="10" t="n"/>
      <c r="G2233" s="10">
        <f>IF(F2233="","",MIN(F2233,100))</f>
        <v/>
      </c>
      <c r="H2233" s="11">
        <f>IF(A2233="","",Universe!E2233/BDP(A2233&amp;" US Equity","HIGH_52WEEK")*100)</f>
        <v/>
      </c>
      <c r="I2233">
        <f>IF(D2233="","",D2233&gt;=5)</f>
        <v/>
      </c>
      <c r="J2233">
        <f>IF(F2233="","",F2233&gt;=5)</f>
        <v/>
      </c>
      <c r="K2233">
        <f>IF(H2233="","",H2233&gt;=75)</f>
        <v/>
      </c>
      <c r="L2233">
        <f>IF(OR(I2233="",J2233="",K2233=""),FALSE,AND(I2233,J2233,K2233))</f>
        <v/>
      </c>
    </row>
    <row r="2234">
      <c r="A2234">
        <f>Universe!A2234</f>
        <v/>
      </c>
      <c r="B2234" s="10" t="n"/>
      <c r="C2234" s="11">
        <f>IF(B2234="","",PERCENTRANK.INC($B$2:$B$2501,B2234)*100)</f>
        <v/>
      </c>
      <c r="D2234" s="10" t="n"/>
      <c r="E2234" s="10">
        <f>IF(D2234="","",MIN(D2234,100))</f>
        <v/>
      </c>
      <c r="F2234" s="10" t="n"/>
      <c r="G2234" s="10">
        <f>IF(F2234="","",MIN(F2234,100))</f>
        <v/>
      </c>
      <c r="H2234" s="11">
        <f>IF(A2234="","",Universe!E2234/BDP(A2234&amp;" US Equity","HIGH_52WEEK")*100)</f>
        <v/>
      </c>
      <c r="I2234">
        <f>IF(D2234="","",D2234&gt;=5)</f>
        <v/>
      </c>
      <c r="J2234">
        <f>IF(F2234="","",F2234&gt;=5)</f>
        <v/>
      </c>
      <c r="K2234">
        <f>IF(H2234="","",H2234&gt;=75)</f>
        <v/>
      </c>
      <c r="L2234">
        <f>IF(OR(I2234="",J2234="",K2234=""),FALSE,AND(I2234,J2234,K2234))</f>
        <v/>
      </c>
    </row>
    <row r="2235">
      <c r="A2235">
        <f>Universe!A2235</f>
        <v/>
      </c>
      <c r="B2235" s="10" t="n"/>
      <c r="C2235" s="11">
        <f>IF(B2235="","",PERCENTRANK.INC($B$2:$B$2501,B2235)*100)</f>
        <v/>
      </c>
      <c r="D2235" s="10" t="n"/>
      <c r="E2235" s="10">
        <f>IF(D2235="","",MIN(D2235,100))</f>
        <v/>
      </c>
      <c r="F2235" s="10" t="n"/>
      <c r="G2235" s="10">
        <f>IF(F2235="","",MIN(F2235,100))</f>
        <v/>
      </c>
      <c r="H2235" s="11">
        <f>IF(A2235="","",Universe!E2235/BDP(A2235&amp;" US Equity","HIGH_52WEEK")*100)</f>
        <v/>
      </c>
      <c r="I2235">
        <f>IF(D2235="","",D2235&gt;=5)</f>
        <v/>
      </c>
      <c r="J2235">
        <f>IF(F2235="","",F2235&gt;=5)</f>
        <v/>
      </c>
      <c r="K2235">
        <f>IF(H2235="","",H2235&gt;=75)</f>
        <v/>
      </c>
      <c r="L2235">
        <f>IF(OR(I2235="",J2235="",K2235=""),FALSE,AND(I2235,J2235,K2235))</f>
        <v/>
      </c>
    </row>
    <row r="2236">
      <c r="A2236">
        <f>Universe!A2236</f>
        <v/>
      </c>
      <c r="B2236" s="10" t="n"/>
      <c r="C2236" s="11">
        <f>IF(B2236="","",PERCENTRANK.INC($B$2:$B$2501,B2236)*100)</f>
        <v/>
      </c>
      <c r="D2236" s="10" t="n"/>
      <c r="E2236" s="10">
        <f>IF(D2236="","",MIN(D2236,100))</f>
        <v/>
      </c>
      <c r="F2236" s="10" t="n"/>
      <c r="G2236" s="10">
        <f>IF(F2236="","",MIN(F2236,100))</f>
        <v/>
      </c>
      <c r="H2236" s="11">
        <f>IF(A2236="","",Universe!E2236/BDP(A2236&amp;" US Equity","HIGH_52WEEK")*100)</f>
        <v/>
      </c>
      <c r="I2236">
        <f>IF(D2236="","",D2236&gt;=5)</f>
        <v/>
      </c>
      <c r="J2236">
        <f>IF(F2236="","",F2236&gt;=5)</f>
        <v/>
      </c>
      <c r="K2236">
        <f>IF(H2236="","",H2236&gt;=75)</f>
        <v/>
      </c>
      <c r="L2236">
        <f>IF(OR(I2236="",J2236="",K2236=""),FALSE,AND(I2236,J2236,K2236))</f>
        <v/>
      </c>
    </row>
    <row r="2237">
      <c r="A2237">
        <f>Universe!A2237</f>
        <v/>
      </c>
      <c r="B2237" s="10" t="n"/>
      <c r="C2237" s="11">
        <f>IF(B2237="","",PERCENTRANK.INC($B$2:$B$2501,B2237)*100)</f>
        <v/>
      </c>
      <c r="D2237" s="10" t="n"/>
      <c r="E2237" s="10">
        <f>IF(D2237="","",MIN(D2237,100))</f>
        <v/>
      </c>
      <c r="F2237" s="10" t="n"/>
      <c r="G2237" s="10">
        <f>IF(F2237="","",MIN(F2237,100))</f>
        <v/>
      </c>
      <c r="H2237" s="11">
        <f>IF(A2237="","",Universe!E2237/BDP(A2237&amp;" US Equity","HIGH_52WEEK")*100)</f>
        <v/>
      </c>
      <c r="I2237">
        <f>IF(D2237="","",D2237&gt;=5)</f>
        <v/>
      </c>
      <c r="J2237">
        <f>IF(F2237="","",F2237&gt;=5)</f>
        <v/>
      </c>
      <c r="K2237">
        <f>IF(H2237="","",H2237&gt;=75)</f>
        <v/>
      </c>
      <c r="L2237">
        <f>IF(OR(I2237="",J2237="",K2237=""),FALSE,AND(I2237,J2237,K2237))</f>
        <v/>
      </c>
    </row>
    <row r="2238">
      <c r="A2238">
        <f>Universe!A2238</f>
        <v/>
      </c>
      <c r="B2238" s="10" t="n"/>
      <c r="C2238" s="11">
        <f>IF(B2238="","",PERCENTRANK.INC($B$2:$B$2501,B2238)*100)</f>
        <v/>
      </c>
      <c r="D2238" s="10" t="n"/>
      <c r="E2238" s="10">
        <f>IF(D2238="","",MIN(D2238,100))</f>
        <v/>
      </c>
      <c r="F2238" s="10" t="n"/>
      <c r="G2238" s="10">
        <f>IF(F2238="","",MIN(F2238,100))</f>
        <v/>
      </c>
      <c r="H2238" s="11">
        <f>IF(A2238="","",Universe!E2238/BDP(A2238&amp;" US Equity","HIGH_52WEEK")*100)</f>
        <v/>
      </c>
      <c r="I2238">
        <f>IF(D2238="","",D2238&gt;=5)</f>
        <v/>
      </c>
      <c r="J2238">
        <f>IF(F2238="","",F2238&gt;=5)</f>
        <v/>
      </c>
      <c r="K2238">
        <f>IF(H2238="","",H2238&gt;=75)</f>
        <v/>
      </c>
      <c r="L2238">
        <f>IF(OR(I2238="",J2238="",K2238=""),FALSE,AND(I2238,J2238,K2238))</f>
        <v/>
      </c>
    </row>
    <row r="2239">
      <c r="A2239">
        <f>Universe!A2239</f>
        <v/>
      </c>
      <c r="B2239" s="10" t="n"/>
      <c r="C2239" s="11">
        <f>IF(B2239="","",PERCENTRANK.INC($B$2:$B$2501,B2239)*100)</f>
        <v/>
      </c>
      <c r="D2239" s="10" t="n"/>
      <c r="E2239" s="10">
        <f>IF(D2239="","",MIN(D2239,100))</f>
        <v/>
      </c>
      <c r="F2239" s="10" t="n"/>
      <c r="G2239" s="10">
        <f>IF(F2239="","",MIN(F2239,100))</f>
        <v/>
      </c>
      <c r="H2239" s="11">
        <f>IF(A2239="","",Universe!E2239/BDP(A2239&amp;" US Equity","HIGH_52WEEK")*100)</f>
        <v/>
      </c>
      <c r="I2239">
        <f>IF(D2239="","",D2239&gt;=5)</f>
        <v/>
      </c>
      <c r="J2239">
        <f>IF(F2239="","",F2239&gt;=5)</f>
        <v/>
      </c>
      <c r="K2239">
        <f>IF(H2239="","",H2239&gt;=75)</f>
        <v/>
      </c>
      <c r="L2239">
        <f>IF(OR(I2239="",J2239="",K2239=""),FALSE,AND(I2239,J2239,K2239))</f>
        <v/>
      </c>
    </row>
    <row r="2240">
      <c r="A2240">
        <f>Universe!A2240</f>
        <v/>
      </c>
      <c r="B2240" s="10" t="n"/>
      <c r="C2240" s="11">
        <f>IF(B2240="","",PERCENTRANK.INC($B$2:$B$2501,B2240)*100)</f>
        <v/>
      </c>
      <c r="D2240" s="10" t="n"/>
      <c r="E2240" s="10">
        <f>IF(D2240="","",MIN(D2240,100))</f>
        <v/>
      </c>
      <c r="F2240" s="10" t="n"/>
      <c r="G2240" s="10">
        <f>IF(F2240="","",MIN(F2240,100))</f>
        <v/>
      </c>
      <c r="H2240" s="11">
        <f>IF(A2240="","",Universe!E2240/BDP(A2240&amp;" US Equity","HIGH_52WEEK")*100)</f>
        <v/>
      </c>
      <c r="I2240">
        <f>IF(D2240="","",D2240&gt;=5)</f>
        <v/>
      </c>
      <c r="J2240">
        <f>IF(F2240="","",F2240&gt;=5)</f>
        <v/>
      </c>
      <c r="K2240">
        <f>IF(H2240="","",H2240&gt;=75)</f>
        <v/>
      </c>
      <c r="L2240">
        <f>IF(OR(I2240="",J2240="",K2240=""),FALSE,AND(I2240,J2240,K2240))</f>
        <v/>
      </c>
    </row>
    <row r="2241">
      <c r="A2241">
        <f>Universe!A2241</f>
        <v/>
      </c>
      <c r="B2241" s="10" t="n"/>
      <c r="C2241" s="11">
        <f>IF(B2241="","",PERCENTRANK.INC($B$2:$B$2501,B2241)*100)</f>
        <v/>
      </c>
      <c r="D2241" s="10" t="n"/>
      <c r="E2241" s="10">
        <f>IF(D2241="","",MIN(D2241,100))</f>
        <v/>
      </c>
      <c r="F2241" s="10" t="n"/>
      <c r="G2241" s="10">
        <f>IF(F2241="","",MIN(F2241,100))</f>
        <v/>
      </c>
      <c r="H2241" s="11">
        <f>IF(A2241="","",Universe!E2241/BDP(A2241&amp;" US Equity","HIGH_52WEEK")*100)</f>
        <v/>
      </c>
      <c r="I2241">
        <f>IF(D2241="","",D2241&gt;=5)</f>
        <v/>
      </c>
      <c r="J2241">
        <f>IF(F2241="","",F2241&gt;=5)</f>
        <v/>
      </c>
      <c r="K2241">
        <f>IF(H2241="","",H2241&gt;=75)</f>
        <v/>
      </c>
      <c r="L2241">
        <f>IF(OR(I2241="",J2241="",K2241=""),FALSE,AND(I2241,J2241,K2241))</f>
        <v/>
      </c>
    </row>
    <row r="2242">
      <c r="A2242">
        <f>Universe!A2242</f>
        <v/>
      </c>
      <c r="B2242" s="10" t="n"/>
      <c r="C2242" s="11">
        <f>IF(B2242="","",PERCENTRANK.INC($B$2:$B$2501,B2242)*100)</f>
        <v/>
      </c>
      <c r="D2242" s="10" t="n"/>
      <c r="E2242" s="10">
        <f>IF(D2242="","",MIN(D2242,100))</f>
        <v/>
      </c>
      <c r="F2242" s="10" t="n"/>
      <c r="G2242" s="10">
        <f>IF(F2242="","",MIN(F2242,100))</f>
        <v/>
      </c>
      <c r="H2242" s="11">
        <f>IF(A2242="","",Universe!E2242/BDP(A2242&amp;" US Equity","HIGH_52WEEK")*100)</f>
        <v/>
      </c>
      <c r="I2242">
        <f>IF(D2242="","",D2242&gt;=5)</f>
        <v/>
      </c>
      <c r="J2242">
        <f>IF(F2242="","",F2242&gt;=5)</f>
        <v/>
      </c>
      <c r="K2242">
        <f>IF(H2242="","",H2242&gt;=75)</f>
        <v/>
      </c>
      <c r="L2242">
        <f>IF(OR(I2242="",J2242="",K2242=""),FALSE,AND(I2242,J2242,K2242))</f>
        <v/>
      </c>
    </row>
    <row r="2243">
      <c r="A2243">
        <f>Universe!A2243</f>
        <v/>
      </c>
      <c r="B2243" s="10" t="n"/>
      <c r="C2243" s="11">
        <f>IF(B2243="","",PERCENTRANK.INC($B$2:$B$2501,B2243)*100)</f>
        <v/>
      </c>
      <c r="D2243" s="10" t="n"/>
      <c r="E2243" s="10">
        <f>IF(D2243="","",MIN(D2243,100))</f>
        <v/>
      </c>
      <c r="F2243" s="10" t="n"/>
      <c r="G2243" s="10">
        <f>IF(F2243="","",MIN(F2243,100))</f>
        <v/>
      </c>
      <c r="H2243" s="11">
        <f>IF(A2243="","",Universe!E2243/BDP(A2243&amp;" US Equity","HIGH_52WEEK")*100)</f>
        <v/>
      </c>
      <c r="I2243">
        <f>IF(D2243="","",D2243&gt;=5)</f>
        <v/>
      </c>
      <c r="J2243">
        <f>IF(F2243="","",F2243&gt;=5)</f>
        <v/>
      </c>
      <c r="K2243">
        <f>IF(H2243="","",H2243&gt;=75)</f>
        <v/>
      </c>
      <c r="L2243">
        <f>IF(OR(I2243="",J2243="",K2243=""),FALSE,AND(I2243,J2243,K2243))</f>
        <v/>
      </c>
    </row>
    <row r="2244">
      <c r="A2244">
        <f>Universe!A2244</f>
        <v/>
      </c>
      <c r="B2244" s="10" t="n"/>
      <c r="C2244" s="11">
        <f>IF(B2244="","",PERCENTRANK.INC($B$2:$B$2501,B2244)*100)</f>
        <v/>
      </c>
      <c r="D2244" s="10" t="n"/>
      <c r="E2244" s="10">
        <f>IF(D2244="","",MIN(D2244,100))</f>
        <v/>
      </c>
      <c r="F2244" s="10" t="n"/>
      <c r="G2244" s="10">
        <f>IF(F2244="","",MIN(F2244,100))</f>
        <v/>
      </c>
      <c r="H2244" s="11">
        <f>IF(A2244="","",Universe!E2244/BDP(A2244&amp;" US Equity","HIGH_52WEEK")*100)</f>
        <v/>
      </c>
      <c r="I2244">
        <f>IF(D2244="","",D2244&gt;=5)</f>
        <v/>
      </c>
      <c r="J2244">
        <f>IF(F2244="","",F2244&gt;=5)</f>
        <v/>
      </c>
      <c r="K2244">
        <f>IF(H2244="","",H2244&gt;=75)</f>
        <v/>
      </c>
      <c r="L2244">
        <f>IF(OR(I2244="",J2244="",K2244=""),FALSE,AND(I2244,J2244,K2244))</f>
        <v/>
      </c>
    </row>
    <row r="2245">
      <c r="A2245">
        <f>Universe!A2245</f>
        <v/>
      </c>
      <c r="B2245" s="10" t="n"/>
      <c r="C2245" s="11">
        <f>IF(B2245="","",PERCENTRANK.INC($B$2:$B$2501,B2245)*100)</f>
        <v/>
      </c>
      <c r="D2245" s="10" t="n"/>
      <c r="E2245" s="10">
        <f>IF(D2245="","",MIN(D2245,100))</f>
        <v/>
      </c>
      <c r="F2245" s="10" t="n"/>
      <c r="G2245" s="10">
        <f>IF(F2245="","",MIN(F2245,100))</f>
        <v/>
      </c>
      <c r="H2245" s="11">
        <f>IF(A2245="","",Universe!E2245/BDP(A2245&amp;" US Equity","HIGH_52WEEK")*100)</f>
        <v/>
      </c>
      <c r="I2245">
        <f>IF(D2245="","",D2245&gt;=5)</f>
        <v/>
      </c>
      <c r="J2245">
        <f>IF(F2245="","",F2245&gt;=5)</f>
        <v/>
      </c>
      <c r="K2245">
        <f>IF(H2245="","",H2245&gt;=75)</f>
        <v/>
      </c>
      <c r="L2245">
        <f>IF(OR(I2245="",J2245="",K2245=""),FALSE,AND(I2245,J2245,K2245))</f>
        <v/>
      </c>
    </row>
    <row r="2246">
      <c r="A2246">
        <f>Universe!A2246</f>
        <v/>
      </c>
      <c r="B2246" s="10" t="n"/>
      <c r="C2246" s="11">
        <f>IF(B2246="","",PERCENTRANK.INC($B$2:$B$2501,B2246)*100)</f>
        <v/>
      </c>
      <c r="D2246" s="10" t="n"/>
      <c r="E2246" s="10">
        <f>IF(D2246="","",MIN(D2246,100))</f>
        <v/>
      </c>
      <c r="F2246" s="10" t="n"/>
      <c r="G2246" s="10">
        <f>IF(F2246="","",MIN(F2246,100))</f>
        <v/>
      </c>
      <c r="H2246" s="11">
        <f>IF(A2246="","",Universe!E2246/BDP(A2246&amp;" US Equity","HIGH_52WEEK")*100)</f>
        <v/>
      </c>
      <c r="I2246">
        <f>IF(D2246="","",D2246&gt;=5)</f>
        <v/>
      </c>
      <c r="J2246">
        <f>IF(F2246="","",F2246&gt;=5)</f>
        <v/>
      </c>
      <c r="K2246">
        <f>IF(H2246="","",H2246&gt;=75)</f>
        <v/>
      </c>
      <c r="L2246">
        <f>IF(OR(I2246="",J2246="",K2246=""),FALSE,AND(I2246,J2246,K2246))</f>
        <v/>
      </c>
    </row>
    <row r="2247">
      <c r="A2247">
        <f>Universe!A2247</f>
        <v/>
      </c>
      <c r="B2247" s="10" t="n"/>
      <c r="C2247" s="11">
        <f>IF(B2247="","",PERCENTRANK.INC($B$2:$B$2501,B2247)*100)</f>
        <v/>
      </c>
      <c r="D2247" s="10" t="n"/>
      <c r="E2247" s="10">
        <f>IF(D2247="","",MIN(D2247,100))</f>
        <v/>
      </c>
      <c r="F2247" s="10" t="n"/>
      <c r="G2247" s="10">
        <f>IF(F2247="","",MIN(F2247,100))</f>
        <v/>
      </c>
      <c r="H2247" s="11">
        <f>IF(A2247="","",Universe!E2247/BDP(A2247&amp;" US Equity","HIGH_52WEEK")*100)</f>
        <v/>
      </c>
      <c r="I2247">
        <f>IF(D2247="","",D2247&gt;=5)</f>
        <v/>
      </c>
      <c r="J2247">
        <f>IF(F2247="","",F2247&gt;=5)</f>
        <v/>
      </c>
      <c r="K2247">
        <f>IF(H2247="","",H2247&gt;=75)</f>
        <v/>
      </c>
      <c r="L2247">
        <f>IF(OR(I2247="",J2247="",K2247=""),FALSE,AND(I2247,J2247,K2247))</f>
        <v/>
      </c>
    </row>
    <row r="2248">
      <c r="A2248">
        <f>Universe!A2248</f>
        <v/>
      </c>
      <c r="B2248" s="10" t="n"/>
      <c r="C2248" s="11">
        <f>IF(B2248="","",PERCENTRANK.INC($B$2:$B$2501,B2248)*100)</f>
        <v/>
      </c>
      <c r="D2248" s="10" t="n"/>
      <c r="E2248" s="10">
        <f>IF(D2248="","",MIN(D2248,100))</f>
        <v/>
      </c>
      <c r="F2248" s="10" t="n"/>
      <c r="G2248" s="10">
        <f>IF(F2248="","",MIN(F2248,100))</f>
        <v/>
      </c>
      <c r="H2248" s="11">
        <f>IF(A2248="","",Universe!E2248/BDP(A2248&amp;" US Equity","HIGH_52WEEK")*100)</f>
        <v/>
      </c>
      <c r="I2248">
        <f>IF(D2248="","",D2248&gt;=5)</f>
        <v/>
      </c>
      <c r="J2248">
        <f>IF(F2248="","",F2248&gt;=5)</f>
        <v/>
      </c>
      <c r="K2248">
        <f>IF(H2248="","",H2248&gt;=75)</f>
        <v/>
      </c>
      <c r="L2248">
        <f>IF(OR(I2248="",J2248="",K2248=""),FALSE,AND(I2248,J2248,K2248))</f>
        <v/>
      </c>
    </row>
    <row r="2249">
      <c r="A2249">
        <f>Universe!A2249</f>
        <v/>
      </c>
      <c r="B2249" s="10" t="n"/>
      <c r="C2249" s="11">
        <f>IF(B2249="","",PERCENTRANK.INC($B$2:$B$2501,B2249)*100)</f>
        <v/>
      </c>
      <c r="D2249" s="10" t="n"/>
      <c r="E2249" s="10">
        <f>IF(D2249="","",MIN(D2249,100))</f>
        <v/>
      </c>
      <c r="F2249" s="10" t="n"/>
      <c r="G2249" s="10">
        <f>IF(F2249="","",MIN(F2249,100))</f>
        <v/>
      </c>
      <c r="H2249" s="11">
        <f>IF(A2249="","",Universe!E2249/BDP(A2249&amp;" US Equity","HIGH_52WEEK")*100)</f>
        <v/>
      </c>
      <c r="I2249">
        <f>IF(D2249="","",D2249&gt;=5)</f>
        <v/>
      </c>
      <c r="J2249">
        <f>IF(F2249="","",F2249&gt;=5)</f>
        <v/>
      </c>
      <c r="K2249">
        <f>IF(H2249="","",H2249&gt;=75)</f>
        <v/>
      </c>
      <c r="L2249">
        <f>IF(OR(I2249="",J2249="",K2249=""),FALSE,AND(I2249,J2249,K2249))</f>
        <v/>
      </c>
    </row>
    <row r="2250">
      <c r="A2250">
        <f>Universe!A2250</f>
        <v/>
      </c>
      <c r="B2250" s="10" t="n"/>
      <c r="C2250" s="11">
        <f>IF(B2250="","",PERCENTRANK.INC($B$2:$B$2501,B2250)*100)</f>
        <v/>
      </c>
      <c r="D2250" s="10" t="n"/>
      <c r="E2250" s="10">
        <f>IF(D2250="","",MIN(D2250,100))</f>
        <v/>
      </c>
      <c r="F2250" s="10" t="n"/>
      <c r="G2250" s="10">
        <f>IF(F2250="","",MIN(F2250,100))</f>
        <v/>
      </c>
      <c r="H2250" s="11">
        <f>IF(A2250="","",Universe!E2250/BDP(A2250&amp;" US Equity","HIGH_52WEEK")*100)</f>
        <v/>
      </c>
      <c r="I2250">
        <f>IF(D2250="","",D2250&gt;=5)</f>
        <v/>
      </c>
      <c r="J2250">
        <f>IF(F2250="","",F2250&gt;=5)</f>
        <v/>
      </c>
      <c r="K2250">
        <f>IF(H2250="","",H2250&gt;=75)</f>
        <v/>
      </c>
      <c r="L2250">
        <f>IF(OR(I2250="",J2250="",K2250=""),FALSE,AND(I2250,J2250,K2250))</f>
        <v/>
      </c>
    </row>
    <row r="2251">
      <c r="A2251">
        <f>Universe!A2251</f>
        <v/>
      </c>
      <c r="B2251" s="10" t="n"/>
      <c r="C2251" s="11">
        <f>IF(B2251="","",PERCENTRANK.INC($B$2:$B$2501,B2251)*100)</f>
        <v/>
      </c>
      <c r="D2251" s="10" t="n"/>
      <c r="E2251" s="10">
        <f>IF(D2251="","",MIN(D2251,100))</f>
        <v/>
      </c>
      <c r="F2251" s="10" t="n"/>
      <c r="G2251" s="10">
        <f>IF(F2251="","",MIN(F2251,100))</f>
        <v/>
      </c>
      <c r="H2251" s="11">
        <f>IF(A2251="","",Universe!E2251/BDP(A2251&amp;" US Equity","HIGH_52WEEK")*100)</f>
        <v/>
      </c>
      <c r="I2251">
        <f>IF(D2251="","",D2251&gt;=5)</f>
        <v/>
      </c>
      <c r="J2251">
        <f>IF(F2251="","",F2251&gt;=5)</f>
        <v/>
      </c>
      <c r="K2251">
        <f>IF(H2251="","",H2251&gt;=75)</f>
        <v/>
      </c>
      <c r="L2251">
        <f>IF(OR(I2251="",J2251="",K2251=""),FALSE,AND(I2251,J2251,K2251))</f>
        <v/>
      </c>
    </row>
    <row r="2252">
      <c r="A2252">
        <f>Universe!A2252</f>
        <v/>
      </c>
      <c r="B2252" s="10" t="n"/>
      <c r="C2252" s="11">
        <f>IF(B2252="","",PERCENTRANK.INC($B$2:$B$2501,B2252)*100)</f>
        <v/>
      </c>
      <c r="D2252" s="10" t="n"/>
      <c r="E2252" s="10">
        <f>IF(D2252="","",MIN(D2252,100))</f>
        <v/>
      </c>
      <c r="F2252" s="10" t="n"/>
      <c r="G2252" s="10">
        <f>IF(F2252="","",MIN(F2252,100))</f>
        <v/>
      </c>
      <c r="H2252" s="11">
        <f>IF(A2252="","",Universe!E2252/BDP(A2252&amp;" US Equity","HIGH_52WEEK")*100)</f>
        <v/>
      </c>
      <c r="I2252">
        <f>IF(D2252="","",D2252&gt;=5)</f>
        <v/>
      </c>
      <c r="J2252">
        <f>IF(F2252="","",F2252&gt;=5)</f>
        <v/>
      </c>
      <c r="K2252">
        <f>IF(H2252="","",H2252&gt;=75)</f>
        <v/>
      </c>
      <c r="L2252">
        <f>IF(OR(I2252="",J2252="",K2252=""),FALSE,AND(I2252,J2252,K2252))</f>
        <v/>
      </c>
    </row>
    <row r="2253">
      <c r="A2253">
        <f>Universe!A2253</f>
        <v/>
      </c>
      <c r="B2253" s="10" t="n"/>
      <c r="C2253" s="11">
        <f>IF(B2253="","",PERCENTRANK.INC($B$2:$B$2501,B2253)*100)</f>
        <v/>
      </c>
      <c r="D2253" s="10" t="n"/>
      <c r="E2253" s="10">
        <f>IF(D2253="","",MIN(D2253,100))</f>
        <v/>
      </c>
      <c r="F2253" s="10" t="n"/>
      <c r="G2253" s="10">
        <f>IF(F2253="","",MIN(F2253,100))</f>
        <v/>
      </c>
      <c r="H2253" s="11">
        <f>IF(A2253="","",Universe!E2253/BDP(A2253&amp;" US Equity","HIGH_52WEEK")*100)</f>
        <v/>
      </c>
      <c r="I2253">
        <f>IF(D2253="","",D2253&gt;=5)</f>
        <v/>
      </c>
      <c r="J2253">
        <f>IF(F2253="","",F2253&gt;=5)</f>
        <v/>
      </c>
      <c r="K2253">
        <f>IF(H2253="","",H2253&gt;=75)</f>
        <v/>
      </c>
      <c r="L2253">
        <f>IF(OR(I2253="",J2253="",K2253=""),FALSE,AND(I2253,J2253,K2253))</f>
        <v/>
      </c>
    </row>
    <row r="2254">
      <c r="A2254">
        <f>Universe!A2254</f>
        <v/>
      </c>
      <c r="B2254" s="10" t="n"/>
      <c r="C2254" s="11">
        <f>IF(B2254="","",PERCENTRANK.INC($B$2:$B$2501,B2254)*100)</f>
        <v/>
      </c>
      <c r="D2254" s="10" t="n"/>
      <c r="E2254" s="10">
        <f>IF(D2254="","",MIN(D2254,100))</f>
        <v/>
      </c>
      <c r="F2254" s="10" t="n"/>
      <c r="G2254" s="10">
        <f>IF(F2254="","",MIN(F2254,100))</f>
        <v/>
      </c>
      <c r="H2254" s="11">
        <f>IF(A2254="","",Universe!E2254/BDP(A2254&amp;" US Equity","HIGH_52WEEK")*100)</f>
        <v/>
      </c>
      <c r="I2254">
        <f>IF(D2254="","",D2254&gt;=5)</f>
        <v/>
      </c>
      <c r="J2254">
        <f>IF(F2254="","",F2254&gt;=5)</f>
        <v/>
      </c>
      <c r="K2254">
        <f>IF(H2254="","",H2254&gt;=75)</f>
        <v/>
      </c>
      <c r="L2254">
        <f>IF(OR(I2254="",J2254="",K2254=""),FALSE,AND(I2254,J2254,K2254))</f>
        <v/>
      </c>
    </row>
    <row r="2255">
      <c r="A2255">
        <f>Universe!A2255</f>
        <v/>
      </c>
      <c r="B2255" s="10" t="n"/>
      <c r="C2255" s="11">
        <f>IF(B2255="","",PERCENTRANK.INC($B$2:$B$2501,B2255)*100)</f>
        <v/>
      </c>
      <c r="D2255" s="10" t="n"/>
      <c r="E2255" s="10">
        <f>IF(D2255="","",MIN(D2255,100))</f>
        <v/>
      </c>
      <c r="F2255" s="10" t="n"/>
      <c r="G2255" s="10">
        <f>IF(F2255="","",MIN(F2255,100))</f>
        <v/>
      </c>
      <c r="H2255" s="11">
        <f>IF(A2255="","",Universe!E2255/BDP(A2255&amp;" US Equity","HIGH_52WEEK")*100)</f>
        <v/>
      </c>
      <c r="I2255">
        <f>IF(D2255="","",D2255&gt;=5)</f>
        <v/>
      </c>
      <c r="J2255">
        <f>IF(F2255="","",F2255&gt;=5)</f>
        <v/>
      </c>
      <c r="K2255">
        <f>IF(H2255="","",H2255&gt;=75)</f>
        <v/>
      </c>
      <c r="L2255">
        <f>IF(OR(I2255="",J2255="",K2255=""),FALSE,AND(I2255,J2255,K2255))</f>
        <v/>
      </c>
    </row>
    <row r="2256">
      <c r="A2256">
        <f>Universe!A2256</f>
        <v/>
      </c>
      <c r="B2256" s="10" t="n"/>
      <c r="C2256" s="11">
        <f>IF(B2256="","",PERCENTRANK.INC($B$2:$B$2501,B2256)*100)</f>
        <v/>
      </c>
      <c r="D2256" s="10" t="n"/>
      <c r="E2256" s="10">
        <f>IF(D2256="","",MIN(D2256,100))</f>
        <v/>
      </c>
      <c r="F2256" s="10" t="n"/>
      <c r="G2256" s="10">
        <f>IF(F2256="","",MIN(F2256,100))</f>
        <v/>
      </c>
      <c r="H2256" s="11">
        <f>IF(A2256="","",Universe!E2256/BDP(A2256&amp;" US Equity","HIGH_52WEEK")*100)</f>
        <v/>
      </c>
      <c r="I2256">
        <f>IF(D2256="","",D2256&gt;=5)</f>
        <v/>
      </c>
      <c r="J2256">
        <f>IF(F2256="","",F2256&gt;=5)</f>
        <v/>
      </c>
      <c r="K2256">
        <f>IF(H2256="","",H2256&gt;=75)</f>
        <v/>
      </c>
      <c r="L2256">
        <f>IF(OR(I2256="",J2256="",K2256=""),FALSE,AND(I2256,J2256,K2256))</f>
        <v/>
      </c>
    </row>
    <row r="2257">
      <c r="A2257">
        <f>Universe!A2257</f>
        <v/>
      </c>
      <c r="B2257" s="10" t="n"/>
      <c r="C2257" s="11">
        <f>IF(B2257="","",PERCENTRANK.INC($B$2:$B$2501,B2257)*100)</f>
        <v/>
      </c>
      <c r="D2257" s="10" t="n"/>
      <c r="E2257" s="10">
        <f>IF(D2257="","",MIN(D2257,100))</f>
        <v/>
      </c>
      <c r="F2257" s="10" t="n"/>
      <c r="G2257" s="10">
        <f>IF(F2257="","",MIN(F2257,100))</f>
        <v/>
      </c>
      <c r="H2257" s="11">
        <f>IF(A2257="","",Universe!E2257/BDP(A2257&amp;" US Equity","HIGH_52WEEK")*100)</f>
        <v/>
      </c>
      <c r="I2257">
        <f>IF(D2257="","",D2257&gt;=5)</f>
        <v/>
      </c>
      <c r="J2257">
        <f>IF(F2257="","",F2257&gt;=5)</f>
        <v/>
      </c>
      <c r="K2257">
        <f>IF(H2257="","",H2257&gt;=75)</f>
        <v/>
      </c>
      <c r="L2257">
        <f>IF(OR(I2257="",J2257="",K2257=""),FALSE,AND(I2257,J2257,K2257))</f>
        <v/>
      </c>
    </row>
    <row r="2258">
      <c r="A2258">
        <f>Universe!A2258</f>
        <v/>
      </c>
      <c r="B2258" s="10" t="n"/>
      <c r="C2258" s="11">
        <f>IF(B2258="","",PERCENTRANK.INC($B$2:$B$2501,B2258)*100)</f>
        <v/>
      </c>
      <c r="D2258" s="10" t="n"/>
      <c r="E2258" s="10">
        <f>IF(D2258="","",MIN(D2258,100))</f>
        <v/>
      </c>
      <c r="F2258" s="10" t="n"/>
      <c r="G2258" s="10">
        <f>IF(F2258="","",MIN(F2258,100))</f>
        <v/>
      </c>
      <c r="H2258" s="11">
        <f>IF(A2258="","",Universe!E2258/BDP(A2258&amp;" US Equity","HIGH_52WEEK")*100)</f>
        <v/>
      </c>
      <c r="I2258">
        <f>IF(D2258="","",D2258&gt;=5)</f>
        <v/>
      </c>
      <c r="J2258">
        <f>IF(F2258="","",F2258&gt;=5)</f>
        <v/>
      </c>
      <c r="K2258">
        <f>IF(H2258="","",H2258&gt;=75)</f>
        <v/>
      </c>
      <c r="L2258">
        <f>IF(OR(I2258="",J2258="",K2258=""),FALSE,AND(I2258,J2258,K2258))</f>
        <v/>
      </c>
    </row>
    <row r="2259">
      <c r="A2259">
        <f>Universe!A2259</f>
        <v/>
      </c>
      <c r="B2259" s="10" t="n"/>
      <c r="C2259" s="11">
        <f>IF(B2259="","",PERCENTRANK.INC($B$2:$B$2501,B2259)*100)</f>
        <v/>
      </c>
      <c r="D2259" s="10" t="n"/>
      <c r="E2259" s="10">
        <f>IF(D2259="","",MIN(D2259,100))</f>
        <v/>
      </c>
      <c r="F2259" s="10" t="n"/>
      <c r="G2259" s="10">
        <f>IF(F2259="","",MIN(F2259,100))</f>
        <v/>
      </c>
      <c r="H2259" s="11">
        <f>IF(A2259="","",Universe!E2259/BDP(A2259&amp;" US Equity","HIGH_52WEEK")*100)</f>
        <v/>
      </c>
      <c r="I2259">
        <f>IF(D2259="","",D2259&gt;=5)</f>
        <v/>
      </c>
      <c r="J2259">
        <f>IF(F2259="","",F2259&gt;=5)</f>
        <v/>
      </c>
      <c r="K2259">
        <f>IF(H2259="","",H2259&gt;=75)</f>
        <v/>
      </c>
      <c r="L2259">
        <f>IF(OR(I2259="",J2259="",K2259=""),FALSE,AND(I2259,J2259,K2259))</f>
        <v/>
      </c>
    </row>
    <row r="2260">
      <c r="A2260">
        <f>Universe!A2260</f>
        <v/>
      </c>
      <c r="B2260" s="10" t="n"/>
      <c r="C2260" s="11">
        <f>IF(B2260="","",PERCENTRANK.INC($B$2:$B$2501,B2260)*100)</f>
        <v/>
      </c>
      <c r="D2260" s="10" t="n"/>
      <c r="E2260" s="10">
        <f>IF(D2260="","",MIN(D2260,100))</f>
        <v/>
      </c>
      <c r="F2260" s="10" t="n"/>
      <c r="G2260" s="10">
        <f>IF(F2260="","",MIN(F2260,100))</f>
        <v/>
      </c>
      <c r="H2260" s="11">
        <f>IF(A2260="","",Universe!E2260/BDP(A2260&amp;" US Equity","HIGH_52WEEK")*100)</f>
        <v/>
      </c>
      <c r="I2260">
        <f>IF(D2260="","",D2260&gt;=5)</f>
        <v/>
      </c>
      <c r="J2260">
        <f>IF(F2260="","",F2260&gt;=5)</f>
        <v/>
      </c>
      <c r="K2260">
        <f>IF(H2260="","",H2260&gt;=75)</f>
        <v/>
      </c>
      <c r="L2260">
        <f>IF(OR(I2260="",J2260="",K2260=""),FALSE,AND(I2260,J2260,K2260))</f>
        <v/>
      </c>
    </row>
    <row r="2261">
      <c r="A2261">
        <f>Universe!A2261</f>
        <v/>
      </c>
      <c r="B2261" s="10" t="n"/>
      <c r="C2261" s="11">
        <f>IF(B2261="","",PERCENTRANK.INC($B$2:$B$2501,B2261)*100)</f>
        <v/>
      </c>
      <c r="D2261" s="10" t="n"/>
      <c r="E2261" s="10">
        <f>IF(D2261="","",MIN(D2261,100))</f>
        <v/>
      </c>
      <c r="F2261" s="10" t="n"/>
      <c r="G2261" s="10">
        <f>IF(F2261="","",MIN(F2261,100))</f>
        <v/>
      </c>
      <c r="H2261" s="11">
        <f>IF(A2261="","",Universe!E2261/BDP(A2261&amp;" US Equity","HIGH_52WEEK")*100)</f>
        <v/>
      </c>
      <c r="I2261">
        <f>IF(D2261="","",D2261&gt;=5)</f>
        <v/>
      </c>
      <c r="J2261">
        <f>IF(F2261="","",F2261&gt;=5)</f>
        <v/>
      </c>
      <c r="K2261">
        <f>IF(H2261="","",H2261&gt;=75)</f>
        <v/>
      </c>
      <c r="L2261">
        <f>IF(OR(I2261="",J2261="",K2261=""),FALSE,AND(I2261,J2261,K2261))</f>
        <v/>
      </c>
    </row>
    <row r="2262">
      <c r="A2262">
        <f>Universe!A2262</f>
        <v/>
      </c>
      <c r="B2262" s="10" t="n"/>
      <c r="C2262" s="11">
        <f>IF(B2262="","",PERCENTRANK.INC($B$2:$B$2501,B2262)*100)</f>
        <v/>
      </c>
      <c r="D2262" s="10" t="n"/>
      <c r="E2262" s="10">
        <f>IF(D2262="","",MIN(D2262,100))</f>
        <v/>
      </c>
      <c r="F2262" s="10" t="n"/>
      <c r="G2262" s="10">
        <f>IF(F2262="","",MIN(F2262,100))</f>
        <v/>
      </c>
      <c r="H2262" s="11">
        <f>IF(A2262="","",Universe!E2262/BDP(A2262&amp;" US Equity","HIGH_52WEEK")*100)</f>
        <v/>
      </c>
      <c r="I2262">
        <f>IF(D2262="","",D2262&gt;=5)</f>
        <v/>
      </c>
      <c r="J2262">
        <f>IF(F2262="","",F2262&gt;=5)</f>
        <v/>
      </c>
      <c r="K2262">
        <f>IF(H2262="","",H2262&gt;=75)</f>
        <v/>
      </c>
      <c r="L2262">
        <f>IF(OR(I2262="",J2262="",K2262=""),FALSE,AND(I2262,J2262,K2262))</f>
        <v/>
      </c>
    </row>
    <row r="2263">
      <c r="A2263">
        <f>Universe!A2263</f>
        <v/>
      </c>
      <c r="B2263" s="10" t="n"/>
      <c r="C2263" s="11">
        <f>IF(B2263="","",PERCENTRANK.INC($B$2:$B$2501,B2263)*100)</f>
        <v/>
      </c>
      <c r="D2263" s="10" t="n"/>
      <c r="E2263" s="10">
        <f>IF(D2263="","",MIN(D2263,100))</f>
        <v/>
      </c>
      <c r="F2263" s="10" t="n"/>
      <c r="G2263" s="10">
        <f>IF(F2263="","",MIN(F2263,100))</f>
        <v/>
      </c>
      <c r="H2263" s="11">
        <f>IF(A2263="","",Universe!E2263/BDP(A2263&amp;" US Equity","HIGH_52WEEK")*100)</f>
        <v/>
      </c>
      <c r="I2263">
        <f>IF(D2263="","",D2263&gt;=5)</f>
        <v/>
      </c>
      <c r="J2263">
        <f>IF(F2263="","",F2263&gt;=5)</f>
        <v/>
      </c>
      <c r="K2263">
        <f>IF(H2263="","",H2263&gt;=75)</f>
        <v/>
      </c>
      <c r="L2263">
        <f>IF(OR(I2263="",J2263="",K2263=""),FALSE,AND(I2263,J2263,K2263))</f>
        <v/>
      </c>
    </row>
    <row r="2264">
      <c r="A2264">
        <f>Universe!A2264</f>
        <v/>
      </c>
      <c r="B2264" s="10" t="n"/>
      <c r="C2264" s="11">
        <f>IF(B2264="","",PERCENTRANK.INC($B$2:$B$2501,B2264)*100)</f>
        <v/>
      </c>
      <c r="D2264" s="10" t="n"/>
      <c r="E2264" s="10">
        <f>IF(D2264="","",MIN(D2264,100))</f>
        <v/>
      </c>
      <c r="F2264" s="10" t="n"/>
      <c r="G2264" s="10">
        <f>IF(F2264="","",MIN(F2264,100))</f>
        <v/>
      </c>
      <c r="H2264" s="11">
        <f>IF(A2264="","",Universe!E2264/BDP(A2264&amp;" US Equity","HIGH_52WEEK")*100)</f>
        <v/>
      </c>
      <c r="I2264">
        <f>IF(D2264="","",D2264&gt;=5)</f>
        <v/>
      </c>
      <c r="J2264">
        <f>IF(F2264="","",F2264&gt;=5)</f>
        <v/>
      </c>
      <c r="K2264">
        <f>IF(H2264="","",H2264&gt;=75)</f>
        <v/>
      </c>
      <c r="L2264">
        <f>IF(OR(I2264="",J2264="",K2264=""),FALSE,AND(I2264,J2264,K2264))</f>
        <v/>
      </c>
    </row>
    <row r="2265">
      <c r="A2265">
        <f>Universe!A2265</f>
        <v/>
      </c>
      <c r="B2265" s="10" t="n"/>
      <c r="C2265" s="11">
        <f>IF(B2265="","",PERCENTRANK.INC($B$2:$B$2501,B2265)*100)</f>
        <v/>
      </c>
      <c r="D2265" s="10" t="n"/>
      <c r="E2265" s="10">
        <f>IF(D2265="","",MIN(D2265,100))</f>
        <v/>
      </c>
      <c r="F2265" s="10" t="n"/>
      <c r="G2265" s="10">
        <f>IF(F2265="","",MIN(F2265,100))</f>
        <v/>
      </c>
      <c r="H2265" s="11">
        <f>IF(A2265="","",Universe!E2265/BDP(A2265&amp;" US Equity","HIGH_52WEEK")*100)</f>
        <v/>
      </c>
      <c r="I2265">
        <f>IF(D2265="","",D2265&gt;=5)</f>
        <v/>
      </c>
      <c r="J2265">
        <f>IF(F2265="","",F2265&gt;=5)</f>
        <v/>
      </c>
      <c r="K2265">
        <f>IF(H2265="","",H2265&gt;=75)</f>
        <v/>
      </c>
      <c r="L2265">
        <f>IF(OR(I2265="",J2265="",K2265=""),FALSE,AND(I2265,J2265,K2265))</f>
        <v/>
      </c>
    </row>
    <row r="2266">
      <c r="A2266">
        <f>Universe!A2266</f>
        <v/>
      </c>
      <c r="B2266" s="10" t="n"/>
      <c r="C2266" s="11">
        <f>IF(B2266="","",PERCENTRANK.INC($B$2:$B$2501,B2266)*100)</f>
        <v/>
      </c>
      <c r="D2266" s="10" t="n"/>
      <c r="E2266" s="10">
        <f>IF(D2266="","",MIN(D2266,100))</f>
        <v/>
      </c>
      <c r="F2266" s="10" t="n"/>
      <c r="G2266" s="10">
        <f>IF(F2266="","",MIN(F2266,100))</f>
        <v/>
      </c>
      <c r="H2266" s="11">
        <f>IF(A2266="","",Universe!E2266/BDP(A2266&amp;" US Equity","HIGH_52WEEK")*100)</f>
        <v/>
      </c>
      <c r="I2266">
        <f>IF(D2266="","",D2266&gt;=5)</f>
        <v/>
      </c>
      <c r="J2266">
        <f>IF(F2266="","",F2266&gt;=5)</f>
        <v/>
      </c>
      <c r="K2266">
        <f>IF(H2266="","",H2266&gt;=75)</f>
        <v/>
      </c>
      <c r="L2266">
        <f>IF(OR(I2266="",J2266="",K2266=""),FALSE,AND(I2266,J2266,K2266))</f>
        <v/>
      </c>
    </row>
    <row r="2267">
      <c r="A2267">
        <f>Universe!A2267</f>
        <v/>
      </c>
      <c r="B2267" s="10" t="n"/>
      <c r="C2267" s="11">
        <f>IF(B2267="","",PERCENTRANK.INC($B$2:$B$2501,B2267)*100)</f>
        <v/>
      </c>
      <c r="D2267" s="10" t="n"/>
      <c r="E2267" s="10">
        <f>IF(D2267="","",MIN(D2267,100))</f>
        <v/>
      </c>
      <c r="F2267" s="10" t="n"/>
      <c r="G2267" s="10">
        <f>IF(F2267="","",MIN(F2267,100))</f>
        <v/>
      </c>
      <c r="H2267" s="11">
        <f>IF(A2267="","",Universe!E2267/BDP(A2267&amp;" US Equity","HIGH_52WEEK")*100)</f>
        <v/>
      </c>
      <c r="I2267">
        <f>IF(D2267="","",D2267&gt;=5)</f>
        <v/>
      </c>
      <c r="J2267">
        <f>IF(F2267="","",F2267&gt;=5)</f>
        <v/>
      </c>
      <c r="K2267">
        <f>IF(H2267="","",H2267&gt;=75)</f>
        <v/>
      </c>
      <c r="L2267">
        <f>IF(OR(I2267="",J2267="",K2267=""),FALSE,AND(I2267,J2267,K2267))</f>
        <v/>
      </c>
    </row>
    <row r="2268">
      <c r="A2268">
        <f>Universe!A2268</f>
        <v/>
      </c>
      <c r="B2268" s="10" t="n"/>
      <c r="C2268" s="11">
        <f>IF(B2268="","",PERCENTRANK.INC($B$2:$B$2501,B2268)*100)</f>
        <v/>
      </c>
      <c r="D2268" s="10" t="n"/>
      <c r="E2268" s="10">
        <f>IF(D2268="","",MIN(D2268,100))</f>
        <v/>
      </c>
      <c r="F2268" s="10" t="n"/>
      <c r="G2268" s="10">
        <f>IF(F2268="","",MIN(F2268,100))</f>
        <v/>
      </c>
      <c r="H2268" s="11">
        <f>IF(A2268="","",Universe!E2268/BDP(A2268&amp;" US Equity","HIGH_52WEEK")*100)</f>
        <v/>
      </c>
      <c r="I2268">
        <f>IF(D2268="","",D2268&gt;=5)</f>
        <v/>
      </c>
      <c r="J2268">
        <f>IF(F2268="","",F2268&gt;=5)</f>
        <v/>
      </c>
      <c r="K2268">
        <f>IF(H2268="","",H2268&gt;=75)</f>
        <v/>
      </c>
      <c r="L2268">
        <f>IF(OR(I2268="",J2268="",K2268=""),FALSE,AND(I2268,J2268,K2268))</f>
        <v/>
      </c>
    </row>
    <row r="2269">
      <c r="A2269">
        <f>Universe!A2269</f>
        <v/>
      </c>
      <c r="B2269" s="10" t="n"/>
      <c r="C2269" s="11">
        <f>IF(B2269="","",PERCENTRANK.INC($B$2:$B$2501,B2269)*100)</f>
        <v/>
      </c>
      <c r="D2269" s="10" t="n"/>
      <c r="E2269" s="10">
        <f>IF(D2269="","",MIN(D2269,100))</f>
        <v/>
      </c>
      <c r="F2269" s="10" t="n"/>
      <c r="G2269" s="10">
        <f>IF(F2269="","",MIN(F2269,100))</f>
        <v/>
      </c>
      <c r="H2269" s="11">
        <f>IF(A2269="","",Universe!E2269/BDP(A2269&amp;" US Equity","HIGH_52WEEK")*100)</f>
        <v/>
      </c>
      <c r="I2269">
        <f>IF(D2269="","",D2269&gt;=5)</f>
        <v/>
      </c>
      <c r="J2269">
        <f>IF(F2269="","",F2269&gt;=5)</f>
        <v/>
      </c>
      <c r="K2269">
        <f>IF(H2269="","",H2269&gt;=75)</f>
        <v/>
      </c>
      <c r="L2269">
        <f>IF(OR(I2269="",J2269="",K2269=""),FALSE,AND(I2269,J2269,K2269))</f>
        <v/>
      </c>
    </row>
    <row r="2270">
      <c r="A2270">
        <f>Universe!A2270</f>
        <v/>
      </c>
      <c r="B2270" s="10" t="n"/>
      <c r="C2270" s="11">
        <f>IF(B2270="","",PERCENTRANK.INC($B$2:$B$2501,B2270)*100)</f>
        <v/>
      </c>
      <c r="D2270" s="10" t="n"/>
      <c r="E2270" s="10">
        <f>IF(D2270="","",MIN(D2270,100))</f>
        <v/>
      </c>
      <c r="F2270" s="10" t="n"/>
      <c r="G2270" s="10">
        <f>IF(F2270="","",MIN(F2270,100))</f>
        <v/>
      </c>
      <c r="H2270" s="11">
        <f>IF(A2270="","",Universe!E2270/BDP(A2270&amp;" US Equity","HIGH_52WEEK")*100)</f>
        <v/>
      </c>
      <c r="I2270">
        <f>IF(D2270="","",D2270&gt;=5)</f>
        <v/>
      </c>
      <c r="J2270">
        <f>IF(F2270="","",F2270&gt;=5)</f>
        <v/>
      </c>
      <c r="K2270">
        <f>IF(H2270="","",H2270&gt;=75)</f>
        <v/>
      </c>
      <c r="L2270">
        <f>IF(OR(I2270="",J2270="",K2270=""),FALSE,AND(I2270,J2270,K2270))</f>
        <v/>
      </c>
    </row>
    <row r="2271">
      <c r="A2271">
        <f>Universe!A2271</f>
        <v/>
      </c>
      <c r="B2271" s="10" t="n"/>
      <c r="C2271" s="11">
        <f>IF(B2271="","",PERCENTRANK.INC($B$2:$B$2501,B2271)*100)</f>
        <v/>
      </c>
      <c r="D2271" s="10" t="n"/>
      <c r="E2271" s="10">
        <f>IF(D2271="","",MIN(D2271,100))</f>
        <v/>
      </c>
      <c r="F2271" s="10" t="n"/>
      <c r="G2271" s="10">
        <f>IF(F2271="","",MIN(F2271,100))</f>
        <v/>
      </c>
      <c r="H2271" s="11">
        <f>IF(A2271="","",Universe!E2271/BDP(A2271&amp;" US Equity","HIGH_52WEEK")*100)</f>
        <v/>
      </c>
      <c r="I2271">
        <f>IF(D2271="","",D2271&gt;=5)</f>
        <v/>
      </c>
      <c r="J2271">
        <f>IF(F2271="","",F2271&gt;=5)</f>
        <v/>
      </c>
      <c r="K2271">
        <f>IF(H2271="","",H2271&gt;=75)</f>
        <v/>
      </c>
      <c r="L2271">
        <f>IF(OR(I2271="",J2271="",K2271=""),FALSE,AND(I2271,J2271,K2271))</f>
        <v/>
      </c>
    </row>
    <row r="2272">
      <c r="A2272">
        <f>Universe!A2272</f>
        <v/>
      </c>
      <c r="B2272" s="10" t="n"/>
      <c r="C2272" s="11">
        <f>IF(B2272="","",PERCENTRANK.INC($B$2:$B$2501,B2272)*100)</f>
        <v/>
      </c>
      <c r="D2272" s="10" t="n"/>
      <c r="E2272" s="10">
        <f>IF(D2272="","",MIN(D2272,100))</f>
        <v/>
      </c>
      <c r="F2272" s="10" t="n"/>
      <c r="G2272" s="10">
        <f>IF(F2272="","",MIN(F2272,100))</f>
        <v/>
      </c>
      <c r="H2272" s="11">
        <f>IF(A2272="","",Universe!E2272/BDP(A2272&amp;" US Equity","HIGH_52WEEK")*100)</f>
        <v/>
      </c>
      <c r="I2272">
        <f>IF(D2272="","",D2272&gt;=5)</f>
        <v/>
      </c>
      <c r="J2272">
        <f>IF(F2272="","",F2272&gt;=5)</f>
        <v/>
      </c>
      <c r="K2272">
        <f>IF(H2272="","",H2272&gt;=75)</f>
        <v/>
      </c>
      <c r="L2272">
        <f>IF(OR(I2272="",J2272="",K2272=""),FALSE,AND(I2272,J2272,K2272))</f>
        <v/>
      </c>
    </row>
    <row r="2273">
      <c r="A2273">
        <f>Universe!A2273</f>
        <v/>
      </c>
      <c r="B2273" s="10" t="n"/>
      <c r="C2273" s="11">
        <f>IF(B2273="","",PERCENTRANK.INC($B$2:$B$2501,B2273)*100)</f>
        <v/>
      </c>
      <c r="D2273" s="10" t="n"/>
      <c r="E2273" s="10">
        <f>IF(D2273="","",MIN(D2273,100))</f>
        <v/>
      </c>
      <c r="F2273" s="10" t="n"/>
      <c r="G2273" s="10">
        <f>IF(F2273="","",MIN(F2273,100))</f>
        <v/>
      </c>
      <c r="H2273" s="11">
        <f>IF(A2273="","",Universe!E2273/BDP(A2273&amp;" US Equity","HIGH_52WEEK")*100)</f>
        <v/>
      </c>
      <c r="I2273">
        <f>IF(D2273="","",D2273&gt;=5)</f>
        <v/>
      </c>
      <c r="J2273">
        <f>IF(F2273="","",F2273&gt;=5)</f>
        <v/>
      </c>
      <c r="K2273">
        <f>IF(H2273="","",H2273&gt;=75)</f>
        <v/>
      </c>
      <c r="L2273">
        <f>IF(OR(I2273="",J2273="",K2273=""),FALSE,AND(I2273,J2273,K2273))</f>
        <v/>
      </c>
    </row>
    <row r="2274">
      <c r="A2274">
        <f>Universe!A2274</f>
        <v/>
      </c>
      <c r="B2274" s="10" t="n"/>
      <c r="C2274" s="11">
        <f>IF(B2274="","",PERCENTRANK.INC($B$2:$B$2501,B2274)*100)</f>
        <v/>
      </c>
      <c r="D2274" s="10" t="n"/>
      <c r="E2274" s="10">
        <f>IF(D2274="","",MIN(D2274,100))</f>
        <v/>
      </c>
      <c r="F2274" s="10" t="n"/>
      <c r="G2274" s="10">
        <f>IF(F2274="","",MIN(F2274,100))</f>
        <v/>
      </c>
      <c r="H2274" s="11">
        <f>IF(A2274="","",Universe!E2274/BDP(A2274&amp;" US Equity","HIGH_52WEEK")*100)</f>
        <v/>
      </c>
      <c r="I2274">
        <f>IF(D2274="","",D2274&gt;=5)</f>
        <v/>
      </c>
      <c r="J2274">
        <f>IF(F2274="","",F2274&gt;=5)</f>
        <v/>
      </c>
      <c r="K2274">
        <f>IF(H2274="","",H2274&gt;=75)</f>
        <v/>
      </c>
      <c r="L2274">
        <f>IF(OR(I2274="",J2274="",K2274=""),FALSE,AND(I2274,J2274,K2274))</f>
        <v/>
      </c>
    </row>
    <row r="2275">
      <c r="A2275">
        <f>Universe!A2275</f>
        <v/>
      </c>
      <c r="B2275" s="10" t="n"/>
      <c r="C2275" s="11">
        <f>IF(B2275="","",PERCENTRANK.INC($B$2:$B$2501,B2275)*100)</f>
        <v/>
      </c>
      <c r="D2275" s="10" t="n"/>
      <c r="E2275" s="10">
        <f>IF(D2275="","",MIN(D2275,100))</f>
        <v/>
      </c>
      <c r="F2275" s="10" t="n"/>
      <c r="G2275" s="10">
        <f>IF(F2275="","",MIN(F2275,100))</f>
        <v/>
      </c>
      <c r="H2275" s="11">
        <f>IF(A2275="","",Universe!E2275/BDP(A2275&amp;" US Equity","HIGH_52WEEK")*100)</f>
        <v/>
      </c>
      <c r="I2275">
        <f>IF(D2275="","",D2275&gt;=5)</f>
        <v/>
      </c>
      <c r="J2275">
        <f>IF(F2275="","",F2275&gt;=5)</f>
        <v/>
      </c>
      <c r="K2275">
        <f>IF(H2275="","",H2275&gt;=75)</f>
        <v/>
      </c>
      <c r="L2275">
        <f>IF(OR(I2275="",J2275="",K2275=""),FALSE,AND(I2275,J2275,K2275))</f>
        <v/>
      </c>
    </row>
    <row r="2276">
      <c r="A2276">
        <f>Universe!A2276</f>
        <v/>
      </c>
      <c r="B2276" s="10" t="n"/>
      <c r="C2276" s="11">
        <f>IF(B2276="","",PERCENTRANK.INC($B$2:$B$2501,B2276)*100)</f>
        <v/>
      </c>
      <c r="D2276" s="10" t="n"/>
      <c r="E2276" s="10">
        <f>IF(D2276="","",MIN(D2276,100))</f>
        <v/>
      </c>
      <c r="F2276" s="10" t="n"/>
      <c r="G2276" s="10">
        <f>IF(F2276="","",MIN(F2276,100))</f>
        <v/>
      </c>
      <c r="H2276" s="11">
        <f>IF(A2276="","",Universe!E2276/BDP(A2276&amp;" US Equity","HIGH_52WEEK")*100)</f>
        <v/>
      </c>
      <c r="I2276">
        <f>IF(D2276="","",D2276&gt;=5)</f>
        <v/>
      </c>
      <c r="J2276">
        <f>IF(F2276="","",F2276&gt;=5)</f>
        <v/>
      </c>
      <c r="K2276">
        <f>IF(H2276="","",H2276&gt;=75)</f>
        <v/>
      </c>
      <c r="L2276">
        <f>IF(OR(I2276="",J2276="",K2276=""),FALSE,AND(I2276,J2276,K2276))</f>
        <v/>
      </c>
    </row>
    <row r="2277">
      <c r="A2277">
        <f>Universe!A2277</f>
        <v/>
      </c>
      <c r="B2277" s="10" t="n"/>
      <c r="C2277" s="11">
        <f>IF(B2277="","",PERCENTRANK.INC($B$2:$B$2501,B2277)*100)</f>
        <v/>
      </c>
      <c r="D2277" s="10" t="n"/>
      <c r="E2277" s="10">
        <f>IF(D2277="","",MIN(D2277,100))</f>
        <v/>
      </c>
      <c r="F2277" s="10" t="n"/>
      <c r="G2277" s="10">
        <f>IF(F2277="","",MIN(F2277,100))</f>
        <v/>
      </c>
      <c r="H2277" s="11">
        <f>IF(A2277="","",Universe!E2277/BDP(A2277&amp;" US Equity","HIGH_52WEEK")*100)</f>
        <v/>
      </c>
      <c r="I2277">
        <f>IF(D2277="","",D2277&gt;=5)</f>
        <v/>
      </c>
      <c r="J2277">
        <f>IF(F2277="","",F2277&gt;=5)</f>
        <v/>
      </c>
      <c r="K2277">
        <f>IF(H2277="","",H2277&gt;=75)</f>
        <v/>
      </c>
      <c r="L2277">
        <f>IF(OR(I2277="",J2277="",K2277=""),FALSE,AND(I2277,J2277,K2277))</f>
        <v/>
      </c>
    </row>
    <row r="2278">
      <c r="A2278">
        <f>Universe!A2278</f>
        <v/>
      </c>
      <c r="B2278" s="10" t="n"/>
      <c r="C2278" s="11">
        <f>IF(B2278="","",PERCENTRANK.INC($B$2:$B$2501,B2278)*100)</f>
        <v/>
      </c>
      <c r="D2278" s="10" t="n"/>
      <c r="E2278" s="10">
        <f>IF(D2278="","",MIN(D2278,100))</f>
        <v/>
      </c>
      <c r="F2278" s="10" t="n"/>
      <c r="G2278" s="10">
        <f>IF(F2278="","",MIN(F2278,100))</f>
        <v/>
      </c>
      <c r="H2278" s="11">
        <f>IF(A2278="","",Universe!E2278/BDP(A2278&amp;" US Equity","HIGH_52WEEK")*100)</f>
        <v/>
      </c>
      <c r="I2278">
        <f>IF(D2278="","",D2278&gt;=5)</f>
        <v/>
      </c>
      <c r="J2278">
        <f>IF(F2278="","",F2278&gt;=5)</f>
        <v/>
      </c>
      <c r="K2278">
        <f>IF(H2278="","",H2278&gt;=75)</f>
        <v/>
      </c>
      <c r="L2278">
        <f>IF(OR(I2278="",J2278="",K2278=""),FALSE,AND(I2278,J2278,K2278))</f>
        <v/>
      </c>
    </row>
    <row r="2279">
      <c r="A2279">
        <f>Universe!A2279</f>
        <v/>
      </c>
      <c r="B2279" s="10" t="n"/>
      <c r="C2279" s="11">
        <f>IF(B2279="","",PERCENTRANK.INC($B$2:$B$2501,B2279)*100)</f>
        <v/>
      </c>
      <c r="D2279" s="10" t="n"/>
      <c r="E2279" s="10">
        <f>IF(D2279="","",MIN(D2279,100))</f>
        <v/>
      </c>
      <c r="F2279" s="10" t="n"/>
      <c r="G2279" s="10">
        <f>IF(F2279="","",MIN(F2279,100))</f>
        <v/>
      </c>
      <c r="H2279" s="11">
        <f>IF(A2279="","",Universe!E2279/BDP(A2279&amp;" US Equity","HIGH_52WEEK")*100)</f>
        <v/>
      </c>
      <c r="I2279">
        <f>IF(D2279="","",D2279&gt;=5)</f>
        <v/>
      </c>
      <c r="J2279">
        <f>IF(F2279="","",F2279&gt;=5)</f>
        <v/>
      </c>
      <c r="K2279">
        <f>IF(H2279="","",H2279&gt;=75)</f>
        <v/>
      </c>
      <c r="L2279">
        <f>IF(OR(I2279="",J2279="",K2279=""),FALSE,AND(I2279,J2279,K2279))</f>
        <v/>
      </c>
    </row>
    <row r="2280">
      <c r="A2280">
        <f>Universe!A2280</f>
        <v/>
      </c>
      <c r="B2280" s="10" t="n"/>
      <c r="C2280" s="11">
        <f>IF(B2280="","",PERCENTRANK.INC($B$2:$B$2501,B2280)*100)</f>
        <v/>
      </c>
      <c r="D2280" s="10" t="n"/>
      <c r="E2280" s="10">
        <f>IF(D2280="","",MIN(D2280,100))</f>
        <v/>
      </c>
      <c r="F2280" s="10" t="n"/>
      <c r="G2280" s="10">
        <f>IF(F2280="","",MIN(F2280,100))</f>
        <v/>
      </c>
      <c r="H2280" s="11">
        <f>IF(A2280="","",Universe!E2280/BDP(A2280&amp;" US Equity","HIGH_52WEEK")*100)</f>
        <v/>
      </c>
      <c r="I2280">
        <f>IF(D2280="","",D2280&gt;=5)</f>
        <v/>
      </c>
      <c r="J2280">
        <f>IF(F2280="","",F2280&gt;=5)</f>
        <v/>
      </c>
      <c r="K2280">
        <f>IF(H2280="","",H2280&gt;=75)</f>
        <v/>
      </c>
      <c r="L2280">
        <f>IF(OR(I2280="",J2280="",K2280=""),FALSE,AND(I2280,J2280,K2280))</f>
        <v/>
      </c>
    </row>
    <row r="2281">
      <c r="A2281">
        <f>Universe!A2281</f>
        <v/>
      </c>
      <c r="B2281" s="10" t="n"/>
      <c r="C2281" s="11">
        <f>IF(B2281="","",PERCENTRANK.INC($B$2:$B$2501,B2281)*100)</f>
        <v/>
      </c>
      <c r="D2281" s="10" t="n"/>
      <c r="E2281" s="10">
        <f>IF(D2281="","",MIN(D2281,100))</f>
        <v/>
      </c>
      <c r="F2281" s="10" t="n"/>
      <c r="G2281" s="10">
        <f>IF(F2281="","",MIN(F2281,100))</f>
        <v/>
      </c>
      <c r="H2281" s="11">
        <f>IF(A2281="","",Universe!E2281/BDP(A2281&amp;" US Equity","HIGH_52WEEK")*100)</f>
        <v/>
      </c>
      <c r="I2281">
        <f>IF(D2281="","",D2281&gt;=5)</f>
        <v/>
      </c>
      <c r="J2281">
        <f>IF(F2281="","",F2281&gt;=5)</f>
        <v/>
      </c>
      <c r="K2281">
        <f>IF(H2281="","",H2281&gt;=75)</f>
        <v/>
      </c>
      <c r="L2281">
        <f>IF(OR(I2281="",J2281="",K2281=""),FALSE,AND(I2281,J2281,K2281))</f>
        <v/>
      </c>
    </row>
    <row r="2282">
      <c r="A2282">
        <f>Universe!A2282</f>
        <v/>
      </c>
      <c r="B2282" s="10" t="n"/>
      <c r="C2282" s="11">
        <f>IF(B2282="","",PERCENTRANK.INC($B$2:$B$2501,B2282)*100)</f>
        <v/>
      </c>
      <c r="D2282" s="10" t="n"/>
      <c r="E2282" s="10">
        <f>IF(D2282="","",MIN(D2282,100))</f>
        <v/>
      </c>
      <c r="F2282" s="10" t="n"/>
      <c r="G2282" s="10">
        <f>IF(F2282="","",MIN(F2282,100))</f>
        <v/>
      </c>
      <c r="H2282" s="11">
        <f>IF(A2282="","",Universe!E2282/BDP(A2282&amp;" US Equity","HIGH_52WEEK")*100)</f>
        <v/>
      </c>
      <c r="I2282">
        <f>IF(D2282="","",D2282&gt;=5)</f>
        <v/>
      </c>
      <c r="J2282">
        <f>IF(F2282="","",F2282&gt;=5)</f>
        <v/>
      </c>
      <c r="K2282">
        <f>IF(H2282="","",H2282&gt;=75)</f>
        <v/>
      </c>
      <c r="L2282">
        <f>IF(OR(I2282="",J2282="",K2282=""),FALSE,AND(I2282,J2282,K2282))</f>
        <v/>
      </c>
    </row>
    <row r="2283">
      <c r="A2283">
        <f>Universe!A2283</f>
        <v/>
      </c>
      <c r="B2283" s="10" t="n"/>
      <c r="C2283" s="11">
        <f>IF(B2283="","",PERCENTRANK.INC($B$2:$B$2501,B2283)*100)</f>
        <v/>
      </c>
      <c r="D2283" s="10" t="n"/>
      <c r="E2283" s="10">
        <f>IF(D2283="","",MIN(D2283,100))</f>
        <v/>
      </c>
      <c r="F2283" s="10" t="n"/>
      <c r="G2283" s="10">
        <f>IF(F2283="","",MIN(F2283,100))</f>
        <v/>
      </c>
      <c r="H2283" s="11">
        <f>IF(A2283="","",Universe!E2283/BDP(A2283&amp;" US Equity","HIGH_52WEEK")*100)</f>
        <v/>
      </c>
      <c r="I2283">
        <f>IF(D2283="","",D2283&gt;=5)</f>
        <v/>
      </c>
      <c r="J2283">
        <f>IF(F2283="","",F2283&gt;=5)</f>
        <v/>
      </c>
      <c r="K2283">
        <f>IF(H2283="","",H2283&gt;=75)</f>
        <v/>
      </c>
      <c r="L2283">
        <f>IF(OR(I2283="",J2283="",K2283=""),FALSE,AND(I2283,J2283,K2283))</f>
        <v/>
      </c>
    </row>
    <row r="2284">
      <c r="A2284">
        <f>Universe!A2284</f>
        <v/>
      </c>
      <c r="B2284" s="10" t="n"/>
      <c r="C2284" s="11">
        <f>IF(B2284="","",PERCENTRANK.INC($B$2:$B$2501,B2284)*100)</f>
        <v/>
      </c>
      <c r="D2284" s="10" t="n"/>
      <c r="E2284" s="10">
        <f>IF(D2284="","",MIN(D2284,100))</f>
        <v/>
      </c>
      <c r="F2284" s="10" t="n"/>
      <c r="G2284" s="10">
        <f>IF(F2284="","",MIN(F2284,100))</f>
        <v/>
      </c>
      <c r="H2284" s="11">
        <f>IF(A2284="","",Universe!E2284/BDP(A2284&amp;" US Equity","HIGH_52WEEK")*100)</f>
        <v/>
      </c>
      <c r="I2284">
        <f>IF(D2284="","",D2284&gt;=5)</f>
        <v/>
      </c>
      <c r="J2284">
        <f>IF(F2284="","",F2284&gt;=5)</f>
        <v/>
      </c>
      <c r="K2284">
        <f>IF(H2284="","",H2284&gt;=75)</f>
        <v/>
      </c>
      <c r="L2284">
        <f>IF(OR(I2284="",J2284="",K2284=""),FALSE,AND(I2284,J2284,K2284))</f>
        <v/>
      </c>
    </row>
    <row r="2285">
      <c r="A2285">
        <f>Universe!A2285</f>
        <v/>
      </c>
      <c r="B2285" s="10" t="n"/>
      <c r="C2285" s="11">
        <f>IF(B2285="","",PERCENTRANK.INC($B$2:$B$2501,B2285)*100)</f>
        <v/>
      </c>
      <c r="D2285" s="10" t="n"/>
      <c r="E2285" s="10">
        <f>IF(D2285="","",MIN(D2285,100))</f>
        <v/>
      </c>
      <c r="F2285" s="10" t="n"/>
      <c r="G2285" s="10">
        <f>IF(F2285="","",MIN(F2285,100))</f>
        <v/>
      </c>
      <c r="H2285" s="11">
        <f>IF(A2285="","",Universe!E2285/BDP(A2285&amp;" US Equity","HIGH_52WEEK")*100)</f>
        <v/>
      </c>
      <c r="I2285">
        <f>IF(D2285="","",D2285&gt;=5)</f>
        <v/>
      </c>
      <c r="J2285">
        <f>IF(F2285="","",F2285&gt;=5)</f>
        <v/>
      </c>
      <c r="K2285">
        <f>IF(H2285="","",H2285&gt;=75)</f>
        <v/>
      </c>
      <c r="L2285">
        <f>IF(OR(I2285="",J2285="",K2285=""),FALSE,AND(I2285,J2285,K2285))</f>
        <v/>
      </c>
    </row>
    <row r="2286">
      <c r="A2286">
        <f>Universe!A2286</f>
        <v/>
      </c>
      <c r="B2286" s="10" t="n"/>
      <c r="C2286" s="11">
        <f>IF(B2286="","",PERCENTRANK.INC($B$2:$B$2501,B2286)*100)</f>
        <v/>
      </c>
      <c r="D2286" s="10" t="n"/>
      <c r="E2286" s="10">
        <f>IF(D2286="","",MIN(D2286,100))</f>
        <v/>
      </c>
      <c r="F2286" s="10" t="n"/>
      <c r="G2286" s="10">
        <f>IF(F2286="","",MIN(F2286,100))</f>
        <v/>
      </c>
      <c r="H2286" s="11">
        <f>IF(A2286="","",Universe!E2286/BDP(A2286&amp;" US Equity","HIGH_52WEEK")*100)</f>
        <v/>
      </c>
      <c r="I2286">
        <f>IF(D2286="","",D2286&gt;=5)</f>
        <v/>
      </c>
      <c r="J2286">
        <f>IF(F2286="","",F2286&gt;=5)</f>
        <v/>
      </c>
      <c r="K2286">
        <f>IF(H2286="","",H2286&gt;=75)</f>
        <v/>
      </c>
      <c r="L2286">
        <f>IF(OR(I2286="",J2286="",K2286=""),FALSE,AND(I2286,J2286,K2286))</f>
        <v/>
      </c>
    </row>
    <row r="2287">
      <c r="A2287">
        <f>Universe!A2287</f>
        <v/>
      </c>
      <c r="B2287" s="10" t="n"/>
      <c r="C2287" s="11">
        <f>IF(B2287="","",PERCENTRANK.INC($B$2:$B$2501,B2287)*100)</f>
        <v/>
      </c>
      <c r="D2287" s="10" t="n"/>
      <c r="E2287" s="10">
        <f>IF(D2287="","",MIN(D2287,100))</f>
        <v/>
      </c>
      <c r="F2287" s="10" t="n"/>
      <c r="G2287" s="10">
        <f>IF(F2287="","",MIN(F2287,100))</f>
        <v/>
      </c>
      <c r="H2287" s="11">
        <f>IF(A2287="","",Universe!E2287/BDP(A2287&amp;" US Equity","HIGH_52WEEK")*100)</f>
        <v/>
      </c>
      <c r="I2287">
        <f>IF(D2287="","",D2287&gt;=5)</f>
        <v/>
      </c>
      <c r="J2287">
        <f>IF(F2287="","",F2287&gt;=5)</f>
        <v/>
      </c>
      <c r="K2287">
        <f>IF(H2287="","",H2287&gt;=75)</f>
        <v/>
      </c>
      <c r="L2287">
        <f>IF(OR(I2287="",J2287="",K2287=""),FALSE,AND(I2287,J2287,K2287))</f>
        <v/>
      </c>
    </row>
    <row r="2288">
      <c r="A2288">
        <f>Universe!A2288</f>
        <v/>
      </c>
      <c r="B2288" s="10" t="n"/>
      <c r="C2288" s="11">
        <f>IF(B2288="","",PERCENTRANK.INC($B$2:$B$2501,B2288)*100)</f>
        <v/>
      </c>
      <c r="D2288" s="10" t="n"/>
      <c r="E2288" s="10">
        <f>IF(D2288="","",MIN(D2288,100))</f>
        <v/>
      </c>
      <c r="F2288" s="10" t="n"/>
      <c r="G2288" s="10">
        <f>IF(F2288="","",MIN(F2288,100))</f>
        <v/>
      </c>
      <c r="H2288" s="11">
        <f>IF(A2288="","",Universe!E2288/BDP(A2288&amp;" US Equity","HIGH_52WEEK")*100)</f>
        <v/>
      </c>
      <c r="I2288">
        <f>IF(D2288="","",D2288&gt;=5)</f>
        <v/>
      </c>
      <c r="J2288">
        <f>IF(F2288="","",F2288&gt;=5)</f>
        <v/>
      </c>
      <c r="K2288">
        <f>IF(H2288="","",H2288&gt;=75)</f>
        <v/>
      </c>
      <c r="L2288">
        <f>IF(OR(I2288="",J2288="",K2288=""),FALSE,AND(I2288,J2288,K2288))</f>
        <v/>
      </c>
    </row>
    <row r="2289">
      <c r="A2289">
        <f>Universe!A2289</f>
        <v/>
      </c>
      <c r="B2289" s="10" t="n"/>
      <c r="C2289" s="11">
        <f>IF(B2289="","",PERCENTRANK.INC($B$2:$B$2501,B2289)*100)</f>
        <v/>
      </c>
      <c r="D2289" s="10" t="n"/>
      <c r="E2289" s="10">
        <f>IF(D2289="","",MIN(D2289,100))</f>
        <v/>
      </c>
      <c r="F2289" s="10" t="n"/>
      <c r="G2289" s="10">
        <f>IF(F2289="","",MIN(F2289,100))</f>
        <v/>
      </c>
      <c r="H2289" s="11">
        <f>IF(A2289="","",Universe!E2289/BDP(A2289&amp;" US Equity","HIGH_52WEEK")*100)</f>
        <v/>
      </c>
      <c r="I2289">
        <f>IF(D2289="","",D2289&gt;=5)</f>
        <v/>
      </c>
      <c r="J2289">
        <f>IF(F2289="","",F2289&gt;=5)</f>
        <v/>
      </c>
      <c r="K2289">
        <f>IF(H2289="","",H2289&gt;=75)</f>
        <v/>
      </c>
      <c r="L2289">
        <f>IF(OR(I2289="",J2289="",K2289=""),FALSE,AND(I2289,J2289,K2289))</f>
        <v/>
      </c>
    </row>
    <row r="2290">
      <c r="A2290">
        <f>Universe!A2290</f>
        <v/>
      </c>
      <c r="B2290" s="10" t="n"/>
      <c r="C2290" s="11">
        <f>IF(B2290="","",PERCENTRANK.INC($B$2:$B$2501,B2290)*100)</f>
        <v/>
      </c>
      <c r="D2290" s="10" t="n"/>
      <c r="E2290" s="10">
        <f>IF(D2290="","",MIN(D2290,100))</f>
        <v/>
      </c>
      <c r="F2290" s="10" t="n"/>
      <c r="G2290" s="10">
        <f>IF(F2290="","",MIN(F2290,100))</f>
        <v/>
      </c>
      <c r="H2290" s="11">
        <f>IF(A2290="","",Universe!E2290/BDP(A2290&amp;" US Equity","HIGH_52WEEK")*100)</f>
        <v/>
      </c>
      <c r="I2290">
        <f>IF(D2290="","",D2290&gt;=5)</f>
        <v/>
      </c>
      <c r="J2290">
        <f>IF(F2290="","",F2290&gt;=5)</f>
        <v/>
      </c>
      <c r="K2290">
        <f>IF(H2290="","",H2290&gt;=75)</f>
        <v/>
      </c>
      <c r="L2290">
        <f>IF(OR(I2290="",J2290="",K2290=""),FALSE,AND(I2290,J2290,K2290))</f>
        <v/>
      </c>
    </row>
    <row r="2291">
      <c r="A2291">
        <f>Universe!A2291</f>
        <v/>
      </c>
      <c r="B2291" s="10" t="n"/>
      <c r="C2291" s="11">
        <f>IF(B2291="","",PERCENTRANK.INC($B$2:$B$2501,B2291)*100)</f>
        <v/>
      </c>
      <c r="D2291" s="10" t="n"/>
      <c r="E2291" s="10">
        <f>IF(D2291="","",MIN(D2291,100))</f>
        <v/>
      </c>
      <c r="F2291" s="10" t="n"/>
      <c r="G2291" s="10">
        <f>IF(F2291="","",MIN(F2291,100))</f>
        <v/>
      </c>
      <c r="H2291" s="11">
        <f>IF(A2291="","",Universe!E2291/BDP(A2291&amp;" US Equity","HIGH_52WEEK")*100)</f>
        <v/>
      </c>
      <c r="I2291">
        <f>IF(D2291="","",D2291&gt;=5)</f>
        <v/>
      </c>
      <c r="J2291">
        <f>IF(F2291="","",F2291&gt;=5)</f>
        <v/>
      </c>
      <c r="K2291">
        <f>IF(H2291="","",H2291&gt;=75)</f>
        <v/>
      </c>
      <c r="L2291">
        <f>IF(OR(I2291="",J2291="",K2291=""),FALSE,AND(I2291,J2291,K2291))</f>
        <v/>
      </c>
    </row>
    <row r="2292">
      <c r="A2292">
        <f>Universe!A2292</f>
        <v/>
      </c>
      <c r="B2292" s="10" t="n"/>
      <c r="C2292" s="11">
        <f>IF(B2292="","",PERCENTRANK.INC($B$2:$B$2501,B2292)*100)</f>
        <v/>
      </c>
      <c r="D2292" s="10" t="n"/>
      <c r="E2292" s="10">
        <f>IF(D2292="","",MIN(D2292,100))</f>
        <v/>
      </c>
      <c r="F2292" s="10" t="n"/>
      <c r="G2292" s="10">
        <f>IF(F2292="","",MIN(F2292,100))</f>
        <v/>
      </c>
      <c r="H2292" s="11">
        <f>IF(A2292="","",Universe!E2292/BDP(A2292&amp;" US Equity","HIGH_52WEEK")*100)</f>
        <v/>
      </c>
      <c r="I2292">
        <f>IF(D2292="","",D2292&gt;=5)</f>
        <v/>
      </c>
      <c r="J2292">
        <f>IF(F2292="","",F2292&gt;=5)</f>
        <v/>
      </c>
      <c r="K2292">
        <f>IF(H2292="","",H2292&gt;=75)</f>
        <v/>
      </c>
      <c r="L2292">
        <f>IF(OR(I2292="",J2292="",K2292=""),FALSE,AND(I2292,J2292,K2292))</f>
        <v/>
      </c>
    </row>
    <row r="2293">
      <c r="A2293">
        <f>Universe!A2293</f>
        <v/>
      </c>
      <c r="B2293" s="10" t="n"/>
      <c r="C2293" s="11">
        <f>IF(B2293="","",PERCENTRANK.INC($B$2:$B$2501,B2293)*100)</f>
        <v/>
      </c>
      <c r="D2293" s="10" t="n"/>
      <c r="E2293" s="10">
        <f>IF(D2293="","",MIN(D2293,100))</f>
        <v/>
      </c>
      <c r="F2293" s="10" t="n"/>
      <c r="G2293" s="10">
        <f>IF(F2293="","",MIN(F2293,100))</f>
        <v/>
      </c>
      <c r="H2293" s="11">
        <f>IF(A2293="","",Universe!E2293/BDP(A2293&amp;" US Equity","HIGH_52WEEK")*100)</f>
        <v/>
      </c>
      <c r="I2293">
        <f>IF(D2293="","",D2293&gt;=5)</f>
        <v/>
      </c>
      <c r="J2293">
        <f>IF(F2293="","",F2293&gt;=5)</f>
        <v/>
      </c>
      <c r="K2293">
        <f>IF(H2293="","",H2293&gt;=75)</f>
        <v/>
      </c>
      <c r="L2293">
        <f>IF(OR(I2293="",J2293="",K2293=""),FALSE,AND(I2293,J2293,K2293))</f>
        <v/>
      </c>
    </row>
    <row r="2294">
      <c r="A2294">
        <f>Universe!A2294</f>
        <v/>
      </c>
      <c r="B2294" s="10" t="n"/>
      <c r="C2294" s="11">
        <f>IF(B2294="","",PERCENTRANK.INC($B$2:$B$2501,B2294)*100)</f>
        <v/>
      </c>
      <c r="D2294" s="10" t="n"/>
      <c r="E2294" s="10">
        <f>IF(D2294="","",MIN(D2294,100))</f>
        <v/>
      </c>
      <c r="F2294" s="10" t="n"/>
      <c r="G2294" s="10">
        <f>IF(F2294="","",MIN(F2294,100))</f>
        <v/>
      </c>
      <c r="H2294" s="11">
        <f>IF(A2294="","",Universe!E2294/BDP(A2294&amp;" US Equity","HIGH_52WEEK")*100)</f>
        <v/>
      </c>
      <c r="I2294">
        <f>IF(D2294="","",D2294&gt;=5)</f>
        <v/>
      </c>
      <c r="J2294">
        <f>IF(F2294="","",F2294&gt;=5)</f>
        <v/>
      </c>
      <c r="K2294">
        <f>IF(H2294="","",H2294&gt;=75)</f>
        <v/>
      </c>
      <c r="L2294">
        <f>IF(OR(I2294="",J2294="",K2294=""),FALSE,AND(I2294,J2294,K2294))</f>
        <v/>
      </c>
    </row>
    <row r="2295">
      <c r="A2295">
        <f>Universe!A2295</f>
        <v/>
      </c>
      <c r="B2295" s="10" t="n"/>
      <c r="C2295" s="11">
        <f>IF(B2295="","",PERCENTRANK.INC($B$2:$B$2501,B2295)*100)</f>
        <v/>
      </c>
      <c r="D2295" s="10" t="n"/>
      <c r="E2295" s="10">
        <f>IF(D2295="","",MIN(D2295,100))</f>
        <v/>
      </c>
      <c r="F2295" s="10" t="n"/>
      <c r="G2295" s="10">
        <f>IF(F2295="","",MIN(F2295,100))</f>
        <v/>
      </c>
      <c r="H2295" s="11">
        <f>IF(A2295="","",Universe!E2295/BDP(A2295&amp;" US Equity","HIGH_52WEEK")*100)</f>
        <v/>
      </c>
      <c r="I2295">
        <f>IF(D2295="","",D2295&gt;=5)</f>
        <v/>
      </c>
      <c r="J2295">
        <f>IF(F2295="","",F2295&gt;=5)</f>
        <v/>
      </c>
      <c r="K2295">
        <f>IF(H2295="","",H2295&gt;=75)</f>
        <v/>
      </c>
      <c r="L2295">
        <f>IF(OR(I2295="",J2295="",K2295=""),FALSE,AND(I2295,J2295,K2295))</f>
        <v/>
      </c>
    </row>
    <row r="2296">
      <c r="A2296">
        <f>Universe!A2296</f>
        <v/>
      </c>
      <c r="B2296" s="10" t="n"/>
      <c r="C2296" s="11">
        <f>IF(B2296="","",PERCENTRANK.INC($B$2:$B$2501,B2296)*100)</f>
        <v/>
      </c>
      <c r="D2296" s="10" t="n"/>
      <c r="E2296" s="10">
        <f>IF(D2296="","",MIN(D2296,100))</f>
        <v/>
      </c>
      <c r="F2296" s="10" t="n"/>
      <c r="G2296" s="10">
        <f>IF(F2296="","",MIN(F2296,100))</f>
        <v/>
      </c>
      <c r="H2296" s="11">
        <f>IF(A2296="","",Universe!E2296/BDP(A2296&amp;" US Equity","HIGH_52WEEK")*100)</f>
        <v/>
      </c>
      <c r="I2296">
        <f>IF(D2296="","",D2296&gt;=5)</f>
        <v/>
      </c>
      <c r="J2296">
        <f>IF(F2296="","",F2296&gt;=5)</f>
        <v/>
      </c>
      <c r="K2296">
        <f>IF(H2296="","",H2296&gt;=75)</f>
        <v/>
      </c>
      <c r="L2296">
        <f>IF(OR(I2296="",J2296="",K2296=""),FALSE,AND(I2296,J2296,K2296))</f>
        <v/>
      </c>
    </row>
    <row r="2297">
      <c r="A2297">
        <f>Universe!A2297</f>
        <v/>
      </c>
      <c r="B2297" s="10" t="n"/>
      <c r="C2297" s="11">
        <f>IF(B2297="","",PERCENTRANK.INC($B$2:$B$2501,B2297)*100)</f>
        <v/>
      </c>
      <c r="D2297" s="10" t="n"/>
      <c r="E2297" s="10">
        <f>IF(D2297="","",MIN(D2297,100))</f>
        <v/>
      </c>
      <c r="F2297" s="10" t="n"/>
      <c r="G2297" s="10">
        <f>IF(F2297="","",MIN(F2297,100))</f>
        <v/>
      </c>
      <c r="H2297" s="11">
        <f>IF(A2297="","",Universe!E2297/BDP(A2297&amp;" US Equity","HIGH_52WEEK")*100)</f>
        <v/>
      </c>
      <c r="I2297">
        <f>IF(D2297="","",D2297&gt;=5)</f>
        <v/>
      </c>
      <c r="J2297">
        <f>IF(F2297="","",F2297&gt;=5)</f>
        <v/>
      </c>
      <c r="K2297">
        <f>IF(H2297="","",H2297&gt;=75)</f>
        <v/>
      </c>
      <c r="L2297">
        <f>IF(OR(I2297="",J2297="",K2297=""),FALSE,AND(I2297,J2297,K2297))</f>
        <v/>
      </c>
    </row>
    <row r="2298">
      <c r="A2298">
        <f>Universe!A2298</f>
        <v/>
      </c>
      <c r="B2298" s="10" t="n"/>
      <c r="C2298" s="11">
        <f>IF(B2298="","",PERCENTRANK.INC($B$2:$B$2501,B2298)*100)</f>
        <v/>
      </c>
      <c r="D2298" s="10" t="n"/>
      <c r="E2298" s="10">
        <f>IF(D2298="","",MIN(D2298,100))</f>
        <v/>
      </c>
      <c r="F2298" s="10" t="n"/>
      <c r="G2298" s="10">
        <f>IF(F2298="","",MIN(F2298,100))</f>
        <v/>
      </c>
      <c r="H2298" s="11">
        <f>IF(A2298="","",Universe!E2298/BDP(A2298&amp;" US Equity","HIGH_52WEEK")*100)</f>
        <v/>
      </c>
      <c r="I2298">
        <f>IF(D2298="","",D2298&gt;=5)</f>
        <v/>
      </c>
      <c r="J2298">
        <f>IF(F2298="","",F2298&gt;=5)</f>
        <v/>
      </c>
      <c r="K2298">
        <f>IF(H2298="","",H2298&gt;=75)</f>
        <v/>
      </c>
      <c r="L2298">
        <f>IF(OR(I2298="",J2298="",K2298=""),FALSE,AND(I2298,J2298,K2298))</f>
        <v/>
      </c>
    </row>
    <row r="2299">
      <c r="A2299">
        <f>Universe!A2299</f>
        <v/>
      </c>
      <c r="B2299" s="10" t="n"/>
      <c r="C2299" s="11">
        <f>IF(B2299="","",PERCENTRANK.INC($B$2:$B$2501,B2299)*100)</f>
        <v/>
      </c>
      <c r="D2299" s="10" t="n"/>
      <c r="E2299" s="10">
        <f>IF(D2299="","",MIN(D2299,100))</f>
        <v/>
      </c>
      <c r="F2299" s="10" t="n"/>
      <c r="G2299" s="10">
        <f>IF(F2299="","",MIN(F2299,100))</f>
        <v/>
      </c>
      <c r="H2299" s="11">
        <f>IF(A2299="","",Universe!E2299/BDP(A2299&amp;" US Equity","HIGH_52WEEK")*100)</f>
        <v/>
      </c>
      <c r="I2299">
        <f>IF(D2299="","",D2299&gt;=5)</f>
        <v/>
      </c>
      <c r="J2299">
        <f>IF(F2299="","",F2299&gt;=5)</f>
        <v/>
      </c>
      <c r="K2299">
        <f>IF(H2299="","",H2299&gt;=75)</f>
        <v/>
      </c>
      <c r="L2299">
        <f>IF(OR(I2299="",J2299="",K2299=""),FALSE,AND(I2299,J2299,K2299))</f>
        <v/>
      </c>
    </row>
    <row r="2300">
      <c r="A2300">
        <f>Universe!A2300</f>
        <v/>
      </c>
      <c r="B2300" s="10" t="n"/>
      <c r="C2300" s="11">
        <f>IF(B2300="","",PERCENTRANK.INC($B$2:$B$2501,B2300)*100)</f>
        <v/>
      </c>
      <c r="D2300" s="10" t="n"/>
      <c r="E2300" s="10">
        <f>IF(D2300="","",MIN(D2300,100))</f>
        <v/>
      </c>
      <c r="F2300" s="10" t="n"/>
      <c r="G2300" s="10">
        <f>IF(F2300="","",MIN(F2300,100))</f>
        <v/>
      </c>
      <c r="H2300" s="11">
        <f>IF(A2300="","",Universe!E2300/BDP(A2300&amp;" US Equity","HIGH_52WEEK")*100)</f>
        <v/>
      </c>
      <c r="I2300">
        <f>IF(D2300="","",D2300&gt;=5)</f>
        <v/>
      </c>
      <c r="J2300">
        <f>IF(F2300="","",F2300&gt;=5)</f>
        <v/>
      </c>
      <c r="K2300">
        <f>IF(H2300="","",H2300&gt;=75)</f>
        <v/>
      </c>
      <c r="L2300">
        <f>IF(OR(I2300="",J2300="",K2300=""),FALSE,AND(I2300,J2300,K2300))</f>
        <v/>
      </c>
    </row>
    <row r="2301">
      <c r="A2301">
        <f>Universe!A2301</f>
        <v/>
      </c>
      <c r="B2301" s="10" t="n"/>
      <c r="C2301" s="11">
        <f>IF(B2301="","",PERCENTRANK.INC($B$2:$B$2501,B2301)*100)</f>
        <v/>
      </c>
      <c r="D2301" s="10" t="n"/>
      <c r="E2301" s="10">
        <f>IF(D2301="","",MIN(D2301,100))</f>
        <v/>
      </c>
      <c r="F2301" s="10" t="n"/>
      <c r="G2301" s="10">
        <f>IF(F2301="","",MIN(F2301,100))</f>
        <v/>
      </c>
      <c r="H2301" s="11">
        <f>IF(A2301="","",Universe!E2301/BDP(A2301&amp;" US Equity","HIGH_52WEEK")*100)</f>
        <v/>
      </c>
      <c r="I2301">
        <f>IF(D2301="","",D2301&gt;=5)</f>
        <v/>
      </c>
      <c r="J2301">
        <f>IF(F2301="","",F2301&gt;=5)</f>
        <v/>
      </c>
      <c r="K2301">
        <f>IF(H2301="","",H2301&gt;=75)</f>
        <v/>
      </c>
      <c r="L2301">
        <f>IF(OR(I2301="",J2301="",K2301=""),FALSE,AND(I2301,J2301,K2301))</f>
        <v/>
      </c>
    </row>
    <row r="2302">
      <c r="A2302">
        <f>Universe!A2302</f>
        <v/>
      </c>
      <c r="B2302" s="10" t="n"/>
      <c r="C2302" s="11">
        <f>IF(B2302="","",PERCENTRANK.INC($B$2:$B$2501,B2302)*100)</f>
        <v/>
      </c>
      <c r="D2302" s="10" t="n"/>
      <c r="E2302" s="10">
        <f>IF(D2302="","",MIN(D2302,100))</f>
        <v/>
      </c>
      <c r="F2302" s="10" t="n"/>
      <c r="G2302" s="10">
        <f>IF(F2302="","",MIN(F2302,100))</f>
        <v/>
      </c>
      <c r="H2302" s="11">
        <f>IF(A2302="","",Universe!E2302/BDP(A2302&amp;" US Equity","HIGH_52WEEK")*100)</f>
        <v/>
      </c>
      <c r="I2302">
        <f>IF(D2302="","",D2302&gt;=5)</f>
        <v/>
      </c>
      <c r="J2302">
        <f>IF(F2302="","",F2302&gt;=5)</f>
        <v/>
      </c>
      <c r="K2302">
        <f>IF(H2302="","",H2302&gt;=75)</f>
        <v/>
      </c>
      <c r="L2302">
        <f>IF(OR(I2302="",J2302="",K2302=""),FALSE,AND(I2302,J2302,K2302))</f>
        <v/>
      </c>
    </row>
    <row r="2303">
      <c r="A2303">
        <f>Universe!A2303</f>
        <v/>
      </c>
      <c r="B2303" s="10" t="n"/>
      <c r="C2303" s="11">
        <f>IF(B2303="","",PERCENTRANK.INC($B$2:$B$2501,B2303)*100)</f>
        <v/>
      </c>
      <c r="D2303" s="10" t="n"/>
      <c r="E2303" s="10">
        <f>IF(D2303="","",MIN(D2303,100))</f>
        <v/>
      </c>
      <c r="F2303" s="10" t="n"/>
      <c r="G2303" s="10">
        <f>IF(F2303="","",MIN(F2303,100))</f>
        <v/>
      </c>
      <c r="H2303" s="11">
        <f>IF(A2303="","",Universe!E2303/BDP(A2303&amp;" US Equity","HIGH_52WEEK")*100)</f>
        <v/>
      </c>
      <c r="I2303">
        <f>IF(D2303="","",D2303&gt;=5)</f>
        <v/>
      </c>
      <c r="J2303">
        <f>IF(F2303="","",F2303&gt;=5)</f>
        <v/>
      </c>
      <c r="K2303">
        <f>IF(H2303="","",H2303&gt;=75)</f>
        <v/>
      </c>
      <c r="L2303">
        <f>IF(OR(I2303="",J2303="",K2303=""),FALSE,AND(I2303,J2303,K2303))</f>
        <v/>
      </c>
    </row>
    <row r="2304">
      <c r="A2304">
        <f>Universe!A2304</f>
        <v/>
      </c>
      <c r="B2304" s="10" t="n"/>
      <c r="C2304" s="11">
        <f>IF(B2304="","",PERCENTRANK.INC($B$2:$B$2501,B2304)*100)</f>
        <v/>
      </c>
      <c r="D2304" s="10" t="n"/>
      <c r="E2304" s="10">
        <f>IF(D2304="","",MIN(D2304,100))</f>
        <v/>
      </c>
      <c r="F2304" s="10" t="n"/>
      <c r="G2304" s="10">
        <f>IF(F2304="","",MIN(F2304,100))</f>
        <v/>
      </c>
      <c r="H2304" s="11">
        <f>IF(A2304="","",Universe!E2304/BDP(A2304&amp;" US Equity","HIGH_52WEEK")*100)</f>
        <v/>
      </c>
      <c r="I2304">
        <f>IF(D2304="","",D2304&gt;=5)</f>
        <v/>
      </c>
      <c r="J2304">
        <f>IF(F2304="","",F2304&gt;=5)</f>
        <v/>
      </c>
      <c r="K2304">
        <f>IF(H2304="","",H2304&gt;=75)</f>
        <v/>
      </c>
      <c r="L2304">
        <f>IF(OR(I2304="",J2304="",K2304=""),FALSE,AND(I2304,J2304,K2304))</f>
        <v/>
      </c>
    </row>
    <row r="2305">
      <c r="A2305">
        <f>Universe!A2305</f>
        <v/>
      </c>
      <c r="B2305" s="10" t="n"/>
      <c r="C2305" s="11">
        <f>IF(B2305="","",PERCENTRANK.INC($B$2:$B$2501,B2305)*100)</f>
        <v/>
      </c>
      <c r="D2305" s="10" t="n"/>
      <c r="E2305" s="10">
        <f>IF(D2305="","",MIN(D2305,100))</f>
        <v/>
      </c>
      <c r="F2305" s="10" t="n"/>
      <c r="G2305" s="10">
        <f>IF(F2305="","",MIN(F2305,100))</f>
        <v/>
      </c>
      <c r="H2305" s="11">
        <f>IF(A2305="","",Universe!E2305/BDP(A2305&amp;" US Equity","HIGH_52WEEK")*100)</f>
        <v/>
      </c>
      <c r="I2305">
        <f>IF(D2305="","",D2305&gt;=5)</f>
        <v/>
      </c>
      <c r="J2305">
        <f>IF(F2305="","",F2305&gt;=5)</f>
        <v/>
      </c>
      <c r="K2305">
        <f>IF(H2305="","",H2305&gt;=75)</f>
        <v/>
      </c>
      <c r="L2305">
        <f>IF(OR(I2305="",J2305="",K2305=""),FALSE,AND(I2305,J2305,K2305))</f>
        <v/>
      </c>
    </row>
    <row r="2306">
      <c r="A2306">
        <f>Universe!A2306</f>
        <v/>
      </c>
      <c r="B2306" s="10" t="n"/>
      <c r="C2306" s="11">
        <f>IF(B2306="","",PERCENTRANK.INC($B$2:$B$2501,B2306)*100)</f>
        <v/>
      </c>
      <c r="D2306" s="10" t="n"/>
      <c r="E2306" s="10">
        <f>IF(D2306="","",MIN(D2306,100))</f>
        <v/>
      </c>
      <c r="F2306" s="10" t="n"/>
      <c r="G2306" s="10">
        <f>IF(F2306="","",MIN(F2306,100))</f>
        <v/>
      </c>
      <c r="H2306" s="11">
        <f>IF(A2306="","",Universe!E2306/BDP(A2306&amp;" US Equity","HIGH_52WEEK")*100)</f>
        <v/>
      </c>
      <c r="I2306">
        <f>IF(D2306="","",D2306&gt;=5)</f>
        <v/>
      </c>
      <c r="J2306">
        <f>IF(F2306="","",F2306&gt;=5)</f>
        <v/>
      </c>
      <c r="K2306">
        <f>IF(H2306="","",H2306&gt;=75)</f>
        <v/>
      </c>
      <c r="L2306">
        <f>IF(OR(I2306="",J2306="",K2306=""),FALSE,AND(I2306,J2306,K2306))</f>
        <v/>
      </c>
    </row>
    <row r="2307">
      <c r="A2307">
        <f>Universe!A2307</f>
        <v/>
      </c>
      <c r="B2307" s="10" t="n"/>
      <c r="C2307" s="11">
        <f>IF(B2307="","",PERCENTRANK.INC($B$2:$B$2501,B2307)*100)</f>
        <v/>
      </c>
      <c r="D2307" s="10" t="n"/>
      <c r="E2307" s="10">
        <f>IF(D2307="","",MIN(D2307,100))</f>
        <v/>
      </c>
      <c r="F2307" s="10" t="n"/>
      <c r="G2307" s="10">
        <f>IF(F2307="","",MIN(F2307,100))</f>
        <v/>
      </c>
      <c r="H2307" s="11">
        <f>IF(A2307="","",Universe!E2307/BDP(A2307&amp;" US Equity","HIGH_52WEEK")*100)</f>
        <v/>
      </c>
      <c r="I2307">
        <f>IF(D2307="","",D2307&gt;=5)</f>
        <v/>
      </c>
      <c r="J2307">
        <f>IF(F2307="","",F2307&gt;=5)</f>
        <v/>
      </c>
      <c r="K2307">
        <f>IF(H2307="","",H2307&gt;=75)</f>
        <v/>
      </c>
      <c r="L2307">
        <f>IF(OR(I2307="",J2307="",K2307=""),FALSE,AND(I2307,J2307,K2307))</f>
        <v/>
      </c>
    </row>
    <row r="2308">
      <c r="A2308">
        <f>Universe!A2308</f>
        <v/>
      </c>
      <c r="B2308" s="10" t="n"/>
      <c r="C2308" s="11">
        <f>IF(B2308="","",PERCENTRANK.INC($B$2:$B$2501,B2308)*100)</f>
        <v/>
      </c>
      <c r="D2308" s="10" t="n"/>
      <c r="E2308" s="10">
        <f>IF(D2308="","",MIN(D2308,100))</f>
        <v/>
      </c>
      <c r="F2308" s="10" t="n"/>
      <c r="G2308" s="10">
        <f>IF(F2308="","",MIN(F2308,100))</f>
        <v/>
      </c>
      <c r="H2308" s="11">
        <f>IF(A2308="","",Universe!E2308/BDP(A2308&amp;" US Equity","HIGH_52WEEK")*100)</f>
        <v/>
      </c>
      <c r="I2308">
        <f>IF(D2308="","",D2308&gt;=5)</f>
        <v/>
      </c>
      <c r="J2308">
        <f>IF(F2308="","",F2308&gt;=5)</f>
        <v/>
      </c>
      <c r="K2308">
        <f>IF(H2308="","",H2308&gt;=75)</f>
        <v/>
      </c>
      <c r="L2308">
        <f>IF(OR(I2308="",J2308="",K2308=""),FALSE,AND(I2308,J2308,K2308))</f>
        <v/>
      </c>
    </row>
    <row r="2309">
      <c r="A2309">
        <f>Universe!A2309</f>
        <v/>
      </c>
      <c r="B2309" s="10" t="n"/>
      <c r="C2309" s="11">
        <f>IF(B2309="","",PERCENTRANK.INC($B$2:$B$2501,B2309)*100)</f>
        <v/>
      </c>
      <c r="D2309" s="10" t="n"/>
      <c r="E2309" s="10">
        <f>IF(D2309="","",MIN(D2309,100))</f>
        <v/>
      </c>
      <c r="F2309" s="10" t="n"/>
      <c r="G2309" s="10">
        <f>IF(F2309="","",MIN(F2309,100))</f>
        <v/>
      </c>
      <c r="H2309" s="11">
        <f>IF(A2309="","",Universe!E2309/BDP(A2309&amp;" US Equity","HIGH_52WEEK")*100)</f>
        <v/>
      </c>
      <c r="I2309">
        <f>IF(D2309="","",D2309&gt;=5)</f>
        <v/>
      </c>
      <c r="J2309">
        <f>IF(F2309="","",F2309&gt;=5)</f>
        <v/>
      </c>
      <c r="K2309">
        <f>IF(H2309="","",H2309&gt;=75)</f>
        <v/>
      </c>
      <c r="L2309">
        <f>IF(OR(I2309="",J2309="",K2309=""),FALSE,AND(I2309,J2309,K2309))</f>
        <v/>
      </c>
    </row>
    <row r="2310">
      <c r="A2310">
        <f>Universe!A2310</f>
        <v/>
      </c>
      <c r="B2310" s="10" t="n"/>
      <c r="C2310" s="11">
        <f>IF(B2310="","",PERCENTRANK.INC($B$2:$B$2501,B2310)*100)</f>
        <v/>
      </c>
      <c r="D2310" s="10" t="n"/>
      <c r="E2310" s="10">
        <f>IF(D2310="","",MIN(D2310,100))</f>
        <v/>
      </c>
      <c r="F2310" s="10" t="n"/>
      <c r="G2310" s="10">
        <f>IF(F2310="","",MIN(F2310,100))</f>
        <v/>
      </c>
      <c r="H2310" s="11">
        <f>IF(A2310="","",Universe!E2310/BDP(A2310&amp;" US Equity","HIGH_52WEEK")*100)</f>
        <v/>
      </c>
      <c r="I2310">
        <f>IF(D2310="","",D2310&gt;=5)</f>
        <v/>
      </c>
      <c r="J2310">
        <f>IF(F2310="","",F2310&gt;=5)</f>
        <v/>
      </c>
      <c r="K2310">
        <f>IF(H2310="","",H2310&gt;=75)</f>
        <v/>
      </c>
      <c r="L2310">
        <f>IF(OR(I2310="",J2310="",K2310=""),FALSE,AND(I2310,J2310,K2310))</f>
        <v/>
      </c>
    </row>
    <row r="2311">
      <c r="A2311">
        <f>Universe!A2311</f>
        <v/>
      </c>
      <c r="B2311" s="10" t="n"/>
      <c r="C2311" s="11">
        <f>IF(B2311="","",PERCENTRANK.INC($B$2:$B$2501,B2311)*100)</f>
        <v/>
      </c>
      <c r="D2311" s="10" t="n"/>
      <c r="E2311" s="10">
        <f>IF(D2311="","",MIN(D2311,100))</f>
        <v/>
      </c>
      <c r="F2311" s="10" t="n"/>
      <c r="G2311" s="10">
        <f>IF(F2311="","",MIN(F2311,100))</f>
        <v/>
      </c>
      <c r="H2311" s="11">
        <f>IF(A2311="","",Universe!E2311/BDP(A2311&amp;" US Equity","HIGH_52WEEK")*100)</f>
        <v/>
      </c>
      <c r="I2311">
        <f>IF(D2311="","",D2311&gt;=5)</f>
        <v/>
      </c>
      <c r="J2311">
        <f>IF(F2311="","",F2311&gt;=5)</f>
        <v/>
      </c>
      <c r="K2311">
        <f>IF(H2311="","",H2311&gt;=75)</f>
        <v/>
      </c>
      <c r="L2311">
        <f>IF(OR(I2311="",J2311="",K2311=""),FALSE,AND(I2311,J2311,K2311))</f>
        <v/>
      </c>
    </row>
    <row r="2312">
      <c r="A2312">
        <f>Universe!A2312</f>
        <v/>
      </c>
      <c r="B2312" s="10" t="n"/>
      <c r="C2312" s="11">
        <f>IF(B2312="","",PERCENTRANK.INC($B$2:$B$2501,B2312)*100)</f>
        <v/>
      </c>
      <c r="D2312" s="10" t="n"/>
      <c r="E2312" s="10">
        <f>IF(D2312="","",MIN(D2312,100))</f>
        <v/>
      </c>
      <c r="F2312" s="10" t="n"/>
      <c r="G2312" s="10">
        <f>IF(F2312="","",MIN(F2312,100))</f>
        <v/>
      </c>
      <c r="H2312" s="11">
        <f>IF(A2312="","",Universe!E2312/BDP(A2312&amp;" US Equity","HIGH_52WEEK")*100)</f>
        <v/>
      </c>
      <c r="I2312">
        <f>IF(D2312="","",D2312&gt;=5)</f>
        <v/>
      </c>
      <c r="J2312">
        <f>IF(F2312="","",F2312&gt;=5)</f>
        <v/>
      </c>
      <c r="K2312">
        <f>IF(H2312="","",H2312&gt;=75)</f>
        <v/>
      </c>
      <c r="L2312">
        <f>IF(OR(I2312="",J2312="",K2312=""),FALSE,AND(I2312,J2312,K2312))</f>
        <v/>
      </c>
    </row>
    <row r="2313">
      <c r="A2313">
        <f>Universe!A2313</f>
        <v/>
      </c>
      <c r="B2313" s="10" t="n"/>
      <c r="C2313" s="11">
        <f>IF(B2313="","",PERCENTRANK.INC($B$2:$B$2501,B2313)*100)</f>
        <v/>
      </c>
      <c r="D2313" s="10" t="n"/>
      <c r="E2313" s="10">
        <f>IF(D2313="","",MIN(D2313,100))</f>
        <v/>
      </c>
      <c r="F2313" s="10" t="n"/>
      <c r="G2313" s="10">
        <f>IF(F2313="","",MIN(F2313,100))</f>
        <v/>
      </c>
      <c r="H2313" s="11">
        <f>IF(A2313="","",Universe!E2313/BDP(A2313&amp;" US Equity","HIGH_52WEEK")*100)</f>
        <v/>
      </c>
      <c r="I2313">
        <f>IF(D2313="","",D2313&gt;=5)</f>
        <v/>
      </c>
      <c r="J2313">
        <f>IF(F2313="","",F2313&gt;=5)</f>
        <v/>
      </c>
      <c r="K2313">
        <f>IF(H2313="","",H2313&gt;=75)</f>
        <v/>
      </c>
      <c r="L2313">
        <f>IF(OR(I2313="",J2313="",K2313=""),FALSE,AND(I2313,J2313,K2313))</f>
        <v/>
      </c>
    </row>
    <row r="2314">
      <c r="A2314">
        <f>Universe!A2314</f>
        <v/>
      </c>
      <c r="B2314" s="10" t="n"/>
      <c r="C2314" s="11">
        <f>IF(B2314="","",PERCENTRANK.INC($B$2:$B$2501,B2314)*100)</f>
        <v/>
      </c>
      <c r="D2314" s="10" t="n"/>
      <c r="E2314" s="10">
        <f>IF(D2314="","",MIN(D2314,100))</f>
        <v/>
      </c>
      <c r="F2314" s="10" t="n"/>
      <c r="G2314" s="10">
        <f>IF(F2314="","",MIN(F2314,100))</f>
        <v/>
      </c>
      <c r="H2314" s="11">
        <f>IF(A2314="","",Universe!E2314/BDP(A2314&amp;" US Equity","HIGH_52WEEK")*100)</f>
        <v/>
      </c>
      <c r="I2314">
        <f>IF(D2314="","",D2314&gt;=5)</f>
        <v/>
      </c>
      <c r="J2314">
        <f>IF(F2314="","",F2314&gt;=5)</f>
        <v/>
      </c>
      <c r="K2314">
        <f>IF(H2314="","",H2314&gt;=75)</f>
        <v/>
      </c>
      <c r="L2314">
        <f>IF(OR(I2314="",J2314="",K2314=""),FALSE,AND(I2314,J2314,K2314))</f>
        <v/>
      </c>
    </row>
    <row r="2315">
      <c r="A2315">
        <f>Universe!A2315</f>
        <v/>
      </c>
      <c r="B2315" s="10" t="n"/>
      <c r="C2315" s="11">
        <f>IF(B2315="","",PERCENTRANK.INC($B$2:$B$2501,B2315)*100)</f>
        <v/>
      </c>
      <c r="D2315" s="10" t="n"/>
      <c r="E2315" s="10">
        <f>IF(D2315="","",MIN(D2315,100))</f>
        <v/>
      </c>
      <c r="F2315" s="10" t="n"/>
      <c r="G2315" s="10">
        <f>IF(F2315="","",MIN(F2315,100))</f>
        <v/>
      </c>
      <c r="H2315" s="11">
        <f>IF(A2315="","",Universe!E2315/BDP(A2315&amp;" US Equity","HIGH_52WEEK")*100)</f>
        <v/>
      </c>
      <c r="I2315">
        <f>IF(D2315="","",D2315&gt;=5)</f>
        <v/>
      </c>
      <c r="J2315">
        <f>IF(F2315="","",F2315&gt;=5)</f>
        <v/>
      </c>
      <c r="K2315">
        <f>IF(H2315="","",H2315&gt;=75)</f>
        <v/>
      </c>
      <c r="L2315">
        <f>IF(OR(I2315="",J2315="",K2315=""),FALSE,AND(I2315,J2315,K2315))</f>
        <v/>
      </c>
    </row>
    <row r="2316">
      <c r="A2316">
        <f>Universe!A2316</f>
        <v/>
      </c>
      <c r="B2316" s="10" t="n"/>
      <c r="C2316" s="11">
        <f>IF(B2316="","",PERCENTRANK.INC($B$2:$B$2501,B2316)*100)</f>
        <v/>
      </c>
      <c r="D2316" s="10" t="n"/>
      <c r="E2316" s="10">
        <f>IF(D2316="","",MIN(D2316,100))</f>
        <v/>
      </c>
      <c r="F2316" s="10" t="n"/>
      <c r="G2316" s="10">
        <f>IF(F2316="","",MIN(F2316,100))</f>
        <v/>
      </c>
      <c r="H2316" s="11">
        <f>IF(A2316="","",Universe!E2316/BDP(A2316&amp;" US Equity","HIGH_52WEEK")*100)</f>
        <v/>
      </c>
      <c r="I2316">
        <f>IF(D2316="","",D2316&gt;=5)</f>
        <v/>
      </c>
      <c r="J2316">
        <f>IF(F2316="","",F2316&gt;=5)</f>
        <v/>
      </c>
      <c r="K2316">
        <f>IF(H2316="","",H2316&gt;=75)</f>
        <v/>
      </c>
      <c r="L2316">
        <f>IF(OR(I2316="",J2316="",K2316=""),FALSE,AND(I2316,J2316,K2316))</f>
        <v/>
      </c>
    </row>
    <row r="2317">
      <c r="A2317">
        <f>Universe!A2317</f>
        <v/>
      </c>
      <c r="B2317" s="10" t="n"/>
      <c r="C2317" s="11">
        <f>IF(B2317="","",PERCENTRANK.INC($B$2:$B$2501,B2317)*100)</f>
        <v/>
      </c>
      <c r="D2317" s="10" t="n"/>
      <c r="E2317" s="10">
        <f>IF(D2317="","",MIN(D2317,100))</f>
        <v/>
      </c>
      <c r="F2317" s="10" t="n"/>
      <c r="G2317" s="10">
        <f>IF(F2317="","",MIN(F2317,100))</f>
        <v/>
      </c>
      <c r="H2317" s="11">
        <f>IF(A2317="","",Universe!E2317/BDP(A2317&amp;" US Equity","HIGH_52WEEK")*100)</f>
        <v/>
      </c>
      <c r="I2317">
        <f>IF(D2317="","",D2317&gt;=5)</f>
        <v/>
      </c>
      <c r="J2317">
        <f>IF(F2317="","",F2317&gt;=5)</f>
        <v/>
      </c>
      <c r="K2317">
        <f>IF(H2317="","",H2317&gt;=75)</f>
        <v/>
      </c>
      <c r="L2317">
        <f>IF(OR(I2317="",J2317="",K2317=""),FALSE,AND(I2317,J2317,K2317))</f>
        <v/>
      </c>
    </row>
    <row r="2318">
      <c r="A2318">
        <f>Universe!A2318</f>
        <v/>
      </c>
      <c r="B2318" s="10" t="n"/>
      <c r="C2318" s="11">
        <f>IF(B2318="","",PERCENTRANK.INC($B$2:$B$2501,B2318)*100)</f>
        <v/>
      </c>
      <c r="D2318" s="10" t="n"/>
      <c r="E2318" s="10">
        <f>IF(D2318="","",MIN(D2318,100))</f>
        <v/>
      </c>
      <c r="F2318" s="10" t="n"/>
      <c r="G2318" s="10">
        <f>IF(F2318="","",MIN(F2318,100))</f>
        <v/>
      </c>
      <c r="H2318" s="11">
        <f>IF(A2318="","",Universe!E2318/BDP(A2318&amp;" US Equity","HIGH_52WEEK")*100)</f>
        <v/>
      </c>
      <c r="I2318">
        <f>IF(D2318="","",D2318&gt;=5)</f>
        <v/>
      </c>
      <c r="J2318">
        <f>IF(F2318="","",F2318&gt;=5)</f>
        <v/>
      </c>
      <c r="K2318">
        <f>IF(H2318="","",H2318&gt;=75)</f>
        <v/>
      </c>
      <c r="L2318">
        <f>IF(OR(I2318="",J2318="",K2318=""),FALSE,AND(I2318,J2318,K2318))</f>
        <v/>
      </c>
    </row>
    <row r="2319">
      <c r="A2319">
        <f>Universe!A2319</f>
        <v/>
      </c>
      <c r="B2319" s="10" t="n"/>
      <c r="C2319" s="11">
        <f>IF(B2319="","",PERCENTRANK.INC($B$2:$B$2501,B2319)*100)</f>
        <v/>
      </c>
      <c r="D2319" s="10" t="n"/>
      <c r="E2319" s="10">
        <f>IF(D2319="","",MIN(D2319,100))</f>
        <v/>
      </c>
      <c r="F2319" s="10" t="n"/>
      <c r="G2319" s="10">
        <f>IF(F2319="","",MIN(F2319,100))</f>
        <v/>
      </c>
      <c r="H2319" s="11">
        <f>IF(A2319="","",Universe!E2319/BDP(A2319&amp;" US Equity","HIGH_52WEEK")*100)</f>
        <v/>
      </c>
      <c r="I2319">
        <f>IF(D2319="","",D2319&gt;=5)</f>
        <v/>
      </c>
      <c r="J2319">
        <f>IF(F2319="","",F2319&gt;=5)</f>
        <v/>
      </c>
      <c r="K2319">
        <f>IF(H2319="","",H2319&gt;=75)</f>
        <v/>
      </c>
      <c r="L2319">
        <f>IF(OR(I2319="",J2319="",K2319=""),FALSE,AND(I2319,J2319,K2319))</f>
        <v/>
      </c>
    </row>
    <row r="2320">
      <c r="A2320">
        <f>Universe!A2320</f>
        <v/>
      </c>
      <c r="B2320" s="10" t="n"/>
      <c r="C2320" s="11">
        <f>IF(B2320="","",PERCENTRANK.INC($B$2:$B$2501,B2320)*100)</f>
        <v/>
      </c>
      <c r="D2320" s="10" t="n"/>
      <c r="E2320" s="10">
        <f>IF(D2320="","",MIN(D2320,100))</f>
        <v/>
      </c>
      <c r="F2320" s="10" t="n"/>
      <c r="G2320" s="10">
        <f>IF(F2320="","",MIN(F2320,100))</f>
        <v/>
      </c>
      <c r="H2320" s="11">
        <f>IF(A2320="","",Universe!E2320/BDP(A2320&amp;" US Equity","HIGH_52WEEK")*100)</f>
        <v/>
      </c>
      <c r="I2320">
        <f>IF(D2320="","",D2320&gt;=5)</f>
        <v/>
      </c>
      <c r="J2320">
        <f>IF(F2320="","",F2320&gt;=5)</f>
        <v/>
      </c>
      <c r="K2320">
        <f>IF(H2320="","",H2320&gt;=75)</f>
        <v/>
      </c>
      <c r="L2320">
        <f>IF(OR(I2320="",J2320="",K2320=""),FALSE,AND(I2320,J2320,K2320))</f>
        <v/>
      </c>
    </row>
    <row r="2321">
      <c r="A2321">
        <f>Universe!A2321</f>
        <v/>
      </c>
      <c r="B2321" s="10" t="n"/>
      <c r="C2321" s="11">
        <f>IF(B2321="","",PERCENTRANK.INC($B$2:$B$2501,B2321)*100)</f>
        <v/>
      </c>
      <c r="D2321" s="10" t="n"/>
      <c r="E2321" s="10">
        <f>IF(D2321="","",MIN(D2321,100))</f>
        <v/>
      </c>
      <c r="F2321" s="10" t="n"/>
      <c r="G2321" s="10">
        <f>IF(F2321="","",MIN(F2321,100))</f>
        <v/>
      </c>
      <c r="H2321" s="11">
        <f>IF(A2321="","",Universe!E2321/BDP(A2321&amp;" US Equity","HIGH_52WEEK")*100)</f>
        <v/>
      </c>
      <c r="I2321">
        <f>IF(D2321="","",D2321&gt;=5)</f>
        <v/>
      </c>
      <c r="J2321">
        <f>IF(F2321="","",F2321&gt;=5)</f>
        <v/>
      </c>
      <c r="K2321">
        <f>IF(H2321="","",H2321&gt;=75)</f>
        <v/>
      </c>
      <c r="L2321">
        <f>IF(OR(I2321="",J2321="",K2321=""),FALSE,AND(I2321,J2321,K2321))</f>
        <v/>
      </c>
    </row>
    <row r="2322">
      <c r="A2322">
        <f>Universe!A2322</f>
        <v/>
      </c>
      <c r="B2322" s="10" t="n"/>
      <c r="C2322" s="11">
        <f>IF(B2322="","",PERCENTRANK.INC($B$2:$B$2501,B2322)*100)</f>
        <v/>
      </c>
      <c r="D2322" s="10" t="n"/>
      <c r="E2322" s="10">
        <f>IF(D2322="","",MIN(D2322,100))</f>
        <v/>
      </c>
      <c r="F2322" s="10" t="n"/>
      <c r="G2322" s="10">
        <f>IF(F2322="","",MIN(F2322,100))</f>
        <v/>
      </c>
      <c r="H2322" s="11">
        <f>IF(A2322="","",Universe!E2322/BDP(A2322&amp;" US Equity","HIGH_52WEEK")*100)</f>
        <v/>
      </c>
      <c r="I2322">
        <f>IF(D2322="","",D2322&gt;=5)</f>
        <v/>
      </c>
      <c r="J2322">
        <f>IF(F2322="","",F2322&gt;=5)</f>
        <v/>
      </c>
      <c r="K2322">
        <f>IF(H2322="","",H2322&gt;=75)</f>
        <v/>
      </c>
      <c r="L2322">
        <f>IF(OR(I2322="",J2322="",K2322=""),FALSE,AND(I2322,J2322,K2322))</f>
        <v/>
      </c>
    </row>
    <row r="2323">
      <c r="A2323">
        <f>Universe!A2323</f>
        <v/>
      </c>
      <c r="B2323" s="10" t="n"/>
      <c r="C2323" s="11">
        <f>IF(B2323="","",PERCENTRANK.INC($B$2:$B$2501,B2323)*100)</f>
        <v/>
      </c>
      <c r="D2323" s="10" t="n"/>
      <c r="E2323" s="10">
        <f>IF(D2323="","",MIN(D2323,100))</f>
        <v/>
      </c>
      <c r="F2323" s="10" t="n"/>
      <c r="G2323" s="10">
        <f>IF(F2323="","",MIN(F2323,100))</f>
        <v/>
      </c>
      <c r="H2323" s="11">
        <f>IF(A2323="","",Universe!E2323/BDP(A2323&amp;" US Equity","HIGH_52WEEK")*100)</f>
        <v/>
      </c>
      <c r="I2323">
        <f>IF(D2323="","",D2323&gt;=5)</f>
        <v/>
      </c>
      <c r="J2323">
        <f>IF(F2323="","",F2323&gt;=5)</f>
        <v/>
      </c>
      <c r="K2323">
        <f>IF(H2323="","",H2323&gt;=75)</f>
        <v/>
      </c>
      <c r="L2323">
        <f>IF(OR(I2323="",J2323="",K2323=""),FALSE,AND(I2323,J2323,K2323))</f>
        <v/>
      </c>
    </row>
    <row r="2324">
      <c r="A2324">
        <f>Universe!A2324</f>
        <v/>
      </c>
      <c r="B2324" s="10" t="n"/>
      <c r="C2324" s="11">
        <f>IF(B2324="","",PERCENTRANK.INC($B$2:$B$2501,B2324)*100)</f>
        <v/>
      </c>
      <c r="D2324" s="10" t="n"/>
      <c r="E2324" s="10">
        <f>IF(D2324="","",MIN(D2324,100))</f>
        <v/>
      </c>
      <c r="F2324" s="10" t="n"/>
      <c r="G2324" s="10">
        <f>IF(F2324="","",MIN(F2324,100))</f>
        <v/>
      </c>
      <c r="H2324" s="11">
        <f>IF(A2324="","",Universe!E2324/BDP(A2324&amp;" US Equity","HIGH_52WEEK")*100)</f>
        <v/>
      </c>
      <c r="I2324">
        <f>IF(D2324="","",D2324&gt;=5)</f>
        <v/>
      </c>
      <c r="J2324">
        <f>IF(F2324="","",F2324&gt;=5)</f>
        <v/>
      </c>
      <c r="K2324">
        <f>IF(H2324="","",H2324&gt;=75)</f>
        <v/>
      </c>
      <c r="L2324">
        <f>IF(OR(I2324="",J2324="",K2324=""),FALSE,AND(I2324,J2324,K2324))</f>
        <v/>
      </c>
    </row>
    <row r="2325">
      <c r="A2325">
        <f>Universe!A2325</f>
        <v/>
      </c>
      <c r="B2325" s="10" t="n"/>
      <c r="C2325" s="11">
        <f>IF(B2325="","",PERCENTRANK.INC($B$2:$B$2501,B2325)*100)</f>
        <v/>
      </c>
      <c r="D2325" s="10" t="n"/>
      <c r="E2325" s="10">
        <f>IF(D2325="","",MIN(D2325,100))</f>
        <v/>
      </c>
      <c r="F2325" s="10" t="n"/>
      <c r="G2325" s="10">
        <f>IF(F2325="","",MIN(F2325,100))</f>
        <v/>
      </c>
      <c r="H2325" s="11">
        <f>IF(A2325="","",Universe!E2325/BDP(A2325&amp;" US Equity","HIGH_52WEEK")*100)</f>
        <v/>
      </c>
      <c r="I2325">
        <f>IF(D2325="","",D2325&gt;=5)</f>
        <v/>
      </c>
      <c r="J2325">
        <f>IF(F2325="","",F2325&gt;=5)</f>
        <v/>
      </c>
      <c r="K2325">
        <f>IF(H2325="","",H2325&gt;=75)</f>
        <v/>
      </c>
      <c r="L2325">
        <f>IF(OR(I2325="",J2325="",K2325=""),FALSE,AND(I2325,J2325,K2325))</f>
        <v/>
      </c>
    </row>
    <row r="2326">
      <c r="A2326">
        <f>Universe!A2326</f>
        <v/>
      </c>
      <c r="B2326" s="10" t="n"/>
      <c r="C2326" s="11">
        <f>IF(B2326="","",PERCENTRANK.INC($B$2:$B$2501,B2326)*100)</f>
        <v/>
      </c>
      <c r="D2326" s="10" t="n"/>
      <c r="E2326" s="10">
        <f>IF(D2326="","",MIN(D2326,100))</f>
        <v/>
      </c>
      <c r="F2326" s="10" t="n"/>
      <c r="G2326" s="10">
        <f>IF(F2326="","",MIN(F2326,100))</f>
        <v/>
      </c>
      <c r="H2326" s="11">
        <f>IF(A2326="","",Universe!E2326/BDP(A2326&amp;" US Equity","HIGH_52WEEK")*100)</f>
        <v/>
      </c>
      <c r="I2326">
        <f>IF(D2326="","",D2326&gt;=5)</f>
        <v/>
      </c>
      <c r="J2326">
        <f>IF(F2326="","",F2326&gt;=5)</f>
        <v/>
      </c>
      <c r="K2326">
        <f>IF(H2326="","",H2326&gt;=75)</f>
        <v/>
      </c>
      <c r="L2326">
        <f>IF(OR(I2326="",J2326="",K2326=""),FALSE,AND(I2326,J2326,K2326))</f>
        <v/>
      </c>
    </row>
    <row r="2327">
      <c r="A2327">
        <f>Universe!A2327</f>
        <v/>
      </c>
      <c r="B2327" s="10" t="n"/>
      <c r="C2327" s="11">
        <f>IF(B2327="","",PERCENTRANK.INC($B$2:$B$2501,B2327)*100)</f>
        <v/>
      </c>
      <c r="D2327" s="10" t="n"/>
      <c r="E2327" s="10">
        <f>IF(D2327="","",MIN(D2327,100))</f>
        <v/>
      </c>
      <c r="F2327" s="10" t="n"/>
      <c r="G2327" s="10">
        <f>IF(F2327="","",MIN(F2327,100))</f>
        <v/>
      </c>
      <c r="H2327" s="11">
        <f>IF(A2327="","",Universe!E2327/BDP(A2327&amp;" US Equity","HIGH_52WEEK")*100)</f>
        <v/>
      </c>
      <c r="I2327">
        <f>IF(D2327="","",D2327&gt;=5)</f>
        <v/>
      </c>
      <c r="J2327">
        <f>IF(F2327="","",F2327&gt;=5)</f>
        <v/>
      </c>
      <c r="K2327">
        <f>IF(H2327="","",H2327&gt;=75)</f>
        <v/>
      </c>
      <c r="L2327">
        <f>IF(OR(I2327="",J2327="",K2327=""),FALSE,AND(I2327,J2327,K2327))</f>
        <v/>
      </c>
    </row>
    <row r="2328">
      <c r="A2328">
        <f>Universe!A2328</f>
        <v/>
      </c>
      <c r="B2328" s="10" t="n"/>
      <c r="C2328" s="11">
        <f>IF(B2328="","",PERCENTRANK.INC($B$2:$B$2501,B2328)*100)</f>
        <v/>
      </c>
      <c r="D2328" s="10" t="n"/>
      <c r="E2328" s="10">
        <f>IF(D2328="","",MIN(D2328,100))</f>
        <v/>
      </c>
      <c r="F2328" s="10" t="n"/>
      <c r="G2328" s="10">
        <f>IF(F2328="","",MIN(F2328,100))</f>
        <v/>
      </c>
      <c r="H2328" s="11">
        <f>IF(A2328="","",Universe!E2328/BDP(A2328&amp;" US Equity","HIGH_52WEEK")*100)</f>
        <v/>
      </c>
      <c r="I2328">
        <f>IF(D2328="","",D2328&gt;=5)</f>
        <v/>
      </c>
      <c r="J2328">
        <f>IF(F2328="","",F2328&gt;=5)</f>
        <v/>
      </c>
      <c r="K2328">
        <f>IF(H2328="","",H2328&gt;=75)</f>
        <v/>
      </c>
      <c r="L2328">
        <f>IF(OR(I2328="",J2328="",K2328=""),FALSE,AND(I2328,J2328,K2328))</f>
        <v/>
      </c>
    </row>
    <row r="2329">
      <c r="A2329">
        <f>Universe!A2329</f>
        <v/>
      </c>
      <c r="B2329" s="10" t="n"/>
      <c r="C2329" s="11">
        <f>IF(B2329="","",PERCENTRANK.INC($B$2:$B$2501,B2329)*100)</f>
        <v/>
      </c>
      <c r="D2329" s="10" t="n"/>
      <c r="E2329" s="10">
        <f>IF(D2329="","",MIN(D2329,100))</f>
        <v/>
      </c>
      <c r="F2329" s="10" t="n"/>
      <c r="G2329" s="10">
        <f>IF(F2329="","",MIN(F2329,100))</f>
        <v/>
      </c>
      <c r="H2329" s="11">
        <f>IF(A2329="","",Universe!E2329/BDP(A2329&amp;" US Equity","HIGH_52WEEK")*100)</f>
        <v/>
      </c>
      <c r="I2329">
        <f>IF(D2329="","",D2329&gt;=5)</f>
        <v/>
      </c>
      <c r="J2329">
        <f>IF(F2329="","",F2329&gt;=5)</f>
        <v/>
      </c>
      <c r="K2329">
        <f>IF(H2329="","",H2329&gt;=75)</f>
        <v/>
      </c>
      <c r="L2329">
        <f>IF(OR(I2329="",J2329="",K2329=""),FALSE,AND(I2329,J2329,K2329))</f>
        <v/>
      </c>
    </row>
    <row r="2330">
      <c r="A2330">
        <f>Universe!A2330</f>
        <v/>
      </c>
      <c r="B2330" s="10" t="n"/>
      <c r="C2330" s="11">
        <f>IF(B2330="","",PERCENTRANK.INC($B$2:$B$2501,B2330)*100)</f>
        <v/>
      </c>
      <c r="D2330" s="10" t="n"/>
      <c r="E2330" s="10">
        <f>IF(D2330="","",MIN(D2330,100))</f>
        <v/>
      </c>
      <c r="F2330" s="10" t="n"/>
      <c r="G2330" s="10">
        <f>IF(F2330="","",MIN(F2330,100))</f>
        <v/>
      </c>
      <c r="H2330" s="11">
        <f>IF(A2330="","",Universe!E2330/BDP(A2330&amp;" US Equity","HIGH_52WEEK")*100)</f>
        <v/>
      </c>
      <c r="I2330">
        <f>IF(D2330="","",D2330&gt;=5)</f>
        <v/>
      </c>
      <c r="J2330">
        <f>IF(F2330="","",F2330&gt;=5)</f>
        <v/>
      </c>
      <c r="K2330">
        <f>IF(H2330="","",H2330&gt;=75)</f>
        <v/>
      </c>
      <c r="L2330">
        <f>IF(OR(I2330="",J2330="",K2330=""),FALSE,AND(I2330,J2330,K2330))</f>
        <v/>
      </c>
    </row>
    <row r="2331">
      <c r="A2331">
        <f>Universe!A2331</f>
        <v/>
      </c>
      <c r="B2331" s="10" t="n"/>
      <c r="C2331" s="11">
        <f>IF(B2331="","",PERCENTRANK.INC($B$2:$B$2501,B2331)*100)</f>
        <v/>
      </c>
      <c r="D2331" s="10" t="n"/>
      <c r="E2331" s="10">
        <f>IF(D2331="","",MIN(D2331,100))</f>
        <v/>
      </c>
      <c r="F2331" s="10" t="n"/>
      <c r="G2331" s="10">
        <f>IF(F2331="","",MIN(F2331,100))</f>
        <v/>
      </c>
      <c r="H2331" s="11">
        <f>IF(A2331="","",Universe!E2331/BDP(A2331&amp;" US Equity","HIGH_52WEEK")*100)</f>
        <v/>
      </c>
      <c r="I2331">
        <f>IF(D2331="","",D2331&gt;=5)</f>
        <v/>
      </c>
      <c r="J2331">
        <f>IF(F2331="","",F2331&gt;=5)</f>
        <v/>
      </c>
      <c r="K2331">
        <f>IF(H2331="","",H2331&gt;=75)</f>
        <v/>
      </c>
      <c r="L2331">
        <f>IF(OR(I2331="",J2331="",K2331=""),FALSE,AND(I2331,J2331,K2331))</f>
        <v/>
      </c>
    </row>
    <row r="2332">
      <c r="A2332">
        <f>Universe!A2332</f>
        <v/>
      </c>
      <c r="B2332" s="10" t="n"/>
      <c r="C2332" s="11">
        <f>IF(B2332="","",PERCENTRANK.INC($B$2:$B$2501,B2332)*100)</f>
        <v/>
      </c>
      <c r="D2332" s="10" t="n"/>
      <c r="E2332" s="10">
        <f>IF(D2332="","",MIN(D2332,100))</f>
        <v/>
      </c>
      <c r="F2332" s="10" t="n"/>
      <c r="G2332" s="10">
        <f>IF(F2332="","",MIN(F2332,100))</f>
        <v/>
      </c>
      <c r="H2332" s="11">
        <f>IF(A2332="","",Universe!E2332/BDP(A2332&amp;" US Equity","HIGH_52WEEK")*100)</f>
        <v/>
      </c>
      <c r="I2332">
        <f>IF(D2332="","",D2332&gt;=5)</f>
        <v/>
      </c>
      <c r="J2332">
        <f>IF(F2332="","",F2332&gt;=5)</f>
        <v/>
      </c>
      <c r="K2332">
        <f>IF(H2332="","",H2332&gt;=75)</f>
        <v/>
      </c>
      <c r="L2332">
        <f>IF(OR(I2332="",J2332="",K2332=""),FALSE,AND(I2332,J2332,K2332))</f>
        <v/>
      </c>
    </row>
    <row r="2333">
      <c r="A2333">
        <f>Universe!A2333</f>
        <v/>
      </c>
      <c r="B2333" s="10" t="n"/>
      <c r="C2333" s="11">
        <f>IF(B2333="","",PERCENTRANK.INC($B$2:$B$2501,B2333)*100)</f>
        <v/>
      </c>
      <c r="D2333" s="10" t="n"/>
      <c r="E2333" s="10">
        <f>IF(D2333="","",MIN(D2333,100))</f>
        <v/>
      </c>
      <c r="F2333" s="10" t="n"/>
      <c r="G2333" s="10">
        <f>IF(F2333="","",MIN(F2333,100))</f>
        <v/>
      </c>
      <c r="H2333" s="11">
        <f>IF(A2333="","",Universe!E2333/BDP(A2333&amp;" US Equity","HIGH_52WEEK")*100)</f>
        <v/>
      </c>
      <c r="I2333">
        <f>IF(D2333="","",D2333&gt;=5)</f>
        <v/>
      </c>
      <c r="J2333">
        <f>IF(F2333="","",F2333&gt;=5)</f>
        <v/>
      </c>
      <c r="K2333">
        <f>IF(H2333="","",H2333&gt;=75)</f>
        <v/>
      </c>
      <c r="L2333">
        <f>IF(OR(I2333="",J2333="",K2333=""),FALSE,AND(I2333,J2333,K2333))</f>
        <v/>
      </c>
    </row>
    <row r="2334">
      <c r="A2334">
        <f>Universe!A2334</f>
        <v/>
      </c>
      <c r="B2334" s="10" t="n"/>
      <c r="C2334" s="11">
        <f>IF(B2334="","",PERCENTRANK.INC($B$2:$B$2501,B2334)*100)</f>
        <v/>
      </c>
      <c r="D2334" s="10" t="n"/>
      <c r="E2334" s="10">
        <f>IF(D2334="","",MIN(D2334,100))</f>
        <v/>
      </c>
      <c r="F2334" s="10" t="n"/>
      <c r="G2334" s="10">
        <f>IF(F2334="","",MIN(F2334,100))</f>
        <v/>
      </c>
      <c r="H2334" s="11">
        <f>IF(A2334="","",Universe!E2334/BDP(A2334&amp;" US Equity","HIGH_52WEEK")*100)</f>
        <v/>
      </c>
      <c r="I2334">
        <f>IF(D2334="","",D2334&gt;=5)</f>
        <v/>
      </c>
      <c r="J2334">
        <f>IF(F2334="","",F2334&gt;=5)</f>
        <v/>
      </c>
      <c r="K2334">
        <f>IF(H2334="","",H2334&gt;=75)</f>
        <v/>
      </c>
      <c r="L2334">
        <f>IF(OR(I2334="",J2334="",K2334=""),FALSE,AND(I2334,J2334,K2334))</f>
        <v/>
      </c>
    </row>
    <row r="2335">
      <c r="A2335">
        <f>Universe!A2335</f>
        <v/>
      </c>
      <c r="B2335" s="10" t="n"/>
      <c r="C2335" s="11">
        <f>IF(B2335="","",PERCENTRANK.INC($B$2:$B$2501,B2335)*100)</f>
        <v/>
      </c>
      <c r="D2335" s="10" t="n"/>
      <c r="E2335" s="10">
        <f>IF(D2335="","",MIN(D2335,100))</f>
        <v/>
      </c>
      <c r="F2335" s="10" t="n"/>
      <c r="G2335" s="10">
        <f>IF(F2335="","",MIN(F2335,100))</f>
        <v/>
      </c>
      <c r="H2335" s="11">
        <f>IF(A2335="","",Universe!E2335/BDP(A2335&amp;" US Equity","HIGH_52WEEK")*100)</f>
        <v/>
      </c>
      <c r="I2335">
        <f>IF(D2335="","",D2335&gt;=5)</f>
        <v/>
      </c>
      <c r="J2335">
        <f>IF(F2335="","",F2335&gt;=5)</f>
        <v/>
      </c>
      <c r="K2335">
        <f>IF(H2335="","",H2335&gt;=75)</f>
        <v/>
      </c>
      <c r="L2335">
        <f>IF(OR(I2335="",J2335="",K2335=""),FALSE,AND(I2335,J2335,K2335))</f>
        <v/>
      </c>
    </row>
    <row r="2336">
      <c r="A2336">
        <f>Universe!A2336</f>
        <v/>
      </c>
      <c r="B2336" s="10" t="n"/>
      <c r="C2336" s="11">
        <f>IF(B2336="","",PERCENTRANK.INC($B$2:$B$2501,B2336)*100)</f>
        <v/>
      </c>
      <c r="D2336" s="10" t="n"/>
      <c r="E2336" s="10">
        <f>IF(D2336="","",MIN(D2336,100))</f>
        <v/>
      </c>
      <c r="F2336" s="10" t="n"/>
      <c r="G2336" s="10">
        <f>IF(F2336="","",MIN(F2336,100))</f>
        <v/>
      </c>
      <c r="H2336" s="11">
        <f>IF(A2336="","",Universe!E2336/BDP(A2336&amp;" US Equity","HIGH_52WEEK")*100)</f>
        <v/>
      </c>
      <c r="I2336">
        <f>IF(D2336="","",D2336&gt;=5)</f>
        <v/>
      </c>
      <c r="J2336">
        <f>IF(F2336="","",F2336&gt;=5)</f>
        <v/>
      </c>
      <c r="K2336">
        <f>IF(H2336="","",H2336&gt;=75)</f>
        <v/>
      </c>
      <c r="L2336">
        <f>IF(OR(I2336="",J2336="",K2336=""),FALSE,AND(I2336,J2336,K2336))</f>
        <v/>
      </c>
    </row>
    <row r="2337">
      <c r="A2337">
        <f>Universe!A2337</f>
        <v/>
      </c>
      <c r="B2337" s="10" t="n"/>
      <c r="C2337" s="11">
        <f>IF(B2337="","",PERCENTRANK.INC($B$2:$B$2501,B2337)*100)</f>
        <v/>
      </c>
      <c r="D2337" s="10" t="n"/>
      <c r="E2337" s="10">
        <f>IF(D2337="","",MIN(D2337,100))</f>
        <v/>
      </c>
      <c r="F2337" s="10" t="n"/>
      <c r="G2337" s="10">
        <f>IF(F2337="","",MIN(F2337,100))</f>
        <v/>
      </c>
      <c r="H2337" s="11">
        <f>IF(A2337="","",Universe!E2337/BDP(A2337&amp;" US Equity","HIGH_52WEEK")*100)</f>
        <v/>
      </c>
      <c r="I2337">
        <f>IF(D2337="","",D2337&gt;=5)</f>
        <v/>
      </c>
      <c r="J2337">
        <f>IF(F2337="","",F2337&gt;=5)</f>
        <v/>
      </c>
      <c r="K2337">
        <f>IF(H2337="","",H2337&gt;=75)</f>
        <v/>
      </c>
      <c r="L2337">
        <f>IF(OR(I2337="",J2337="",K2337=""),FALSE,AND(I2337,J2337,K2337))</f>
        <v/>
      </c>
    </row>
    <row r="2338">
      <c r="A2338">
        <f>Universe!A2338</f>
        <v/>
      </c>
      <c r="B2338" s="10" t="n"/>
      <c r="C2338" s="11">
        <f>IF(B2338="","",PERCENTRANK.INC($B$2:$B$2501,B2338)*100)</f>
        <v/>
      </c>
      <c r="D2338" s="10" t="n"/>
      <c r="E2338" s="10">
        <f>IF(D2338="","",MIN(D2338,100))</f>
        <v/>
      </c>
      <c r="F2338" s="10" t="n"/>
      <c r="G2338" s="10">
        <f>IF(F2338="","",MIN(F2338,100))</f>
        <v/>
      </c>
      <c r="H2338" s="11">
        <f>IF(A2338="","",Universe!E2338/BDP(A2338&amp;" US Equity","HIGH_52WEEK")*100)</f>
        <v/>
      </c>
      <c r="I2338">
        <f>IF(D2338="","",D2338&gt;=5)</f>
        <v/>
      </c>
      <c r="J2338">
        <f>IF(F2338="","",F2338&gt;=5)</f>
        <v/>
      </c>
      <c r="K2338">
        <f>IF(H2338="","",H2338&gt;=75)</f>
        <v/>
      </c>
      <c r="L2338">
        <f>IF(OR(I2338="",J2338="",K2338=""),FALSE,AND(I2338,J2338,K2338))</f>
        <v/>
      </c>
    </row>
    <row r="2339">
      <c r="A2339">
        <f>Universe!A2339</f>
        <v/>
      </c>
      <c r="B2339" s="10" t="n"/>
      <c r="C2339" s="11">
        <f>IF(B2339="","",PERCENTRANK.INC($B$2:$B$2501,B2339)*100)</f>
        <v/>
      </c>
      <c r="D2339" s="10" t="n"/>
      <c r="E2339" s="10">
        <f>IF(D2339="","",MIN(D2339,100))</f>
        <v/>
      </c>
      <c r="F2339" s="10" t="n"/>
      <c r="G2339" s="10">
        <f>IF(F2339="","",MIN(F2339,100))</f>
        <v/>
      </c>
      <c r="H2339" s="11">
        <f>IF(A2339="","",Universe!E2339/BDP(A2339&amp;" US Equity","HIGH_52WEEK")*100)</f>
        <v/>
      </c>
      <c r="I2339">
        <f>IF(D2339="","",D2339&gt;=5)</f>
        <v/>
      </c>
      <c r="J2339">
        <f>IF(F2339="","",F2339&gt;=5)</f>
        <v/>
      </c>
      <c r="K2339">
        <f>IF(H2339="","",H2339&gt;=75)</f>
        <v/>
      </c>
      <c r="L2339">
        <f>IF(OR(I2339="",J2339="",K2339=""),FALSE,AND(I2339,J2339,K2339))</f>
        <v/>
      </c>
    </row>
    <row r="2340">
      <c r="A2340">
        <f>Universe!A2340</f>
        <v/>
      </c>
      <c r="B2340" s="10" t="n"/>
      <c r="C2340" s="11">
        <f>IF(B2340="","",PERCENTRANK.INC($B$2:$B$2501,B2340)*100)</f>
        <v/>
      </c>
      <c r="D2340" s="10" t="n"/>
      <c r="E2340" s="10">
        <f>IF(D2340="","",MIN(D2340,100))</f>
        <v/>
      </c>
      <c r="F2340" s="10" t="n"/>
      <c r="G2340" s="10">
        <f>IF(F2340="","",MIN(F2340,100))</f>
        <v/>
      </c>
      <c r="H2340" s="11">
        <f>IF(A2340="","",Universe!E2340/BDP(A2340&amp;" US Equity","HIGH_52WEEK")*100)</f>
        <v/>
      </c>
      <c r="I2340">
        <f>IF(D2340="","",D2340&gt;=5)</f>
        <v/>
      </c>
      <c r="J2340">
        <f>IF(F2340="","",F2340&gt;=5)</f>
        <v/>
      </c>
      <c r="K2340">
        <f>IF(H2340="","",H2340&gt;=75)</f>
        <v/>
      </c>
      <c r="L2340">
        <f>IF(OR(I2340="",J2340="",K2340=""),FALSE,AND(I2340,J2340,K2340))</f>
        <v/>
      </c>
    </row>
    <row r="2341">
      <c r="A2341">
        <f>Universe!A2341</f>
        <v/>
      </c>
      <c r="B2341" s="10" t="n"/>
      <c r="C2341" s="11">
        <f>IF(B2341="","",PERCENTRANK.INC($B$2:$B$2501,B2341)*100)</f>
        <v/>
      </c>
      <c r="D2341" s="10" t="n"/>
      <c r="E2341" s="10">
        <f>IF(D2341="","",MIN(D2341,100))</f>
        <v/>
      </c>
      <c r="F2341" s="10" t="n"/>
      <c r="G2341" s="10">
        <f>IF(F2341="","",MIN(F2341,100))</f>
        <v/>
      </c>
      <c r="H2341" s="11">
        <f>IF(A2341="","",Universe!E2341/BDP(A2341&amp;" US Equity","HIGH_52WEEK")*100)</f>
        <v/>
      </c>
      <c r="I2341">
        <f>IF(D2341="","",D2341&gt;=5)</f>
        <v/>
      </c>
      <c r="J2341">
        <f>IF(F2341="","",F2341&gt;=5)</f>
        <v/>
      </c>
      <c r="K2341">
        <f>IF(H2341="","",H2341&gt;=75)</f>
        <v/>
      </c>
      <c r="L2341">
        <f>IF(OR(I2341="",J2341="",K2341=""),FALSE,AND(I2341,J2341,K2341))</f>
        <v/>
      </c>
    </row>
    <row r="2342">
      <c r="A2342">
        <f>Universe!A2342</f>
        <v/>
      </c>
      <c r="B2342" s="10" t="n"/>
      <c r="C2342" s="11">
        <f>IF(B2342="","",PERCENTRANK.INC($B$2:$B$2501,B2342)*100)</f>
        <v/>
      </c>
      <c r="D2342" s="10" t="n"/>
      <c r="E2342" s="10">
        <f>IF(D2342="","",MIN(D2342,100))</f>
        <v/>
      </c>
      <c r="F2342" s="10" t="n"/>
      <c r="G2342" s="10">
        <f>IF(F2342="","",MIN(F2342,100))</f>
        <v/>
      </c>
      <c r="H2342" s="11">
        <f>IF(A2342="","",Universe!E2342/BDP(A2342&amp;" US Equity","HIGH_52WEEK")*100)</f>
        <v/>
      </c>
      <c r="I2342">
        <f>IF(D2342="","",D2342&gt;=5)</f>
        <v/>
      </c>
      <c r="J2342">
        <f>IF(F2342="","",F2342&gt;=5)</f>
        <v/>
      </c>
      <c r="K2342">
        <f>IF(H2342="","",H2342&gt;=75)</f>
        <v/>
      </c>
      <c r="L2342">
        <f>IF(OR(I2342="",J2342="",K2342=""),FALSE,AND(I2342,J2342,K2342))</f>
        <v/>
      </c>
    </row>
    <row r="2343">
      <c r="A2343">
        <f>Universe!A2343</f>
        <v/>
      </c>
      <c r="B2343" s="10" t="n"/>
      <c r="C2343" s="11">
        <f>IF(B2343="","",PERCENTRANK.INC($B$2:$B$2501,B2343)*100)</f>
        <v/>
      </c>
      <c r="D2343" s="10" t="n"/>
      <c r="E2343" s="10">
        <f>IF(D2343="","",MIN(D2343,100))</f>
        <v/>
      </c>
      <c r="F2343" s="10" t="n"/>
      <c r="G2343" s="10">
        <f>IF(F2343="","",MIN(F2343,100))</f>
        <v/>
      </c>
      <c r="H2343" s="11">
        <f>IF(A2343="","",Universe!E2343/BDP(A2343&amp;" US Equity","HIGH_52WEEK")*100)</f>
        <v/>
      </c>
      <c r="I2343">
        <f>IF(D2343="","",D2343&gt;=5)</f>
        <v/>
      </c>
      <c r="J2343">
        <f>IF(F2343="","",F2343&gt;=5)</f>
        <v/>
      </c>
      <c r="K2343">
        <f>IF(H2343="","",H2343&gt;=75)</f>
        <v/>
      </c>
      <c r="L2343">
        <f>IF(OR(I2343="",J2343="",K2343=""),FALSE,AND(I2343,J2343,K2343))</f>
        <v/>
      </c>
    </row>
    <row r="2344">
      <c r="A2344">
        <f>Universe!A2344</f>
        <v/>
      </c>
      <c r="B2344" s="10" t="n"/>
      <c r="C2344" s="11">
        <f>IF(B2344="","",PERCENTRANK.INC($B$2:$B$2501,B2344)*100)</f>
        <v/>
      </c>
      <c r="D2344" s="10" t="n"/>
      <c r="E2344" s="10">
        <f>IF(D2344="","",MIN(D2344,100))</f>
        <v/>
      </c>
      <c r="F2344" s="10" t="n"/>
      <c r="G2344" s="10">
        <f>IF(F2344="","",MIN(F2344,100))</f>
        <v/>
      </c>
      <c r="H2344" s="11">
        <f>IF(A2344="","",Universe!E2344/BDP(A2344&amp;" US Equity","HIGH_52WEEK")*100)</f>
        <v/>
      </c>
      <c r="I2344">
        <f>IF(D2344="","",D2344&gt;=5)</f>
        <v/>
      </c>
      <c r="J2344">
        <f>IF(F2344="","",F2344&gt;=5)</f>
        <v/>
      </c>
      <c r="K2344">
        <f>IF(H2344="","",H2344&gt;=75)</f>
        <v/>
      </c>
      <c r="L2344">
        <f>IF(OR(I2344="",J2344="",K2344=""),FALSE,AND(I2344,J2344,K2344))</f>
        <v/>
      </c>
    </row>
    <row r="2345">
      <c r="A2345">
        <f>Universe!A2345</f>
        <v/>
      </c>
      <c r="B2345" s="10" t="n"/>
      <c r="C2345" s="11">
        <f>IF(B2345="","",PERCENTRANK.INC($B$2:$B$2501,B2345)*100)</f>
        <v/>
      </c>
      <c r="D2345" s="10" t="n"/>
      <c r="E2345" s="10">
        <f>IF(D2345="","",MIN(D2345,100))</f>
        <v/>
      </c>
      <c r="F2345" s="10" t="n"/>
      <c r="G2345" s="10">
        <f>IF(F2345="","",MIN(F2345,100))</f>
        <v/>
      </c>
      <c r="H2345" s="11">
        <f>IF(A2345="","",Universe!E2345/BDP(A2345&amp;" US Equity","HIGH_52WEEK")*100)</f>
        <v/>
      </c>
      <c r="I2345">
        <f>IF(D2345="","",D2345&gt;=5)</f>
        <v/>
      </c>
      <c r="J2345">
        <f>IF(F2345="","",F2345&gt;=5)</f>
        <v/>
      </c>
      <c r="K2345">
        <f>IF(H2345="","",H2345&gt;=75)</f>
        <v/>
      </c>
      <c r="L2345">
        <f>IF(OR(I2345="",J2345="",K2345=""),FALSE,AND(I2345,J2345,K2345))</f>
        <v/>
      </c>
    </row>
    <row r="2346">
      <c r="A2346">
        <f>Universe!A2346</f>
        <v/>
      </c>
      <c r="B2346" s="10" t="n"/>
      <c r="C2346" s="11">
        <f>IF(B2346="","",PERCENTRANK.INC($B$2:$B$2501,B2346)*100)</f>
        <v/>
      </c>
      <c r="D2346" s="10" t="n"/>
      <c r="E2346" s="10">
        <f>IF(D2346="","",MIN(D2346,100))</f>
        <v/>
      </c>
      <c r="F2346" s="10" t="n"/>
      <c r="G2346" s="10">
        <f>IF(F2346="","",MIN(F2346,100))</f>
        <v/>
      </c>
      <c r="H2346" s="11">
        <f>IF(A2346="","",Universe!E2346/BDP(A2346&amp;" US Equity","HIGH_52WEEK")*100)</f>
        <v/>
      </c>
      <c r="I2346">
        <f>IF(D2346="","",D2346&gt;=5)</f>
        <v/>
      </c>
      <c r="J2346">
        <f>IF(F2346="","",F2346&gt;=5)</f>
        <v/>
      </c>
      <c r="K2346">
        <f>IF(H2346="","",H2346&gt;=75)</f>
        <v/>
      </c>
      <c r="L2346">
        <f>IF(OR(I2346="",J2346="",K2346=""),FALSE,AND(I2346,J2346,K2346))</f>
        <v/>
      </c>
    </row>
    <row r="2347">
      <c r="A2347">
        <f>Universe!A2347</f>
        <v/>
      </c>
      <c r="B2347" s="10" t="n"/>
      <c r="C2347" s="11">
        <f>IF(B2347="","",PERCENTRANK.INC($B$2:$B$2501,B2347)*100)</f>
        <v/>
      </c>
      <c r="D2347" s="10" t="n"/>
      <c r="E2347" s="10">
        <f>IF(D2347="","",MIN(D2347,100))</f>
        <v/>
      </c>
      <c r="F2347" s="10" t="n"/>
      <c r="G2347" s="10">
        <f>IF(F2347="","",MIN(F2347,100))</f>
        <v/>
      </c>
      <c r="H2347" s="11">
        <f>IF(A2347="","",Universe!E2347/BDP(A2347&amp;" US Equity","HIGH_52WEEK")*100)</f>
        <v/>
      </c>
      <c r="I2347">
        <f>IF(D2347="","",D2347&gt;=5)</f>
        <v/>
      </c>
      <c r="J2347">
        <f>IF(F2347="","",F2347&gt;=5)</f>
        <v/>
      </c>
      <c r="K2347">
        <f>IF(H2347="","",H2347&gt;=75)</f>
        <v/>
      </c>
      <c r="L2347">
        <f>IF(OR(I2347="",J2347="",K2347=""),FALSE,AND(I2347,J2347,K2347))</f>
        <v/>
      </c>
    </row>
    <row r="2348">
      <c r="A2348">
        <f>Universe!A2348</f>
        <v/>
      </c>
      <c r="B2348" s="10" t="n"/>
      <c r="C2348" s="11">
        <f>IF(B2348="","",PERCENTRANK.INC($B$2:$B$2501,B2348)*100)</f>
        <v/>
      </c>
      <c r="D2348" s="10" t="n"/>
      <c r="E2348" s="10">
        <f>IF(D2348="","",MIN(D2348,100))</f>
        <v/>
      </c>
      <c r="F2348" s="10" t="n"/>
      <c r="G2348" s="10">
        <f>IF(F2348="","",MIN(F2348,100))</f>
        <v/>
      </c>
      <c r="H2348" s="11">
        <f>IF(A2348="","",Universe!E2348/BDP(A2348&amp;" US Equity","HIGH_52WEEK")*100)</f>
        <v/>
      </c>
      <c r="I2348">
        <f>IF(D2348="","",D2348&gt;=5)</f>
        <v/>
      </c>
      <c r="J2348">
        <f>IF(F2348="","",F2348&gt;=5)</f>
        <v/>
      </c>
      <c r="K2348">
        <f>IF(H2348="","",H2348&gt;=75)</f>
        <v/>
      </c>
      <c r="L2348">
        <f>IF(OR(I2348="",J2348="",K2348=""),FALSE,AND(I2348,J2348,K2348))</f>
        <v/>
      </c>
    </row>
    <row r="2349">
      <c r="A2349">
        <f>Universe!A2349</f>
        <v/>
      </c>
      <c r="B2349" s="10" t="n"/>
      <c r="C2349" s="11">
        <f>IF(B2349="","",PERCENTRANK.INC($B$2:$B$2501,B2349)*100)</f>
        <v/>
      </c>
      <c r="D2349" s="10" t="n"/>
      <c r="E2349" s="10">
        <f>IF(D2349="","",MIN(D2349,100))</f>
        <v/>
      </c>
      <c r="F2349" s="10" t="n"/>
      <c r="G2349" s="10">
        <f>IF(F2349="","",MIN(F2349,100))</f>
        <v/>
      </c>
      <c r="H2349" s="11">
        <f>IF(A2349="","",Universe!E2349/BDP(A2349&amp;" US Equity","HIGH_52WEEK")*100)</f>
        <v/>
      </c>
      <c r="I2349">
        <f>IF(D2349="","",D2349&gt;=5)</f>
        <v/>
      </c>
      <c r="J2349">
        <f>IF(F2349="","",F2349&gt;=5)</f>
        <v/>
      </c>
      <c r="K2349">
        <f>IF(H2349="","",H2349&gt;=75)</f>
        <v/>
      </c>
      <c r="L2349">
        <f>IF(OR(I2349="",J2349="",K2349=""),FALSE,AND(I2349,J2349,K2349))</f>
        <v/>
      </c>
    </row>
    <row r="2350">
      <c r="A2350">
        <f>Universe!A2350</f>
        <v/>
      </c>
      <c r="B2350" s="10" t="n"/>
      <c r="C2350" s="11">
        <f>IF(B2350="","",PERCENTRANK.INC($B$2:$B$2501,B2350)*100)</f>
        <v/>
      </c>
      <c r="D2350" s="10" t="n"/>
      <c r="E2350" s="10">
        <f>IF(D2350="","",MIN(D2350,100))</f>
        <v/>
      </c>
      <c r="F2350" s="10" t="n"/>
      <c r="G2350" s="10">
        <f>IF(F2350="","",MIN(F2350,100))</f>
        <v/>
      </c>
      <c r="H2350" s="11">
        <f>IF(A2350="","",Universe!E2350/BDP(A2350&amp;" US Equity","HIGH_52WEEK")*100)</f>
        <v/>
      </c>
      <c r="I2350">
        <f>IF(D2350="","",D2350&gt;=5)</f>
        <v/>
      </c>
      <c r="J2350">
        <f>IF(F2350="","",F2350&gt;=5)</f>
        <v/>
      </c>
      <c r="K2350">
        <f>IF(H2350="","",H2350&gt;=75)</f>
        <v/>
      </c>
      <c r="L2350">
        <f>IF(OR(I2350="",J2350="",K2350=""),FALSE,AND(I2350,J2350,K2350))</f>
        <v/>
      </c>
    </row>
    <row r="2351">
      <c r="A2351">
        <f>Universe!A2351</f>
        <v/>
      </c>
      <c r="B2351" s="10" t="n"/>
      <c r="C2351" s="11">
        <f>IF(B2351="","",PERCENTRANK.INC($B$2:$B$2501,B2351)*100)</f>
        <v/>
      </c>
      <c r="D2351" s="10" t="n"/>
      <c r="E2351" s="10">
        <f>IF(D2351="","",MIN(D2351,100))</f>
        <v/>
      </c>
      <c r="F2351" s="10" t="n"/>
      <c r="G2351" s="10">
        <f>IF(F2351="","",MIN(F2351,100))</f>
        <v/>
      </c>
      <c r="H2351" s="11">
        <f>IF(A2351="","",Universe!E2351/BDP(A2351&amp;" US Equity","HIGH_52WEEK")*100)</f>
        <v/>
      </c>
      <c r="I2351">
        <f>IF(D2351="","",D2351&gt;=5)</f>
        <v/>
      </c>
      <c r="J2351">
        <f>IF(F2351="","",F2351&gt;=5)</f>
        <v/>
      </c>
      <c r="K2351">
        <f>IF(H2351="","",H2351&gt;=75)</f>
        <v/>
      </c>
      <c r="L2351">
        <f>IF(OR(I2351="",J2351="",K2351=""),FALSE,AND(I2351,J2351,K2351))</f>
        <v/>
      </c>
    </row>
    <row r="2352">
      <c r="A2352">
        <f>Universe!A2352</f>
        <v/>
      </c>
      <c r="B2352" s="10" t="n"/>
      <c r="C2352" s="11">
        <f>IF(B2352="","",PERCENTRANK.INC($B$2:$B$2501,B2352)*100)</f>
        <v/>
      </c>
      <c r="D2352" s="10" t="n"/>
      <c r="E2352" s="10">
        <f>IF(D2352="","",MIN(D2352,100))</f>
        <v/>
      </c>
      <c r="F2352" s="10" t="n"/>
      <c r="G2352" s="10">
        <f>IF(F2352="","",MIN(F2352,100))</f>
        <v/>
      </c>
      <c r="H2352" s="11">
        <f>IF(A2352="","",Universe!E2352/BDP(A2352&amp;" US Equity","HIGH_52WEEK")*100)</f>
        <v/>
      </c>
      <c r="I2352">
        <f>IF(D2352="","",D2352&gt;=5)</f>
        <v/>
      </c>
      <c r="J2352">
        <f>IF(F2352="","",F2352&gt;=5)</f>
        <v/>
      </c>
      <c r="K2352">
        <f>IF(H2352="","",H2352&gt;=75)</f>
        <v/>
      </c>
      <c r="L2352">
        <f>IF(OR(I2352="",J2352="",K2352=""),FALSE,AND(I2352,J2352,K2352))</f>
        <v/>
      </c>
    </row>
    <row r="2353">
      <c r="A2353">
        <f>Universe!A2353</f>
        <v/>
      </c>
      <c r="B2353" s="10" t="n"/>
      <c r="C2353" s="11">
        <f>IF(B2353="","",PERCENTRANK.INC($B$2:$B$2501,B2353)*100)</f>
        <v/>
      </c>
      <c r="D2353" s="10" t="n"/>
      <c r="E2353" s="10">
        <f>IF(D2353="","",MIN(D2353,100))</f>
        <v/>
      </c>
      <c r="F2353" s="10" t="n"/>
      <c r="G2353" s="10">
        <f>IF(F2353="","",MIN(F2353,100))</f>
        <v/>
      </c>
      <c r="H2353" s="11">
        <f>IF(A2353="","",Universe!E2353/BDP(A2353&amp;" US Equity","HIGH_52WEEK")*100)</f>
        <v/>
      </c>
      <c r="I2353">
        <f>IF(D2353="","",D2353&gt;=5)</f>
        <v/>
      </c>
      <c r="J2353">
        <f>IF(F2353="","",F2353&gt;=5)</f>
        <v/>
      </c>
      <c r="K2353">
        <f>IF(H2353="","",H2353&gt;=75)</f>
        <v/>
      </c>
      <c r="L2353">
        <f>IF(OR(I2353="",J2353="",K2353=""),FALSE,AND(I2353,J2353,K2353))</f>
        <v/>
      </c>
    </row>
    <row r="2354">
      <c r="A2354">
        <f>Universe!A2354</f>
        <v/>
      </c>
      <c r="B2354" s="10" t="n"/>
      <c r="C2354" s="11">
        <f>IF(B2354="","",PERCENTRANK.INC($B$2:$B$2501,B2354)*100)</f>
        <v/>
      </c>
      <c r="D2354" s="10" t="n"/>
      <c r="E2354" s="10">
        <f>IF(D2354="","",MIN(D2354,100))</f>
        <v/>
      </c>
      <c r="F2354" s="10" t="n"/>
      <c r="G2354" s="10">
        <f>IF(F2354="","",MIN(F2354,100))</f>
        <v/>
      </c>
      <c r="H2354" s="11">
        <f>IF(A2354="","",Universe!E2354/BDP(A2354&amp;" US Equity","HIGH_52WEEK")*100)</f>
        <v/>
      </c>
      <c r="I2354">
        <f>IF(D2354="","",D2354&gt;=5)</f>
        <v/>
      </c>
      <c r="J2354">
        <f>IF(F2354="","",F2354&gt;=5)</f>
        <v/>
      </c>
      <c r="K2354">
        <f>IF(H2354="","",H2354&gt;=75)</f>
        <v/>
      </c>
      <c r="L2354">
        <f>IF(OR(I2354="",J2354="",K2354=""),FALSE,AND(I2354,J2354,K2354))</f>
        <v/>
      </c>
    </row>
    <row r="2355">
      <c r="A2355">
        <f>Universe!A2355</f>
        <v/>
      </c>
      <c r="B2355" s="10" t="n"/>
      <c r="C2355" s="11">
        <f>IF(B2355="","",PERCENTRANK.INC($B$2:$B$2501,B2355)*100)</f>
        <v/>
      </c>
      <c r="D2355" s="10" t="n"/>
      <c r="E2355" s="10">
        <f>IF(D2355="","",MIN(D2355,100))</f>
        <v/>
      </c>
      <c r="F2355" s="10" t="n"/>
      <c r="G2355" s="10">
        <f>IF(F2355="","",MIN(F2355,100))</f>
        <v/>
      </c>
      <c r="H2355" s="11">
        <f>IF(A2355="","",Universe!E2355/BDP(A2355&amp;" US Equity","HIGH_52WEEK")*100)</f>
        <v/>
      </c>
      <c r="I2355">
        <f>IF(D2355="","",D2355&gt;=5)</f>
        <v/>
      </c>
      <c r="J2355">
        <f>IF(F2355="","",F2355&gt;=5)</f>
        <v/>
      </c>
      <c r="K2355">
        <f>IF(H2355="","",H2355&gt;=75)</f>
        <v/>
      </c>
      <c r="L2355">
        <f>IF(OR(I2355="",J2355="",K2355=""),FALSE,AND(I2355,J2355,K2355))</f>
        <v/>
      </c>
    </row>
    <row r="2356">
      <c r="A2356">
        <f>Universe!A2356</f>
        <v/>
      </c>
      <c r="B2356" s="10" t="n"/>
      <c r="C2356" s="11">
        <f>IF(B2356="","",PERCENTRANK.INC($B$2:$B$2501,B2356)*100)</f>
        <v/>
      </c>
      <c r="D2356" s="10" t="n"/>
      <c r="E2356" s="10">
        <f>IF(D2356="","",MIN(D2356,100))</f>
        <v/>
      </c>
      <c r="F2356" s="10" t="n"/>
      <c r="G2356" s="10">
        <f>IF(F2356="","",MIN(F2356,100))</f>
        <v/>
      </c>
      <c r="H2356" s="11">
        <f>IF(A2356="","",Universe!E2356/BDP(A2356&amp;" US Equity","HIGH_52WEEK")*100)</f>
        <v/>
      </c>
      <c r="I2356">
        <f>IF(D2356="","",D2356&gt;=5)</f>
        <v/>
      </c>
      <c r="J2356">
        <f>IF(F2356="","",F2356&gt;=5)</f>
        <v/>
      </c>
      <c r="K2356">
        <f>IF(H2356="","",H2356&gt;=75)</f>
        <v/>
      </c>
      <c r="L2356">
        <f>IF(OR(I2356="",J2356="",K2356=""),FALSE,AND(I2356,J2356,K2356))</f>
        <v/>
      </c>
    </row>
    <row r="2357">
      <c r="A2357">
        <f>Universe!A2357</f>
        <v/>
      </c>
      <c r="B2357" s="10" t="n"/>
      <c r="C2357" s="11">
        <f>IF(B2357="","",PERCENTRANK.INC($B$2:$B$2501,B2357)*100)</f>
        <v/>
      </c>
      <c r="D2357" s="10" t="n"/>
      <c r="E2357" s="10">
        <f>IF(D2357="","",MIN(D2357,100))</f>
        <v/>
      </c>
      <c r="F2357" s="10" t="n"/>
      <c r="G2357" s="10">
        <f>IF(F2357="","",MIN(F2357,100))</f>
        <v/>
      </c>
      <c r="H2357" s="11">
        <f>IF(A2357="","",Universe!E2357/BDP(A2357&amp;" US Equity","HIGH_52WEEK")*100)</f>
        <v/>
      </c>
      <c r="I2357">
        <f>IF(D2357="","",D2357&gt;=5)</f>
        <v/>
      </c>
      <c r="J2357">
        <f>IF(F2357="","",F2357&gt;=5)</f>
        <v/>
      </c>
      <c r="K2357">
        <f>IF(H2357="","",H2357&gt;=75)</f>
        <v/>
      </c>
      <c r="L2357">
        <f>IF(OR(I2357="",J2357="",K2357=""),FALSE,AND(I2357,J2357,K2357))</f>
        <v/>
      </c>
    </row>
    <row r="2358">
      <c r="A2358">
        <f>Universe!A2358</f>
        <v/>
      </c>
      <c r="B2358" s="10" t="n"/>
      <c r="C2358" s="11">
        <f>IF(B2358="","",PERCENTRANK.INC($B$2:$B$2501,B2358)*100)</f>
        <v/>
      </c>
      <c r="D2358" s="10" t="n"/>
      <c r="E2358" s="10">
        <f>IF(D2358="","",MIN(D2358,100))</f>
        <v/>
      </c>
      <c r="F2358" s="10" t="n"/>
      <c r="G2358" s="10">
        <f>IF(F2358="","",MIN(F2358,100))</f>
        <v/>
      </c>
      <c r="H2358" s="11">
        <f>IF(A2358="","",Universe!E2358/BDP(A2358&amp;" US Equity","HIGH_52WEEK")*100)</f>
        <v/>
      </c>
      <c r="I2358">
        <f>IF(D2358="","",D2358&gt;=5)</f>
        <v/>
      </c>
      <c r="J2358">
        <f>IF(F2358="","",F2358&gt;=5)</f>
        <v/>
      </c>
      <c r="K2358">
        <f>IF(H2358="","",H2358&gt;=75)</f>
        <v/>
      </c>
      <c r="L2358">
        <f>IF(OR(I2358="",J2358="",K2358=""),FALSE,AND(I2358,J2358,K2358))</f>
        <v/>
      </c>
    </row>
    <row r="2359">
      <c r="A2359">
        <f>Universe!A2359</f>
        <v/>
      </c>
      <c r="B2359" s="10" t="n"/>
      <c r="C2359" s="11">
        <f>IF(B2359="","",PERCENTRANK.INC($B$2:$B$2501,B2359)*100)</f>
        <v/>
      </c>
      <c r="D2359" s="10" t="n"/>
      <c r="E2359" s="10">
        <f>IF(D2359="","",MIN(D2359,100))</f>
        <v/>
      </c>
      <c r="F2359" s="10" t="n"/>
      <c r="G2359" s="10">
        <f>IF(F2359="","",MIN(F2359,100))</f>
        <v/>
      </c>
      <c r="H2359" s="11">
        <f>IF(A2359="","",Universe!E2359/BDP(A2359&amp;" US Equity","HIGH_52WEEK")*100)</f>
        <v/>
      </c>
      <c r="I2359">
        <f>IF(D2359="","",D2359&gt;=5)</f>
        <v/>
      </c>
      <c r="J2359">
        <f>IF(F2359="","",F2359&gt;=5)</f>
        <v/>
      </c>
      <c r="K2359">
        <f>IF(H2359="","",H2359&gt;=75)</f>
        <v/>
      </c>
      <c r="L2359">
        <f>IF(OR(I2359="",J2359="",K2359=""),FALSE,AND(I2359,J2359,K2359))</f>
        <v/>
      </c>
    </row>
    <row r="2360">
      <c r="A2360">
        <f>Universe!A2360</f>
        <v/>
      </c>
      <c r="B2360" s="10" t="n"/>
      <c r="C2360" s="11">
        <f>IF(B2360="","",PERCENTRANK.INC($B$2:$B$2501,B2360)*100)</f>
        <v/>
      </c>
      <c r="D2360" s="10" t="n"/>
      <c r="E2360" s="10">
        <f>IF(D2360="","",MIN(D2360,100))</f>
        <v/>
      </c>
      <c r="F2360" s="10" t="n"/>
      <c r="G2360" s="10">
        <f>IF(F2360="","",MIN(F2360,100))</f>
        <v/>
      </c>
      <c r="H2360" s="11">
        <f>IF(A2360="","",Universe!E2360/BDP(A2360&amp;" US Equity","HIGH_52WEEK")*100)</f>
        <v/>
      </c>
      <c r="I2360">
        <f>IF(D2360="","",D2360&gt;=5)</f>
        <v/>
      </c>
      <c r="J2360">
        <f>IF(F2360="","",F2360&gt;=5)</f>
        <v/>
      </c>
      <c r="K2360">
        <f>IF(H2360="","",H2360&gt;=75)</f>
        <v/>
      </c>
      <c r="L2360">
        <f>IF(OR(I2360="",J2360="",K2360=""),FALSE,AND(I2360,J2360,K2360))</f>
        <v/>
      </c>
    </row>
    <row r="2361">
      <c r="A2361">
        <f>Universe!A2361</f>
        <v/>
      </c>
      <c r="B2361" s="10" t="n"/>
      <c r="C2361" s="11">
        <f>IF(B2361="","",PERCENTRANK.INC($B$2:$B$2501,B2361)*100)</f>
        <v/>
      </c>
      <c r="D2361" s="10" t="n"/>
      <c r="E2361" s="10">
        <f>IF(D2361="","",MIN(D2361,100))</f>
        <v/>
      </c>
      <c r="F2361" s="10" t="n"/>
      <c r="G2361" s="10">
        <f>IF(F2361="","",MIN(F2361,100))</f>
        <v/>
      </c>
      <c r="H2361" s="11">
        <f>IF(A2361="","",Universe!E2361/BDP(A2361&amp;" US Equity","HIGH_52WEEK")*100)</f>
        <v/>
      </c>
      <c r="I2361">
        <f>IF(D2361="","",D2361&gt;=5)</f>
        <v/>
      </c>
      <c r="J2361">
        <f>IF(F2361="","",F2361&gt;=5)</f>
        <v/>
      </c>
      <c r="K2361">
        <f>IF(H2361="","",H2361&gt;=75)</f>
        <v/>
      </c>
      <c r="L2361">
        <f>IF(OR(I2361="",J2361="",K2361=""),FALSE,AND(I2361,J2361,K2361))</f>
        <v/>
      </c>
    </row>
    <row r="2362">
      <c r="A2362">
        <f>Universe!A2362</f>
        <v/>
      </c>
      <c r="B2362" s="10" t="n"/>
      <c r="C2362" s="11">
        <f>IF(B2362="","",PERCENTRANK.INC($B$2:$B$2501,B2362)*100)</f>
        <v/>
      </c>
      <c r="D2362" s="10" t="n"/>
      <c r="E2362" s="10">
        <f>IF(D2362="","",MIN(D2362,100))</f>
        <v/>
      </c>
      <c r="F2362" s="10" t="n"/>
      <c r="G2362" s="10">
        <f>IF(F2362="","",MIN(F2362,100))</f>
        <v/>
      </c>
      <c r="H2362" s="11">
        <f>IF(A2362="","",Universe!E2362/BDP(A2362&amp;" US Equity","HIGH_52WEEK")*100)</f>
        <v/>
      </c>
      <c r="I2362">
        <f>IF(D2362="","",D2362&gt;=5)</f>
        <v/>
      </c>
      <c r="J2362">
        <f>IF(F2362="","",F2362&gt;=5)</f>
        <v/>
      </c>
      <c r="K2362">
        <f>IF(H2362="","",H2362&gt;=75)</f>
        <v/>
      </c>
      <c r="L2362">
        <f>IF(OR(I2362="",J2362="",K2362=""),FALSE,AND(I2362,J2362,K2362))</f>
        <v/>
      </c>
    </row>
    <row r="2363">
      <c r="A2363">
        <f>Universe!A2363</f>
        <v/>
      </c>
      <c r="B2363" s="10" t="n"/>
      <c r="C2363" s="11">
        <f>IF(B2363="","",PERCENTRANK.INC($B$2:$B$2501,B2363)*100)</f>
        <v/>
      </c>
      <c r="D2363" s="10" t="n"/>
      <c r="E2363" s="10">
        <f>IF(D2363="","",MIN(D2363,100))</f>
        <v/>
      </c>
      <c r="F2363" s="10" t="n"/>
      <c r="G2363" s="10">
        <f>IF(F2363="","",MIN(F2363,100))</f>
        <v/>
      </c>
      <c r="H2363" s="11">
        <f>IF(A2363="","",Universe!E2363/BDP(A2363&amp;" US Equity","HIGH_52WEEK")*100)</f>
        <v/>
      </c>
      <c r="I2363">
        <f>IF(D2363="","",D2363&gt;=5)</f>
        <v/>
      </c>
      <c r="J2363">
        <f>IF(F2363="","",F2363&gt;=5)</f>
        <v/>
      </c>
      <c r="K2363">
        <f>IF(H2363="","",H2363&gt;=75)</f>
        <v/>
      </c>
      <c r="L2363">
        <f>IF(OR(I2363="",J2363="",K2363=""),FALSE,AND(I2363,J2363,K2363))</f>
        <v/>
      </c>
    </row>
    <row r="2364">
      <c r="A2364">
        <f>Universe!A2364</f>
        <v/>
      </c>
      <c r="B2364" s="10" t="n"/>
      <c r="C2364" s="11">
        <f>IF(B2364="","",PERCENTRANK.INC($B$2:$B$2501,B2364)*100)</f>
        <v/>
      </c>
      <c r="D2364" s="10" t="n"/>
      <c r="E2364" s="10">
        <f>IF(D2364="","",MIN(D2364,100))</f>
        <v/>
      </c>
      <c r="F2364" s="10" t="n"/>
      <c r="G2364" s="10">
        <f>IF(F2364="","",MIN(F2364,100))</f>
        <v/>
      </c>
      <c r="H2364" s="11">
        <f>IF(A2364="","",Universe!E2364/BDP(A2364&amp;" US Equity","HIGH_52WEEK")*100)</f>
        <v/>
      </c>
      <c r="I2364">
        <f>IF(D2364="","",D2364&gt;=5)</f>
        <v/>
      </c>
      <c r="J2364">
        <f>IF(F2364="","",F2364&gt;=5)</f>
        <v/>
      </c>
      <c r="K2364">
        <f>IF(H2364="","",H2364&gt;=75)</f>
        <v/>
      </c>
      <c r="L2364">
        <f>IF(OR(I2364="",J2364="",K2364=""),FALSE,AND(I2364,J2364,K2364))</f>
        <v/>
      </c>
    </row>
    <row r="2365">
      <c r="A2365">
        <f>Universe!A2365</f>
        <v/>
      </c>
      <c r="B2365" s="10" t="n"/>
      <c r="C2365" s="11">
        <f>IF(B2365="","",PERCENTRANK.INC($B$2:$B$2501,B2365)*100)</f>
        <v/>
      </c>
      <c r="D2365" s="10" t="n"/>
      <c r="E2365" s="10">
        <f>IF(D2365="","",MIN(D2365,100))</f>
        <v/>
      </c>
      <c r="F2365" s="10" t="n"/>
      <c r="G2365" s="10">
        <f>IF(F2365="","",MIN(F2365,100))</f>
        <v/>
      </c>
      <c r="H2365" s="11">
        <f>IF(A2365="","",Universe!E2365/BDP(A2365&amp;" US Equity","HIGH_52WEEK")*100)</f>
        <v/>
      </c>
      <c r="I2365">
        <f>IF(D2365="","",D2365&gt;=5)</f>
        <v/>
      </c>
      <c r="J2365">
        <f>IF(F2365="","",F2365&gt;=5)</f>
        <v/>
      </c>
      <c r="K2365">
        <f>IF(H2365="","",H2365&gt;=75)</f>
        <v/>
      </c>
      <c r="L2365">
        <f>IF(OR(I2365="",J2365="",K2365=""),FALSE,AND(I2365,J2365,K2365))</f>
        <v/>
      </c>
    </row>
    <row r="2366">
      <c r="A2366">
        <f>Universe!A2366</f>
        <v/>
      </c>
      <c r="B2366" s="10" t="n"/>
      <c r="C2366" s="11">
        <f>IF(B2366="","",PERCENTRANK.INC($B$2:$B$2501,B2366)*100)</f>
        <v/>
      </c>
      <c r="D2366" s="10" t="n"/>
      <c r="E2366" s="10">
        <f>IF(D2366="","",MIN(D2366,100))</f>
        <v/>
      </c>
      <c r="F2366" s="10" t="n"/>
      <c r="G2366" s="10">
        <f>IF(F2366="","",MIN(F2366,100))</f>
        <v/>
      </c>
      <c r="H2366" s="11">
        <f>IF(A2366="","",Universe!E2366/BDP(A2366&amp;" US Equity","HIGH_52WEEK")*100)</f>
        <v/>
      </c>
      <c r="I2366">
        <f>IF(D2366="","",D2366&gt;=5)</f>
        <v/>
      </c>
      <c r="J2366">
        <f>IF(F2366="","",F2366&gt;=5)</f>
        <v/>
      </c>
      <c r="K2366">
        <f>IF(H2366="","",H2366&gt;=75)</f>
        <v/>
      </c>
      <c r="L2366">
        <f>IF(OR(I2366="",J2366="",K2366=""),FALSE,AND(I2366,J2366,K2366))</f>
        <v/>
      </c>
    </row>
    <row r="2367">
      <c r="A2367">
        <f>Universe!A2367</f>
        <v/>
      </c>
      <c r="B2367" s="10" t="n"/>
      <c r="C2367" s="11">
        <f>IF(B2367="","",PERCENTRANK.INC($B$2:$B$2501,B2367)*100)</f>
        <v/>
      </c>
      <c r="D2367" s="10" t="n"/>
      <c r="E2367" s="10">
        <f>IF(D2367="","",MIN(D2367,100))</f>
        <v/>
      </c>
      <c r="F2367" s="10" t="n"/>
      <c r="G2367" s="10">
        <f>IF(F2367="","",MIN(F2367,100))</f>
        <v/>
      </c>
      <c r="H2367" s="11">
        <f>IF(A2367="","",Universe!E2367/BDP(A2367&amp;" US Equity","HIGH_52WEEK")*100)</f>
        <v/>
      </c>
      <c r="I2367">
        <f>IF(D2367="","",D2367&gt;=5)</f>
        <v/>
      </c>
      <c r="J2367">
        <f>IF(F2367="","",F2367&gt;=5)</f>
        <v/>
      </c>
      <c r="K2367">
        <f>IF(H2367="","",H2367&gt;=75)</f>
        <v/>
      </c>
      <c r="L2367">
        <f>IF(OR(I2367="",J2367="",K2367=""),FALSE,AND(I2367,J2367,K2367))</f>
        <v/>
      </c>
    </row>
    <row r="2368">
      <c r="A2368">
        <f>Universe!A2368</f>
        <v/>
      </c>
      <c r="B2368" s="10" t="n"/>
      <c r="C2368" s="11">
        <f>IF(B2368="","",PERCENTRANK.INC($B$2:$B$2501,B2368)*100)</f>
        <v/>
      </c>
      <c r="D2368" s="10" t="n"/>
      <c r="E2368" s="10">
        <f>IF(D2368="","",MIN(D2368,100))</f>
        <v/>
      </c>
      <c r="F2368" s="10" t="n"/>
      <c r="G2368" s="10">
        <f>IF(F2368="","",MIN(F2368,100))</f>
        <v/>
      </c>
      <c r="H2368" s="11">
        <f>IF(A2368="","",Universe!E2368/BDP(A2368&amp;" US Equity","HIGH_52WEEK")*100)</f>
        <v/>
      </c>
      <c r="I2368">
        <f>IF(D2368="","",D2368&gt;=5)</f>
        <v/>
      </c>
      <c r="J2368">
        <f>IF(F2368="","",F2368&gt;=5)</f>
        <v/>
      </c>
      <c r="K2368">
        <f>IF(H2368="","",H2368&gt;=75)</f>
        <v/>
      </c>
      <c r="L2368">
        <f>IF(OR(I2368="",J2368="",K2368=""),FALSE,AND(I2368,J2368,K2368))</f>
        <v/>
      </c>
    </row>
    <row r="2369">
      <c r="A2369">
        <f>Universe!A2369</f>
        <v/>
      </c>
      <c r="B2369" s="10" t="n"/>
      <c r="C2369" s="11">
        <f>IF(B2369="","",PERCENTRANK.INC($B$2:$B$2501,B2369)*100)</f>
        <v/>
      </c>
      <c r="D2369" s="10" t="n"/>
      <c r="E2369" s="10">
        <f>IF(D2369="","",MIN(D2369,100))</f>
        <v/>
      </c>
      <c r="F2369" s="10" t="n"/>
      <c r="G2369" s="10">
        <f>IF(F2369="","",MIN(F2369,100))</f>
        <v/>
      </c>
      <c r="H2369" s="11">
        <f>IF(A2369="","",Universe!E2369/BDP(A2369&amp;" US Equity","HIGH_52WEEK")*100)</f>
        <v/>
      </c>
      <c r="I2369">
        <f>IF(D2369="","",D2369&gt;=5)</f>
        <v/>
      </c>
      <c r="J2369">
        <f>IF(F2369="","",F2369&gt;=5)</f>
        <v/>
      </c>
      <c r="K2369">
        <f>IF(H2369="","",H2369&gt;=75)</f>
        <v/>
      </c>
      <c r="L2369">
        <f>IF(OR(I2369="",J2369="",K2369=""),FALSE,AND(I2369,J2369,K2369))</f>
        <v/>
      </c>
    </row>
    <row r="2370">
      <c r="A2370">
        <f>Universe!A2370</f>
        <v/>
      </c>
      <c r="B2370" s="10" t="n"/>
      <c r="C2370" s="11">
        <f>IF(B2370="","",PERCENTRANK.INC($B$2:$B$2501,B2370)*100)</f>
        <v/>
      </c>
      <c r="D2370" s="10" t="n"/>
      <c r="E2370" s="10">
        <f>IF(D2370="","",MIN(D2370,100))</f>
        <v/>
      </c>
      <c r="F2370" s="10" t="n"/>
      <c r="G2370" s="10">
        <f>IF(F2370="","",MIN(F2370,100))</f>
        <v/>
      </c>
      <c r="H2370" s="11">
        <f>IF(A2370="","",Universe!E2370/BDP(A2370&amp;" US Equity","HIGH_52WEEK")*100)</f>
        <v/>
      </c>
      <c r="I2370">
        <f>IF(D2370="","",D2370&gt;=5)</f>
        <v/>
      </c>
      <c r="J2370">
        <f>IF(F2370="","",F2370&gt;=5)</f>
        <v/>
      </c>
      <c r="K2370">
        <f>IF(H2370="","",H2370&gt;=75)</f>
        <v/>
      </c>
      <c r="L2370">
        <f>IF(OR(I2370="",J2370="",K2370=""),FALSE,AND(I2370,J2370,K2370))</f>
        <v/>
      </c>
    </row>
    <row r="2371">
      <c r="A2371">
        <f>Universe!A2371</f>
        <v/>
      </c>
      <c r="B2371" s="10" t="n"/>
      <c r="C2371" s="11">
        <f>IF(B2371="","",PERCENTRANK.INC($B$2:$B$2501,B2371)*100)</f>
        <v/>
      </c>
      <c r="D2371" s="10" t="n"/>
      <c r="E2371" s="10">
        <f>IF(D2371="","",MIN(D2371,100))</f>
        <v/>
      </c>
      <c r="F2371" s="10" t="n"/>
      <c r="G2371" s="10">
        <f>IF(F2371="","",MIN(F2371,100))</f>
        <v/>
      </c>
      <c r="H2371" s="11">
        <f>IF(A2371="","",Universe!E2371/BDP(A2371&amp;" US Equity","HIGH_52WEEK")*100)</f>
        <v/>
      </c>
      <c r="I2371">
        <f>IF(D2371="","",D2371&gt;=5)</f>
        <v/>
      </c>
      <c r="J2371">
        <f>IF(F2371="","",F2371&gt;=5)</f>
        <v/>
      </c>
      <c r="K2371">
        <f>IF(H2371="","",H2371&gt;=75)</f>
        <v/>
      </c>
      <c r="L2371">
        <f>IF(OR(I2371="",J2371="",K2371=""),FALSE,AND(I2371,J2371,K2371))</f>
        <v/>
      </c>
    </row>
    <row r="2372">
      <c r="A2372">
        <f>Universe!A2372</f>
        <v/>
      </c>
      <c r="B2372" s="10" t="n"/>
      <c r="C2372" s="11">
        <f>IF(B2372="","",PERCENTRANK.INC($B$2:$B$2501,B2372)*100)</f>
        <v/>
      </c>
      <c r="D2372" s="10" t="n"/>
      <c r="E2372" s="10">
        <f>IF(D2372="","",MIN(D2372,100))</f>
        <v/>
      </c>
      <c r="F2372" s="10" t="n"/>
      <c r="G2372" s="10">
        <f>IF(F2372="","",MIN(F2372,100))</f>
        <v/>
      </c>
      <c r="H2372" s="11">
        <f>IF(A2372="","",Universe!E2372/BDP(A2372&amp;" US Equity","HIGH_52WEEK")*100)</f>
        <v/>
      </c>
      <c r="I2372">
        <f>IF(D2372="","",D2372&gt;=5)</f>
        <v/>
      </c>
      <c r="J2372">
        <f>IF(F2372="","",F2372&gt;=5)</f>
        <v/>
      </c>
      <c r="K2372">
        <f>IF(H2372="","",H2372&gt;=75)</f>
        <v/>
      </c>
      <c r="L2372">
        <f>IF(OR(I2372="",J2372="",K2372=""),FALSE,AND(I2372,J2372,K2372))</f>
        <v/>
      </c>
    </row>
    <row r="2373">
      <c r="A2373">
        <f>Universe!A2373</f>
        <v/>
      </c>
      <c r="B2373" s="10" t="n"/>
      <c r="C2373" s="11">
        <f>IF(B2373="","",PERCENTRANK.INC($B$2:$B$2501,B2373)*100)</f>
        <v/>
      </c>
      <c r="D2373" s="10" t="n"/>
      <c r="E2373" s="10">
        <f>IF(D2373="","",MIN(D2373,100))</f>
        <v/>
      </c>
      <c r="F2373" s="10" t="n"/>
      <c r="G2373" s="10">
        <f>IF(F2373="","",MIN(F2373,100))</f>
        <v/>
      </c>
      <c r="H2373" s="11">
        <f>IF(A2373="","",Universe!E2373/BDP(A2373&amp;" US Equity","HIGH_52WEEK")*100)</f>
        <v/>
      </c>
      <c r="I2373">
        <f>IF(D2373="","",D2373&gt;=5)</f>
        <v/>
      </c>
      <c r="J2373">
        <f>IF(F2373="","",F2373&gt;=5)</f>
        <v/>
      </c>
      <c r="K2373">
        <f>IF(H2373="","",H2373&gt;=75)</f>
        <v/>
      </c>
      <c r="L2373">
        <f>IF(OR(I2373="",J2373="",K2373=""),FALSE,AND(I2373,J2373,K2373))</f>
        <v/>
      </c>
    </row>
    <row r="2374">
      <c r="A2374">
        <f>Universe!A2374</f>
        <v/>
      </c>
      <c r="B2374" s="10" t="n"/>
      <c r="C2374" s="11">
        <f>IF(B2374="","",PERCENTRANK.INC($B$2:$B$2501,B2374)*100)</f>
        <v/>
      </c>
      <c r="D2374" s="10" t="n"/>
      <c r="E2374" s="10">
        <f>IF(D2374="","",MIN(D2374,100))</f>
        <v/>
      </c>
      <c r="F2374" s="10" t="n"/>
      <c r="G2374" s="10">
        <f>IF(F2374="","",MIN(F2374,100))</f>
        <v/>
      </c>
      <c r="H2374" s="11">
        <f>IF(A2374="","",Universe!E2374/BDP(A2374&amp;" US Equity","HIGH_52WEEK")*100)</f>
        <v/>
      </c>
      <c r="I2374">
        <f>IF(D2374="","",D2374&gt;=5)</f>
        <v/>
      </c>
      <c r="J2374">
        <f>IF(F2374="","",F2374&gt;=5)</f>
        <v/>
      </c>
      <c r="K2374">
        <f>IF(H2374="","",H2374&gt;=75)</f>
        <v/>
      </c>
      <c r="L2374">
        <f>IF(OR(I2374="",J2374="",K2374=""),FALSE,AND(I2374,J2374,K2374))</f>
        <v/>
      </c>
    </row>
    <row r="2375">
      <c r="A2375">
        <f>Universe!A2375</f>
        <v/>
      </c>
      <c r="B2375" s="10" t="n"/>
      <c r="C2375" s="11">
        <f>IF(B2375="","",PERCENTRANK.INC($B$2:$B$2501,B2375)*100)</f>
        <v/>
      </c>
      <c r="D2375" s="10" t="n"/>
      <c r="E2375" s="10">
        <f>IF(D2375="","",MIN(D2375,100))</f>
        <v/>
      </c>
      <c r="F2375" s="10" t="n"/>
      <c r="G2375" s="10">
        <f>IF(F2375="","",MIN(F2375,100))</f>
        <v/>
      </c>
      <c r="H2375" s="11">
        <f>IF(A2375="","",Universe!E2375/BDP(A2375&amp;" US Equity","HIGH_52WEEK")*100)</f>
        <v/>
      </c>
      <c r="I2375">
        <f>IF(D2375="","",D2375&gt;=5)</f>
        <v/>
      </c>
      <c r="J2375">
        <f>IF(F2375="","",F2375&gt;=5)</f>
        <v/>
      </c>
      <c r="K2375">
        <f>IF(H2375="","",H2375&gt;=75)</f>
        <v/>
      </c>
      <c r="L2375">
        <f>IF(OR(I2375="",J2375="",K2375=""),FALSE,AND(I2375,J2375,K2375))</f>
        <v/>
      </c>
    </row>
    <row r="2376">
      <c r="A2376">
        <f>Universe!A2376</f>
        <v/>
      </c>
      <c r="B2376" s="10" t="n"/>
      <c r="C2376" s="11">
        <f>IF(B2376="","",PERCENTRANK.INC($B$2:$B$2501,B2376)*100)</f>
        <v/>
      </c>
      <c r="D2376" s="10" t="n"/>
      <c r="E2376" s="10">
        <f>IF(D2376="","",MIN(D2376,100))</f>
        <v/>
      </c>
      <c r="F2376" s="10" t="n"/>
      <c r="G2376" s="10">
        <f>IF(F2376="","",MIN(F2376,100))</f>
        <v/>
      </c>
      <c r="H2376" s="11">
        <f>IF(A2376="","",Universe!E2376/BDP(A2376&amp;" US Equity","HIGH_52WEEK")*100)</f>
        <v/>
      </c>
      <c r="I2376">
        <f>IF(D2376="","",D2376&gt;=5)</f>
        <v/>
      </c>
      <c r="J2376">
        <f>IF(F2376="","",F2376&gt;=5)</f>
        <v/>
      </c>
      <c r="K2376">
        <f>IF(H2376="","",H2376&gt;=75)</f>
        <v/>
      </c>
      <c r="L2376">
        <f>IF(OR(I2376="",J2376="",K2376=""),FALSE,AND(I2376,J2376,K2376))</f>
        <v/>
      </c>
    </row>
    <row r="2377">
      <c r="A2377">
        <f>Universe!A2377</f>
        <v/>
      </c>
      <c r="B2377" s="10" t="n"/>
      <c r="C2377" s="11">
        <f>IF(B2377="","",PERCENTRANK.INC($B$2:$B$2501,B2377)*100)</f>
        <v/>
      </c>
      <c r="D2377" s="10" t="n"/>
      <c r="E2377" s="10">
        <f>IF(D2377="","",MIN(D2377,100))</f>
        <v/>
      </c>
      <c r="F2377" s="10" t="n"/>
      <c r="G2377" s="10">
        <f>IF(F2377="","",MIN(F2377,100))</f>
        <v/>
      </c>
      <c r="H2377" s="11">
        <f>IF(A2377="","",Universe!E2377/BDP(A2377&amp;" US Equity","HIGH_52WEEK")*100)</f>
        <v/>
      </c>
      <c r="I2377">
        <f>IF(D2377="","",D2377&gt;=5)</f>
        <v/>
      </c>
      <c r="J2377">
        <f>IF(F2377="","",F2377&gt;=5)</f>
        <v/>
      </c>
      <c r="K2377">
        <f>IF(H2377="","",H2377&gt;=75)</f>
        <v/>
      </c>
      <c r="L2377">
        <f>IF(OR(I2377="",J2377="",K2377=""),FALSE,AND(I2377,J2377,K2377))</f>
        <v/>
      </c>
    </row>
    <row r="2378">
      <c r="A2378">
        <f>Universe!A2378</f>
        <v/>
      </c>
      <c r="B2378" s="10" t="n"/>
      <c r="C2378" s="11">
        <f>IF(B2378="","",PERCENTRANK.INC($B$2:$B$2501,B2378)*100)</f>
        <v/>
      </c>
      <c r="D2378" s="10" t="n"/>
      <c r="E2378" s="10">
        <f>IF(D2378="","",MIN(D2378,100))</f>
        <v/>
      </c>
      <c r="F2378" s="10" t="n"/>
      <c r="G2378" s="10">
        <f>IF(F2378="","",MIN(F2378,100))</f>
        <v/>
      </c>
      <c r="H2378" s="11">
        <f>IF(A2378="","",Universe!E2378/BDP(A2378&amp;" US Equity","HIGH_52WEEK")*100)</f>
        <v/>
      </c>
      <c r="I2378">
        <f>IF(D2378="","",D2378&gt;=5)</f>
        <v/>
      </c>
      <c r="J2378">
        <f>IF(F2378="","",F2378&gt;=5)</f>
        <v/>
      </c>
      <c r="K2378">
        <f>IF(H2378="","",H2378&gt;=75)</f>
        <v/>
      </c>
      <c r="L2378">
        <f>IF(OR(I2378="",J2378="",K2378=""),FALSE,AND(I2378,J2378,K2378))</f>
        <v/>
      </c>
    </row>
    <row r="2379">
      <c r="A2379">
        <f>Universe!A2379</f>
        <v/>
      </c>
      <c r="B2379" s="10" t="n"/>
      <c r="C2379" s="11">
        <f>IF(B2379="","",PERCENTRANK.INC($B$2:$B$2501,B2379)*100)</f>
        <v/>
      </c>
      <c r="D2379" s="10" t="n"/>
      <c r="E2379" s="10">
        <f>IF(D2379="","",MIN(D2379,100))</f>
        <v/>
      </c>
      <c r="F2379" s="10" t="n"/>
      <c r="G2379" s="10">
        <f>IF(F2379="","",MIN(F2379,100))</f>
        <v/>
      </c>
      <c r="H2379" s="11">
        <f>IF(A2379="","",Universe!E2379/BDP(A2379&amp;" US Equity","HIGH_52WEEK")*100)</f>
        <v/>
      </c>
      <c r="I2379">
        <f>IF(D2379="","",D2379&gt;=5)</f>
        <v/>
      </c>
      <c r="J2379">
        <f>IF(F2379="","",F2379&gt;=5)</f>
        <v/>
      </c>
      <c r="K2379">
        <f>IF(H2379="","",H2379&gt;=75)</f>
        <v/>
      </c>
      <c r="L2379">
        <f>IF(OR(I2379="",J2379="",K2379=""),FALSE,AND(I2379,J2379,K2379))</f>
        <v/>
      </c>
    </row>
    <row r="2380">
      <c r="A2380">
        <f>Universe!A2380</f>
        <v/>
      </c>
      <c r="B2380" s="10" t="n"/>
      <c r="C2380" s="11">
        <f>IF(B2380="","",PERCENTRANK.INC($B$2:$B$2501,B2380)*100)</f>
        <v/>
      </c>
      <c r="D2380" s="10" t="n"/>
      <c r="E2380" s="10">
        <f>IF(D2380="","",MIN(D2380,100))</f>
        <v/>
      </c>
      <c r="F2380" s="10" t="n"/>
      <c r="G2380" s="10">
        <f>IF(F2380="","",MIN(F2380,100))</f>
        <v/>
      </c>
      <c r="H2380" s="11">
        <f>IF(A2380="","",Universe!E2380/BDP(A2380&amp;" US Equity","HIGH_52WEEK")*100)</f>
        <v/>
      </c>
      <c r="I2380">
        <f>IF(D2380="","",D2380&gt;=5)</f>
        <v/>
      </c>
      <c r="J2380">
        <f>IF(F2380="","",F2380&gt;=5)</f>
        <v/>
      </c>
      <c r="K2380">
        <f>IF(H2380="","",H2380&gt;=75)</f>
        <v/>
      </c>
      <c r="L2380">
        <f>IF(OR(I2380="",J2380="",K2380=""),FALSE,AND(I2380,J2380,K2380))</f>
        <v/>
      </c>
    </row>
    <row r="2381">
      <c r="A2381">
        <f>Universe!A2381</f>
        <v/>
      </c>
      <c r="B2381" s="10" t="n"/>
      <c r="C2381" s="11">
        <f>IF(B2381="","",PERCENTRANK.INC($B$2:$B$2501,B2381)*100)</f>
        <v/>
      </c>
      <c r="D2381" s="10" t="n"/>
      <c r="E2381" s="10">
        <f>IF(D2381="","",MIN(D2381,100))</f>
        <v/>
      </c>
      <c r="F2381" s="10" t="n"/>
      <c r="G2381" s="10">
        <f>IF(F2381="","",MIN(F2381,100))</f>
        <v/>
      </c>
      <c r="H2381" s="11">
        <f>IF(A2381="","",Universe!E2381/BDP(A2381&amp;" US Equity","HIGH_52WEEK")*100)</f>
        <v/>
      </c>
      <c r="I2381">
        <f>IF(D2381="","",D2381&gt;=5)</f>
        <v/>
      </c>
      <c r="J2381">
        <f>IF(F2381="","",F2381&gt;=5)</f>
        <v/>
      </c>
      <c r="K2381">
        <f>IF(H2381="","",H2381&gt;=75)</f>
        <v/>
      </c>
      <c r="L2381">
        <f>IF(OR(I2381="",J2381="",K2381=""),FALSE,AND(I2381,J2381,K2381))</f>
        <v/>
      </c>
    </row>
    <row r="2382">
      <c r="A2382">
        <f>Universe!A2382</f>
        <v/>
      </c>
      <c r="B2382" s="10" t="n"/>
      <c r="C2382" s="11">
        <f>IF(B2382="","",PERCENTRANK.INC($B$2:$B$2501,B2382)*100)</f>
        <v/>
      </c>
      <c r="D2382" s="10" t="n"/>
      <c r="E2382" s="10">
        <f>IF(D2382="","",MIN(D2382,100))</f>
        <v/>
      </c>
      <c r="F2382" s="10" t="n"/>
      <c r="G2382" s="10">
        <f>IF(F2382="","",MIN(F2382,100))</f>
        <v/>
      </c>
      <c r="H2382" s="11">
        <f>IF(A2382="","",Universe!E2382/BDP(A2382&amp;" US Equity","HIGH_52WEEK")*100)</f>
        <v/>
      </c>
      <c r="I2382">
        <f>IF(D2382="","",D2382&gt;=5)</f>
        <v/>
      </c>
      <c r="J2382">
        <f>IF(F2382="","",F2382&gt;=5)</f>
        <v/>
      </c>
      <c r="K2382">
        <f>IF(H2382="","",H2382&gt;=75)</f>
        <v/>
      </c>
      <c r="L2382">
        <f>IF(OR(I2382="",J2382="",K2382=""),FALSE,AND(I2382,J2382,K2382))</f>
        <v/>
      </c>
    </row>
    <row r="2383">
      <c r="A2383">
        <f>Universe!A2383</f>
        <v/>
      </c>
      <c r="B2383" s="10" t="n"/>
      <c r="C2383" s="11">
        <f>IF(B2383="","",PERCENTRANK.INC($B$2:$B$2501,B2383)*100)</f>
        <v/>
      </c>
      <c r="D2383" s="10" t="n"/>
      <c r="E2383" s="10">
        <f>IF(D2383="","",MIN(D2383,100))</f>
        <v/>
      </c>
      <c r="F2383" s="10" t="n"/>
      <c r="G2383" s="10">
        <f>IF(F2383="","",MIN(F2383,100))</f>
        <v/>
      </c>
      <c r="H2383" s="11">
        <f>IF(A2383="","",Universe!E2383/BDP(A2383&amp;" US Equity","HIGH_52WEEK")*100)</f>
        <v/>
      </c>
      <c r="I2383">
        <f>IF(D2383="","",D2383&gt;=5)</f>
        <v/>
      </c>
      <c r="J2383">
        <f>IF(F2383="","",F2383&gt;=5)</f>
        <v/>
      </c>
      <c r="K2383">
        <f>IF(H2383="","",H2383&gt;=75)</f>
        <v/>
      </c>
      <c r="L2383">
        <f>IF(OR(I2383="",J2383="",K2383=""),FALSE,AND(I2383,J2383,K2383))</f>
        <v/>
      </c>
    </row>
    <row r="2384">
      <c r="A2384">
        <f>Universe!A2384</f>
        <v/>
      </c>
      <c r="B2384" s="10" t="n"/>
      <c r="C2384" s="11">
        <f>IF(B2384="","",PERCENTRANK.INC($B$2:$B$2501,B2384)*100)</f>
        <v/>
      </c>
      <c r="D2384" s="10" t="n"/>
      <c r="E2384" s="10">
        <f>IF(D2384="","",MIN(D2384,100))</f>
        <v/>
      </c>
      <c r="F2384" s="10" t="n"/>
      <c r="G2384" s="10">
        <f>IF(F2384="","",MIN(F2384,100))</f>
        <v/>
      </c>
      <c r="H2384" s="11">
        <f>IF(A2384="","",Universe!E2384/BDP(A2384&amp;" US Equity","HIGH_52WEEK")*100)</f>
        <v/>
      </c>
      <c r="I2384">
        <f>IF(D2384="","",D2384&gt;=5)</f>
        <v/>
      </c>
      <c r="J2384">
        <f>IF(F2384="","",F2384&gt;=5)</f>
        <v/>
      </c>
      <c r="K2384">
        <f>IF(H2384="","",H2384&gt;=75)</f>
        <v/>
      </c>
      <c r="L2384">
        <f>IF(OR(I2384="",J2384="",K2384=""),FALSE,AND(I2384,J2384,K2384))</f>
        <v/>
      </c>
    </row>
    <row r="2385">
      <c r="A2385">
        <f>Universe!A2385</f>
        <v/>
      </c>
      <c r="B2385" s="10" t="n"/>
      <c r="C2385" s="11">
        <f>IF(B2385="","",PERCENTRANK.INC($B$2:$B$2501,B2385)*100)</f>
        <v/>
      </c>
      <c r="D2385" s="10" t="n"/>
      <c r="E2385" s="10">
        <f>IF(D2385="","",MIN(D2385,100))</f>
        <v/>
      </c>
      <c r="F2385" s="10" t="n"/>
      <c r="G2385" s="10">
        <f>IF(F2385="","",MIN(F2385,100))</f>
        <v/>
      </c>
      <c r="H2385" s="11">
        <f>IF(A2385="","",Universe!E2385/BDP(A2385&amp;" US Equity","HIGH_52WEEK")*100)</f>
        <v/>
      </c>
      <c r="I2385">
        <f>IF(D2385="","",D2385&gt;=5)</f>
        <v/>
      </c>
      <c r="J2385">
        <f>IF(F2385="","",F2385&gt;=5)</f>
        <v/>
      </c>
      <c r="K2385">
        <f>IF(H2385="","",H2385&gt;=75)</f>
        <v/>
      </c>
      <c r="L2385">
        <f>IF(OR(I2385="",J2385="",K2385=""),FALSE,AND(I2385,J2385,K2385))</f>
        <v/>
      </c>
    </row>
    <row r="2386">
      <c r="A2386">
        <f>Universe!A2386</f>
        <v/>
      </c>
      <c r="B2386" s="10" t="n"/>
      <c r="C2386" s="11">
        <f>IF(B2386="","",PERCENTRANK.INC($B$2:$B$2501,B2386)*100)</f>
        <v/>
      </c>
      <c r="D2386" s="10" t="n"/>
      <c r="E2386" s="10">
        <f>IF(D2386="","",MIN(D2386,100))</f>
        <v/>
      </c>
      <c r="F2386" s="10" t="n"/>
      <c r="G2386" s="10">
        <f>IF(F2386="","",MIN(F2386,100))</f>
        <v/>
      </c>
      <c r="H2386" s="11">
        <f>IF(A2386="","",Universe!E2386/BDP(A2386&amp;" US Equity","HIGH_52WEEK")*100)</f>
        <v/>
      </c>
      <c r="I2386">
        <f>IF(D2386="","",D2386&gt;=5)</f>
        <v/>
      </c>
      <c r="J2386">
        <f>IF(F2386="","",F2386&gt;=5)</f>
        <v/>
      </c>
      <c r="K2386">
        <f>IF(H2386="","",H2386&gt;=75)</f>
        <v/>
      </c>
      <c r="L2386">
        <f>IF(OR(I2386="",J2386="",K2386=""),FALSE,AND(I2386,J2386,K2386))</f>
        <v/>
      </c>
    </row>
    <row r="2387">
      <c r="A2387">
        <f>Universe!A2387</f>
        <v/>
      </c>
      <c r="B2387" s="10" t="n"/>
      <c r="C2387" s="11">
        <f>IF(B2387="","",PERCENTRANK.INC($B$2:$B$2501,B2387)*100)</f>
        <v/>
      </c>
      <c r="D2387" s="10" t="n"/>
      <c r="E2387" s="10">
        <f>IF(D2387="","",MIN(D2387,100))</f>
        <v/>
      </c>
      <c r="F2387" s="10" t="n"/>
      <c r="G2387" s="10">
        <f>IF(F2387="","",MIN(F2387,100))</f>
        <v/>
      </c>
      <c r="H2387" s="11">
        <f>IF(A2387="","",Universe!E2387/BDP(A2387&amp;" US Equity","HIGH_52WEEK")*100)</f>
        <v/>
      </c>
      <c r="I2387">
        <f>IF(D2387="","",D2387&gt;=5)</f>
        <v/>
      </c>
      <c r="J2387">
        <f>IF(F2387="","",F2387&gt;=5)</f>
        <v/>
      </c>
      <c r="K2387">
        <f>IF(H2387="","",H2387&gt;=75)</f>
        <v/>
      </c>
      <c r="L2387">
        <f>IF(OR(I2387="",J2387="",K2387=""),FALSE,AND(I2387,J2387,K2387))</f>
        <v/>
      </c>
    </row>
    <row r="2388">
      <c r="A2388">
        <f>Universe!A2388</f>
        <v/>
      </c>
      <c r="B2388" s="10" t="n"/>
      <c r="C2388" s="11">
        <f>IF(B2388="","",PERCENTRANK.INC($B$2:$B$2501,B2388)*100)</f>
        <v/>
      </c>
      <c r="D2388" s="10" t="n"/>
      <c r="E2388" s="10">
        <f>IF(D2388="","",MIN(D2388,100))</f>
        <v/>
      </c>
      <c r="F2388" s="10" t="n"/>
      <c r="G2388" s="10">
        <f>IF(F2388="","",MIN(F2388,100))</f>
        <v/>
      </c>
      <c r="H2388" s="11">
        <f>IF(A2388="","",Universe!E2388/BDP(A2388&amp;" US Equity","HIGH_52WEEK")*100)</f>
        <v/>
      </c>
      <c r="I2388">
        <f>IF(D2388="","",D2388&gt;=5)</f>
        <v/>
      </c>
      <c r="J2388">
        <f>IF(F2388="","",F2388&gt;=5)</f>
        <v/>
      </c>
      <c r="K2388">
        <f>IF(H2388="","",H2388&gt;=75)</f>
        <v/>
      </c>
      <c r="L2388">
        <f>IF(OR(I2388="",J2388="",K2388=""),FALSE,AND(I2388,J2388,K2388))</f>
        <v/>
      </c>
    </row>
    <row r="2389">
      <c r="A2389">
        <f>Universe!A2389</f>
        <v/>
      </c>
      <c r="B2389" s="10" t="n"/>
      <c r="C2389" s="11">
        <f>IF(B2389="","",PERCENTRANK.INC($B$2:$B$2501,B2389)*100)</f>
        <v/>
      </c>
      <c r="D2389" s="10" t="n"/>
      <c r="E2389" s="10">
        <f>IF(D2389="","",MIN(D2389,100))</f>
        <v/>
      </c>
      <c r="F2389" s="10" t="n"/>
      <c r="G2389" s="10">
        <f>IF(F2389="","",MIN(F2389,100))</f>
        <v/>
      </c>
      <c r="H2389" s="11">
        <f>IF(A2389="","",Universe!E2389/BDP(A2389&amp;" US Equity","HIGH_52WEEK")*100)</f>
        <v/>
      </c>
      <c r="I2389">
        <f>IF(D2389="","",D2389&gt;=5)</f>
        <v/>
      </c>
      <c r="J2389">
        <f>IF(F2389="","",F2389&gt;=5)</f>
        <v/>
      </c>
      <c r="K2389">
        <f>IF(H2389="","",H2389&gt;=75)</f>
        <v/>
      </c>
      <c r="L2389">
        <f>IF(OR(I2389="",J2389="",K2389=""),FALSE,AND(I2389,J2389,K2389))</f>
        <v/>
      </c>
    </row>
    <row r="2390">
      <c r="A2390">
        <f>Universe!A2390</f>
        <v/>
      </c>
      <c r="B2390" s="10" t="n"/>
      <c r="C2390" s="11">
        <f>IF(B2390="","",PERCENTRANK.INC($B$2:$B$2501,B2390)*100)</f>
        <v/>
      </c>
      <c r="D2390" s="10" t="n"/>
      <c r="E2390" s="10">
        <f>IF(D2390="","",MIN(D2390,100))</f>
        <v/>
      </c>
      <c r="F2390" s="10" t="n"/>
      <c r="G2390" s="10">
        <f>IF(F2390="","",MIN(F2390,100))</f>
        <v/>
      </c>
      <c r="H2390" s="11">
        <f>IF(A2390="","",Universe!E2390/BDP(A2390&amp;" US Equity","HIGH_52WEEK")*100)</f>
        <v/>
      </c>
      <c r="I2390">
        <f>IF(D2390="","",D2390&gt;=5)</f>
        <v/>
      </c>
      <c r="J2390">
        <f>IF(F2390="","",F2390&gt;=5)</f>
        <v/>
      </c>
      <c r="K2390">
        <f>IF(H2390="","",H2390&gt;=75)</f>
        <v/>
      </c>
      <c r="L2390">
        <f>IF(OR(I2390="",J2390="",K2390=""),FALSE,AND(I2390,J2390,K2390))</f>
        <v/>
      </c>
    </row>
    <row r="2391">
      <c r="A2391">
        <f>Universe!A2391</f>
        <v/>
      </c>
      <c r="B2391" s="10" t="n"/>
      <c r="C2391" s="11">
        <f>IF(B2391="","",PERCENTRANK.INC($B$2:$B$2501,B2391)*100)</f>
        <v/>
      </c>
      <c r="D2391" s="10" t="n"/>
      <c r="E2391" s="10">
        <f>IF(D2391="","",MIN(D2391,100))</f>
        <v/>
      </c>
      <c r="F2391" s="10" t="n"/>
      <c r="G2391" s="10">
        <f>IF(F2391="","",MIN(F2391,100))</f>
        <v/>
      </c>
      <c r="H2391" s="11">
        <f>IF(A2391="","",Universe!E2391/BDP(A2391&amp;" US Equity","HIGH_52WEEK")*100)</f>
        <v/>
      </c>
      <c r="I2391">
        <f>IF(D2391="","",D2391&gt;=5)</f>
        <v/>
      </c>
      <c r="J2391">
        <f>IF(F2391="","",F2391&gt;=5)</f>
        <v/>
      </c>
      <c r="K2391">
        <f>IF(H2391="","",H2391&gt;=75)</f>
        <v/>
      </c>
      <c r="L2391">
        <f>IF(OR(I2391="",J2391="",K2391=""),FALSE,AND(I2391,J2391,K2391))</f>
        <v/>
      </c>
    </row>
    <row r="2392">
      <c r="A2392">
        <f>Universe!A2392</f>
        <v/>
      </c>
      <c r="B2392" s="10" t="n"/>
      <c r="C2392" s="11">
        <f>IF(B2392="","",PERCENTRANK.INC($B$2:$B$2501,B2392)*100)</f>
        <v/>
      </c>
      <c r="D2392" s="10" t="n"/>
      <c r="E2392" s="10">
        <f>IF(D2392="","",MIN(D2392,100))</f>
        <v/>
      </c>
      <c r="F2392" s="10" t="n"/>
      <c r="G2392" s="10">
        <f>IF(F2392="","",MIN(F2392,100))</f>
        <v/>
      </c>
      <c r="H2392" s="11">
        <f>IF(A2392="","",Universe!E2392/BDP(A2392&amp;" US Equity","HIGH_52WEEK")*100)</f>
        <v/>
      </c>
      <c r="I2392">
        <f>IF(D2392="","",D2392&gt;=5)</f>
        <v/>
      </c>
      <c r="J2392">
        <f>IF(F2392="","",F2392&gt;=5)</f>
        <v/>
      </c>
      <c r="K2392">
        <f>IF(H2392="","",H2392&gt;=75)</f>
        <v/>
      </c>
      <c r="L2392">
        <f>IF(OR(I2392="",J2392="",K2392=""),FALSE,AND(I2392,J2392,K2392))</f>
        <v/>
      </c>
    </row>
    <row r="2393">
      <c r="A2393">
        <f>Universe!A2393</f>
        <v/>
      </c>
      <c r="B2393" s="10" t="n"/>
      <c r="C2393" s="11">
        <f>IF(B2393="","",PERCENTRANK.INC($B$2:$B$2501,B2393)*100)</f>
        <v/>
      </c>
      <c r="D2393" s="10" t="n"/>
      <c r="E2393" s="10">
        <f>IF(D2393="","",MIN(D2393,100))</f>
        <v/>
      </c>
      <c r="F2393" s="10" t="n"/>
      <c r="G2393" s="10">
        <f>IF(F2393="","",MIN(F2393,100))</f>
        <v/>
      </c>
      <c r="H2393" s="11">
        <f>IF(A2393="","",Universe!E2393/BDP(A2393&amp;" US Equity","HIGH_52WEEK")*100)</f>
        <v/>
      </c>
      <c r="I2393">
        <f>IF(D2393="","",D2393&gt;=5)</f>
        <v/>
      </c>
      <c r="J2393">
        <f>IF(F2393="","",F2393&gt;=5)</f>
        <v/>
      </c>
      <c r="K2393">
        <f>IF(H2393="","",H2393&gt;=75)</f>
        <v/>
      </c>
      <c r="L2393">
        <f>IF(OR(I2393="",J2393="",K2393=""),FALSE,AND(I2393,J2393,K2393))</f>
        <v/>
      </c>
    </row>
    <row r="2394">
      <c r="A2394">
        <f>Universe!A2394</f>
        <v/>
      </c>
      <c r="B2394" s="10" t="n"/>
      <c r="C2394" s="11">
        <f>IF(B2394="","",PERCENTRANK.INC($B$2:$B$2501,B2394)*100)</f>
        <v/>
      </c>
      <c r="D2394" s="10" t="n"/>
      <c r="E2394" s="10">
        <f>IF(D2394="","",MIN(D2394,100))</f>
        <v/>
      </c>
      <c r="F2394" s="10" t="n"/>
      <c r="G2394" s="10">
        <f>IF(F2394="","",MIN(F2394,100))</f>
        <v/>
      </c>
      <c r="H2394" s="11">
        <f>IF(A2394="","",Universe!E2394/BDP(A2394&amp;" US Equity","HIGH_52WEEK")*100)</f>
        <v/>
      </c>
      <c r="I2394">
        <f>IF(D2394="","",D2394&gt;=5)</f>
        <v/>
      </c>
      <c r="J2394">
        <f>IF(F2394="","",F2394&gt;=5)</f>
        <v/>
      </c>
      <c r="K2394">
        <f>IF(H2394="","",H2394&gt;=75)</f>
        <v/>
      </c>
      <c r="L2394">
        <f>IF(OR(I2394="",J2394="",K2394=""),FALSE,AND(I2394,J2394,K2394))</f>
        <v/>
      </c>
    </row>
    <row r="2395">
      <c r="A2395">
        <f>Universe!A2395</f>
        <v/>
      </c>
      <c r="B2395" s="10" t="n"/>
      <c r="C2395" s="11">
        <f>IF(B2395="","",PERCENTRANK.INC($B$2:$B$2501,B2395)*100)</f>
        <v/>
      </c>
      <c r="D2395" s="10" t="n"/>
      <c r="E2395" s="10">
        <f>IF(D2395="","",MIN(D2395,100))</f>
        <v/>
      </c>
      <c r="F2395" s="10" t="n"/>
      <c r="G2395" s="10">
        <f>IF(F2395="","",MIN(F2395,100))</f>
        <v/>
      </c>
      <c r="H2395" s="11">
        <f>IF(A2395="","",Universe!E2395/BDP(A2395&amp;" US Equity","HIGH_52WEEK")*100)</f>
        <v/>
      </c>
      <c r="I2395">
        <f>IF(D2395="","",D2395&gt;=5)</f>
        <v/>
      </c>
      <c r="J2395">
        <f>IF(F2395="","",F2395&gt;=5)</f>
        <v/>
      </c>
      <c r="K2395">
        <f>IF(H2395="","",H2395&gt;=75)</f>
        <v/>
      </c>
      <c r="L2395">
        <f>IF(OR(I2395="",J2395="",K2395=""),FALSE,AND(I2395,J2395,K2395))</f>
        <v/>
      </c>
    </row>
    <row r="2396">
      <c r="A2396">
        <f>Universe!A2396</f>
        <v/>
      </c>
      <c r="B2396" s="10" t="n"/>
      <c r="C2396" s="11">
        <f>IF(B2396="","",PERCENTRANK.INC($B$2:$B$2501,B2396)*100)</f>
        <v/>
      </c>
      <c r="D2396" s="10" t="n"/>
      <c r="E2396" s="10">
        <f>IF(D2396="","",MIN(D2396,100))</f>
        <v/>
      </c>
      <c r="F2396" s="10" t="n"/>
      <c r="G2396" s="10">
        <f>IF(F2396="","",MIN(F2396,100))</f>
        <v/>
      </c>
      <c r="H2396" s="11">
        <f>IF(A2396="","",Universe!E2396/BDP(A2396&amp;" US Equity","HIGH_52WEEK")*100)</f>
        <v/>
      </c>
      <c r="I2396">
        <f>IF(D2396="","",D2396&gt;=5)</f>
        <v/>
      </c>
      <c r="J2396">
        <f>IF(F2396="","",F2396&gt;=5)</f>
        <v/>
      </c>
      <c r="K2396">
        <f>IF(H2396="","",H2396&gt;=75)</f>
        <v/>
      </c>
      <c r="L2396">
        <f>IF(OR(I2396="",J2396="",K2396=""),FALSE,AND(I2396,J2396,K2396))</f>
        <v/>
      </c>
    </row>
    <row r="2397">
      <c r="A2397">
        <f>Universe!A2397</f>
        <v/>
      </c>
      <c r="B2397" s="10" t="n"/>
      <c r="C2397" s="11">
        <f>IF(B2397="","",PERCENTRANK.INC($B$2:$B$2501,B2397)*100)</f>
        <v/>
      </c>
      <c r="D2397" s="10" t="n"/>
      <c r="E2397" s="10">
        <f>IF(D2397="","",MIN(D2397,100))</f>
        <v/>
      </c>
      <c r="F2397" s="10" t="n"/>
      <c r="G2397" s="10">
        <f>IF(F2397="","",MIN(F2397,100))</f>
        <v/>
      </c>
      <c r="H2397" s="11">
        <f>IF(A2397="","",Universe!E2397/BDP(A2397&amp;" US Equity","HIGH_52WEEK")*100)</f>
        <v/>
      </c>
      <c r="I2397">
        <f>IF(D2397="","",D2397&gt;=5)</f>
        <v/>
      </c>
      <c r="J2397">
        <f>IF(F2397="","",F2397&gt;=5)</f>
        <v/>
      </c>
      <c r="K2397">
        <f>IF(H2397="","",H2397&gt;=75)</f>
        <v/>
      </c>
      <c r="L2397">
        <f>IF(OR(I2397="",J2397="",K2397=""),FALSE,AND(I2397,J2397,K2397))</f>
        <v/>
      </c>
    </row>
    <row r="2398">
      <c r="A2398">
        <f>Universe!A2398</f>
        <v/>
      </c>
      <c r="B2398" s="10" t="n"/>
      <c r="C2398" s="11">
        <f>IF(B2398="","",PERCENTRANK.INC($B$2:$B$2501,B2398)*100)</f>
        <v/>
      </c>
      <c r="D2398" s="10" t="n"/>
      <c r="E2398" s="10">
        <f>IF(D2398="","",MIN(D2398,100))</f>
        <v/>
      </c>
      <c r="F2398" s="10" t="n"/>
      <c r="G2398" s="10">
        <f>IF(F2398="","",MIN(F2398,100))</f>
        <v/>
      </c>
      <c r="H2398" s="11">
        <f>IF(A2398="","",Universe!E2398/BDP(A2398&amp;" US Equity","HIGH_52WEEK")*100)</f>
        <v/>
      </c>
      <c r="I2398">
        <f>IF(D2398="","",D2398&gt;=5)</f>
        <v/>
      </c>
      <c r="J2398">
        <f>IF(F2398="","",F2398&gt;=5)</f>
        <v/>
      </c>
      <c r="K2398">
        <f>IF(H2398="","",H2398&gt;=75)</f>
        <v/>
      </c>
      <c r="L2398">
        <f>IF(OR(I2398="",J2398="",K2398=""),FALSE,AND(I2398,J2398,K2398))</f>
        <v/>
      </c>
    </row>
    <row r="2399">
      <c r="A2399">
        <f>Universe!A2399</f>
        <v/>
      </c>
      <c r="B2399" s="10" t="n"/>
      <c r="C2399" s="11">
        <f>IF(B2399="","",PERCENTRANK.INC($B$2:$B$2501,B2399)*100)</f>
        <v/>
      </c>
      <c r="D2399" s="10" t="n"/>
      <c r="E2399" s="10">
        <f>IF(D2399="","",MIN(D2399,100))</f>
        <v/>
      </c>
      <c r="F2399" s="10" t="n"/>
      <c r="G2399" s="10">
        <f>IF(F2399="","",MIN(F2399,100))</f>
        <v/>
      </c>
      <c r="H2399" s="11">
        <f>IF(A2399="","",Universe!E2399/BDP(A2399&amp;" US Equity","HIGH_52WEEK")*100)</f>
        <v/>
      </c>
      <c r="I2399">
        <f>IF(D2399="","",D2399&gt;=5)</f>
        <v/>
      </c>
      <c r="J2399">
        <f>IF(F2399="","",F2399&gt;=5)</f>
        <v/>
      </c>
      <c r="K2399">
        <f>IF(H2399="","",H2399&gt;=75)</f>
        <v/>
      </c>
      <c r="L2399">
        <f>IF(OR(I2399="",J2399="",K2399=""),FALSE,AND(I2399,J2399,K2399))</f>
        <v/>
      </c>
    </row>
    <row r="2400">
      <c r="A2400">
        <f>Universe!A2400</f>
        <v/>
      </c>
      <c r="B2400" s="10" t="n"/>
      <c r="C2400" s="11">
        <f>IF(B2400="","",PERCENTRANK.INC($B$2:$B$2501,B2400)*100)</f>
        <v/>
      </c>
      <c r="D2400" s="10" t="n"/>
      <c r="E2400" s="10">
        <f>IF(D2400="","",MIN(D2400,100))</f>
        <v/>
      </c>
      <c r="F2400" s="10" t="n"/>
      <c r="G2400" s="10">
        <f>IF(F2400="","",MIN(F2400,100))</f>
        <v/>
      </c>
      <c r="H2400" s="11">
        <f>IF(A2400="","",Universe!E2400/BDP(A2400&amp;" US Equity","HIGH_52WEEK")*100)</f>
        <v/>
      </c>
      <c r="I2400">
        <f>IF(D2400="","",D2400&gt;=5)</f>
        <v/>
      </c>
      <c r="J2400">
        <f>IF(F2400="","",F2400&gt;=5)</f>
        <v/>
      </c>
      <c r="K2400">
        <f>IF(H2400="","",H2400&gt;=75)</f>
        <v/>
      </c>
      <c r="L2400">
        <f>IF(OR(I2400="",J2400="",K2400=""),FALSE,AND(I2400,J2400,K2400))</f>
        <v/>
      </c>
    </row>
    <row r="2401">
      <c r="A2401">
        <f>Universe!A2401</f>
        <v/>
      </c>
      <c r="B2401" s="10" t="n"/>
      <c r="C2401" s="11">
        <f>IF(B2401="","",PERCENTRANK.INC($B$2:$B$2501,B2401)*100)</f>
        <v/>
      </c>
      <c r="D2401" s="10" t="n"/>
      <c r="E2401" s="10">
        <f>IF(D2401="","",MIN(D2401,100))</f>
        <v/>
      </c>
      <c r="F2401" s="10" t="n"/>
      <c r="G2401" s="10">
        <f>IF(F2401="","",MIN(F2401,100))</f>
        <v/>
      </c>
      <c r="H2401" s="11">
        <f>IF(A2401="","",Universe!E2401/BDP(A2401&amp;" US Equity","HIGH_52WEEK")*100)</f>
        <v/>
      </c>
      <c r="I2401">
        <f>IF(D2401="","",D2401&gt;=5)</f>
        <v/>
      </c>
      <c r="J2401">
        <f>IF(F2401="","",F2401&gt;=5)</f>
        <v/>
      </c>
      <c r="K2401">
        <f>IF(H2401="","",H2401&gt;=75)</f>
        <v/>
      </c>
      <c r="L2401">
        <f>IF(OR(I2401="",J2401="",K2401=""),FALSE,AND(I2401,J2401,K2401))</f>
        <v/>
      </c>
    </row>
    <row r="2402">
      <c r="A2402">
        <f>Universe!A2402</f>
        <v/>
      </c>
      <c r="B2402" s="10" t="n"/>
      <c r="C2402" s="11">
        <f>IF(B2402="","",PERCENTRANK.INC($B$2:$B$2501,B2402)*100)</f>
        <v/>
      </c>
      <c r="D2402" s="10" t="n"/>
      <c r="E2402" s="10">
        <f>IF(D2402="","",MIN(D2402,100))</f>
        <v/>
      </c>
      <c r="F2402" s="10" t="n"/>
      <c r="G2402" s="10">
        <f>IF(F2402="","",MIN(F2402,100))</f>
        <v/>
      </c>
      <c r="H2402" s="11">
        <f>IF(A2402="","",Universe!E2402/BDP(A2402&amp;" US Equity","HIGH_52WEEK")*100)</f>
        <v/>
      </c>
      <c r="I2402">
        <f>IF(D2402="","",D2402&gt;=5)</f>
        <v/>
      </c>
      <c r="J2402">
        <f>IF(F2402="","",F2402&gt;=5)</f>
        <v/>
      </c>
      <c r="K2402">
        <f>IF(H2402="","",H2402&gt;=75)</f>
        <v/>
      </c>
      <c r="L2402">
        <f>IF(OR(I2402="",J2402="",K2402=""),FALSE,AND(I2402,J2402,K2402))</f>
        <v/>
      </c>
    </row>
    <row r="2403">
      <c r="A2403">
        <f>Universe!A2403</f>
        <v/>
      </c>
      <c r="B2403" s="10" t="n"/>
      <c r="C2403" s="11">
        <f>IF(B2403="","",PERCENTRANK.INC($B$2:$B$2501,B2403)*100)</f>
        <v/>
      </c>
      <c r="D2403" s="10" t="n"/>
      <c r="E2403" s="10">
        <f>IF(D2403="","",MIN(D2403,100))</f>
        <v/>
      </c>
      <c r="F2403" s="10" t="n"/>
      <c r="G2403" s="10">
        <f>IF(F2403="","",MIN(F2403,100))</f>
        <v/>
      </c>
      <c r="H2403" s="11">
        <f>IF(A2403="","",Universe!E2403/BDP(A2403&amp;" US Equity","HIGH_52WEEK")*100)</f>
        <v/>
      </c>
      <c r="I2403">
        <f>IF(D2403="","",D2403&gt;=5)</f>
        <v/>
      </c>
      <c r="J2403">
        <f>IF(F2403="","",F2403&gt;=5)</f>
        <v/>
      </c>
      <c r="K2403">
        <f>IF(H2403="","",H2403&gt;=75)</f>
        <v/>
      </c>
      <c r="L2403">
        <f>IF(OR(I2403="",J2403="",K2403=""),FALSE,AND(I2403,J2403,K2403))</f>
        <v/>
      </c>
    </row>
    <row r="2404">
      <c r="A2404">
        <f>Universe!A2404</f>
        <v/>
      </c>
      <c r="B2404" s="10" t="n"/>
      <c r="C2404" s="11">
        <f>IF(B2404="","",PERCENTRANK.INC($B$2:$B$2501,B2404)*100)</f>
        <v/>
      </c>
      <c r="D2404" s="10" t="n"/>
      <c r="E2404" s="10">
        <f>IF(D2404="","",MIN(D2404,100))</f>
        <v/>
      </c>
      <c r="F2404" s="10" t="n"/>
      <c r="G2404" s="10">
        <f>IF(F2404="","",MIN(F2404,100))</f>
        <v/>
      </c>
      <c r="H2404" s="11">
        <f>IF(A2404="","",Universe!E2404/BDP(A2404&amp;" US Equity","HIGH_52WEEK")*100)</f>
        <v/>
      </c>
      <c r="I2404">
        <f>IF(D2404="","",D2404&gt;=5)</f>
        <v/>
      </c>
      <c r="J2404">
        <f>IF(F2404="","",F2404&gt;=5)</f>
        <v/>
      </c>
      <c r="K2404">
        <f>IF(H2404="","",H2404&gt;=75)</f>
        <v/>
      </c>
      <c r="L2404">
        <f>IF(OR(I2404="",J2404="",K2404=""),FALSE,AND(I2404,J2404,K2404))</f>
        <v/>
      </c>
    </row>
    <row r="2405">
      <c r="A2405">
        <f>Universe!A2405</f>
        <v/>
      </c>
      <c r="B2405" s="10" t="n"/>
      <c r="C2405" s="11">
        <f>IF(B2405="","",PERCENTRANK.INC($B$2:$B$2501,B2405)*100)</f>
        <v/>
      </c>
      <c r="D2405" s="10" t="n"/>
      <c r="E2405" s="10">
        <f>IF(D2405="","",MIN(D2405,100))</f>
        <v/>
      </c>
      <c r="F2405" s="10" t="n"/>
      <c r="G2405" s="10">
        <f>IF(F2405="","",MIN(F2405,100))</f>
        <v/>
      </c>
      <c r="H2405" s="11">
        <f>IF(A2405="","",Universe!E2405/BDP(A2405&amp;" US Equity","HIGH_52WEEK")*100)</f>
        <v/>
      </c>
      <c r="I2405">
        <f>IF(D2405="","",D2405&gt;=5)</f>
        <v/>
      </c>
      <c r="J2405">
        <f>IF(F2405="","",F2405&gt;=5)</f>
        <v/>
      </c>
      <c r="K2405">
        <f>IF(H2405="","",H2405&gt;=75)</f>
        <v/>
      </c>
      <c r="L2405">
        <f>IF(OR(I2405="",J2405="",K2405=""),FALSE,AND(I2405,J2405,K2405))</f>
        <v/>
      </c>
    </row>
    <row r="2406">
      <c r="A2406">
        <f>Universe!A2406</f>
        <v/>
      </c>
      <c r="B2406" s="10" t="n"/>
      <c r="C2406" s="11">
        <f>IF(B2406="","",PERCENTRANK.INC($B$2:$B$2501,B2406)*100)</f>
        <v/>
      </c>
      <c r="D2406" s="10" t="n"/>
      <c r="E2406" s="10">
        <f>IF(D2406="","",MIN(D2406,100))</f>
        <v/>
      </c>
      <c r="F2406" s="10" t="n"/>
      <c r="G2406" s="10">
        <f>IF(F2406="","",MIN(F2406,100))</f>
        <v/>
      </c>
      <c r="H2406" s="11">
        <f>IF(A2406="","",Universe!E2406/BDP(A2406&amp;" US Equity","HIGH_52WEEK")*100)</f>
        <v/>
      </c>
      <c r="I2406">
        <f>IF(D2406="","",D2406&gt;=5)</f>
        <v/>
      </c>
      <c r="J2406">
        <f>IF(F2406="","",F2406&gt;=5)</f>
        <v/>
      </c>
      <c r="K2406">
        <f>IF(H2406="","",H2406&gt;=75)</f>
        <v/>
      </c>
      <c r="L2406">
        <f>IF(OR(I2406="",J2406="",K2406=""),FALSE,AND(I2406,J2406,K2406))</f>
        <v/>
      </c>
    </row>
    <row r="2407">
      <c r="A2407">
        <f>Universe!A2407</f>
        <v/>
      </c>
      <c r="B2407" s="10" t="n"/>
      <c r="C2407" s="11">
        <f>IF(B2407="","",PERCENTRANK.INC($B$2:$B$2501,B2407)*100)</f>
        <v/>
      </c>
      <c r="D2407" s="10" t="n"/>
      <c r="E2407" s="10">
        <f>IF(D2407="","",MIN(D2407,100))</f>
        <v/>
      </c>
      <c r="F2407" s="10" t="n"/>
      <c r="G2407" s="10">
        <f>IF(F2407="","",MIN(F2407,100))</f>
        <v/>
      </c>
      <c r="H2407" s="11">
        <f>IF(A2407="","",Universe!E2407/BDP(A2407&amp;" US Equity","HIGH_52WEEK")*100)</f>
        <v/>
      </c>
      <c r="I2407">
        <f>IF(D2407="","",D2407&gt;=5)</f>
        <v/>
      </c>
      <c r="J2407">
        <f>IF(F2407="","",F2407&gt;=5)</f>
        <v/>
      </c>
      <c r="K2407">
        <f>IF(H2407="","",H2407&gt;=75)</f>
        <v/>
      </c>
      <c r="L2407">
        <f>IF(OR(I2407="",J2407="",K2407=""),FALSE,AND(I2407,J2407,K2407))</f>
        <v/>
      </c>
    </row>
    <row r="2408">
      <c r="A2408">
        <f>Universe!A2408</f>
        <v/>
      </c>
      <c r="B2408" s="10" t="n"/>
      <c r="C2408" s="11">
        <f>IF(B2408="","",PERCENTRANK.INC($B$2:$B$2501,B2408)*100)</f>
        <v/>
      </c>
      <c r="D2408" s="10" t="n"/>
      <c r="E2408" s="10">
        <f>IF(D2408="","",MIN(D2408,100))</f>
        <v/>
      </c>
      <c r="F2408" s="10" t="n"/>
      <c r="G2408" s="10">
        <f>IF(F2408="","",MIN(F2408,100))</f>
        <v/>
      </c>
      <c r="H2408" s="11">
        <f>IF(A2408="","",Universe!E2408/BDP(A2408&amp;" US Equity","HIGH_52WEEK")*100)</f>
        <v/>
      </c>
      <c r="I2408">
        <f>IF(D2408="","",D2408&gt;=5)</f>
        <v/>
      </c>
      <c r="J2408">
        <f>IF(F2408="","",F2408&gt;=5)</f>
        <v/>
      </c>
      <c r="K2408">
        <f>IF(H2408="","",H2408&gt;=75)</f>
        <v/>
      </c>
      <c r="L2408">
        <f>IF(OR(I2408="",J2408="",K2408=""),FALSE,AND(I2408,J2408,K2408))</f>
        <v/>
      </c>
    </row>
    <row r="2409">
      <c r="A2409">
        <f>Universe!A2409</f>
        <v/>
      </c>
      <c r="B2409" s="10" t="n"/>
      <c r="C2409" s="11">
        <f>IF(B2409="","",PERCENTRANK.INC($B$2:$B$2501,B2409)*100)</f>
        <v/>
      </c>
      <c r="D2409" s="10" t="n"/>
      <c r="E2409" s="10">
        <f>IF(D2409="","",MIN(D2409,100))</f>
        <v/>
      </c>
      <c r="F2409" s="10" t="n"/>
      <c r="G2409" s="10">
        <f>IF(F2409="","",MIN(F2409,100))</f>
        <v/>
      </c>
      <c r="H2409" s="11">
        <f>IF(A2409="","",Universe!E2409/BDP(A2409&amp;" US Equity","HIGH_52WEEK")*100)</f>
        <v/>
      </c>
      <c r="I2409">
        <f>IF(D2409="","",D2409&gt;=5)</f>
        <v/>
      </c>
      <c r="J2409">
        <f>IF(F2409="","",F2409&gt;=5)</f>
        <v/>
      </c>
      <c r="K2409">
        <f>IF(H2409="","",H2409&gt;=75)</f>
        <v/>
      </c>
      <c r="L2409">
        <f>IF(OR(I2409="",J2409="",K2409=""),FALSE,AND(I2409,J2409,K2409))</f>
        <v/>
      </c>
    </row>
    <row r="2410">
      <c r="A2410">
        <f>Universe!A2410</f>
        <v/>
      </c>
      <c r="B2410" s="10" t="n"/>
      <c r="C2410" s="11">
        <f>IF(B2410="","",PERCENTRANK.INC($B$2:$B$2501,B2410)*100)</f>
        <v/>
      </c>
      <c r="D2410" s="10" t="n"/>
      <c r="E2410" s="10">
        <f>IF(D2410="","",MIN(D2410,100))</f>
        <v/>
      </c>
      <c r="F2410" s="10" t="n"/>
      <c r="G2410" s="10">
        <f>IF(F2410="","",MIN(F2410,100))</f>
        <v/>
      </c>
      <c r="H2410" s="11">
        <f>IF(A2410="","",Universe!E2410/BDP(A2410&amp;" US Equity","HIGH_52WEEK")*100)</f>
        <v/>
      </c>
      <c r="I2410">
        <f>IF(D2410="","",D2410&gt;=5)</f>
        <v/>
      </c>
      <c r="J2410">
        <f>IF(F2410="","",F2410&gt;=5)</f>
        <v/>
      </c>
      <c r="K2410">
        <f>IF(H2410="","",H2410&gt;=75)</f>
        <v/>
      </c>
      <c r="L2410">
        <f>IF(OR(I2410="",J2410="",K2410=""),FALSE,AND(I2410,J2410,K2410))</f>
        <v/>
      </c>
    </row>
    <row r="2411">
      <c r="A2411">
        <f>Universe!A2411</f>
        <v/>
      </c>
      <c r="B2411" s="10" t="n"/>
      <c r="C2411" s="11">
        <f>IF(B2411="","",PERCENTRANK.INC($B$2:$B$2501,B2411)*100)</f>
        <v/>
      </c>
      <c r="D2411" s="10" t="n"/>
      <c r="E2411" s="10">
        <f>IF(D2411="","",MIN(D2411,100))</f>
        <v/>
      </c>
      <c r="F2411" s="10" t="n"/>
      <c r="G2411" s="10">
        <f>IF(F2411="","",MIN(F2411,100))</f>
        <v/>
      </c>
      <c r="H2411" s="11">
        <f>IF(A2411="","",Universe!E2411/BDP(A2411&amp;" US Equity","HIGH_52WEEK")*100)</f>
        <v/>
      </c>
      <c r="I2411">
        <f>IF(D2411="","",D2411&gt;=5)</f>
        <v/>
      </c>
      <c r="J2411">
        <f>IF(F2411="","",F2411&gt;=5)</f>
        <v/>
      </c>
      <c r="K2411">
        <f>IF(H2411="","",H2411&gt;=75)</f>
        <v/>
      </c>
      <c r="L2411">
        <f>IF(OR(I2411="",J2411="",K2411=""),FALSE,AND(I2411,J2411,K2411))</f>
        <v/>
      </c>
    </row>
    <row r="2412">
      <c r="A2412">
        <f>Universe!A2412</f>
        <v/>
      </c>
      <c r="B2412" s="10" t="n"/>
      <c r="C2412" s="11">
        <f>IF(B2412="","",PERCENTRANK.INC($B$2:$B$2501,B2412)*100)</f>
        <v/>
      </c>
      <c r="D2412" s="10" t="n"/>
      <c r="E2412" s="10">
        <f>IF(D2412="","",MIN(D2412,100))</f>
        <v/>
      </c>
      <c r="F2412" s="10" t="n"/>
      <c r="G2412" s="10">
        <f>IF(F2412="","",MIN(F2412,100))</f>
        <v/>
      </c>
      <c r="H2412" s="11">
        <f>IF(A2412="","",Universe!E2412/BDP(A2412&amp;" US Equity","HIGH_52WEEK")*100)</f>
        <v/>
      </c>
      <c r="I2412">
        <f>IF(D2412="","",D2412&gt;=5)</f>
        <v/>
      </c>
      <c r="J2412">
        <f>IF(F2412="","",F2412&gt;=5)</f>
        <v/>
      </c>
      <c r="K2412">
        <f>IF(H2412="","",H2412&gt;=75)</f>
        <v/>
      </c>
      <c r="L2412">
        <f>IF(OR(I2412="",J2412="",K2412=""),FALSE,AND(I2412,J2412,K2412))</f>
        <v/>
      </c>
    </row>
    <row r="2413">
      <c r="A2413">
        <f>Universe!A2413</f>
        <v/>
      </c>
      <c r="B2413" s="10" t="n"/>
      <c r="C2413" s="11">
        <f>IF(B2413="","",PERCENTRANK.INC($B$2:$B$2501,B2413)*100)</f>
        <v/>
      </c>
      <c r="D2413" s="10" t="n"/>
      <c r="E2413" s="10">
        <f>IF(D2413="","",MIN(D2413,100))</f>
        <v/>
      </c>
      <c r="F2413" s="10" t="n"/>
      <c r="G2413" s="10">
        <f>IF(F2413="","",MIN(F2413,100))</f>
        <v/>
      </c>
      <c r="H2413" s="11">
        <f>IF(A2413="","",Universe!E2413/BDP(A2413&amp;" US Equity","HIGH_52WEEK")*100)</f>
        <v/>
      </c>
      <c r="I2413">
        <f>IF(D2413="","",D2413&gt;=5)</f>
        <v/>
      </c>
      <c r="J2413">
        <f>IF(F2413="","",F2413&gt;=5)</f>
        <v/>
      </c>
      <c r="K2413">
        <f>IF(H2413="","",H2413&gt;=75)</f>
        <v/>
      </c>
      <c r="L2413">
        <f>IF(OR(I2413="",J2413="",K2413=""),FALSE,AND(I2413,J2413,K2413))</f>
        <v/>
      </c>
    </row>
    <row r="2414">
      <c r="A2414">
        <f>Universe!A2414</f>
        <v/>
      </c>
      <c r="B2414" s="10" t="n"/>
      <c r="C2414" s="11">
        <f>IF(B2414="","",PERCENTRANK.INC($B$2:$B$2501,B2414)*100)</f>
        <v/>
      </c>
      <c r="D2414" s="10" t="n"/>
      <c r="E2414" s="10">
        <f>IF(D2414="","",MIN(D2414,100))</f>
        <v/>
      </c>
      <c r="F2414" s="10" t="n"/>
      <c r="G2414" s="10">
        <f>IF(F2414="","",MIN(F2414,100))</f>
        <v/>
      </c>
      <c r="H2414" s="11">
        <f>IF(A2414="","",Universe!E2414/BDP(A2414&amp;" US Equity","HIGH_52WEEK")*100)</f>
        <v/>
      </c>
      <c r="I2414">
        <f>IF(D2414="","",D2414&gt;=5)</f>
        <v/>
      </c>
      <c r="J2414">
        <f>IF(F2414="","",F2414&gt;=5)</f>
        <v/>
      </c>
      <c r="K2414">
        <f>IF(H2414="","",H2414&gt;=75)</f>
        <v/>
      </c>
      <c r="L2414">
        <f>IF(OR(I2414="",J2414="",K2414=""),FALSE,AND(I2414,J2414,K2414))</f>
        <v/>
      </c>
    </row>
    <row r="2415">
      <c r="A2415">
        <f>Universe!A2415</f>
        <v/>
      </c>
      <c r="B2415" s="10" t="n"/>
      <c r="C2415" s="11">
        <f>IF(B2415="","",PERCENTRANK.INC($B$2:$B$2501,B2415)*100)</f>
        <v/>
      </c>
      <c r="D2415" s="10" t="n"/>
      <c r="E2415" s="10">
        <f>IF(D2415="","",MIN(D2415,100))</f>
        <v/>
      </c>
      <c r="F2415" s="10" t="n"/>
      <c r="G2415" s="10">
        <f>IF(F2415="","",MIN(F2415,100))</f>
        <v/>
      </c>
      <c r="H2415" s="11">
        <f>IF(A2415="","",Universe!E2415/BDP(A2415&amp;" US Equity","HIGH_52WEEK")*100)</f>
        <v/>
      </c>
      <c r="I2415">
        <f>IF(D2415="","",D2415&gt;=5)</f>
        <v/>
      </c>
      <c r="J2415">
        <f>IF(F2415="","",F2415&gt;=5)</f>
        <v/>
      </c>
      <c r="K2415">
        <f>IF(H2415="","",H2415&gt;=75)</f>
        <v/>
      </c>
      <c r="L2415">
        <f>IF(OR(I2415="",J2415="",K2415=""),FALSE,AND(I2415,J2415,K2415))</f>
        <v/>
      </c>
    </row>
    <row r="2416">
      <c r="A2416">
        <f>Universe!A2416</f>
        <v/>
      </c>
      <c r="B2416" s="10" t="n"/>
      <c r="C2416" s="11">
        <f>IF(B2416="","",PERCENTRANK.INC($B$2:$B$2501,B2416)*100)</f>
        <v/>
      </c>
      <c r="D2416" s="10" t="n"/>
      <c r="E2416" s="10">
        <f>IF(D2416="","",MIN(D2416,100))</f>
        <v/>
      </c>
      <c r="F2416" s="10" t="n"/>
      <c r="G2416" s="10">
        <f>IF(F2416="","",MIN(F2416,100))</f>
        <v/>
      </c>
      <c r="H2416" s="11">
        <f>IF(A2416="","",Universe!E2416/BDP(A2416&amp;" US Equity","HIGH_52WEEK")*100)</f>
        <v/>
      </c>
      <c r="I2416">
        <f>IF(D2416="","",D2416&gt;=5)</f>
        <v/>
      </c>
      <c r="J2416">
        <f>IF(F2416="","",F2416&gt;=5)</f>
        <v/>
      </c>
      <c r="K2416">
        <f>IF(H2416="","",H2416&gt;=75)</f>
        <v/>
      </c>
      <c r="L2416">
        <f>IF(OR(I2416="",J2416="",K2416=""),FALSE,AND(I2416,J2416,K2416))</f>
        <v/>
      </c>
    </row>
    <row r="2417">
      <c r="A2417">
        <f>Universe!A2417</f>
        <v/>
      </c>
      <c r="B2417" s="10" t="n"/>
      <c r="C2417" s="11">
        <f>IF(B2417="","",PERCENTRANK.INC($B$2:$B$2501,B2417)*100)</f>
        <v/>
      </c>
      <c r="D2417" s="10" t="n"/>
      <c r="E2417" s="10">
        <f>IF(D2417="","",MIN(D2417,100))</f>
        <v/>
      </c>
      <c r="F2417" s="10" t="n"/>
      <c r="G2417" s="10">
        <f>IF(F2417="","",MIN(F2417,100))</f>
        <v/>
      </c>
      <c r="H2417" s="11">
        <f>IF(A2417="","",Universe!E2417/BDP(A2417&amp;" US Equity","HIGH_52WEEK")*100)</f>
        <v/>
      </c>
      <c r="I2417">
        <f>IF(D2417="","",D2417&gt;=5)</f>
        <v/>
      </c>
      <c r="J2417">
        <f>IF(F2417="","",F2417&gt;=5)</f>
        <v/>
      </c>
      <c r="K2417">
        <f>IF(H2417="","",H2417&gt;=75)</f>
        <v/>
      </c>
      <c r="L2417">
        <f>IF(OR(I2417="",J2417="",K2417=""),FALSE,AND(I2417,J2417,K2417))</f>
        <v/>
      </c>
    </row>
    <row r="2418">
      <c r="A2418">
        <f>Universe!A2418</f>
        <v/>
      </c>
      <c r="B2418" s="10" t="n"/>
      <c r="C2418" s="11">
        <f>IF(B2418="","",PERCENTRANK.INC($B$2:$B$2501,B2418)*100)</f>
        <v/>
      </c>
      <c r="D2418" s="10" t="n"/>
      <c r="E2418" s="10">
        <f>IF(D2418="","",MIN(D2418,100))</f>
        <v/>
      </c>
      <c r="F2418" s="10" t="n"/>
      <c r="G2418" s="10">
        <f>IF(F2418="","",MIN(F2418,100))</f>
        <v/>
      </c>
      <c r="H2418" s="11">
        <f>IF(A2418="","",Universe!E2418/BDP(A2418&amp;" US Equity","HIGH_52WEEK")*100)</f>
        <v/>
      </c>
      <c r="I2418">
        <f>IF(D2418="","",D2418&gt;=5)</f>
        <v/>
      </c>
      <c r="J2418">
        <f>IF(F2418="","",F2418&gt;=5)</f>
        <v/>
      </c>
      <c r="K2418">
        <f>IF(H2418="","",H2418&gt;=75)</f>
        <v/>
      </c>
      <c r="L2418">
        <f>IF(OR(I2418="",J2418="",K2418=""),FALSE,AND(I2418,J2418,K2418))</f>
        <v/>
      </c>
    </row>
    <row r="2419">
      <c r="A2419">
        <f>Universe!A2419</f>
        <v/>
      </c>
      <c r="B2419" s="10" t="n"/>
      <c r="C2419" s="11">
        <f>IF(B2419="","",PERCENTRANK.INC($B$2:$B$2501,B2419)*100)</f>
        <v/>
      </c>
      <c r="D2419" s="10" t="n"/>
      <c r="E2419" s="10">
        <f>IF(D2419="","",MIN(D2419,100))</f>
        <v/>
      </c>
      <c r="F2419" s="10" t="n"/>
      <c r="G2419" s="10">
        <f>IF(F2419="","",MIN(F2419,100))</f>
        <v/>
      </c>
      <c r="H2419" s="11">
        <f>IF(A2419="","",Universe!E2419/BDP(A2419&amp;" US Equity","HIGH_52WEEK")*100)</f>
        <v/>
      </c>
      <c r="I2419">
        <f>IF(D2419="","",D2419&gt;=5)</f>
        <v/>
      </c>
      <c r="J2419">
        <f>IF(F2419="","",F2419&gt;=5)</f>
        <v/>
      </c>
      <c r="K2419">
        <f>IF(H2419="","",H2419&gt;=75)</f>
        <v/>
      </c>
      <c r="L2419">
        <f>IF(OR(I2419="",J2419="",K2419=""),FALSE,AND(I2419,J2419,K2419))</f>
        <v/>
      </c>
    </row>
    <row r="2420">
      <c r="A2420">
        <f>Universe!A2420</f>
        <v/>
      </c>
      <c r="B2420" s="10" t="n"/>
      <c r="C2420" s="11">
        <f>IF(B2420="","",PERCENTRANK.INC($B$2:$B$2501,B2420)*100)</f>
        <v/>
      </c>
      <c r="D2420" s="10" t="n"/>
      <c r="E2420" s="10">
        <f>IF(D2420="","",MIN(D2420,100))</f>
        <v/>
      </c>
      <c r="F2420" s="10" t="n"/>
      <c r="G2420" s="10">
        <f>IF(F2420="","",MIN(F2420,100))</f>
        <v/>
      </c>
      <c r="H2420" s="11">
        <f>IF(A2420="","",Universe!E2420/BDP(A2420&amp;" US Equity","HIGH_52WEEK")*100)</f>
        <v/>
      </c>
      <c r="I2420">
        <f>IF(D2420="","",D2420&gt;=5)</f>
        <v/>
      </c>
      <c r="J2420">
        <f>IF(F2420="","",F2420&gt;=5)</f>
        <v/>
      </c>
      <c r="K2420">
        <f>IF(H2420="","",H2420&gt;=75)</f>
        <v/>
      </c>
      <c r="L2420">
        <f>IF(OR(I2420="",J2420="",K2420=""),FALSE,AND(I2420,J2420,K2420))</f>
        <v/>
      </c>
    </row>
    <row r="2421">
      <c r="A2421">
        <f>Universe!A2421</f>
        <v/>
      </c>
      <c r="B2421" s="10" t="n"/>
      <c r="C2421" s="11">
        <f>IF(B2421="","",PERCENTRANK.INC($B$2:$B$2501,B2421)*100)</f>
        <v/>
      </c>
      <c r="D2421" s="10" t="n"/>
      <c r="E2421" s="10">
        <f>IF(D2421="","",MIN(D2421,100))</f>
        <v/>
      </c>
      <c r="F2421" s="10" t="n"/>
      <c r="G2421" s="10">
        <f>IF(F2421="","",MIN(F2421,100))</f>
        <v/>
      </c>
      <c r="H2421" s="11">
        <f>IF(A2421="","",Universe!E2421/BDP(A2421&amp;" US Equity","HIGH_52WEEK")*100)</f>
        <v/>
      </c>
      <c r="I2421">
        <f>IF(D2421="","",D2421&gt;=5)</f>
        <v/>
      </c>
      <c r="J2421">
        <f>IF(F2421="","",F2421&gt;=5)</f>
        <v/>
      </c>
      <c r="K2421">
        <f>IF(H2421="","",H2421&gt;=75)</f>
        <v/>
      </c>
      <c r="L2421">
        <f>IF(OR(I2421="",J2421="",K2421=""),FALSE,AND(I2421,J2421,K2421))</f>
        <v/>
      </c>
    </row>
    <row r="2422">
      <c r="A2422">
        <f>Universe!A2422</f>
        <v/>
      </c>
      <c r="B2422" s="10" t="n"/>
      <c r="C2422" s="11">
        <f>IF(B2422="","",PERCENTRANK.INC($B$2:$B$2501,B2422)*100)</f>
        <v/>
      </c>
      <c r="D2422" s="10" t="n"/>
      <c r="E2422" s="10">
        <f>IF(D2422="","",MIN(D2422,100))</f>
        <v/>
      </c>
      <c r="F2422" s="10" t="n"/>
      <c r="G2422" s="10">
        <f>IF(F2422="","",MIN(F2422,100))</f>
        <v/>
      </c>
      <c r="H2422" s="11">
        <f>IF(A2422="","",Universe!E2422/BDP(A2422&amp;" US Equity","HIGH_52WEEK")*100)</f>
        <v/>
      </c>
      <c r="I2422">
        <f>IF(D2422="","",D2422&gt;=5)</f>
        <v/>
      </c>
      <c r="J2422">
        <f>IF(F2422="","",F2422&gt;=5)</f>
        <v/>
      </c>
      <c r="K2422">
        <f>IF(H2422="","",H2422&gt;=75)</f>
        <v/>
      </c>
      <c r="L2422">
        <f>IF(OR(I2422="",J2422="",K2422=""),FALSE,AND(I2422,J2422,K2422))</f>
        <v/>
      </c>
    </row>
    <row r="2423">
      <c r="A2423">
        <f>Universe!A2423</f>
        <v/>
      </c>
      <c r="B2423" s="10" t="n"/>
      <c r="C2423" s="11">
        <f>IF(B2423="","",PERCENTRANK.INC($B$2:$B$2501,B2423)*100)</f>
        <v/>
      </c>
      <c r="D2423" s="10" t="n"/>
      <c r="E2423" s="10">
        <f>IF(D2423="","",MIN(D2423,100))</f>
        <v/>
      </c>
      <c r="F2423" s="10" t="n"/>
      <c r="G2423" s="10">
        <f>IF(F2423="","",MIN(F2423,100))</f>
        <v/>
      </c>
      <c r="H2423" s="11">
        <f>IF(A2423="","",Universe!E2423/BDP(A2423&amp;" US Equity","HIGH_52WEEK")*100)</f>
        <v/>
      </c>
      <c r="I2423">
        <f>IF(D2423="","",D2423&gt;=5)</f>
        <v/>
      </c>
      <c r="J2423">
        <f>IF(F2423="","",F2423&gt;=5)</f>
        <v/>
      </c>
      <c r="K2423">
        <f>IF(H2423="","",H2423&gt;=75)</f>
        <v/>
      </c>
      <c r="L2423">
        <f>IF(OR(I2423="",J2423="",K2423=""),FALSE,AND(I2423,J2423,K2423))</f>
        <v/>
      </c>
    </row>
    <row r="2424">
      <c r="A2424">
        <f>Universe!A2424</f>
        <v/>
      </c>
      <c r="B2424" s="10" t="n"/>
      <c r="C2424" s="11">
        <f>IF(B2424="","",PERCENTRANK.INC($B$2:$B$2501,B2424)*100)</f>
        <v/>
      </c>
      <c r="D2424" s="10" t="n"/>
      <c r="E2424" s="10">
        <f>IF(D2424="","",MIN(D2424,100))</f>
        <v/>
      </c>
      <c r="F2424" s="10" t="n"/>
      <c r="G2424" s="10">
        <f>IF(F2424="","",MIN(F2424,100))</f>
        <v/>
      </c>
      <c r="H2424" s="11">
        <f>IF(A2424="","",Universe!E2424/BDP(A2424&amp;" US Equity","HIGH_52WEEK")*100)</f>
        <v/>
      </c>
      <c r="I2424">
        <f>IF(D2424="","",D2424&gt;=5)</f>
        <v/>
      </c>
      <c r="J2424">
        <f>IF(F2424="","",F2424&gt;=5)</f>
        <v/>
      </c>
      <c r="K2424">
        <f>IF(H2424="","",H2424&gt;=75)</f>
        <v/>
      </c>
      <c r="L2424">
        <f>IF(OR(I2424="",J2424="",K2424=""),FALSE,AND(I2424,J2424,K2424))</f>
        <v/>
      </c>
    </row>
    <row r="2425">
      <c r="A2425">
        <f>Universe!A2425</f>
        <v/>
      </c>
      <c r="B2425" s="10" t="n"/>
      <c r="C2425" s="11">
        <f>IF(B2425="","",PERCENTRANK.INC($B$2:$B$2501,B2425)*100)</f>
        <v/>
      </c>
      <c r="D2425" s="10" t="n"/>
      <c r="E2425" s="10">
        <f>IF(D2425="","",MIN(D2425,100))</f>
        <v/>
      </c>
      <c r="F2425" s="10" t="n"/>
      <c r="G2425" s="10">
        <f>IF(F2425="","",MIN(F2425,100))</f>
        <v/>
      </c>
      <c r="H2425" s="11">
        <f>IF(A2425="","",Universe!E2425/BDP(A2425&amp;" US Equity","HIGH_52WEEK")*100)</f>
        <v/>
      </c>
      <c r="I2425">
        <f>IF(D2425="","",D2425&gt;=5)</f>
        <v/>
      </c>
      <c r="J2425">
        <f>IF(F2425="","",F2425&gt;=5)</f>
        <v/>
      </c>
      <c r="K2425">
        <f>IF(H2425="","",H2425&gt;=75)</f>
        <v/>
      </c>
      <c r="L2425">
        <f>IF(OR(I2425="",J2425="",K2425=""),FALSE,AND(I2425,J2425,K2425))</f>
        <v/>
      </c>
    </row>
    <row r="2426">
      <c r="A2426">
        <f>Universe!A2426</f>
        <v/>
      </c>
      <c r="B2426" s="10" t="n"/>
      <c r="C2426" s="11">
        <f>IF(B2426="","",PERCENTRANK.INC($B$2:$B$2501,B2426)*100)</f>
        <v/>
      </c>
      <c r="D2426" s="10" t="n"/>
      <c r="E2426" s="10">
        <f>IF(D2426="","",MIN(D2426,100))</f>
        <v/>
      </c>
      <c r="F2426" s="10" t="n"/>
      <c r="G2426" s="10">
        <f>IF(F2426="","",MIN(F2426,100))</f>
        <v/>
      </c>
      <c r="H2426" s="11">
        <f>IF(A2426="","",Universe!E2426/BDP(A2426&amp;" US Equity","HIGH_52WEEK")*100)</f>
        <v/>
      </c>
      <c r="I2426">
        <f>IF(D2426="","",D2426&gt;=5)</f>
        <v/>
      </c>
      <c r="J2426">
        <f>IF(F2426="","",F2426&gt;=5)</f>
        <v/>
      </c>
      <c r="K2426">
        <f>IF(H2426="","",H2426&gt;=75)</f>
        <v/>
      </c>
      <c r="L2426">
        <f>IF(OR(I2426="",J2426="",K2426=""),FALSE,AND(I2426,J2426,K2426))</f>
        <v/>
      </c>
    </row>
    <row r="2427">
      <c r="A2427">
        <f>Universe!A2427</f>
        <v/>
      </c>
      <c r="B2427" s="10" t="n"/>
      <c r="C2427" s="11">
        <f>IF(B2427="","",PERCENTRANK.INC($B$2:$B$2501,B2427)*100)</f>
        <v/>
      </c>
      <c r="D2427" s="10" t="n"/>
      <c r="E2427" s="10">
        <f>IF(D2427="","",MIN(D2427,100))</f>
        <v/>
      </c>
      <c r="F2427" s="10" t="n"/>
      <c r="G2427" s="10">
        <f>IF(F2427="","",MIN(F2427,100))</f>
        <v/>
      </c>
      <c r="H2427" s="11">
        <f>IF(A2427="","",Universe!E2427/BDP(A2427&amp;" US Equity","HIGH_52WEEK")*100)</f>
        <v/>
      </c>
      <c r="I2427">
        <f>IF(D2427="","",D2427&gt;=5)</f>
        <v/>
      </c>
      <c r="J2427">
        <f>IF(F2427="","",F2427&gt;=5)</f>
        <v/>
      </c>
      <c r="K2427">
        <f>IF(H2427="","",H2427&gt;=75)</f>
        <v/>
      </c>
      <c r="L2427">
        <f>IF(OR(I2427="",J2427="",K2427=""),FALSE,AND(I2427,J2427,K2427))</f>
        <v/>
      </c>
    </row>
    <row r="2428">
      <c r="A2428">
        <f>Universe!A2428</f>
        <v/>
      </c>
      <c r="B2428" s="10" t="n"/>
      <c r="C2428" s="11">
        <f>IF(B2428="","",PERCENTRANK.INC($B$2:$B$2501,B2428)*100)</f>
        <v/>
      </c>
      <c r="D2428" s="10" t="n"/>
      <c r="E2428" s="10">
        <f>IF(D2428="","",MIN(D2428,100))</f>
        <v/>
      </c>
      <c r="F2428" s="10" t="n"/>
      <c r="G2428" s="10">
        <f>IF(F2428="","",MIN(F2428,100))</f>
        <v/>
      </c>
      <c r="H2428" s="11">
        <f>IF(A2428="","",Universe!E2428/BDP(A2428&amp;" US Equity","HIGH_52WEEK")*100)</f>
        <v/>
      </c>
      <c r="I2428">
        <f>IF(D2428="","",D2428&gt;=5)</f>
        <v/>
      </c>
      <c r="J2428">
        <f>IF(F2428="","",F2428&gt;=5)</f>
        <v/>
      </c>
      <c r="K2428">
        <f>IF(H2428="","",H2428&gt;=75)</f>
        <v/>
      </c>
      <c r="L2428">
        <f>IF(OR(I2428="",J2428="",K2428=""),FALSE,AND(I2428,J2428,K2428))</f>
        <v/>
      </c>
    </row>
    <row r="2429">
      <c r="A2429">
        <f>Universe!A2429</f>
        <v/>
      </c>
      <c r="B2429" s="10" t="n"/>
      <c r="C2429" s="11">
        <f>IF(B2429="","",PERCENTRANK.INC($B$2:$B$2501,B2429)*100)</f>
        <v/>
      </c>
      <c r="D2429" s="10" t="n"/>
      <c r="E2429" s="10">
        <f>IF(D2429="","",MIN(D2429,100))</f>
        <v/>
      </c>
      <c r="F2429" s="10" t="n"/>
      <c r="G2429" s="10">
        <f>IF(F2429="","",MIN(F2429,100))</f>
        <v/>
      </c>
      <c r="H2429" s="11">
        <f>IF(A2429="","",Universe!E2429/BDP(A2429&amp;" US Equity","HIGH_52WEEK")*100)</f>
        <v/>
      </c>
      <c r="I2429">
        <f>IF(D2429="","",D2429&gt;=5)</f>
        <v/>
      </c>
      <c r="J2429">
        <f>IF(F2429="","",F2429&gt;=5)</f>
        <v/>
      </c>
      <c r="K2429">
        <f>IF(H2429="","",H2429&gt;=75)</f>
        <v/>
      </c>
      <c r="L2429">
        <f>IF(OR(I2429="",J2429="",K2429=""),FALSE,AND(I2429,J2429,K2429))</f>
        <v/>
      </c>
    </row>
    <row r="2430">
      <c r="A2430">
        <f>Universe!A2430</f>
        <v/>
      </c>
      <c r="B2430" s="10" t="n"/>
      <c r="C2430" s="11">
        <f>IF(B2430="","",PERCENTRANK.INC($B$2:$B$2501,B2430)*100)</f>
        <v/>
      </c>
      <c r="D2430" s="10" t="n"/>
      <c r="E2430" s="10">
        <f>IF(D2430="","",MIN(D2430,100))</f>
        <v/>
      </c>
      <c r="F2430" s="10" t="n"/>
      <c r="G2430" s="10">
        <f>IF(F2430="","",MIN(F2430,100))</f>
        <v/>
      </c>
      <c r="H2430" s="11">
        <f>IF(A2430="","",Universe!E2430/BDP(A2430&amp;" US Equity","HIGH_52WEEK")*100)</f>
        <v/>
      </c>
      <c r="I2430">
        <f>IF(D2430="","",D2430&gt;=5)</f>
        <v/>
      </c>
      <c r="J2430">
        <f>IF(F2430="","",F2430&gt;=5)</f>
        <v/>
      </c>
      <c r="K2430">
        <f>IF(H2430="","",H2430&gt;=75)</f>
        <v/>
      </c>
      <c r="L2430">
        <f>IF(OR(I2430="",J2430="",K2430=""),FALSE,AND(I2430,J2430,K2430))</f>
        <v/>
      </c>
    </row>
    <row r="2431">
      <c r="A2431">
        <f>Universe!A2431</f>
        <v/>
      </c>
      <c r="B2431" s="10" t="n"/>
      <c r="C2431" s="11">
        <f>IF(B2431="","",PERCENTRANK.INC($B$2:$B$2501,B2431)*100)</f>
        <v/>
      </c>
      <c r="D2431" s="10" t="n"/>
      <c r="E2431" s="10">
        <f>IF(D2431="","",MIN(D2431,100))</f>
        <v/>
      </c>
      <c r="F2431" s="10" t="n"/>
      <c r="G2431" s="10">
        <f>IF(F2431="","",MIN(F2431,100))</f>
        <v/>
      </c>
      <c r="H2431" s="11">
        <f>IF(A2431="","",Universe!E2431/BDP(A2431&amp;" US Equity","HIGH_52WEEK")*100)</f>
        <v/>
      </c>
      <c r="I2431">
        <f>IF(D2431="","",D2431&gt;=5)</f>
        <v/>
      </c>
      <c r="J2431">
        <f>IF(F2431="","",F2431&gt;=5)</f>
        <v/>
      </c>
      <c r="K2431">
        <f>IF(H2431="","",H2431&gt;=75)</f>
        <v/>
      </c>
      <c r="L2431">
        <f>IF(OR(I2431="",J2431="",K2431=""),FALSE,AND(I2431,J2431,K2431))</f>
        <v/>
      </c>
    </row>
    <row r="2432">
      <c r="A2432">
        <f>Universe!A2432</f>
        <v/>
      </c>
      <c r="B2432" s="10" t="n"/>
      <c r="C2432" s="11">
        <f>IF(B2432="","",PERCENTRANK.INC($B$2:$B$2501,B2432)*100)</f>
        <v/>
      </c>
      <c r="D2432" s="10" t="n"/>
      <c r="E2432" s="10">
        <f>IF(D2432="","",MIN(D2432,100))</f>
        <v/>
      </c>
      <c r="F2432" s="10" t="n"/>
      <c r="G2432" s="10">
        <f>IF(F2432="","",MIN(F2432,100))</f>
        <v/>
      </c>
      <c r="H2432" s="11">
        <f>IF(A2432="","",Universe!E2432/BDP(A2432&amp;" US Equity","HIGH_52WEEK")*100)</f>
        <v/>
      </c>
      <c r="I2432">
        <f>IF(D2432="","",D2432&gt;=5)</f>
        <v/>
      </c>
      <c r="J2432">
        <f>IF(F2432="","",F2432&gt;=5)</f>
        <v/>
      </c>
      <c r="K2432">
        <f>IF(H2432="","",H2432&gt;=75)</f>
        <v/>
      </c>
      <c r="L2432">
        <f>IF(OR(I2432="",J2432="",K2432=""),FALSE,AND(I2432,J2432,K2432))</f>
        <v/>
      </c>
    </row>
    <row r="2433">
      <c r="A2433">
        <f>Universe!A2433</f>
        <v/>
      </c>
      <c r="B2433" s="10" t="n"/>
      <c r="C2433" s="11">
        <f>IF(B2433="","",PERCENTRANK.INC($B$2:$B$2501,B2433)*100)</f>
        <v/>
      </c>
      <c r="D2433" s="10" t="n"/>
      <c r="E2433" s="10">
        <f>IF(D2433="","",MIN(D2433,100))</f>
        <v/>
      </c>
      <c r="F2433" s="10" t="n"/>
      <c r="G2433" s="10">
        <f>IF(F2433="","",MIN(F2433,100))</f>
        <v/>
      </c>
      <c r="H2433" s="11">
        <f>IF(A2433="","",Universe!E2433/BDP(A2433&amp;" US Equity","HIGH_52WEEK")*100)</f>
        <v/>
      </c>
      <c r="I2433">
        <f>IF(D2433="","",D2433&gt;=5)</f>
        <v/>
      </c>
      <c r="J2433">
        <f>IF(F2433="","",F2433&gt;=5)</f>
        <v/>
      </c>
      <c r="K2433">
        <f>IF(H2433="","",H2433&gt;=75)</f>
        <v/>
      </c>
      <c r="L2433">
        <f>IF(OR(I2433="",J2433="",K2433=""),FALSE,AND(I2433,J2433,K2433))</f>
        <v/>
      </c>
    </row>
    <row r="2434">
      <c r="A2434">
        <f>Universe!A2434</f>
        <v/>
      </c>
      <c r="B2434" s="10" t="n"/>
      <c r="C2434" s="11">
        <f>IF(B2434="","",PERCENTRANK.INC($B$2:$B$2501,B2434)*100)</f>
        <v/>
      </c>
      <c r="D2434" s="10" t="n"/>
      <c r="E2434" s="10">
        <f>IF(D2434="","",MIN(D2434,100))</f>
        <v/>
      </c>
      <c r="F2434" s="10" t="n"/>
      <c r="G2434" s="10">
        <f>IF(F2434="","",MIN(F2434,100))</f>
        <v/>
      </c>
      <c r="H2434" s="11">
        <f>IF(A2434="","",Universe!E2434/BDP(A2434&amp;" US Equity","HIGH_52WEEK")*100)</f>
        <v/>
      </c>
      <c r="I2434">
        <f>IF(D2434="","",D2434&gt;=5)</f>
        <v/>
      </c>
      <c r="J2434">
        <f>IF(F2434="","",F2434&gt;=5)</f>
        <v/>
      </c>
      <c r="K2434">
        <f>IF(H2434="","",H2434&gt;=75)</f>
        <v/>
      </c>
      <c r="L2434">
        <f>IF(OR(I2434="",J2434="",K2434=""),FALSE,AND(I2434,J2434,K2434))</f>
        <v/>
      </c>
    </row>
    <row r="2435">
      <c r="A2435">
        <f>Universe!A2435</f>
        <v/>
      </c>
      <c r="B2435" s="10" t="n"/>
      <c r="C2435" s="11">
        <f>IF(B2435="","",PERCENTRANK.INC($B$2:$B$2501,B2435)*100)</f>
        <v/>
      </c>
      <c r="D2435" s="10" t="n"/>
      <c r="E2435" s="10">
        <f>IF(D2435="","",MIN(D2435,100))</f>
        <v/>
      </c>
      <c r="F2435" s="10" t="n"/>
      <c r="G2435" s="10">
        <f>IF(F2435="","",MIN(F2435,100))</f>
        <v/>
      </c>
      <c r="H2435" s="11">
        <f>IF(A2435="","",Universe!E2435/BDP(A2435&amp;" US Equity","HIGH_52WEEK")*100)</f>
        <v/>
      </c>
      <c r="I2435">
        <f>IF(D2435="","",D2435&gt;=5)</f>
        <v/>
      </c>
      <c r="J2435">
        <f>IF(F2435="","",F2435&gt;=5)</f>
        <v/>
      </c>
      <c r="K2435">
        <f>IF(H2435="","",H2435&gt;=75)</f>
        <v/>
      </c>
      <c r="L2435">
        <f>IF(OR(I2435="",J2435="",K2435=""),FALSE,AND(I2435,J2435,K2435))</f>
        <v/>
      </c>
    </row>
    <row r="2436">
      <c r="A2436">
        <f>Universe!A2436</f>
        <v/>
      </c>
      <c r="B2436" s="10" t="n"/>
      <c r="C2436" s="11">
        <f>IF(B2436="","",PERCENTRANK.INC($B$2:$B$2501,B2436)*100)</f>
        <v/>
      </c>
      <c r="D2436" s="10" t="n"/>
      <c r="E2436" s="10">
        <f>IF(D2436="","",MIN(D2436,100))</f>
        <v/>
      </c>
      <c r="F2436" s="10" t="n"/>
      <c r="G2436" s="10">
        <f>IF(F2436="","",MIN(F2436,100))</f>
        <v/>
      </c>
      <c r="H2436" s="11">
        <f>IF(A2436="","",Universe!E2436/BDP(A2436&amp;" US Equity","HIGH_52WEEK")*100)</f>
        <v/>
      </c>
      <c r="I2436">
        <f>IF(D2436="","",D2436&gt;=5)</f>
        <v/>
      </c>
      <c r="J2436">
        <f>IF(F2436="","",F2436&gt;=5)</f>
        <v/>
      </c>
      <c r="K2436">
        <f>IF(H2436="","",H2436&gt;=75)</f>
        <v/>
      </c>
      <c r="L2436">
        <f>IF(OR(I2436="",J2436="",K2436=""),FALSE,AND(I2436,J2436,K2436))</f>
        <v/>
      </c>
    </row>
    <row r="2437">
      <c r="A2437">
        <f>Universe!A2437</f>
        <v/>
      </c>
      <c r="B2437" s="10" t="n"/>
      <c r="C2437" s="11">
        <f>IF(B2437="","",PERCENTRANK.INC($B$2:$B$2501,B2437)*100)</f>
        <v/>
      </c>
      <c r="D2437" s="10" t="n"/>
      <c r="E2437" s="10">
        <f>IF(D2437="","",MIN(D2437,100))</f>
        <v/>
      </c>
      <c r="F2437" s="10" t="n"/>
      <c r="G2437" s="10">
        <f>IF(F2437="","",MIN(F2437,100))</f>
        <v/>
      </c>
      <c r="H2437" s="11">
        <f>IF(A2437="","",Universe!E2437/BDP(A2437&amp;" US Equity","HIGH_52WEEK")*100)</f>
        <v/>
      </c>
      <c r="I2437">
        <f>IF(D2437="","",D2437&gt;=5)</f>
        <v/>
      </c>
      <c r="J2437">
        <f>IF(F2437="","",F2437&gt;=5)</f>
        <v/>
      </c>
      <c r="K2437">
        <f>IF(H2437="","",H2437&gt;=75)</f>
        <v/>
      </c>
      <c r="L2437">
        <f>IF(OR(I2437="",J2437="",K2437=""),FALSE,AND(I2437,J2437,K2437))</f>
        <v/>
      </c>
    </row>
    <row r="2438">
      <c r="A2438">
        <f>Universe!A2438</f>
        <v/>
      </c>
      <c r="B2438" s="10" t="n"/>
      <c r="C2438" s="11">
        <f>IF(B2438="","",PERCENTRANK.INC($B$2:$B$2501,B2438)*100)</f>
        <v/>
      </c>
      <c r="D2438" s="10" t="n"/>
      <c r="E2438" s="10">
        <f>IF(D2438="","",MIN(D2438,100))</f>
        <v/>
      </c>
      <c r="F2438" s="10" t="n"/>
      <c r="G2438" s="10">
        <f>IF(F2438="","",MIN(F2438,100))</f>
        <v/>
      </c>
      <c r="H2438" s="11">
        <f>IF(A2438="","",Universe!E2438/BDP(A2438&amp;" US Equity","HIGH_52WEEK")*100)</f>
        <v/>
      </c>
      <c r="I2438">
        <f>IF(D2438="","",D2438&gt;=5)</f>
        <v/>
      </c>
      <c r="J2438">
        <f>IF(F2438="","",F2438&gt;=5)</f>
        <v/>
      </c>
      <c r="K2438">
        <f>IF(H2438="","",H2438&gt;=75)</f>
        <v/>
      </c>
      <c r="L2438">
        <f>IF(OR(I2438="",J2438="",K2438=""),FALSE,AND(I2438,J2438,K2438))</f>
        <v/>
      </c>
    </row>
    <row r="2439">
      <c r="A2439">
        <f>Universe!A2439</f>
        <v/>
      </c>
      <c r="B2439" s="10" t="n"/>
      <c r="C2439" s="11">
        <f>IF(B2439="","",PERCENTRANK.INC($B$2:$B$2501,B2439)*100)</f>
        <v/>
      </c>
      <c r="D2439" s="10" t="n"/>
      <c r="E2439" s="10">
        <f>IF(D2439="","",MIN(D2439,100))</f>
        <v/>
      </c>
      <c r="F2439" s="10" t="n"/>
      <c r="G2439" s="10">
        <f>IF(F2439="","",MIN(F2439,100))</f>
        <v/>
      </c>
      <c r="H2439" s="11">
        <f>IF(A2439="","",Universe!E2439/BDP(A2439&amp;" US Equity","HIGH_52WEEK")*100)</f>
        <v/>
      </c>
      <c r="I2439">
        <f>IF(D2439="","",D2439&gt;=5)</f>
        <v/>
      </c>
      <c r="J2439">
        <f>IF(F2439="","",F2439&gt;=5)</f>
        <v/>
      </c>
      <c r="K2439">
        <f>IF(H2439="","",H2439&gt;=75)</f>
        <v/>
      </c>
      <c r="L2439">
        <f>IF(OR(I2439="",J2439="",K2439=""),FALSE,AND(I2439,J2439,K2439))</f>
        <v/>
      </c>
    </row>
    <row r="2440">
      <c r="A2440">
        <f>Universe!A2440</f>
        <v/>
      </c>
      <c r="B2440" s="10" t="n"/>
      <c r="C2440" s="11">
        <f>IF(B2440="","",PERCENTRANK.INC($B$2:$B$2501,B2440)*100)</f>
        <v/>
      </c>
      <c r="D2440" s="10" t="n"/>
      <c r="E2440" s="10">
        <f>IF(D2440="","",MIN(D2440,100))</f>
        <v/>
      </c>
      <c r="F2440" s="10" t="n"/>
      <c r="G2440" s="10">
        <f>IF(F2440="","",MIN(F2440,100))</f>
        <v/>
      </c>
      <c r="H2440" s="11">
        <f>IF(A2440="","",Universe!E2440/BDP(A2440&amp;" US Equity","HIGH_52WEEK")*100)</f>
        <v/>
      </c>
      <c r="I2440">
        <f>IF(D2440="","",D2440&gt;=5)</f>
        <v/>
      </c>
      <c r="J2440">
        <f>IF(F2440="","",F2440&gt;=5)</f>
        <v/>
      </c>
      <c r="K2440">
        <f>IF(H2440="","",H2440&gt;=75)</f>
        <v/>
      </c>
      <c r="L2440">
        <f>IF(OR(I2440="",J2440="",K2440=""),FALSE,AND(I2440,J2440,K2440))</f>
        <v/>
      </c>
    </row>
    <row r="2441">
      <c r="A2441">
        <f>Universe!A2441</f>
        <v/>
      </c>
      <c r="B2441" s="10" t="n"/>
      <c r="C2441" s="11">
        <f>IF(B2441="","",PERCENTRANK.INC($B$2:$B$2501,B2441)*100)</f>
        <v/>
      </c>
      <c r="D2441" s="10" t="n"/>
      <c r="E2441" s="10">
        <f>IF(D2441="","",MIN(D2441,100))</f>
        <v/>
      </c>
      <c r="F2441" s="10" t="n"/>
      <c r="G2441" s="10">
        <f>IF(F2441="","",MIN(F2441,100))</f>
        <v/>
      </c>
      <c r="H2441" s="11">
        <f>IF(A2441="","",Universe!E2441/BDP(A2441&amp;" US Equity","HIGH_52WEEK")*100)</f>
        <v/>
      </c>
      <c r="I2441">
        <f>IF(D2441="","",D2441&gt;=5)</f>
        <v/>
      </c>
      <c r="J2441">
        <f>IF(F2441="","",F2441&gt;=5)</f>
        <v/>
      </c>
      <c r="K2441">
        <f>IF(H2441="","",H2441&gt;=75)</f>
        <v/>
      </c>
      <c r="L2441">
        <f>IF(OR(I2441="",J2441="",K2441=""),FALSE,AND(I2441,J2441,K2441))</f>
        <v/>
      </c>
    </row>
    <row r="2442">
      <c r="A2442">
        <f>Universe!A2442</f>
        <v/>
      </c>
      <c r="B2442" s="10" t="n"/>
      <c r="C2442" s="11">
        <f>IF(B2442="","",PERCENTRANK.INC($B$2:$B$2501,B2442)*100)</f>
        <v/>
      </c>
      <c r="D2442" s="10" t="n"/>
      <c r="E2442" s="10">
        <f>IF(D2442="","",MIN(D2442,100))</f>
        <v/>
      </c>
      <c r="F2442" s="10" t="n"/>
      <c r="G2442" s="10">
        <f>IF(F2442="","",MIN(F2442,100))</f>
        <v/>
      </c>
      <c r="H2442" s="11">
        <f>IF(A2442="","",Universe!E2442/BDP(A2442&amp;" US Equity","HIGH_52WEEK")*100)</f>
        <v/>
      </c>
      <c r="I2442">
        <f>IF(D2442="","",D2442&gt;=5)</f>
        <v/>
      </c>
      <c r="J2442">
        <f>IF(F2442="","",F2442&gt;=5)</f>
        <v/>
      </c>
      <c r="K2442">
        <f>IF(H2442="","",H2442&gt;=75)</f>
        <v/>
      </c>
      <c r="L2442">
        <f>IF(OR(I2442="",J2442="",K2442=""),FALSE,AND(I2442,J2442,K2442))</f>
        <v/>
      </c>
    </row>
    <row r="2443">
      <c r="A2443">
        <f>Universe!A2443</f>
        <v/>
      </c>
      <c r="B2443" s="10" t="n"/>
      <c r="C2443" s="11">
        <f>IF(B2443="","",PERCENTRANK.INC($B$2:$B$2501,B2443)*100)</f>
        <v/>
      </c>
      <c r="D2443" s="10" t="n"/>
      <c r="E2443" s="10">
        <f>IF(D2443="","",MIN(D2443,100))</f>
        <v/>
      </c>
      <c r="F2443" s="10" t="n"/>
      <c r="G2443" s="10">
        <f>IF(F2443="","",MIN(F2443,100))</f>
        <v/>
      </c>
      <c r="H2443" s="11">
        <f>IF(A2443="","",Universe!E2443/BDP(A2443&amp;" US Equity","HIGH_52WEEK")*100)</f>
        <v/>
      </c>
      <c r="I2443">
        <f>IF(D2443="","",D2443&gt;=5)</f>
        <v/>
      </c>
      <c r="J2443">
        <f>IF(F2443="","",F2443&gt;=5)</f>
        <v/>
      </c>
      <c r="K2443">
        <f>IF(H2443="","",H2443&gt;=75)</f>
        <v/>
      </c>
      <c r="L2443">
        <f>IF(OR(I2443="",J2443="",K2443=""),FALSE,AND(I2443,J2443,K2443))</f>
        <v/>
      </c>
    </row>
    <row r="2444">
      <c r="A2444">
        <f>Universe!A2444</f>
        <v/>
      </c>
      <c r="B2444" s="10" t="n"/>
      <c r="C2444" s="11">
        <f>IF(B2444="","",PERCENTRANK.INC($B$2:$B$2501,B2444)*100)</f>
        <v/>
      </c>
      <c r="D2444" s="10" t="n"/>
      <c r="E2444" s="10">
        <f>IF(D2444="","",MIN(D2444,100))</f>
        <v/>
      </c>
      <c r="F2444" s="10" t="n"/>
      <c r="G2444" s="10">
        <f>IF(F2444="","",MIN(F2444,100))</f>
        <v/>
      </c>
      <c r="H2444" s="11">
        <f>IF(A2444="","",Universe!E2444/BDP(A2444&amp;" US Equity","HIGH_52WEEK")*100)</f>
        <v/>
      </c>
      <c r="I2444">
        <f>IF(D2444="","",D2444&gt;=5)</f>
        <v/>
      </c>
      <c r="J2444">
        <f>IF(F2444="","",F2444&gt;=5)</f>
        <v/>
      </c>
      <c r="K2444">
        <f>IF(H2444="","",H2444&gt;=75)</f>
        <v/>
      </c>
      <c r="L2444">
        <f>IF(OR(I2444="",J2444="",K2444=""),FALSE,AND(I2444,J2444,K2444))</f>
        <v/>
      </c>
    </row>
    <row r="2445">
      <c r="A2445">
        <f>Universe!A2445</f>
        <v/>
      </c>
      <c r="B2445" s="10" t="n"/>
      <c r="C2445" s="11">
        <f>IF(B2445="","",PERCENTRANK.INC($B$2:$B$2501,B2445)*100)</f>
        <v/>
      </c>
      <c r="D2445" s="10" t="n"/>
      <c r="E2445" s="10">
        <f>IF(D2445="","",MIN(D2445,100))</f>
        <v/>
      </c>
      <c r="F2445" s="10" t="n"/>
      <c r="G2445" s="10">
        <f>IF(F2445="","",MIN(F2445,100))</f>
        <v/>
      </c>
      <c r="H2445" s="11">
        <f>IF(A2445="","",Universe!E2445/BDP(A2445&amp;" US Equity","HIGH_52WEEK")*100)</f>
        <v/>
      </c>
      <c r="I2445">
        <f>IF(D2445="","",D2445&gt;=5)</f>
        <v/>
      </c>
      <c r="J2445">
        <f>IF(F2445="","",F2445&gt;=5)</f>
        <v/>
      </c>
      <c r="K2445">
        <f>IF(H2445="","",H2445&gt;=75)</f>
        <v/>
      </c>
      <c r="L2445">
        <f>IF(OR(I2445="",J2445="",K2445=""),FALSE,AND(I2445,J2445,K2445))</f>
        <v/>
      </c>
    </row>
    <row r="2446">
      <c r="A2446">
        <f>Universe!A2446</f>
        <v/>
      </c>
      <c r="B2446" s="10" t="n"/>
      <c r="C2446" s="11">
        <f>IF(B2446="","",PERCENTRANK.INC($B$2:$B$2501,B2446)*100)</f>
        <v/>
      </c>
      <c r="D2446" s="10" t="n"/>
      <c r="E2446" s="10">
        <f>IF(D2446="","",MIN(D2446,100))</f>
        <v/>
      </c>
      <c r="F2446" s="10" t="n"/>
      <c r="G2446" s="10">
        <f>IF(F2446="","",MIN(F2446,100))</f>
        <v/>
      </c>
      <c r="H2446" s="11">
        <f>IF(A2446="","",Universe!E2446/BDP(A2446&amp;" US Equity","HIGH_52WEEK")*100)</f>
        <v/>
      </c>
      <c r="I2446">
        <f>IF(D2446="","",D2446&gt;=5)</f>
        <v/>
      </c>
      <c r="J2446">
        <f>IF(F2446="","",F2446&gt;=5)</f>
        <v/>
      </c>
      <c r="K2446">
        <f>IF(H2446="","",H2446&gt;=75)</f>
        <v/>
      </c>
      <c r="L2446">
        <f>IF(OR(I2446="",J2446="",K2446=""),FALSE,AND(I2446,J2446,K2446))</f>
        <v/>
      </c>
    </row>
    <row r="2447">
      <c r="A2447">
        <f>Universe!A2447</f>
        <v/>
      </c>
      <c r="B2447" s="10" t="n"/>
      <c r="C2447" s="11">
        <f>IF(B2447="","",PERCENTRANK.INC($B$2:$B$2501,B2447)*100)</f>
        <v/>
      </c>
      <c r="D2447" s="10" t="n"/>
      <c r="E2447" s="10">
        <f>IF(D2447="","",MIN(D2447,100))</f>
        <v/>
      </c>
      <c r="F2447" s="10" t="n"/>
      <c r="G2447" s="10">
        <f>IF(F2447="","",MIN(F2447,100))</f>
        <v/>
      </c>
      <c r="H2447" s="11">
        <f>IF(A2447="","",Universe!E2447/BDP(A2447&amp;" US Equity","HIGH_52WEEK")*100)</f>
        <v/>
      </c>
      <c r="I2447">
        <f>IF(D2447="","",D2447&gt;=5)</f>
        <v/>
      </c>
      <c r="J2447">
        <f>IF(F2447="","",F2447&gt;=5)</f>
        <v/>
      </c>
      <c r="K2447">
        <f>IF(H2447="","",H2447&gt;=75)</f>
        <v/>
      </c>
      <c r="L2447">
        <f>IF(OR(I2447="",J2447="",K2447=""),FALSE,AND(I2447,J2447,K2447))</f>
        <v/>
      </c>
    </row>
    <row r="2448">
      <c r="A2448">
        <f>Universe!A2448</f>
        <v/>
      </c>
      <c r="B2448" s="10" t="n"/>
      <c r="C2448" s="11">
        <f>IF(B2448="","",PERCENTRANK.INC($B$2:$B$2501,B2448)*100)</f>
        <v/>
      </c>
      <c r="D2448" s="10" t="n"/>
      <c r="E2448" s="10">
        <f>IF(D2448="","",MIN(D2448,100))</f>
        <v/>
      </c>
      <c r="F2448" s="10" t="n"/>
      <c r="G2448" s="10">
        <f>IF(F2448="","",MIN(F2448,100))</f>
        <v/>
      </c>
      <c r="H2448" s="11">
        <f>IF(A2448="","",Universe!E2448/BDP(A2448&amp;" US Equity","HIGH_52WEEK")*100)</f>
        <v/>
      </c>
      <c r="I2448">
        <f>IF(D2448="","",D2448&gt;=5)</f>
        <v/>
      </c>
      <c r="J2448">
        <f>IF(F2448="","",F2448&gt;=5)</f>
        <v/>
      </c>
      <c r="K2448">
        <f>IF(H2448="","",H2448&gt;=75)</f>
        <v/>
      </c>
      <c r="L2448">
        <f>IF(OR(I2448="",J2448="",K2448=""),FALSE,AND(I2448,J2448,K2448))</f>
        <v/>
      </c>
    </row>
    <row r="2449">
      <c r="A2449">
        <f>Universe!A2449</f>
        <v/>
      </c>
      <c r="B2449" s="10" t="n"/>
      <c r="C2449" s="11">
        <f>IF(B2449="","",PERCENTRANK.INC($B$2:$B$2501,B2449)*100)</f>
        <v/>
      </c>
      <c r="D2449" s="10" t="n"/>
      <c r="E2449" s="10">
        <f>IF(D2449="","",MIN(D2449,100))</f>
        <v/>
      </c>
      <c r="F2449" s="10" t="n"/>
      <c r="G2449" s="10">
        <f>IF(F2449="","",MIN(F2449,100))</f>
        <v/>
      </c>
      <c r="H2449" s="11">
        <f>IF(A2449="","",Universe!E2449/BDP(A2449&amp;" US Equity","HIGH_52WEEK")*100)</f>
        <v/>
      </c>
      <c r="I2449">
        <f>IF(D2449="","",D2449&gt;=5)</f>
        <v/>
      </c>
      <c r="J2449">
        <f>IF(F2449="","",F2449&gt;=5)</f>
        <v/>
      </c>
      <c r="K2449">
        <f>IF(H2449="","",H2449&gt;=75)</f>
        <v/>
      </c>
      <c r="L2449">
        <f>IF(OR(I2449="",J2449="",K2449=""),FALSE,AND(I2449,J2449,K2449))</f>
        <v/>
      </c>
    </row>
    <row r="2450">
      <c r="A2450">
        <f>Universe!A2450</f>
        <v/>
      </c>
      <c r="B2450" s="10" t="n"/>
      <c r="C2450" s="11">
        <f>IF(B2450="","",PERCENTRANK.INC($B$2:$B$2501,B2450)*100)</f>
        <v/>
      </c>
      <c r="D2450" s="10" t="n"/>
      <c r="E2450" s="10">
        <f>IF(D2450="","",MIN(D2450,100))</f>
        <v/>
      </c>
      <c r="F2450" s="10" t="n"/>
      <c r="G2450" s="10">
        <f>IF(F2450="","",MIN(F2450,100))</f>
        <v/>
      </c>
      <c r="H2450" s="11">
        <f>IF(A2450="","",Universe!E2450/BDP(A2450&amp;" US Equity","HIGH_52WEEK")*100)</f>
        <v/>
      </c>
      <c r="I2450">
        <f>IF(D2450="","",D2450&gt;=5)</f>
        <v/>
      </c>
      <c r="J2450">
        <f>IF(F2450="","",F2450&gt;=5)</f>
        <v/>
      </c>
      <c r="K2450">
        <f>IF(H2450="","",H2450&gt;=75)</f>
        <v/>
      </c>
      <c r="L2450">
        <f>IF(OR(I2450="",J2450="",K2450=""),FALSE,AND(I2450,J2450,K2450))</f>
        <v/>
      </c>
    </row>
    <row r="2451">
      <c r="A2451">
        <f>Universe!A2451</f>
        <v/>
      </c>
      <c r="B2451" s="10" t="n"/>
      <c r="C2451" s="11">
        <f>IF(B2451="","",PERCENTRANK.INC($B$2:$B$2501,B2451)*100)</f>
        <v/>
      </c>
      <c r="D2451" s="10" t="n"/>
      <c r="E2451" s="10">
        <f>IF(D2451="","",MIN(D2451,100))</f>
        <v/>
      </c>
      <c r="F2451" s="10" t="n"/>
      <c r="G2451" s="10">
        <f>IF(F2451="","",MIN(F2451,100))</f>
        <v/>
      </c>
      <c r="H2451" s="11">
        <f>IF(A2451="","",Universe!E2451/BDP(A2451&amp;" US Equity","HIGH_52WEEK")*100)</f>
        <v/>
      </c>
      <c r="I2451">
        <f>IF(D2451="","",D2451&gt;=5)</f>
        <v/>
      </c>
      <c r="J2451">
        <f>IF(F2451="","",F2451&gt;=5)</f>
        <v/>
      </c>
      <c r="K2451">
        <f>IF(H2451="","",H2451&gt;=75)</f>
        <v/>
      </c>
      <c r="L2451">
        <f>IF(OR(I2451="",J2451="",K2451=""),FALSE,AND(I2451,J2451,K2451))</f>
        <v/>
      </c>
    </row>
    <row r="2452">
      <c r="A2452">
        <f>Universe!A2452</f>
        <v/>
      </c>
      <c r="B2452" s="10" t="n"/>
      <c r="C2452" s="11">
        <f>IF(B2452="","",PERCENTRANK.INC($B$2:$B$2501,B2452)*100)</f>
        <v/>
      </c>
      <c r="D2452" s="10" t="n"/>
      <c r="E2452" s="10">
        <f>IF(D2452="","",MIN(D2452,100))</f>
        <v/>
      </c>
      <c r="F2452" s="10" t="n"/>
      <c r="G2452" s="10">
        <f>IF(F2452="","",MIN(F2452,100))</f>
        <v/>
      </c>
      <c r="H2452" s="11">
        <f>IF(A2452="","",Universe!E2452/BDP(A2452&amp;" US Equity","HIGH_52WEEK")*100)</f>
        <v/>
      </c>
      <c r="I2452">
        <f>IF(D2452="","",D2452&gt;=5)</f>
        <v/>
      </c>
      <c r="J2452">
        <f>IF(F2452="","",F2452&gt;=5)</f>
        <v/>
      </c>
      <c r="K2452">
        <f>IF(H2452="","",H2452&gt;=75)</f>
        <v/>
      </c>
      <c r="L2452">
        <f>IF(OR(I2452="",J2452="",K2452=""),FALSE,AND(I2452,J2452,K2452))</f>
        <v/>
      </c>
    </row>
    <row r="2453">
      <c r="A2453">
        <f>Universe!A2453</f>
        <v/>
      </c>
      <c r="B2453" s="10" t="n"/>
      <c r="C2453" s="11">
        <f>IF(B2453="","",PERCENTRANK.INC($B$2:$B$2501,B2453)*100)</f>
        <v/>
      </c>
      <c r="D2453" s="10" t="n"/>
      <c r="E2453" s="10">
        <f>IF(D2453="","",MIN(D2453,100))</f>
        <v/>
      </c>
      <c r="F2453" s="10" t="n"/>
      <c r="G2453" s="10">
        <f>IF(F2453="","",MIN(F2453,100))</f>
        <v/>
      </c>
      <c r="H2453" s="11">
        <f>IF(A2453="","",Universe!E2453/BDP(A2453&amp;" US Equity","HIGH_52WEEK")*100)</f>
        <v/>
      </c>
      <c r="I2453">
        <f>IF(D2453="","",D2453&gt;=5)</f>
        <v/>
      </c>
      <c r="J2453">
        <f>IF(F2453="","",F2453&gt;=5)</f>
        <v/>
      </c>
      <c r="K2453">
        <f>IF(H2453="","",H2453&gt;=75)</f>
        <v/>
      </c>
      <c r="L2453">
        <f>IF(OR(I2453="",J2453="",K2453=""),FALSE,AND(I2453,J2453,K2453))</f>
        <v/>
      </c>
    </row>
    <row r="2454">
      <c r="A2454">
        <f>Universe!A2454</f>
        <v/>
      </c>
      <c r="B2454" s="10" t="n"/>
      <c r="C2454" s="11">
        <f>IF(B2454="","",PERCENTRANK.INC($B$2:$B$2501,B2454)*100)</f>
        <v/>
      </c>
      <c r="D2454" s="10" t="n"/>
      <c r="E2454" s="10">
        <f>IF(D2454="","",MIN(D2454,100))</f>
        <v/>
      </c>
      <c r="F2454" s="10" t="n"/>
      <c r="G2454" s="10">
        <f>IF(F2454="","",MIN(F2454,100))</f>
        <v/>
      </c>
      <c r="H2454" s="11">
        <f>IF(A2454="","",Universe!E2454/BDP(A2454&amp;" US Equity","HIGH_52WEEK")*100)</f>
        <v/>
      </c>
      <c r="I2454">
        <f>IF(D2454="","",D2454&gt;=5)</f>
        <v/>
      </c>
      <c r="J2454">
        <f>IF(F2454="","",F2454&gt;=5)</f>
        <v/>
      </c>
      <c r="K2454">
        <f>IF(H2454="","",H2454&gt;=75)</f>
        <v/>
      </c>
      <c r="L2454">
        <f>IF(OR(I2454="",J2454="",K2454=""),FALSE,AND(I2454,J2454,K2454))</f>
        <v/>
      </c>
    </row>
    <row r="2455">
      <c r="A2455">
        <f>Universe!A2455</f>
        <v/>
      </c>
      <c r="B2455" s="10" t="n"/>
      <c r="C2455" s="11">
        <f>IF(B2455="","",PERCENTRANK.INC($B$2:$B$2501,B2455)*100)</f>
        <v/>
      </c>
      <c r="D2455" s="10" t="n"/>
      <c r="E2455" s="10">
        <f>IF(D2455="","",MIN(D2455,100))</f>
        <v/>
      </c>
      <c r="F2455" s="10" t="n"/>
      <c r="G2455" s="10">
        <f>IF(F2455="","",MIN(F2455,100))</f>
        <v/>
      </c>
      <c r="H2455" s="11">
        <f>IF(A2455="","",Universe!E2455/BDP(A2455&amp;" US Equity","HIGH_52WEEK")*100)</f>
        <v/>
      </c>
      <c r="I2455">
        <f>IF(D2455="","",D2455&gt;=5)</f>
        <v/>
      </c>
      <c r="J2455">
        <f>IF(F2455="","",F2455&gt;=5)</f>
        <v/>
      </c>
      <c r="K2455">
        <f>IF(H2455="","",H2455&gt;=75)</f>
        <v/>
      </c>
      <c r="L2455">
        <f>IF(OR(I2455="",J2455="",K2455=""),FALSE,AND(I2455,J2455,K2455))</f>
        <v/>
      </c>
    </row>
    <row r="2456">
      <c r="A2456">
        <f>Universe!A2456</f>
        <v/>
      </c>
      <c r="B2456" s="10" t="n"/>
      <c r="C2456" s="11">
        <f>IF(B2456="","",PERCENTRANK.INC($B$2:$B$2501,B2456)*100)</f>
        <v/>
      </c>
      <c r="D2456" s="10" t="n"/>
      <c r="E2456" s="10">
        <f>IF(D2456="","",MIN(D2456,100))</f>
        <v/>
      </c>
      <c r="F2456" s="10" t="n"/>
      <c r="G2456" s="10">
        <f>IF(F2456="","",MIN(F2456,100))</f>
        <v/>
      </c>
      <c r="H2456" s="11">
        <f>IF(A2456="","",Universe!E2456/BDP(A2456&amp;" US Equity","HIGH_52WEEK")*100)</f>
        <v/>
      </c>
      <c r="I2456">
        <f>IF(D2456="","",D2456&gt;=5)</f>
        <v/>
      </c>
      <c r="J2456">
        <f>IF(F2456="","",F2456&gt;=5)</f>
        <v/>
      </c>
      <c r="K2456">
        <f>IF(H2456="","",H2456&gt;=75)</f>
        <v/>
      </c>
      <c r="L2456">
        <f>IF(OR(I2456="",J2456="",K2456=""),FALSE,AND(I2456,J2456,K2456))</f>
        <v/>
      </c>
    </row>
    <row r="2457">
      <c r="A2457">
        <f>Universe!A2457</f>
        <v/>
      </c>
      <c r="B2457" s="10" t="n"/>
      <c r="C2457" s="11">
        <f>IF(B2457="","",PERCENTRANK.INC($B$2:$B$2501,B2457)*100)</f>
        <v/>
      </c>
      <c r="D2457" s="10" t="n"/>
      <c r="E2457" s="10">
        <f>IF(D2457="","",MIN(D2457,100))</f>
        <v/>
      </c>
      <c r="F2457" s="10" t="n"/>
      <c r="G2457" s="10">
        <f>IF(F2457="","",MIN(F2457,100))</f>
        <v/>
      </c>
      <c r="H2457" s="11">
        <f>IF(A2457="","",Universe!E2457/BDP(A2457&amp;" US Equity","HIGH_52WEEK")*100)</f>
        <v/>
      </c>
      <c r="I2457">
        <f>IF(D2457="","",D2457&gt;=5)</f>
        <v/>
      </c>
      <c r="J2457">
        <f>IF(F2457="","",F2457&gt;=5)</f>
        <v/>
      </c>
      <c r="K2457">
        <f>IF(H2457="","",H2457&gt;=75)</f>
        <v/>
      </c>
      <c r="L2457">
        <f>IF(OR(I2457="",J2457="",K2457=""),FALSE,AND(I2457,J2457,K2457))</f>
        <v/>
      </c>
    </row>
    <row r="2458">
      <c r="A2458">
        <f>Universe!A2458</f>
        <v/>
      </c>
      <c r="B2458" s="10" t="n"/>
      <c r="C2458" s="11">
        <f>IF(B2458="","",PERCENTRANK.INC($B$2:$B$2501,B2458)*100)</f>
        <v/>
      </c>
      <c r="D2458" s="10" t="n"/>
      <c r="E2458" s="10">
        <f>IF(D2458="","",MIN(D2458,100))</f>
        <v/>
      </c>
      <c r="F2458" s="10" t="n"/>
      <c r="G2458" s="10">
        <f>IF(F2458="","",MIN(F2458,100))</f>
        <v/>
      </c>
      <c r="H2458" s="11">
        <f>IF(A2458="","",Universe!E2458/BDP(A2458&amp;" US Equity","HIGH_52WEEK")*100)</f>
        <v/>
      </c>
      <c r="I2458">
        <f>IF(D2458="","",D2458&gt;=5)</f>
        <v/>
      </c>
      <c r="J2458">
        <f>IF(F2458="","",F2458&gt;=5)</f>
        <v/>
      </c>
      <c r="K2458">
        <f>IF(H2458="","",H2458&gt;=75)</f>
        <v/>
      </c>
      <c r="L2458">
        <f>IF(OR(I2458="",J2458="",K2458=""),FALSE,AND(I2458,J2458,K2458))</f>
        <v/>
      </c>
    </row>
    <row r="2459">
      <c r="A2459">
        <f>Universe!A2459</f>
        <v/>
      </c>
      <c r="B2459" s="10" t="n"/>
      <c r="C2459" s="11">
        <f>IF(B2459="","",PERCENTRANK.INC($B$2:$B$2501,B2459)*100)</f>
        <v/>
      </c>
      <c r="D2459" s="10" t="n"/>
      <c r="E2459" s="10">
        <f>IF(D2459="","",MIN(D2459,100))</f>
        <v/>
      </c>
      <c r="F2459" s="10" t="n"/>
      <c r="G2459" s="10">
        <f>IF(F2459="","",MIN(F2459,100))</f>
        <v/>
      </c>
      <c r="H2459" s="11">
        <f>IF(A2459="","",Universe!E2459/BDP(A2459&amp;" US Equity","HIGH_52WEEK")*100)</f>
        <v/>
      </c>
      <c r="I2459">
        <f>IF(D2459="","",D2459&gt;=5)</f>
        <v/>
      </c>
      <c r="J2459">
        <f>IF(F2459="","",F2459&gt;=5)</f>
        <v/>
      </c>
      <c r="K2459">
        <f>IF(H2459="","",H2459&gt;=75)</f>
        <v/>
      </c>
      <c r="L2459">
        <f>IF(OR(I2459="",J2459="",K2459=""),FALSE,AND(I2459,J2459,K2459))</f>
        <v/>
      </c>
    </row>
    <row r="2460">
      <c r="A2460">
        <f>Universe!A2460</f>
        <v/>
      </c>
      <c r="B2460" s="10" t="n"/>
      <c r="C2460" s="11">
        <f>IF(B2460="","",PERCENTRANK.INC($B$2:$B$2501,B2460)*100)</f>
        <v/>
      </c>
      <c r="D2460" s="10" t="n"/>
      <c r="E2460" s="10">
        <f>IF(D2460="","",MIN(D2460,100))</f>
        <v/>
      </c>
      <c r="F2460" s="10" t="n"/>
      <c r="G2460" s="10">
        <f>IF(F2460="","",MIN(F2460,100))</f>
        <v/>
      </c>
      <c r="H2460" s="11">
        <f>IF(A2460="","",Universe!E2460/BDP(A2460&amp;" US Equity","HIGH_52WEEK")*100)</f>
        <v/>
      </c>
      <c r="I2460">
        <f>IF(D2460="","",D2460&gt;=5)</f>
        <v/>
      </c>
      <c r="J2460">
        <f>IF(F2460="","",F2460&gt;=5)</f>
        <v/>
      </c>
      <c r="K2460">
        <f>IF(H2460="","",H2460&gt;=75)</f>
        <v/>
      </c>
      <c r="L2460">
        <f>IF(OR(I2460="",J2460="",K2460=""),FALSE,AND(I2460,J2460,K2460))</f>
        <v/>
      </c>
    </row>
    <row r="2461">
      <c r="A2461">
        <f>Universe!A2461</f>
        <v/>
      </c>
      <c r="B2461" s="10" t="n"/>
      <c r="C2461" s="11">
        <f>IF(B2461="","",PERCENTRANK.INC($B$2:$B$2501,B2461)*100)</f>
        <v/>
      </c>
      <c r="D2461" s="10" t="n"/>
      <c r="E2461" s="10">
        <f>IF(D2461="","",MIN(D2461,100))</f>
        <v/>
      </c>
      <c r="F2461" s="10" t="n"/>
      <c r="G2461" s="10">
        <f>IF(F2461="","",MIN(F2461,100))</f>
        <v/>
      </c>
      <c r="H2461" s="11">
        <f>IF(A2461="","",Universe!E2461/BDP(A2461&amp;" US Equity","HIGH_52WEEK")*100)</f>
        <v/>
      </c>
      <c r="I2461">
        <f>IF(D2461="","",D2461&gt;=5)</f>
        <v/>
      </c>
      <c r="J2461">
        <f>IF(F2461="","",F2461&gt;=5)</f>
        <v/>
      </c>
      <c r="K2461">
        <f>IF(H2461="","",H2461&gt;=75)</f>
        <v/>
      </c>
      <c r="L2461">
        <f>IF(OR(I2461="",J2461="",K2461=""),FALSE,AND(I2461,J2461,K2461))</f>
        <v/>
      </c>
    </row>
    <row r="2462">
      <c r="A2462">
        <f>Universe!A2462</f>
        <v/>
      </c>
      <c r="B2462" s="10" t="n"/>
      <c r="C2462" s="11">
        <f>IF(B2462="","",PERCENTRANK.INC($B$2:$B$2501,B2462)*100)</f>
        <v/>
      </c>
      <c r="D2462" s="10" t="n"/>
      <c r="E2462" s="10">
        <f>IF(D2462="","",MIN(D2462,100))</f>
        <v/>
      </c>
      <c r="F2462" s="10" t="n"/>
      <c r="G2462" s="10">
        <f>IF(F2462="","",MIN(F2462,100))</f>
        <v/>
      </c>
      <c r="H2462" s="11">
        <f>IF(A2462="","",Universe!E2462/BDP(A2462&amp;" US Equity","HIGH_52WEEK")*100)</f>
        <v/>
      </c>
      <c r="I2462">
        <f>IF(D2462="","",D2462&gt;=5)</f>
        <v/>
      </c>
      <c r="J2462">
        <f>IF(F2462="","",F2462&gt;=5)</f>
        <v/>
      </c>
      <c r="K2462">
        <f>IF(H2462="","",H2462&gt;=75)</f>
        <v/>
      </c>
      <c r="L2462">
        <f>IF(OR(I2462="",J2462="",K2462=""),FALSE,AND(I2462,J2462,K2462))</f>
        <v/>
      </c>
    </row>
    <row r="2463">
      <c r="A2463">
        <f>Universe!A2463</f>
        <v/>
      </c>
      <c r="B2463" s="10" t="n"/>
      <c r="C2463" s="11">
        <f>IF(B2463="","",PERCENTRANK.INC($B$2:$B$2501,B2463)*100)</f>
        <v/>
      </c>
      <c r="D2463" s="10" t="n"/>
      <c r="E2463" s="10">
        <f>IF(D2463="","",MIN(D2463,100))</f>
        <v/>
      </c>
      <c r="F2463" s="10" t="n"/>
      <c r="G2463" s="10">
        <f>IF(F2463="","",MIN(F2463,100))</f>
        <v/>
      </c>
      <c r="H2463" s="11">
        <f>IF(A2463="","",Universe!E2463/BDP(A2463&amp;" US Equity","HIGH_52WEEK")*100)</f>
        <v/>
      </c>
      <c r="I2463">
        <f>IF(D2463="","",D2463&gt;=5)</f>
        <v/>
      </c>
      <c r="J2463">
        <f>IF(F2463="","",F2463&gt;=5)</f>
        <v/>
      </c>
      <c r="K2463">
        <f>IF(H2463="","",H2463&gt;=75)</f>
        <v/>
      </c>
      <c r="L2463">
        <f>IF(OR(I2463="",J2463="",K2463=""),FALSE,AND(I2463,J2463,K2463))</f>
        <v/>
      </c>
    </row>
    <row r="2464">
      <c r="A2464">
        <f>Universe!A2464</f>
        <v/>
      </c>
      <c r="B2464" s="10" t="n"/>
      <c r="C2464" s="11">
        <f>IF(B2464="","",PERCENTRANK.INC($B$2:$B$2501,B2464)*100)</f>
        <v/>
      </c>
      <c r="D2464" s="10" t="n"/>
      <c r="E2464" s="10">
        <f>IF(D2464="","",MIN(D2464,100))</f>
        <v/>
      </c>
      <c r="F2464" s="10" t="n"/>
      <c r="G2464" s="10">
        <f>IF(F2464="","",MIN(F2464,100))</f>
        <v/>
      </c>
      <c r="H2464" s="11">
        <f>IF(A2464="","",Universe!E2464/BDP(A2464&amp;" US Equity","HIGH_52WEEK")*100)</f>
        <v/>
      </c>
      <c r="I2464">
        <f>IF(D2464="","",D2464&gt;=5)</f>
        <v/>
      </c>
      <c r="J2464">
        <f>IF(F2464="","",F2464&gt;=5)</f>
        <v/>
      </c>
      <c r="K2464">
        <f>IF(H2464="","",H2464&gt;=75)</f>
        <v/>
      </c>
      <c r="L2464">
        <f>IF(OR(I2464="",J2464="",K2464=""),FALSE,AND(I2464,J2464,K2464))</f>
        <v/>
      </c>
    </row>
    <row r="2465">
      <c r="A2465">
        <f>Universe!A2465</f>
        <v/>
      </c>
      <c r="B2465" s="10" t="n"/>
      <c r="C2465" s="11">
        <f>IF(B2465="","",PERCENTRANK.INC($B$2:$B$2501,B2465)*100)</f>
        <v/>
      </c>
      <c r="D2465" s="10" t="n"/>
      <c r="E2465" s="10">
        <f>IF(D2465="","",MIN(D2465,100))</f>
        <v/>
      </c>
      <c r="F2465" s="10" t="n"/>
      <c r="G2465" s="10">
        <f>IF(F2465="","",MIN(F2465,100))</f>
        <v/>
      </c>
      <c r="H2465" s="11">
        <f>IF(A2465="","",Universe!E2465/BDP(A2465&amp;" US Equity","HIGH_52WEEK")*100)</f>
        <v/>
      </c>
      <c r="I2465">
        <f>IF(D2465="","",D2465&gt;=5)</f>
        <v/>
      </c>
      <c r="J2465">
        <f>IF(F2465="","",F2465&gt;=5)</f>
        <v/>
      </c>
      <c r="K2465">
        <f>IF(H2465="","",H2465&gt;=75)</f>
        <v/>
      </c>
      <c r="L2465">
        <f>IF(OR(I2465="",J2465="",K2465=""),FALSE,AND(I2465,J2465,K2465))</f>
        <v/>
      </c>
    </row>
    <row r="2466">
      <c r="A2466">
        <f>Universe!A2466</f>
        <v/>
      </c>
      <c r="B2466" s="10" t="n"/>
      <c r="C2466" s="11">
        <f>IF(B2466="","",PERCENTRANK.INC($B$2:$B$2501,B2466)*100)</f>
        <v/>
      </c>
      <c r="D2466" s="10" t="n"/>
      <c r="E2466" s="10">
        <f>IF(D2466="","",MIN(D2466,100))</f>
        <v/>
      </c>
      <c r="F2466" s="10" t="n"/>
      <c r="G2466" s="10">
        <f>IF(F2466="","",MIN(F2466,100))</f>
        <v/>
      </c>
      <c r="H2466" s="11">
        <f>IF(A2466="","",Universe!E2466/BDP(A2466&amp;" US Equity","HIGH_52WEEK")*100)</f>
        <v/>
      </c>
      <c r="I2466">
        <f>IF(D2466="","",D2466&gt;=5)</f>
        <v/>
      </c>
      <c r="J2466">
        <f>IF(F2466="","",F2466&gt;=5)</f>
        <v/>
      </c>
      <c r="K2466">
        <f>IF(H2466="","",H2466&gt;=75)</f>
        <v/>
      </c>
      <c r="L2466">
        <f>IF(OR(I2466="",J2466="",K2466=""),FALSE,AND(I2466,J2466,K2466))</f>
        <v/>
      </c>
    </row>
    <row r="2467">
      <c r="A2467">
        <f>Universe!A2467</f>
        <v/>
      </c>
      <c r="B2467" s="10" t="n"/>
      <c r="C2467" s="11">
        <f>IF(B2467="","",PERCENTRANK.INC($B$2:$B$2501,B2467)*100)</f>
        <v/>
      </c>
      <c r="D2467" s="10" t="n"/>
      <c r="E2467" s="10">
        <f>IF(D2467="","",MIN(D2467,100))</f>
        <v/>
      </c>
      <c r="F2467" s="10" t="n"/>
      <c r="G2467" s="10">
        <f>IF(F2467="","",MIN(F2467,100))</f>
        <v/>
      </c>
      <c r="H2467" s="11">
        <f>IF(A2467="","",Universe!E2467/BDP(A2467&amp;" US Equity","HIGH_52WEEK")*100)</f>
        <v/>
      </c>
      <c r="I2467">
        <f>IF(D2467="","",D2467&gt;=5)</f>
        <v/>
      </c>
      <c r="J2467">
        <f>IF(F2467="","",F2467&gt;=5)</f>
        <v/>
      </c>
      <c r="K2467">
        <f>IF(H2467="","",H2467&gt;=75)</f>
        <v/>
      </c>
      <c r="L2467">
        <f>IF(OR(I2467="",J2467="",K2467=""),FALSE,AND(I2467,J2467,K2467))</f>
        <v/>
      </c>
    </row>
    <row r="2468">
      <c r="A2468">
        <f>Universe!A2468</f>
        <v/>
      </c>
      <c r="B2468" s="10" t="n"/>
      <c r="C2468" s="11">
        <f>IF(B2468="","",PERCENTRANK.INC($B$2:$B$2501,B2468)*100)</f>
        <v/>
      </c>
      <c r="D2468" s="10" t="n"/>
      <c r="E2468" s="10">
        <f>IF(D2468="","",MIN(D2468,100))</f>
        <v/>
      </c>
      <c r="F2468" s="10" t="n"/>
      <c r="G2468" s="10">
        <f>IF(F2468="","",MIN(F2468,100))</f>
        <v/>
      </c>
      <c r="H2468" s="11">
        <f>IF(A2468="","",Universe!E2468/BDP(A2468&amp;" US Equity","HIGH_52WEEK")*100)</f>
        <v/>
      </c>
      <c r="I2468">
        <f>IF(D2468="","",D2468&gt;=5)</f>
        <v/>
      </c>
      <c r="J2468">
        <f>IF(F2468="","",F2468&gt;=5)</f>
        <v/>
      </c>
      <c r="K2468">
        <f>IF(H2468="","",H2468&gt;=75)</f>
        <v/>
      </c>
      <c r="L2468">
        <f>IF(OR(I2468="",J2468="",K2468=""),FALSE,AND(I2468,J2468,K2468))</f>
        <v/>
      </c>
    </row>
    <row r="2469">
      <c r="A2469">
        <f>Universe!A2469</f>
        <v/>
      </c>
      <c r="B2469" s="10" t="n"/>
      <c r="C2469" s="11">
        <f>IF(B2469="","",PERCENTRANK.INC($B$2:$B$2501,B2469)*100)</f>
        <v/>
      </c>
      <c r="D2469" s="10" t="n"/>
      <c r="E2469" s="10">
        <f>IF(D2469="","",MIN(D2469,100))</f>
        <v/>
      </c>
      <c r="F2469" s="10" t="n"/>
      <c r="G2469" s="10">
        <f>IF(F2469="","",MIN(F2469,100))</f>
        <v/>
      </c>
      <c r="H2469" s="11">
        <f>IF(A2469="","",Universe!E2469/BDP(A2469&amp;" US Equity","HIGH_52WEEK")*100)</f>
        <v/>
      </c>
      <c r="I2469">
        <f>IF(D2469="","",D2469&gt;=5)</f>
        <v/>
      </c>
      <c r="J2469">
        <f>IF(F2469="","",F2469&gt;=5)</f>
        <v/>
      </c>
      <c r="K2469">
        <f>IF(H2469="","",H2469&gt;=75)</f>
        <v/>
      </c>
      <c r="L2469">
        <f>IF(OR(I2469="",J2469="",K2469=""),FALSE,AND(I2469,J2469,K2469))</f>
        <v/>
      </c>
    </row>
    <row r="2470">
      <c r="A2470">
        <f>Universe!A2470</f>
        <v/>
      </c>
      <c r="B2470" s="10" t="n"/>
      <c r="C2470" s="11">
        <f>IF(B2470="","",PERCENTRANK.INC($B$2:$B$2501,B2470)*100)</f>
        <v/>
      </c>
      <c r="D2470" s="10" t="n"/>
      <c r="E2470" s="10">
        <f>IF(D2470="","",MIN(D2470,100))</f>
        <v/>
      </c>
      <c r="F2470" s="10" t="n"/>
      <c r="G2470" s="10">
        <f>IF(F2470="","",MIN(F2470,100))</f>
        <v/>
      </c>
      <c r="H2470" s="11">
        <f>IF(A2470="","",Universe!E2470/BDP(A2470&amp;" US Equity","HIGH_52WEEK")*100)</f>
        <v/>
      </c>
      <c r="I2470">
        <f>IF(D2470="","",D2470&gt;=5)</f>
        <v/>
      </c>
      <c r="J2470">
        <f>IF(F2470="","",F2470&gt;=5)</f>
        <v/>
      </c>
      <c r="K2470">
        <f>IF(H2470="","",H2470&gt;=75)</f>
        <v/>
      </c>
      <c r="L2470">
        <f>IF(OR(I2470="",J2470="",K2470=""),FALSE,AND(I2470,J2470,K2470))</f>
        <v/>
      </c>
    </row>
    <row r="2471">
      <c r="A2471">
        <f>Universe!A2471</f>
        <v/>
      </c>
      <c r="B2471" s="10" t="n"/>
      <c r="C2471" s="11">
        <f>IF(B2471="","",PERCENTRANK.INC($B$2:$B$2501,B2471)*100)</f>
        <v/>
      </c>
      <c r="D2471" s="10" t="n"/>
      <c r="E2471" s="10">
        <f>IF(D2471="","",MIN(D2471,100))</f>
        <v/>
      </c>
      <c r="F2471" s="10" t="n"/>
      <c r="G2471" s="10">
        <f>IF(F2471="","",MIN(F2471,100))</f>
        <v/>
      </c>
      <c r="H2471" s="11">
        <f>IF(A2471="","",Universe!E2471/BDP(A2471&amp;" US Equity","HIGH_52WEEK")*100)</f>
        <v/>
      </c>
      <c r="I2471">
        <f>IF(D2471="","",D2471&gt;=5)</f>
        <v/>
      </c>
      <c r="J2471">
        <f>IF(F2471="","",F2471&gt;=5)</f>
        <v/>
      </c>
      <c r="K2471">
        <f>IF(H2471="","",H2471&gt;=75)</f>
        <v/>
      </c>
      <c r="L2471">
        <f>IF(OR(I2471="",J2471="",K2471=""),FALSE,AND(I2471,J2471,K2471))</f>
        <v/>
      </c>
    </row>
    <row r="2472">
      <c r="A2472">
        <f>Universe!A2472</f>
        <v/>
      </c>
      <c r="B2472" s="10" t="n"/>
      <c r="C2472" s="11">
        <f>IF(B2472="","",PERCENTRANK.INC($B$2:$B$2501,B2472)*100)</f>
        <v/>
      </c>
      <c r="D2472" s="10" t="n"/>
      <c r="E2472" s="10">
        <f>IF(D2472="","",MIN(D2472,100))</f>
        <v/>
      </c>
      <c r="F2472" s="10" t="n"/>
      <c r="G2472" s="10">
        <f>IF(F2472="","",MIN(F2472,100))</f>
        <v/>
      </c>
      <c r="H2472" s="11">
        <f>IF(A2472="","",Universe!E2472/BDP(A2472&amp;" US Equity","HIGH_52WEEK")*100)</f>
        <v/>
      </c>
      <c r="I2472">
        <f>IF(D2472="","",D2472&gt;=5)</f>
        <v/>
      </c>
      <c r="J2472">
        <f>IF(F2472="","",F2472&gt;=5)</f>
        <v/>
      </c>
      <c r="K2472">
        <f>IF(H2472="","",H2472&gt;=75)</f>
        <v/>
      </c>
      <c r="L2472">
        <f>IF(OR(I2472="",J2472="",K2472=""),FALSE,AND(I2472,J2472,K2472))</f>
        <v/>
      </c>
    </row>
    <row r="2473">
      <c r="A2473">
        <f>Universe!A2473</f>
        <v/>
      </c>
      <c r="B2473" s="10" t="n"/>
      <c r="C2473" s="11">
        <f>IF(B2473="","",PERCENTRANK.INC($B$2:$B$2501,B2473)*100)</f>
        <v/>
      </c>
      <c r="D2473" s="10" t="n"/>
      <c r="E2473" s="10">
        <f>IF(D2473="","",MIN(D2473,100))</f>
        <v/>
      </c>
      <c r="F2473" s="10" t="n"/>
      <c r="G2473" s="10">
        <f>IF(F2473="","",MIN(F2473,100))</f>
        <v/>
      </c>
      <c r="H2473" s="11">
        <f>IF(A2473="","",Universe!E2473/BDP(A2473&amp;" US Equity","HIGH_52WEEK")*100)</f>
        <v/>
      </c>
      <c r="I2473">
        <f>IF(D2473="","",D2473&gt;=5)</f>
        <v/>
      </c>
      <c r="J2473">
        <f>IF(F2473="","",F2473&gt;=5)</f>
        <v/>
      </c>
      <c r="K2473">
        <f>IF(H2473="","",H2473&gt;=75)</f>
        <v/>
      </c>
      <c r="L2473">
        <f>IF(OR(I2473="",J2473="",K2473=""),FALSE,AND(I2473,J2473,K2473))</f>
        <v/>
      </c>
    </row>
    <row r="2474">
      <c r="A2474">
        <f>Universe!A2474</f>
        <v/>
      </c>
      <c r="B2474" s="10" t="n"/>
      <c r="C2474" s="11">
        <f>IF(B2474="","",PERCENTRANK.INC($B$2:$B$2501,B2474)*100)</f>
        <v/>
      </c>
      <c r="D2474" s="10" t="n"/>
      <c r="E2474" s="10">
        <f>IF(D2474="","",MIN(D2474,100))</f>
        <v/>
      </c>
      <c r="F2474" s="10" t="n"/>
      <c r="G2474" s="10">
        <f>IF(F2474="","",MIN(F2474,100))</f>
        <v/>
      </c>
      <c r="H2474" s="11">
        <f>IF(A2474="","",Universe!E2474/BDP(A2474&amp;" US Equity","HIGH_52WEEK")*100)</f>
        <v/>
      </c>
      <c r="I2474">
        <f>IF(D2474="","",D2474&gt;=5)</f>
        <v/>
      </c>
      <c r="J2474">
        <f>IF(F2474="","",F2474&gt;=5)</f>
        <v/>
      </c>
      <c r="K2474">
        <f>IF(H2474="","",H2474&gt;=75)</f>
        <v/>
      </c>
      <c r="L2474">
        <f>IF(OR(I2474="",J2474="",K2474=""),FALSE,AND(I2474,J2474,K2474))</f>
        <v/>
      </c>
    </row>
    <row r="2475">
      <c r="A2475">
        <f>Universe!A2475</f>
        <v/>
      </c>
      <c r="B2475" s="10" t="n"/>
      <c r="C2475" s="11">
        <f>IF(B2475="","",PERCENTRANK.INC($B$2:$B$2501,B2475)*100)</f>
        <v/>
      </c>
      <c r="D2475" s="10" t="n"/>
      <c r="E2475" s="10">
        <f>IF(D2475="","",MIN(D2475,100))</f>
        <v/>
      </c>
      <c r="F2475" s="10" t="n"/>
      <c r="G2475" s="10">
        <f>IF(F2475="","",MIN(F2475,100))</f>
        <v/>
      </c>
      <c r="H2475" s="11">
        <f>IF(A2475="","",Universe!E2475/BDP(A2475&amp;" US Equity","HIGH_52WEEK")*100)</f>
        <v/>
      </c>
      <c r="I2475">
        <f>IF(D2475="","",D2475&gt;=5)</f>
        <v/>
      </c>
      <c r="J2475">
        <f>IF(F2475="","",F2475&gt;=5)</f>
        <v/>
      </c>
      <c r="K2475">
        <f>IF(H2475="","",H2475&gt;=75)</f>
        <v/>
      </c>
      <c r="L2475">
        <f>IF(OR(I2475="",J2475="",K2475=""),FALSE,AND(I2475,J2475,K2475))</f>
        <v/>
      </c>
    </row>
    <row r="2476">
      <c r="A2476">
        <f>Universe!A2476</f>
        <v/>
      </c>
      <c r="B2476" s="10" t="n"/>
      <c r="C2476" s="11">
        <f>IF(B2476="","",PERCENTRANK.INC($B$2:$B$2501,B2476)*100)</f>
        <v/>
      </c>
      <c r="D2476" s="10" t="n"/>
      <c r="E2476" s="10">
        <f>IF(D2476="","",MIN(D2476,100))</f>
        <v/>
      </c>
      <c r="F2476" s="10" t="n"/>
      <c r="G2476" s="10">
        <f>IF(F2476="","",MIN(F2476,100))</f>
        <v/>
      </c>
      <c r="H2476" s="11">
        <f>IF(A2476="","",Universe!E2476/BDP(A2476&amp;" US Equity","HIGH_52WEEK")*100)</f>
        <v/>
      </c>
      <c r="I2476">
        <f>IF(D2476="","",D2476&gt;=5)</f>
        <v/>
      </c>
      <c r="J2476">
        <f>IF(F2476="","",F2476&gt;=5)</f>
        <v/>
      </c>
      <c r="K2476">
        <f>IF(H2476="","",H2476&gt;=75)</f>
        <v/>
      </c>
      <c r="L2476">
        <f>IF(OR(I2476="",J2476="",K2476=""),FALSE,AND(I2476,J2476,K2476))</f>
        <v/>
      </c>
    </row>
    <row r="2477">
      <c r="A2477">
        <f>Universe!A2477</f>
        <v/>
      </c>
      <c r="B2477" s="10" t="n"/>
      <c r="C2477" s="11">
        <f>IF(B2477="","",PERCENTRANK.INC($B$2:$B$2501,B2477)*100)</f>
        <v/>
      </c>
      <c r="D2477" s="10" t="n"/>
      <c r="E2477" s="10">
        <f>IF(D2477="","",MIN(D2477,100))</f>
        <v/>
      </c>
      <c r="F2477" s="10" t="n"/>
      <c r="G2477" s="10">
        <f>IF(F2477="","",MIN(F2477,100))</f>
        <v/>
      </c>
      <c r="H2477" s="11">
        <f>IF(A2477="","",Universe!E2477/BDP(A2477&amp;" US Equity","HIGH_52WEEK")*100)</f>
        <v/>
      </c>
      <c r="I2477">
        <f>IF(D2477="","",D2477&gt;=5)</f>
        <v/>
      </c>
      <c r="J2477">
        <f>IF(F2477="","",F2477&gt;=5)</f>
        <v/>
      </c>
      <c r="K2477">
        <f>IF(H2477="","",H2477&gt;=75)</f>
        <v/>
      </c>
      <c r="L2477">
        <f>IF(OR(I2477="",J2477="",K2477=""),FALSE,AND(I2477,J2477,K2477))</f>
        <v/>
      </c>
    </row>
    <row r="2478">
      <c r="A2478">
        <f>Universe!A2478</f>
        <v/>
      </c>
      <c r="B2478" s="10" t="n"/>
      <c r="C2478" s="11">
        <f>IF(B2478="","",PERCENTRANK.INC($B$2:$B$2501,B2478)*100)</f>
        <v/>
      </c>
      <c r="D2478" s="10" t="n"/>
      <c r="E2478" s="10">
        <f>IF(D2478="","",MIN(D2478,100))</f>
        <v/>
      </c>
      <c r="F2478" s="10" t="n"/>
      <c r="G2478" s="10">
        <f>IF(F2478="","",MIN(F2478,100))</f>
        <v/>
      </c>
      <c r="H2478" s="11">
        <f>IF(A2478="","",Universe!E2478/BDP(A2478&amp;" US Equity","HIGH_52WEEK")*100)</f>
        <v/>
      </c>
      <c r="I2478">
        <f>IF(D2478="","",D2478&gt;=5)</f>
        <v/>
      </c>
      <c r="J2478">
        <f>IF(F2478="","",F2478&gt;=5)</f>
        <v/>
      </c>
      <c r="K2478">
        <f>IF(H2478="","",H2478&gt;=75)</f>
        <v/>
      </c>
      <c r="L2478">
        <f>IF(OR(I2478="",J2478="",K2478=""),FALSE,AND(I2478,J2478,K2478))</f>
        <v/>
      </c>
    </row>
    <row r="2479">
      <c r="A2479">
        <f>Universe!A2479</f>
        <v/>
      </c>
      <c r="B2479" s="10" t="n"/>
      <c r="C2479" s="11">
        <f>IF(B2479="","",PERCENTRANK.INC($B$2:$B$2501,B2479)*100)</f>
        <v/>
      </c>
      <c r="D2479" s="10" t="n"/>
      <c r="E2479" s="10">
        <f>IF(D2479="","",MIN(D2479,100))</f>
        <v/>
      </c>
      <c r="F2479" s="10" t="n"/>
      <c r="G2479" s="10">
        <f>IF(F2479="","",MIN(F2479,100))</f>
        <v/>
      </c>
      <c r="H2479" s="11">
        <f>IF(A2479="","",Universe!E2479/BDP(A2479&amp;" US Equity","HIGH_52WEEK")*100)</f>
        <v/>
      </c>
      <c r="I2479">
        <f>IF(D2479="","",D2479&gt;=5)</f>
        <v/>
      </c>
      <c r="J2479">
        <f>IF(F2479="","",F2479&gt;=5)</f>
        <v/>
      </c>
      <c r="K2479">
        <f>IF(H2479="","",H2479&gt;=75)</f>
        <v/>
      </c>
      <c r="L2479">
        <f>IF(OR(I2479="",J2479="",K2479=""),FALSE,AND(I2479,J2479,K2479))</f>
        <v/>
      </c>
    </row>
    <row r="2480">
      <c r="A2480">
        <f>Universe!A2480</f>
        <v/>
      </c>
      <c r="B2480" s="10" t="n"/>
      <c r="C2480" s="11">
        <f>IF(B2480="","",PERCENTRANK.INC($B$2:$B$2501,B2480)*100)</f>
        <v/>
      </c>
      <c r="D2480" s="10" t="n"/>
      <c r="E2480" s="10">
        <f>IF(D2480="","",MIN(D2480,100))</f>
        <v/>
      </c>
      <c r="F2480" s="10" t="n"/>
      <c r="G2480" s="10">
        <f>IF(F2480="","",MIN(F2480,100))</f>
        <v/>
      </c>
      <c r="H2480" s="11">
        <f>IF(A2480="","",Universe!E2480/BDP(A2480&amp;" US Equity","HIGH_52WEEK")*100)</f>
        <v/>
      </c>
      <c r="I2480">
        <f>IF(D2480="","",D2480&gt;=5)</f>
        <v/>
      </c>
      <c r="J2480">
        <f>IF(F2480="","",F2480&gt;=5)</f>
        <v/>
      </c>
      <c r="K2480">
        <f>IF(H2480="","",H2480&gt;=75)</f>
        <v/>
      </c>
      <c r="L2480">
        <f>IF(OR(I2480="",J2480="",K2480=""),FALSE,AND(I2480,J2480,K2480))</f>
        <v/>
      </c>
    </row>
    <row r="2481">
      <c r="A2481">
        <f>Universe!A2481</f>
        <v/>
      </c>
      <c r="B2481" s="10" t="n"/>
      <c r="C2481" s="11">
        <f>IF(B2481="","",PERCENTRANK.INC($B$2:$B$2501,B2481)*100)</f>
        <v/>
      </c>
      <c r="D2481" s="10" t="n"/>
      <c r="E2481" s="10">
        <f>IF(D2481="","",MIN(D2481,100))</f>
        <v/>
      </c>
      <c r="F2481" s="10" t="n"/>
      <c r="G2481" s="10">
        <f>IF(F2481="","",MIN(F2481,100))</f>
        <v/>
      </c>
      <c r="H2481" s="11">
        <f>IF(A2481="","",Universe!E2481/BDP(A2481&amp;" US Equity","HIGH_52WEEK")*100)</f>
        <v/>
      </c>
      <c r="I2481">
        <f>IF(D2481="","",D2481&gt;=5)</f>
        <v/>
      </c>
      <c r="J2481">
        <f>IF(F2481="","",F2481&gt;=5)</f>
        <v/>
      </c>
      <c r="K2481">
        <f>IF(H2481="","",H2481&gt;=75)</f>
        <v/>
      </c>
      <c r="L2481">
        <f>IF(OR(I2481="",J2481="",K2481=""),FALSE,AND(I2481,J2481,K2481))</f>
        <v/>
      </c>
    </row>
    <row r="2482">
      <c r="A2482">
        <f>Universe!A2482</f>
        <v/>
      </c>
      <c r="B2482" s="10" t="n"/>
      <c r="C2482" s="11">
        <f>IF(B2482="","",PERCENTRANK.INC($B$2:$B$2501,B2482)*100)</f>
        <v/>
      </c>
      <c r="D2482" s="10" t="n"/>
      <c r="E2482" s="10">
        <f>IF(D2482="","",MIN(D2482,100))</f>
        <v/>
      </c>
      <c r="F2482" s="10" t="n"/>
      <c r="G2482" s="10">
        <f>IF(F2482="","",MIN(F2482,100))</f>
        <v/>
      </c>
      <c r="H2482" s="11">
        <f>IF(A2482="","",Universe!E2482/BDP(A2482&amp;" US Equity","HIGH_52WEEK")*100)</f>
        <v/>
      </c>
      <c r="I2482">
        <f>IF(D2482="","",D2482&gt;=5)</f>
        <v/>
      </c>
      <c r="J2482">
        <f>IF(F2482="","",F2482&gt;=5)</f>
        <v/>
      </c>
      <c r="K2482">
        <f>IF(H2482="","",H2482&gt;=75)</f>
        <v/>
      </c>
      <c r="L2482">
        <f>IF(OR(I2482="",J2482="",K2482=""),FALSE,AND(I2482,J2482,K2482))</f>
        <v/>
      </c>
    </row>
    <row r="2483">
      <c r="A2483">
        <f>Universe!A2483</f>
        <v/>
      </c>
      <c r="B2483" s="10" t="n"/>
      <c r="C2483" s="11">
        <f>IF(B2483="","",PERCENTRANK.INC($B$2:$B$2501,B2483)*100)</f>
        <v/>
      </c>
      <c r="D2483" s="10" t="n"/>
      <c r="E2483" s="10">
        <f>IF(D2483="","",MIN(D2483,100))</f>
        <v/>
      </c>
      <c r="F2483" s="10" t="n"/>
      <c r="G2483" s="10">
        <f>IF(F2483="","",MIN(F2483,100))</f>
        <v/>
      </c>
      <c r="H2483" s="11">
        <f>IF(A2483="","",Universe!E2483/BDP(A2483&amp;" US Equity","HIGH_52WEEK")*100)</f>
        <v/>
      </c>
      <c r="I2483">
        <f>IF(D2483="","",D2483&gt;=5)</f>
        <v/>
      </c>
      <c r="J2483">
        <f>IF(F2483="","",F2483&gt;=5)</f>
        <v/>
      </c>
      <c r="K2483">
        <f>IF(H2483="","",H2483&gt;=75)</f>
        <v/>
      </c>
      <c r="L2483">
        <f>IF(OR(I2483="",J2483="",K2483=""),FALSE,AND(I2483,J2483,K2483))</f>
        <v/>
      </c>
    </row>
    <row r="2484">
      <c r="A2484">
        <f>Universe!A2484</f>
        <v/>
      </c>
      <c r="B2484" s="10" t="n"/>
      <c r="C2484" s="11">
        <f>IF(B2484="","",PERCENTRANK.INC($B$2:$B$2501,B2484)*100)</f>
        <v/>
      </c>
      <c r="D2484" s="10" t="n"/>
      <c r="E2484" s="10">
        <f>IF(D2484="","",MIN(D2484,100))</f>
        <v/>
      </c>
      <c r="F2484" s="10" t="n"/>
      <c r="G2484" s="10">
        <f>IF(F2484="","",MIN(F2484,100))</f>
        <v/>
      </c>
      <c r="H2484" s="11">
        <f>IF(A2484="","",Universe!E2484/BDP(A2484&amp;" US Equity","HIGH_52WEEK")*100)</f>
        <v/>
      </c>
      <c r="I2484">
        <f>IF(D2484="","",D2484&gt;=5)</f>
        <v/>
      </c>
      <c r="J2484">
        <f>IF(F2484="","",F2484&gt;=5)</f>
        <v/>
      </c>
      <c r="K2484">
        <f>IF(H2484="","",H2484&gt;=75)</f>
        <v/>
      </c>
      <c r="L2484">
        <f>IF(OR(I2484="",J2484="",K2484=""),FALSE,AND(I2484,J2484,K2484))</f>
        <v/>
      </c>
    </row>
    <row r="2485">
      <c r="A2485">
        <f>Universe!A2485</f>
        <v/>
      </c>
      <c r="B2485" s="10" t="n"/>
      <c r="C2485" s="11">
        <f>IF(B2485="","",PERCENTRANK.INC($B$2:$B$2501,B2485)*100)</f>
        <v/>
      </c>
      <c r="D2485" s="10" t="n"/>
      <c r="E2485" s="10">
        <f>IF(D2485="","",MIN(D2485,100))</f>
        <v/>
      </c>
      <c r="F2485" s="10" t="n"/>
      <c r="G2485" s="10">
        <f>IF(F2485="","",MIN(F2485,100))</f>
        <v/>
      </c>
      <c r="H2485" s="11">
        <f>IF(A2485="","",Universe!E2485/BDP(A2485&amp;" US Equity","HIGH_52WEEK")*100)</f>
        <v/>
      </c>
      <c r="I2485">
        <f>IF(D2485="","",D2485&gt;=5)</f>
        <v/>
      </c>
      <c r="J2485">
        <f>IF(F2485="","",F2485&gt;=5)</f>
        <v/>
      </c>
      <c r="K2485">
        <f>IF(H2485="","",H2485&gt;=75)</f>
        <v/>
      </c>
      <c r="L2485">
        <f>IF(OR(I2485="",J2485="",K2485=""),FALSE,AND(I2485,J2485,K2485))</f>
        <v/>
      </c>
    </row>
    <row r="2486">
      <c r="A2486">
        <f>Universe!A2486</f>
        <v/>
      </c>
      <c r="B2486" s="10" t="n"/>
      <c r="C2486" s="11">
        <f>IF(B2486="","",PERCENTRANK.INC($B$2:$B$2501,B2486)*100)</f>
        <v/>
      </c>
      <c r="D2486" s="10" t="n"/>
      <c r="E2486" s="10">
        <f>IF(D2486="","",MIN(D2486,100))</f>
        <v/>
      </c>
      <c r="F2486" s="10" t="n"/>
      <c r="G2486" s="10">
        <f>IF(F2486="","",MIN(F2486,100))</f>
        <v/>
      </c>
      <c r="H2486" s="11">
        <f>IF(A2486="","",Universe!E2486/BDP(A2486&amp;" US Equity","HIGH_52WEEK")*100)</f>
        <v/>
      </c>
      <c r="I2486">
        <f>IF(D2486="","",D2486&gt;=5)</f>
        <v/>
      </c>
      <c r="J2486">
        <f>IF(F2486="","",F2486&gt;=5)</f>
        <v/>
      </c>
      <c r="K2486">
        <f>IF(H2486="","",H2486&gt;=75)</f>
        <v/>
      </c>
      <c r="L2486">
        <f>IF(OR(I2486="",J2486="",K2486=""),FALSE,AND(I2486,J2486,K2486))</f>
        <v/>
      </c>
    </row>
    <row r="2487">
      <c r="A2487">
        <f>Universe!A2487</f>
        <v/>
      </c>
      <c r="B2487" s="10" t="n"/>
      <c r="C2487" s="11">
        <f>IF(B2487="","",PERCENTRANK.INC($B$2:$B$2501,B2487)*100)</f>
        <v/>
      </c>
      <c r="D2487" s="10" t="n"/>
      <c r="E2487" s="10">
        <f>IF(D2487="","",MIN(D2487,100))</f>
        <v/>
      </c>
      <c r="F2487" s="10" t="n"/>
      <c r="G2487" s="10">
        <f>IF(F2487="","",MIN(F2487,100))</f>
        <v/>
      </c>
      <c r="H2487" s="11">
        <f>IF(A2487="","",Universe!E2487/BDP(A2487&amp;" US Equity","HIGH_52WEEK")*100)</f>
        <v/>
      </c>
      <c r="I2487">
        <f>IF(D2487="","",D2487&gt;=5)</f>
        <v/>
      </c>
      <c r="J2487">
        <f>IF(F2487="","",F2487&gt;=5)</f>
        <v/>
      </c>
      <c r="K2487">
        <f>IF(H2487="","",H2487&gt;=75)</f>
        <v/>
      </c>
      <c r="L2487">
        <f>IF(OR(I2487="",J2487="",K2487=""),FALSE,AND(I2487,J2487,K2487))</f>
        <v/>
      </c>
    </row>
    <row r="2488">
      <c r="A2488">
        <f>Universe!A2488</f>
        <v/>
      </c>
      <c r="B2488" s="10" t="n"/>
      <c r="C2488" s="11">
        <f>IF(B2488="","",PERCENTRANK.INC($B$2:$B$2501,B2488)*100)</f>
        <v/>
      </c>
      <c r="D2488" s="10" t="n"/>
      <c r="E2488" s="10">
        <f>IF(D2488="","",MIN(D2488,100))</f>
        <v/>
      </c>
      <c r="F2488" s="10" t="n"/>
      <c r="G2488" s="10">
        <f>IF(F2488="","",MIN(F2488,100))</f>
        <v/>
      </c>
      <c r="H2488" s="11">
        <f>IF(A2488="","",Universe!E2488/BDP(A2488&amp;" US Equity","HIGH_52WEEK")*100)</f>
        <v/>
      </c>
      <c r="I2488">
        <f>IF(D2488="","",D2488&gt;=5)</f>
        <v/>
      </c>
      <c r="J2488">
        <f>IF(F2488="","",F2488&gt;=5)</f>
        <v/>
      </c>
      <c r="K2488">
        <f>IF(H2488="","",H2488&gt;=75)</f>
        <v/>
      </c>
      <c r="L2488">
        <f>IF(OR(I2488="",J2488="",K2488=""),FALSE,AND(I2488,J2488,K2488))</f>
        <v/>
      </c>
    </row>
    <row r="2489">
      <c r="A2489">
        <f>Universe!A2489</f>
        <v/>
      </c>
      <c r="B2489" s="10" t="n"/>
      <c r="C2489" s="11">
        <f>IF(B2489="","",PERCENTRANK.INC($B$2:$B$2501,B2489)*100)</f>
        <v/>
      </c>
      <c r="D2489" s="10" t="n"/>
      <c r="E2489" s="10">
        <f>IF(D2489="","",MIN(D2489,100))</f>
        <v/>
      </c>
      <c r="F2489" s="10" t="n"/>
      <c r="G2489" s="10">
        <f>IF(F2489="","",MIN(F2489,100))</f>
        <v/>
      </c>
      <c r="H2489" s="11">
        <f>IF(A2489="","",Universe!E2489/BDP(A2489&amp;" US Equity","HIGH_52WEEK")*100)</f>
        <v/>
      </c>
      <c r="I2489">
        <f>IF(D2489="","",D2489&gt;=5)</f>
        <v/>
      </c>
      <c r="J2489">
        <f>IF(F2489="","",F2489&gt;=5)</f>
        <v/>
      </c>
      <c r="K2489">
        <f>IF(H2489="","",H2489&gt;=75)</f>
        <v/>
      </c>
      <c r="L2489">
        <f>IF(OR(I2489="",J2489="",K2489=""),FALSE,AND(I2489,J2489,K2489))</f>
        <v/>
      </c>
    </row>
    <row r="2490">
      <c r="A2490">
        <f>Universe!A2490</f>
        <v/>
      </c>
      <c r="B2490" s="10" t="n"/>
      <c r="C2490" s="11">
        <f>IF(B2490="","",PERCENTRANK.INC($B$2:$B$2501,B2490)*100)</f>
        <v/>
      </c>
      <c r="D2490" s="10" t="n"/>
      <c r="E2490" s="10">
        <f>IF(D2490="","",MIN(D2490,100))</f>
        <v/>
      </c>
      <c r="F2490" s="10" t="n"/>
      <c r="G2490" s="10">
        <f>IF(F2490="","",MIN(F2490,100))</f>
        <v/>
      </c>
      <c r="H2490" s="11">
        <f>IF(A2490="","",Universe!E2490/BDP(A2490&amp;" US Equity","HIGH_52WEEK")*100)</f>
        <v/>
      </c>
      <c r="I2490">
        <f>IF(D2490="","",D2490&gt;=5)</f>
        <v/>
      </c>
      <c r="J2490">
        <f>IF(F2490="","",F2490&gt;=5)</f>
        <v/>
      </c>
      <c r="K2490">
        <f>IF(H2490="","",H2490&gt;=75)</f>
        <v/>
      </c>
      <c r="L2490">
        <f>IF(OR(I2490="",J2490="",K2490=""),FALSE,AND(I2490,J2490,K2490))</f>
        <v/>
      </c>
    </row>
    <row r="2491">
      <c r="A2491">
        <f>Universe!A2491</f>
        <v/>
      </c>
      <c r="B2491" s="10" t="n"/>
      <c r="C2491" s="11">
        <f>IF(B2491="","",PERCENTRANK.INC($B$2:$B$2501,B2491)*100)</f>
        <v/>
      </c>
      <c r="D2491" s="10" t="n"/>
      <c r="E2491" s="10">
        <f>IF(D2491="","",MIN(D2491,100))</f>
        <v/>
      </c>
      <c r="F2491" s="10" t="n"/>
      <c r="G2491" s="10">
        <f>IF(F2491="","",MIN(F2491,100))</f>
        <v/>
      </c>
      <c r="H2491" s="11">
        <f>IF(A2491="","",Universe!E2491/BDP(A2491&amp;" US Equity","HIGH_52WEEK")*100)</f>
        <v/>
      </c>
      <c r="I2491">
        <f>IF(D2491="","",D2491&gt;=5)</f>
        <v/>
      </c>
      <c r="J2491">
        <f>IF(F2491="","",F2491&gt;=5)</f>
        <v/>
      </c>
      <c r="K2491">
        <f>IF(H2491="","",H2491&gt;=75)</f>
        <v/>
      </c>
      <c r="L2491">
        <f>IF(OR(I2491="",J2491="",K2491=""),FALSE,AND(I2491,J2491,K2491))</f>
        <v/>
      </c>
    </row>
    <row r="2492">
      <c r="A2492">
        <f>Universe!A2492</f>
        <v/>
      </c>
      <c r="B2492" s="10" t="n"/>
      <c r="C2492" s="11">
        <f>IF(B2492="","",PERCENTRANK.INC($B$2:$B$2501,B2492)*100)</f>
        <v/>
      </c>
      <c r="D2492" s="10" t="n"/>
      <c r="E2492" s="10">
        <f>IF(D2492="","",MIN(D2492,100))</f>
        <v/>
      </c>
      <c r="F2492" s="10" t="n"/>
      <c r="G2492" s="10">
        <f>IF(F2492="","",MIN(F2492,100))</f>
        <v/>
      </c>
      <c r="H2492" s="11">
        <f>IF(A2492="","",Universe!E2492/BDP(A2492&amp;" US Equity","HIGH_52WEEK")*100)</f>
        <v/>
      </c>
      <c r="I2492">
        <f>IF(D2492="","",D2492&gt;=5)</f>
        <v/>
      </c>
      <c r="J2492">
        <f>IF(F2492="","",F2492&gt;=5)</f>
        <v/>
      </c>
      <c r="K2492">
        <f>IF(H2492="","",H2492&gt;=75)</f>
        <v/>
      </c>
      <c r="L2492">
        <f>IF(OR(I2492="",J2492="",K2492=""),FALSE,AND(I2492,J2492,K2492))</f>
        <v/>
      </c>
    </row>
    <row r="2493">
      <c r="A2493">
        <f>Universe!A2493</f>
        <v/>
      </c>
      <c r="B2493" s="10" t="n"/>
      <c r="C2493" s="11">
        <f>IF(B2493="","",PERCENTRANK.INC($B$2:$B$2501,B2493)*100)</f>
        <v/>
      </c>
      <c r="D2493" s="10" t="n"/>
      <c r="E2493" s="10">
        <f>IF(D2493="","",MIN(D2493,100))</f>
        <v/>
      </c>
      <c r="F2493" s="10" t="n"/>
      <c r="G2493" s="10">
        <f>IF(F2493="","",MIN(F2493,100))</f>
        <v/>
      </c>
      <c r="H2493" s="11">
        <f>IF(A2493="","",Universe!E2493/BDP(A2493&amp;" US Equity","HIGH_52WEEK")*100)</f>
        <v/>
      </c>
      <c r="I2493">
        <f>IF(D2493="","",D2493&gt;=5)</f>
        <v/>
      </c>
      <c r="J2493">
        <f>IF(F2493="","",F2493&gt;=5)</f>
        <v/>
      </c>
      <c r="K2493">
        <f>IF(H2493="","",H2493&gt;=75)</f>
        <v/>
      </c>
      <c r="L2493">
        <f>IF(OR(I2493="",J2493="",K2493=""),FALSE,AND(I2493,J2493,K2493))</f>
        <v/>
      </c>
    </row>
    <row r="2494">
      <c r="A2494">
        <f>Universe!A2494</f>
        <v/>
      </c>
      <c r="B2494" s="10" t="n"/>
      <c r="C2494" s="11">
        <f>IF(B2494="","",PERCENTRANK.INC($B$2:$B$2501,B2494)*100)</f>
        <v/>
      </c>
      <c r="D2494" s="10" t="n"/>
      <c r="E2494" s="10">
        <f>IF(D2494="","",MIN(D2494,100))</f>
        <v/>
      </c>
      <c r="F2494" s="10" t="n"/>
      <c r="G2494" s="10">
        <f>IF(F2494="","",MIN(F2494,100))</f>
        <v/>
      </c>
      <c r="H2494" s="11">
        <f>IF(A2494="","",Universe!E2494/BDP(A2494&amp;" US Equity","HIGH_52WEEK")*100)</f>
        <v/>
      </c>
      <c r="I2494">
        <f>IF(D2494="","",D2494&gt;=5)</f>
        <v/>
      </c>
      <c r="J2494">
        <f>IF(F2494="","",F2494&gt;=5)</f>
        <v/>
      </c>
      <c r="K2494">
        <f>IF(H2494="","",H2494&gt;=75)</f>
        <v/>
      </c>
      <c r="L2494">
        <f>IF(OR(I2494="",J2494="",K2494=""),FALSE,AND(I2494,J2494,K2494))</f>
        <v/>
      </c>
    </row>
    <row r="2495">
      <c r="A2495">
        <f>Universe!A2495</f>
        <v/>
      </c>
      <c r="B2495" s="10" t="n"/>
      <c r="C2495" s="11">
        <f>IF(B2495="","",PERCENTRANK.INC($B$2:$B$2501,B2495)*100)</f>
        <v/>
      </c>
      <c r="D2495" s="10" t="n"/>
      <c r="E2495" s="10">
        <f>IF(D2495="","",MIN(D2495,100))</f>
        <v/>
      </c>
      <c r="F2495" s="10" t="n"/>
      <c r="G2495" s="10">
        <f>IF(F2495="","",MIN(F2495,100))</f>
        <v/>
      </c>
      <c r="H2495" s="11">
        <f>IF(A2495="","",Universe!E2495/BDP(A2495&amp;" US Equity","HIGH_52WEEK")*100)</f>
        <v/>
      </c>
      <c r="I2495">
        <f>IF(D2495="","",D2495&gt;=5)</f>
        <v/>
      </c>
      <c r="J2495">
        <f>IF(F2495="","",F2495&gt;=5)</f>
        <v/>
      </c>
      <c r="K2495">
        <f>IF(H2495="","",H2495&gt;=75)</f>
        <v/>
      </c>
      <c r="L2495">
        <f>IF(OR(I2495="",J2495="",K2495=""),FALSE,AND(I2495,J2495,K2495))</f>
        <v/>
      </c>
    </row>
    <row r="2496">
      <c r="A2496">
        <f>Universe!A2496</f>
        <v/>
      </c>
      <c r="B2496" s="10" t="n"/>
      <c r="C2496" s="11">
        <f>IF(B2496="","",PERCENTRANK.INC($B$2:$B$2501,B2496)*100)</f>
        <v/>
      </c>
      <c r="D2496" s="10" t="n"/>
      <c r="E2496" s="10">
        <f>IF(D2496="","",MIN(D2496,100))</f>
        <v/>
      </c>
      <c r="F2496" s="10" t="n"/>
      <c r="G2496" s="10">
        <f>IF(F2496="","",MIN(F2496,100))</f>
        <v/>
      </c>
      <c r="H2496" s="11">
        <f>IF(A2496="","",Universe!E2496/BDP(A2496&amp;" US Equity","HIGH_52WEEK")*100)</f>
        <v/>
      </c>
      <c r="I2496">
        <f>IF(D2496="","",D2496&gt;=5)</f>
        <v/>
      </c>
      <c r="J2496">
        <f>IF(F2496="","",F2496&gt;=5)</f>
        <v/>
      </c>
      <c r="K2496">
        <f>IF(H2496="","",H2496&gt;=75)</f>
        <v/>
      </c>
      <c r="L2496">
        <f>IF(OR(I2496="",J2496="",K2496=""),FALSE,AND(I2496,J2496,K2496))</f>
        <v/>
      </c>
    </row>
    <row r="2497">
      <c r="A2497">
        <f>Universe!A2497</f>
        <v/>
      </c>
      <c r="B2497" s="10" t="n"/>
      <c r="C2497" s="11">
        <f>IF(B2497="","",PERCENTRANK.INC($B$2:$B$2501,B2497)*100)</f>
        <v/>
      </c>
      <c r="D2497" s="10" t="n"/>
      <c r="E2497" s="10">
        <f>IF(D2497="","",MIN(D2497,100))</f>
        <v/>
      </c>
      <c r="F2497" s="10" t="n"/>
      <c r="G2497" s="10">
        <f>IF(F2497="","",MIN(F2497,100))</f>
        <v/>
      </c>
      <c r="H2497" s="11">
        <f>IF(A2497="","",Universe!E2497/BDP(A2497&amp;" US Equity","HIGH_52WEEK")*100)</f>
        <v/>
      </c>
      <c r="I2497">
        <f>IF(D2497="","",D2497&gt;=5)</f>
        <v/>
      </c>
      <c r="J2497">
        <f>IF(F2497="","",F2497&gt;=5)</f>
        <v/>
      </c>
      <c r="K2497">
        <f>IF(H2497="","",H2497&gt;=75)</f>
        <v/>
      </c>
      <c r="L2497">
        <f>IF(OR(I2497="",J2497="",K2497=""),FALSE,AND(I2497,J2497,K2497))</f>
        <v/>
      </c>
    </row>
    <row r="2498">
      <c r="A2498">
        <f>Universe!A2498</f>
        <v/>
      </c>
      <c r="B2498" s="10" t="n"/>
      <c r="C2498" s="11">
        <f>IF(B2498="","",PERCENTRANK.INC($B$2:$B$2501,B2498)*100)</f>
        <v/>
      </c>
      <c r="D2498" s="10" t="n"/>
      <c r="E2498" s="10">
        <f>IF(D2498="","",MIN(D2498,100))</f>
        <v/>
      </c>
      <c r="F2498" s="10" t="n"/>
      <c r="G2498" s="10">
        <f>IF(F2498="","",MIN(F2498,100))</f>
        <v/>
      </c>
      <c r="H2498" s="11">
        <f>IF(A2498="","",Universe!E2498/BDP(A2498&amp;" US Equity","HIGH_52WEEK")*100)</f>
        <v/>
      </c>
      <c r="I2498">
        <f>IF(D2498="","",D2498&gt;=5)</f>
        <v/>
      </c>
      <c r="J2498">
        <f>IF(F2498="","",F2498&gt;=5)</f>
        <v/>
      </c>
      <c r="K2498">
        <f>IF(H2498="","",H2498&gt;=75)</f>
        <v/>
      </c>
      <c r="L2498">
        <f>IF(OR(I2498="",J2498="",K2498=""),FALSE,AND(I2498,J2498,K2498))</f>
        <v/>
      </c>
    </row>
    <row r="2499">
      <c r="A2499">
        <f>Universe!A2499</f>
        <v/>
      </c>
      <c r="B2499" s="10" t="n"/>
      <c r="C2499" s="11">
        <f>IF(B2499="","",PERCENTRANK.INC($B$2:$B$2501,B2499)*100)</f>
        <v/>
      </c>
      <c r="D2499" s="10" t="n"/>
      <c r="E2499" s="10">
        <f>IF(D2499="","",MIN(D2499,100))</f>
        <v/>
      </c>
      <c r="F2499" s="10" t="n"/>
      <c r="G2499" s="10">
        <f>IF(F2499="","",MIN(F2499,100))</f>
        <v/>
      </c>
      <c r="H2499" s="11">
        <f>IF(A2499="","",Universe!E2499/BDP(A2499&amp;" US Equity","HIGH_52WEEK")*100)</f>
        <v/>
      </c>
      <c r="I2499">
        <f>IF(D2499="","",D2499&gt;=5)</f>
        <v/>
      </c>
      <c r="J2499">
        <f>IF(F2499="","",F2499&gt;=5)</f>
        <v/>
      </c>
      <c r="K2499">
        <f>IF(H2499="","",H2499&gt;=75)</f>
        <v/>
      </c>
      <c r="L2499">
        <f>IF(OR(I2499="",J2499="",K2499=""),FALSE,AND(I2499,J2499,K2499))</f>
        <v/>
      </c>
    </row>
    <row r="2500">
      <c r="A2500">
        <f>Universe!A2500</f>
        <v/>
      </c>
      <c r="B2500" s="10" t="n"/>
      <c r="C2500" s="11">
        <f>IF(B2500="","",PERCENTRANK.INC($B$2:$B$2501,B2500)*100)</f>
        <v/>
      </c>
      <c r="D2500" s="10" t="n"/>
      <c r="E2500" s="10">
        <f>IF(D2500="","",MIN(D2500,100))</f>
        <v/>
      </c>
      <c r="F2500" s="10" t="n"/>
      <c r="G2500" s="10">
        <f>IF(F2500="","",MIN(F2500,100))</f>
        <v/>
      </c>
      <c r="H2500" s="11">
        <f>IF(A2500="","",Universe!E2500/BDP(A2500&amp;" US Equity","HIGH_52WEEK")*100)</f>
        <v/>
      </c>
      <c r="I2500">
        <f>IF(D2500="","",D2500&gt;=5)</f>
        <v/>
      </c>
      <c r="J2500">
        <f>IF(F2500="","",F2500&gt;=5)</f>
        <v/>
      </c>
      <c r="K2500">
        <f>IF(H2500="","",H2500&gt;=75)</f>
        <v/>
      </c>
      <c r="L2500">
        <f>IF(OR(I2500="",J2500="",K2500=""),FALSE,AND(I2500,J2500,K2500))</f>
        <v/>
      </c>
    </row>
    <row r="2501">
      <c r="A2501">
        <f>Universe!A2501</f>
        <v/>
      </c>
      <c r="B2501" s="10" t="n"/>
      <c r="C2501" s="11">
        <f>IF(B2501="","",PERCENTRANK.INC($B$2:$B$2501,B2501)*100)</f>
        <v/>
      </c>
      <c r="D2501" s="10" t="n"/>
      <c r="E2501" s="10">
        <f>IF(D2501="","",MIN(D2501,100))</f>
        <v/>
      </c>
      <c r="F2501" s="10" t="n"/>
      <c r="G2501" s="10">
        <f>IF(F2501="","",MIN(F2501,100))</f>
        <v/>
      </c>
      <c r="H2501" s="11">
        <f>IF(A2501="","",Universe!E2501/BDP(A2501&amp;" US Equity","HIGH_52WEEK")*100)</f>
        <v/>
      </c>
      <c r="I2501">
        <f>IF(D2501="","",D2501&gt;=5)</f>
        <v/>
      </c>
      <c r="J2501">
        <f>IF(F2501="","",F2501&gt;=5)</f>
        <v/>
      </c>
      <c r="K2501">
        <f>IF(H2501="","",H2501&gt;=75)</f>
        <v/>
      </c>
      <c r="L2501">
        <f>IF(OR(I2501="",J2501="",K2501=""),FALSE,AND(I2501,J2501,K2501))</f>
        <v/>
      </c>
    </row>
  </sheetData>
  <conditionalFormatting sqref="L2:L2501">
    <cfRule type="expression" priority="1" dxfId="0">
      <formula>L2=TRUE</formula>
    </cfRule>
    <cfRule type="expression" priority="2" dxfId="1">
      <formula>L2=FALSE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4" customWidth="1" min="5" max="5"/>
    <col width="10" customWidth="1" min="6" max="6"/>
    <col width="12" customWidth="1" min="7" max="7"/>
    <col width="20" customWidth="1" min="8" max="8"/>
  </cols>
  <sheetData>
    <row r="1">
      <c r="A1" s="4" t="inlineStr">
        <is>
          <t>Ticker</t>
        </is>
      </c>
      <c r="B1" s="4" t="inlineStr">
        <is>
          <t>Composite Score</t>
        </is>
      </c>
      <c r="C1" s="4" t="inlineStr">
        <is>
          <t>Rank</t>
        </is>
      </c>
      <c r="D1" s="4" t="inlineStr">
        <is>
          <t>Top 25?</t>
        </is>
      </c>
      <c r="E1" s="4" t="inlineStr">
        <is>
          <t>Prior Month</t>
        </is>
      </c>
      <c r="F1" s="4" t="inlineStr">
        <is>
          <t>Signal</t>
        </is>
      </c>
      <c r="G1" s="4" t="inlineStr">
        <is>
          <t>Weight (%)</t>
        </is>
      </c>
      <c r="H1" s="4" t="inlineStr">
        <is>
          <t>Sector</t>
        </is>
      </c>
    </row>
    <row r="2">
      <c r="A2">
        <f>'Factor Scores'!A2</f>
        <v/>
      </c>
      <c r="B2" s="10">
        <f>IF(A2="","",0.40*'Factor Scores'!C2+0.20*'Factor Scores'!E2+0.20*'Factor Scores'!G2+0.20*'Factor Scores'!H2)</f>
        <v/>
      </c>
      <c r="C2" s="12">
        <f>IF(B2="","",RANK(B2,$B$2:$B$2501,0))</f>
        <v/>
      </c>
      <c r="D2">
        <f>IF(C2="","",C2&lt;=25)</f>
        <v/>
      </c>
      <c r="F2">
        <f>IF(A2="","",IF(AND(D2=TRUE,E2=""),"BUY",IF(AND(D2=FALSE,E2&lt;&gt;""),"SELL",IF(AND(D2=TRUE,E2&lt;&gt;""),"HOLD",""))))</f>
        <v/>
      </c>
      <c r="G2" s="12">
        <f>IF(D2=TRUE,4,0)</f>
        <v/>
      </c>
      <c r="H2">
        <f>IF(A2="","",BDP(A2&amp;" US Equity","GICS_SECTOR_NAME"))</f>
        <v/>
      </c>
    </row>
    <row r="3">
      <c r="A3">
        <f>'Factor Scores'!A3</f>
        <v/>
      </c>
      <c r="B3" s="10">
        <f>IF(A3="","",0.40*'Factor Scores'!C3+0.20*'Factor Scores'!E3+0.20*'Factor Scores'!G3+0.20*'Factor Scores'!H3)</f>
        <v/>
      </c>
      <c r="C3" s="12">
        <f>IF(B3="","",RANK(B3,$B$2:$B$2501,0))</f>
        <v/>
      </c>
      <c r="D3">
        <f>IF(C3="","",C3&lt;=25)</f>
        <v/>
      </c>
      <c r="F3">
        <f>IF(A3="","",IF(AND(D3=TRUE,E3=""),"BUY",IF(AND(D3=FALSE,E3&lt;&gt;""),"SELL",IF(AND(D3=TRUE,E3&lt;&gt;""),"HOLD",""))))</f>
        <v/>
      </c>
      <c r="G3" s="12">
        <f>IF(D3=TRUE,4,0)</f>
        <v/>
      </c>
      <c r="H3">
        <f>IF(A3="","",BDP(A3&amp;" US Equity","GICS_SECTOR_NAME"))</f>
        <v/>
      </c>
    </row>
    <row r="4">
      <c r="A4">
        <f>'Factor Scores'!A4</f>
        <v/>
      </c>
      <c r="B4" s="10">
        <f>IF(A4="","",0.40*'Factor Scores'!C4+0.20*'Factor Scores'!E4+0.20*'Factor Scores'!G4+0.20*'Factor Scores'!H4)</f>
        <v/>
      </c>
      <c r="C4" s="12">
        <f>IF(B4="","",RANK(B4,$B$2:$B$2501,0))</f>
        <v/>
      </c>
      <c r="D4">
        <f>IF(C4="","",C4&lt;=25)</f>
        <v/>
      </c>
      <c r="F4">
        <f>IF(A4="","",IF(AND(D4=TRUE,E4=""),"BUY",IF(AND(D4=FALSE,E4&lt;&gt;""),"SELL",IF(AND(D4=TRUE,E4&lt;&gt;""),"HOLD",""))))</f>
        <v/>
      </c>
      <c r="G4" s="12">
        <f>IF(D4=TRUE,4,0)</f>
        <v/>
      </c>
      <c r="H4">
        <f>IF(A4="","",BDP(A4&amp;" US Equity","GICS_SECTOR_NAME"))</f>
        <v/>
      </c>
    </row>
    <row r="5">
      <c r="A5">
        <f>'Factor Scores'!A5</f>
        <v/>
      </c>
      <c r="B5" s="10">
        <f>IF(A5="","",0.40*'Factor Scores'!C5+0.20*'Factor Scores'!E5+0.20*'Factor Scores'!G5+0.20*'Factor Scores'!H5)</f>
        <v/>
      </c>
      <c r="C5" s="12">
        <f>IF(B5="","",RANK(B5,$B$2:$B$2501,0))</f>
        <v/>
      </c>
      <c r="D5">
        <f>IF(C5="","",C5&lt;=25)</f>
        <v/>
      </c>
      <c r="F5">
        <f>IF(A5="","",IF(AND(D5=TRUE,E5=""),"BUY",IF(AND(D5=FALSE,E5&lt;&gt;""),"SELL",IF(AND(D5=TRUE,E5&lt;&gt;""),"HOLD",""))))</f>
        <v/>
      </c>
      <c r="G5" s="12">
        <f>IF(D5=TRUE,4,0)</f>
        <v/>
      </c>
      <c r="H5">
        <f>IF(A5="","",BDP(A5&amp;" US Equity","GICS_SECTOR_NAME"))</f>
        <v/>
      </c>
    </row>
    <row r="6">
      <c r="A6">
        <f>'Factor Scores'!A6</f>
        <v/>
      </c>
      <c r="B6" s="10">
        <f>IF(A6="","",0.40*'Factor Scores'!C6+0.20*'Factor Scores'!E6+0.20*'Factor Scores'!G6+0.20*'Factor Scores'!H6)</f>
        <v/>
      </c>
      <c r="C6" s="12">
        <f>IF(B6="","",RANK(B6,$B$2:$B$2501,0))</f>
        <v/>
      </c>
      <c r="D6">
        <f>IF(C6="","",C6&lt;=25)</f>
        <v/>
      </c>
      <c r="F6">
        <f>IF(A6="","",IF(AND(D6=TRUE,E6=""),"BUY",IF(AND(D6=FALSE,E6&lt;&gt;""),"SELL",IF(AND(D6=TRUE,E6&lt;&gt;""),"HOLD",""))))</f>
        <v/>
      </c>
      <c r="G6" s="12">
        <f>IF(D6=TRUE,4,0)</f>
        <v/>
      </c>
      <c r="H6">
        <f>IF(A6="","",BDP(A6&amp;" US Equity","GICS_SECTOR_NAME"))</f>
        <v/>
      </c>
    </row>
    <row r="7">
      <c r="A7">
        <f>'Factor Scores'!A7</f>
        <v/>
      </c>
      <c r="B7" s="10">
        <f>IF(A7="","",0.40*'Factor Scores'!C7+0.20*'Factor Scores'!E7+0.20*'Factor Scores'!G7+0.20*'Factor Scores'!H7)</f>
        <v/>
      </c>
      <c r="C7" s="12">
        <f>IF(B7="","",RANK(B7,$B$2:$B$2501,0))</f>
        <v/>
      </c>
      <c r="D7">
        <f>IF(C7="","",C7&lt;=25)</f>
        <v/>
      </c>
      <c r="F7">
        <f>IF(A7="","",IF(AND(D7=TRUE,E7=""),"BUY",IF(AND(D7=FALSE,E7&lt;&gt;""),"SELL",IF(AND(D7=TRUE,E7&lt;&gt;""),"HOLD",""))))</f>
        <v/>
      </c>
      <c r="G7" s="12">
        <f>IF(D7=TRUE,4,0)</f>
        <v/>
      </c>
      <c r="H7">
        <f>IF(A7="","",BDP(A7&amp;" US Equity","GICS_SECTOR_NAME"))</f>
        <v/>
      </c>
    </row>
    <row r="8">
      <c r="A8">
        <f>'Factor Scores'!A8</f>
        <v/>
      </c>
      <c r="B8" s="10">
        <f>IF(A8="","",0.40*'Factor Scores'!C8+0.20*'Factor Scores'!E8+0.20*'Factor Scores'!G8+0.20*'Factor Scores'!H8)</f>
        <v/>
      </c>
      <c r="C8" s="12">
        <f>IF(B8="","",RANK(B8,$B$2:$B$2501,0))</f>
        <v/>
      </c>
      <c r="D8">
        <f>IF(C8="","",C8&lt;=25)</f>
        <v/>
      </c>
      <c r="F8">
        <f>IF(A8="","",IF(AND(D8=TRUE,E8=""),"BUY",IF(AND(D8=FALSE,E8&lt;&gt;""),"SELL",IF(AND(D8=TRUE,E8&lt;&gt;""),"HOLD",""))))</f>
        <v/>
      </c>
      <c r="G8" s="12">
        <f>IF(D8=TRUE,4,0)</f>
        <v/>
      </c>
      <c r="H8">
        <f>IF(A8="","",BDP(A8&amp;" US Equity","GICS_SECTOR_NAME"))</f>
        <v/>
      </c>
    </row>
    <row r="9">
      <c r="A9">
        <f>'Factor Scores'!A9</f>
        <v/>
      </c>
      <c r="B9" s="10">
        <f>IF(A9="","",0.40*'Factor Scores'!C9+0.20*'Factor Scores'!E9+0.20*'Factor Scores'!G9+0.20*'Factor Scores'!H9)</f>
        <v/>
      </c>
      <c r="C9" s="12">
        <f>IF(B9="","",RANK(B9,$B$2:$B$2501,0))</f>
        <v/>
      </c>
      <c r="D9">
        <f>IF(C9="","",C9&lt;=25)</f>
        <v/>
      </c>
      <c r="F9">
        <f>IF(A9="","",IF(AND(D9=TRUE,E9=""),"BUY",IF(AND(D9=FALSE,E9&lt;&gt;""),"SELL",IF(AND(D9=TRUE,E9&lt;&gt;""),"HOLD",""))))</f>
        <v/>
      </c>
      <c r="G9" s="12">
        <f>IF(D9=TRUE,4,0)</f>
        <v/>
      </c>
      <c r="H9">
        <f>IF(A9="","",BDP(A9&amp;" US Equity","GICS_SECTOR_NAME"))</f>
        <v/>
      </c>
    </row>
    <row r="10">
      <c r="A10">
        <f>'Factor Scores'!A10</f>
        <v/>
      </c>
      <c r="B10" s="10">
        <f>IF(A10="","",0.40*'Factor Scores'!C10+0.20*'Factor Scores'!E10+0.20*'Factor Scores'!G10+0.20*'Factor Scores'!H10)</f>
        <v/>
      </c>
      <c r="C10" s="12">
        <f>IF(B10="","",RANK(B10,$B$2:$B$2501,0))</f>
        <v/>
      </c>
      <c r="D10">
        <f>IF(C10="","",C10&lt;=25)</f>
        <v/>
      </c>
      <c r="F10">
        <f>IF(A10="","",IF(AND(D10=TRUE,E10=""),"BUY",IF(AND(D10=FALSE,E10&lt;&gt;""),"SELL",IF(AND(D10=TRUE,E10&lt;&gt;""),"HOLD",""))))</f>
        <v/>
      </c>
      <c r="G10" s="12">
        <f>IF(D10=TRUE,4,0)</f>
        <v/>
      </c>
      <c r="H10">
        <f>IF(A10="","",BDP(A10&amp;" US Equity","GICS_SECTOR_NAME"))</f>
        <v/>
      </c>
    </row>
    <row r="11">
      <c r="A11">
        <f>'Factor Scores'!A11</f>
        <v/>
      </c>
      <c r="B11" s="10">
        <f>IF(A11="","",0.40*'Factor Scores'!C11+0.20*'Factor Scores'!E11+0.20*'Factor Scores'!G11+0.20*'Factor Scores'!H11)</f>
        <v/>
      </c>
      <c r="C11" s="12">
        <f>IF(B11="","",RANK(B11,$B$2:$B$2501,0))</f>
        <v/>
      </c>
      <c r="D11">
        <f>IF(C11="","",C11&lt;=25)</f>
        <v/>
      </c>
      <c r="F11">
        <f>IF(A11="","",IF(AND(D11=TRUE,E11=""),"BUY",IF(AND(D11=FALSE,E11&lt;&gt;""),"SELL",IF(AND(D11=TRUE,E11&lt;&gt;""),"HOLD",""))))</f>
        <v/>
      </c>
      <c r="G11" s="12">
        <f>IF(D11=TRUE,4,0)</f>
        <v/>
      </c>
      <c r="H11">
        <f>IF(A11="","",BDP(A11&amp;" US Equity","GICS_SECTOR_NAME"))</f>
        <v/>
      </c>
    </row>
    <row r="12">
      <c r="A12">
        <f>'Factor Scores'!A12</f>
        <v/>
      </c>
      <c r="B12" s="10">
        <f>IF(A12="","",0.40*'Factor Scores'!C12+0.20*'Factor Scores'!E12+0.20*'Factor Scores'!G12+0.20*'Factor Scores'!H12)</f>
        <v/>
      </c>
      <c r="C12" s="12">
        <f>IF(B12="","",RANK(B12,$B$2:$B$2501,0))</f>
        <v/>
      </c>
      <c r="D12">
        <f>IF(C12="","",C12&lt;=25)</f>
        <v/>
      </c>
      <c r="F12">
        <f>IF(A12="","",IF(AND(D12=TRUE,E12=""),"BUY",IF(AND(D12=FALSE,E12&lt;&gt;""),"SELL",IF(AND(D12=TRUE,E12&lt;&gt;""),"HOLD",""))))</f>
        <v/>
      </c>
      <c r="G12" s="12">
        <f>IF(D12=TRUE,4,0)</f>
        <v/>
      </c>
      <c r="H12">
        <f>IF(A12="","",BDP(A12&amp;" US Equity","GICS_SECTOR_NAME"))</f>
        <v/>
      </c>
    </row>
    <row r="13">
      <c r="A13">
        <f>'Factor Scores'!A13</f>
        <v/>
      </c>
      <c r="B13" s="10">
        <f>IF(A13="","",0.40*'Factor Scores'!C13+0.20*'Factor Scores'!E13+0.20*'Factor Scores'!G13+0.20*'Factor Scores'!H13)</f>
        <v/>
      </c>
      <c r="C13" s="12">
        <f>IF(B13="","",RANK(B13,$B$2:$B$2501,0))</f>
        <v/>
      </c>
      <c r="D13">
        <f>IF(C13="","",C13&lt;=25)</f>
        <v/>
      </c>
      <c r="F13">
        <f>IF(A13="","",IF(AND(D13=TRUE,E13=""),"BUY",IF(AND(D13=FALSE,E13&lt;&gt;""),"SELL",IF(AND(D13=TRUE,E13&lt;&gt;""),"HOLD",""))))</f>
        <v/>
      </c>
      <c r="G13" s="12">
        <f>IF(D13=TRUE,4,0)</f>
        <v/>
      </c>
      <c r="H13">
        <f>IF(A13="","",BDP(A13&amp;" US Equity","GICS_SECTOR_NAME"))</f>
        <v/>
      </c>
    </row>
    <row r="14">
      <c r="A14">
        <f>'Factor Scores'!A14</f>
        <v/>
      </c>
      <c r="B14" s="10">
        <f>IF(A14="","",0.40*'Factor Scores'!C14+0.20*'Factor Scores'!E14+0.20*'Factor Scores'!G14+0.20*'Factor Scores'!H14)</f>
        <v/>
      </c>
      <c r="C14" s="12">
        <f>IF(B14="","",RANK(B14,$B$2:$B$2501,0))</f>
        <v/>
      </c>
      <c r="D14">
        <f>IF(C14="","",C14&lt;=25)</f>
        <v/>
      </c>
      <c r="F14">
        <f>IF(A14="","",IF(AND(D14=TRUE,E14=""),"BUY",IF(AND(D14=FALSE,E14&lt;&gt;""),"SELL",IF(AND(D14=TRUE,E14&lt;&gt;""),"HOLD",""))))</f>
        <v/>
      </c>
      <c r="G14" s="12">
        <f>IF(D14=TRUE,4,0)</f>
        <v/>
      </c>
      <c r="H14">
        <f>IF(A14="","",BDP(A14&amp;" US Equity","GICS_SECTOR_NAME"))</f>
        <v/>
      </c>
    </row>
    <row r="15">
      <c r="A15">
        <f>'Factor Scores'!A15</f>
        <v/>
      </c>
      <c r="B15" s="10">
        <f>IF(A15="","",0.40*'Factor Scores'!C15+0.20*'Factor Scores'!E15+0.20*'Factor Scores'!G15+0.20*'Factor Scores'!H15)</f>
        <v/>
      </c>
      <c r="C15" s="12">
        <f>IF(B15="","",RANK(B15,$B$2:$B$2501,0))</f>
        <v/>
      </c>
      <c r="D15">
        <f>IF(C15="","",C15&lt;=25)</f>
        <v/>
      </c>
      <c r="F15">
        <f>IF(A15="","",IF(AND(D15=TRUE,E15=""),"BUY",IF(AND(D15=FALSE,E15&lt;&gt;""),"SELL",IF(AND(D15=TRUE,E15&lt;&gt;""),"HOLD",""))))</f>
        <v/>
      </c>
      <c r="G15" s="12">
        <f>IF(D15=TRUE,4,0)</f>
        <v/>
      </c>
      <c r="H15">
        <f>IF(A15="","",BDP(A15&amp;" US Equity","GICS_SECTOR_NAME"))</f>
        <v/>
      </c>
    </row>
    <row r="16">
      <c r="A16">
        <f>'Factor Scores'!A16</f>
        <v/>
      </c>
      <c r="B16" s="10">
        <f>IF(A16="","",0.40*'Factor Scores'!C16+0.20*'Factor Scores'!E16+0.20*'Factor Scores'!G16+0.20*'Factor Scores'!H16)</f>
        <v/>
      </c>
      <c r="C16" s="12">
        <f>IF(B16="","",RANK(B16,$B$2:$B$2501,0))</f>
        <v/>
      </c>
      <c r="D16">
        <f>IF(C16="","",C16&lt;=25)</f>
        <v/>
      </c>
      <c r="F16">
        <f>IF(A16="","",IF(AND(D16=TRUE,E16=""),"BUY",IF(AND(D16=FALSE,E16&lt;&gt;""),"SELL",IF(AND(D16=TRUE,E16&lt;&gt;""),"HOLD",""))))</f>
        <v/>
      </c>
      <c r="G16" s="12">
        <f>IF(D16=TRUE,4,0)</f>
        <v/>
      </c>
      <c r="H16">
        <f>IF(A16="","",BDP(A16&amp;" US Equity","GICS_SECTOR_NAME"))</f>
        <v/>
      </c>
    </row>
    <row r="17">
      <c r="A17">
        <f>'Factor Scores'!A17</f>
        <v/>
      </c>
      <c r="B17" s="10">
        <f>IF(A17="","",0.40*'Factor Scores'!C17+0.20*'Factor Scores'!E17+0.20*'Factor Scores'!G17+0.20*'Factor Scores'!H17)</f>
        <v/>
      </c>
      <c r="C17" s="12">
        <f>IF(B17="","",RANK(B17,$B$2:$B$2501,0))</f>
        <v/>
      </c>
      <c r="D17">
        <f>IF(C17="","",C17&lt;=25)</f>
        <v/>
      </c>
      <c r="F17">
        <f>IF(A17="","",IF(AND(D17=TRUE,E17=""),"BUY",IF(AND(D17=FALSE,E17&lt;&gt;""),"SELL",IF(AND(D17=TRUE,E17&lt;&gt;""),"HOLD",""))))</f>
        <v/>
      </c>
      <c r="G17" s="12">
        <f>IF(D17=TRUE,4,0)</f>
        <v/>
      </c>
      <c r="H17">
        <f>IF(A17="","",BDP(A17&amp;" US Equity","GICS_SECTOR_NAME"))</f>
        <v/>
      </c>
    </row>
    <row r="18">
      <c r="A18">
        <f>'Factor Scores'!A18</f>
        <v/>
      </c>
      <c r="B18" s="10">
        <f>IF(A18="","",0.40*'Factor Scores'!C18+0.20*'Factor Scores'!E18+0.20*'Factor Scores'!G18+0.20*'Factor Scores'!H18)</f>
        <v/>
      </c>
      <c r="C18" s="12">
        <f>IF(B18="","",RANK(B18,$B$2:$B$2501,0))</f>
        <v/>
      </c>
      <c r="D18">
        <f>IF(C18="","",C18&lt;=25)</f>
        <v/>
      </c>
      <c r="F18">
        <f>IF(A18="","",IF(AND(D18=TRUE,E18=""),"BUY",IF(AND(D18=FALSE,E18&lt;&gt;""),"SELL",IF(AND(D18=TRUE,E18&lt;&gt;""),"HOLD",""))))</f>
        <v/>
      </c>
      <c r="G18" s="12">
        <f>IF(D18=TRUE,4,0)</f>
        <v/>
      </c>
      <c r="H18">
        <f>IF(A18="","",BDP(A18&amp;" US Equity","GICS_SECTOR_NAME"))</f>
        <v/>
      </c>
    </row>
    <row r="19">
      <c r="A19">
        <f>'Factor Scores'!A19</f>
        <v/>
      </c>
      <c r="B19" s="10">
        <f>IF(A19="","",0.40*'Factor Scores'!C19+0.20*'Factor Scores'!E19+0.20*'Factor Scores'!G19+0.20*'Factor Scores'!H19)</f>
        <v/>
      </c>
      <c r="C19" s="12">
        <f>IF(B19="","",RANK(B19,$B$2:$B$2501,0))</f>
        <v/>
      </c>
      <c r="D19">
        <f>IF(C19="","",C19&lt;=25)</f>
        <v/>
      </c>
      <c r="F19">
        <f>IF(A19="","",IF(AND(D19=TRUE,E19=""),"BUY",IF(AND(D19=FALSE,E19&lt;&gt;""),"SELL",IF(AND(D19=TRUE,E19&lt;&gt;""),"HOLD",""))))</f>
        <v/>
      </c>
      <c r="G19" s="12">
        <f>IF(D19=TRUE,4,0)</f>
        <v/>
      </c>
      <c r="H19">
        <f>IF(A19="","",BDP(A19&amp;" US Equity","GICS_SECTOR_NAME"))</f>
        <v/>
      </c>
    </row>
    <row r="20">
      <c r="A20">
        <f>'Factor Scores'!A20</f>
        <v/>
      </c>
      <c r="B20" s="10">
        <f>IF(A20="","",0.40*'Factor Scores'!C20+0.20*'Factor Scores'!E20+0.20*'Factor Scores'!G20+0.20*'Factor Scores'!H20)</f>
        <v/>
      </c>
      <c r="C20" s="12">
        <f>IF(B20="","",RANK(B20,$B$2:$B$2501,0))</f>
        <v/>
      </c>
      <c r="D20">
        <f>IF(C20="","",C20&lt;=25)</f>
        <v/>
      </c>
      <c r="F20">
        <f>IF(A20="","",IF(AND(D20=TRUE,E20=""),"BUY",IF(AND(D20=FALSE,E20&lt;&gt;""),"SELL",IF(AND(D20=TRUE,E20&lt;&gt;""),"HOLD",""))))</f>
        <v/>
      </c>
      <c r="G20" s="12">
        <f>IF(D20=TRUE,4,0)</f>
        <v/>
      </c>
      <c r="H20">
        <f>IF(A20="","",BDP(A20&amp;" US Equity","GICS_SECTOR_NAME"))</f>
        <v/>
      </c>
    </row>
    <row r="21">
      <c r="A21">
        <f>'Factor Scores'!A21</f>
        <v/>
      </c>
      <c r="B21" s="10">
        <f>IF(A21="","",0.40*'Factor Scores'!C21+0.20*'Factor Scores'!E21+0.20*'Factor Scores'!G21+0.20*'Factor Scores'!H21)</f>
        <v/>
      </c>
      <c r="C21" s="12">
        <f>IF(B21="","",RANK(B21,$B$2:$B$2501,0))</f>
        <v/>
      </c>
      <c r="D21">
        <f>IF(C21="","",C21&lt;=25)</f>
        <v/>
      </c>
      <c r="F21">
        <f>IF(A21="","",IF(AND(D21=TRUE,E21=""),"BUY",IF(AND(D21=FALSE,E21&lt;&gt;""),"SELL",IF(AND(D21=TRUE,E21&lt;&gt;""),"HOLD",""))))</f>
        <v/>
      </c>
      <c r="G21" s="12">
        <f>IF(D21=TRUE,4,0)</f>
        <v/>
      </c>
      <c r="H21">
        <f>IF(A21="","",BDP(A21&amp;" US Equity","GICS_SECTOR_NAME"))</f>
        <v/>
      </c>
    </row>
    <row r="22">
      <c r="A22">
        <f>'Factor Scores'!A22</f>
        <v/>
      </c>
      <c r="B22" s="10">
        <f>IF(A22="","",0.40*'Factor Scores'!C22+0.20*'Factor Scores'!E22+0.20*'Factor Scores'!G22+0.20*'Factor Scores'!H22)</f>
        <v/>
      </c>
      <c r="C22" s="12">
        <f>IF(B22="","",RANK(B22,$B$2:$B$2501,0))</f>
        <v/>
      </c>
      <c r="D22">
        <f>IF(C22="","",C22&lt;=25)</f>
        <v/>
      </c>
      <c r="F22">
        <f>IF(A22="","",IF(AND(D22=TRUE,E22=""),"BUY",IF(AND(D22=FALSE,E22&lt;&gt;""),"SELL",IF(AND(D22=TRUE,E22&lt;&gt;""),"HOLD",""))))</f>
        <v/>
      </c>
      <c r="G22" s="12">
        <f>IF(D22=TRUE,4,0)</f>
        <v/>
      </c>
      <c r="H22">
        <f>IF(A22="","",BDP(A22&amp;" US Equity","GICS_SECTOR_NAME"))</f>
        <v/>
      </c>
    </row>
    <row r="23">
      <c r="A23">
        <f>'Factor Scores'!A23</f>
        <v/>
      </c>
      <c r="B23" s="10">
        <f>IF(A23="","",0.40*'Factor Scores'!C23+0.20*'Factor Scores'!E23+0.20*'Factor Scores'!G23+0.20*'Factor Scores'!H23)</f>
        <v/>
      </c>
      <c r="C23" s="12">
        <f>IF(B23="","",RANK(B23,$B$2:$B$2501,0))</f>
        <v/>
      </c>
      <c r="D23">
        <f>IF(C23="","",C23&lt;=25)</f>
        <v/>
      </c>
      <c r="F23">
        <f>IF(A23="","",IF(AND(D23=TRUE,E23=""),"BUY",IF(AND(D23=FALSE,E23&lt;&gt;""),"SELL",IF(AND(D23=TRUE,E23&lt;&gt;""),"HOLD",""))))</f>
        <v/>
      </c>
      <c r="G23" s="12">
        <f>IF(D23=TRUE,4,0)</f>
        <v/>
      </c>
      <c r="H23">
        <f>IF(A23="","",BDP(A23&amp;" US Equity","GICS_SECTOR_NAME"))</f>
        <v/>
      </c>
    </row>
    <row r="24">
      <c r="A24">
        <f>'Factor Scores'!A24</f>
        <v/>
      </c>
      <c r="B24" s="10">
        <f>IF(A24="","",0.40*'Factor Scores'!C24+0.20*'Factor Scores'!E24+0.20*'Factor Scores'!G24+0.20*'Factor Scores'!H24)</f>
        <v/>
      </c>
      <c r="C24" s="12">
        <f>IF(B24="","",RANK(B24,$B$2:$B$2501,0))</f>
        <v/>
      </c>
      <c r="D24">
        <f>IF(C24="","",C24&lt;=25)</f>
        <v/>
      </c>
      <c r="F24">
        <f>IF(A24="","",IF(AND(D24=TRUE,E24=""),"BUY",IF(AND(D24=FALSE,E24&lt;&gt;""),"SELL",IF(AND(D24=TRUE,E24&lt;&gt;""),"HOLD",""))))</f>
        <v/>
      </c>
      <c r="G24" s="12">
        <f>IF(D24=TRUE,4,0)</f>
        <v/>
      </c>
      <c r="H24">
        <f>IF(A24="","",BDP(A24&amp;" US Equity","GICS_SECTOR_NAME"))</f>
        <v/>
      </c>
    </row>
    <row r="25">
      <c r="A25">
        <f>'Factor Scores'!A25</f>
        <v/>
      </c>
      <c r="B25" s="10">
        <f>IF(A25="","",0.40*'Factor Scores'!C25+0.20*'Factor Scores'!E25+0.20*'Factor Scores'!G25+0.20*'Factor Scores'!H25)</f>
        <v/>
      </c>
      <c r="C25" s="12">
        <f>IF(B25="","",RANK(B25,$B$2:$B$2501,0))</f>
        <v/>
      </c>
      <c r="D25">
        <f>IF(C25="","",C25&lt;=25)</f>
        <v/>
      </c>
      <c r="F25">
        <f>IF(A25="","",IF(AND(D25=TRUE,E25=""),"BUY",IF(AND(D25=FALSE,E25&lt;&gt;""),"SELL",IF(AND(D25=TRUE,E25&lt;&gt;""),"HOLD",""))))</f>
        <v/>
      </c>
      <c r="G25" s="12">
        <f>IF(D25=TRUE,4,0)</f>
        <v/>
      </c>
      <c r="H25">
        <f>IF(A25="","",BDP(A25&amp;" US Equity","GICS_SECTOR_NAME"))</f>
        <v/>
      </c>
    </row>
    <row r="26">
      <c r="A26">
        <f>'Factor Scores'!A26</f>
        <v/>
      </c>
      <c r="B26" s="10">
        <f>IF(A26="","",0.40*'Factor Scores'!C26+0.20*'Factor Scores'!E26+0.20*'Factor Scores'!G26+0.20*'Factor Scores'!H26)</f>
        <v/>
      </c>
      <c r="C26" s="12">
        <f>IF(B26="","",RANK(B26,$B$2:$B$2501,0))</f>
        <v/>
      </c>
      <c r="D26">
        <f>IF(C26="","",C26&lt;=25)</f>
        <v/>
      </c>
      <c r="F26">
        <f>IF(A26="","",IF(AND(D26=TRUE,E26=""),"BUY",IF(AND(D26=FALSE,E26&lt;&gt;""),"SELL",IF(AND(D26=TRUE,E26&lt;&gt;""),"HOLD",""))))</f>
        <v/>
      </c>
      <c r="G26" s="12">
        <f>IF(D26=TRUE,4,0)</f>
        <v/>
      </c>
      <c r="H26">
        <f>IF(A26="","",BDP(A26&amp;" US Equity","GICS_SECTOR_NAME"))</f>
        <v/>
      </c>
    </row>
    <row r="27">
      <c r="A27">
        <f>'Factor Scores'!A27</f>
        <v/>
      </c>
      <c r="B27" s="10">
        <f>IF(A27="","",0.40*'Factor Scores'!C27+0.20*'Factor Scores'!E27+0.20*'Factor Scores'!G27+0.20*'Factor Scores'!H27)</f>
        <v/>
      </c>
      <c r="C27" s="12">
        <f>IF(B27="","",RANK(B27,$B$2:$B$2501,0))</f>
        <v/>
      </c>
      <c r="D27">
        <f>IF(C27="","",C27&lt;=25)</f>
        <v/>
      </c>
      <c r="F27">
        <f>IF(A27="","",IF(AND(D27=TRUE,E27=""),"BUY",IF(AND(D27=FALSE,E27&lt;&gt;""),"SELL",IF(AND(D27=TRUE,E27&lt;&gt;""),"HOLD",""))))</f>
        <v/>
      </c>
      <c r="G27" s="12">
        <f>IF(D27=TRUE,4,0)</f>
        <v/>
      </c>
      <c r="H27">
        <f>IF(A27="","",BDP(A27&amp;" US Equity","GICS_SECTOR_NAME"))</f>
        <v/>
      </c>
    </row>
    <row r="28">
      <c r="A28">
        <f>'Factor Scores'!A28</f>
        <v/>
      </c>
      <c r="B28" s="10">
        <f>IF(A28="","",0.40*'Factor Scores'!C28+0.20*'Factor Scores'!E28+0.20*'Factor Scores'!G28+0.20*'Factor Scores'!H28)</f>
        <v/>
      </c>
      <c r="C28" s="12">
        <f>IF(B28="","",RANK(B28,$B$2:$B$2501,0))</f>
        <v/>
      </c>
      <c r="D28">
        <f>IF(C28="","",C28&lt;=25)</f>
        <v/>
      </c>
      <c r="F28">
        <f>IF(A28="","",IF(AND(D28=TRUE,E28=""),"BUY",IF(AND(D28=FALSE,E28&lt;&gt;""),"SELL",IF(AND(D28=TRUE,E28&lt;&gt;""),"HOLD",""))))</f>
        <v/>
      </c>
      <c r="G28" s="12">
        <f>IF(D28=TRUE,4,0)</f>
        <v/>
      </c>
      <c r="H28">
        <f>IF(A28="","",BDP(A28&amp;" US Equity","GICS_SECTOR_NAME"))</f>
        <v/>
      </c>
    </row>
    <row r="29">
      <c r="A29">
        <f>'Factor Scores'!A29</f>
        <v/>
      </c>
      <c r="B29" s="10">
        <f>IF(A29="","",0.40*'Factor Scores'!C29+0.20*'Factor Scores'!E29+0.20*'Factor Scores'!G29+0.20*'Factor Scores'!H29)</f>
        <v/>
      </c>
      <c r="C29" s="12">
        <f>IF(B29="","",RANK(B29,$B$2:$B$2501,0))</f>
        <v/>
      </c>
      <c r="D29">
        <f>IF(C29="","",C29&lt;=25)</f>
        <v/>
      </c>
      <c r="F29">
        <f>IF(A29="","",IF(AND(D29=TRUE,E29=""),"BUY",IF(AND(D29=FALSE,E29&lt;&gt;""),"SELL",IF(AND(D29=TRUE,E29&lt;&gt;""),"HOLD",""))))</f>
        <v/>
      </c>
      <c r="G29" s="12">
        <f>IF(D29=TRUE,4,0)</f>
        <v/>
      </c>
      <c r="H29">
        <f>IF(A29="","",BDP(A29&amp;" US Equity","GICS_SECTOR_NAME"))</f>
        <v/>
      </c>
    </row>
    <row r="30">
      <c r="A30">
        <f>'Factor Scores'!A30</f>
        <v/>
      </c>
      <c r="B30" s="10">
        <f>IF(A30="","",0.40*'Factor Scores'!C30+0.20*'Factor Scores'!E30+0.20*'Factor Scores'!G30+0.20*'Factor Scores'!H30)</f>
        <v/>
      </c>
      <c r="C30" s="12">
        <f>IF(B30="","",RANK(B30,$B$2:$B$2501,0))</f>
        <v/>
      </c>
      <c r="D30">
        <f>IF(C30="","",C30&lt;=25)</f>
        <v/>
      </c>
      <c r="F30">
        <f>IF(A30="","",IF(AND(D30=TRUE,E30=""),"BUY",IF(AND(D30=FALSE,E30&lt;&gt;""),"SELL",IF(AND(D30=TRUE,E30&lt;&gt;""),"HOLD",""))))</f>
        <v/>
      </c>
      <c r="G30" s="12">
        <f>IF(D30=TRUE,4,0)</f>
        <v/>
      </c>
      <c r="H30">
        <f>IF(A30="","",BDP(A30&amp;" US Equity","GICS_SECTOR_NAME"))</f>
        <v/>
      </c>
    </row>
    <row r="31">
      <c r="A31">
        <f>'Factor Scores'!A31</f>
        <v/>
      </c>
      <c r="B31" s="10">
        <f>IF(A31="","",0.40*'Factor Scores'!C31+0.20*'Factor Scores'!E31+0.20*'Factor Scores'!G31+0.20*'Factor Scores'!H31)</f>
        <v/>
      </c>
      <c r="C31" s="12">
        <f>IF(B31="","",RANK(B31,$B$2:$B$2501,0))</f>
        <v/>
      </c>
      <c r="D31">
        <f>IF(C31="","",C31&lt;=25)</f>
        <v/>
      </c>
      <c r="F31">
        <f>IF(A31="","",IF(AND(D31=TRUE,E31=""),"BUY",IF(AND(D31=FALSE,E31&lt;&gt;""),"SELL",IF(AND(D31=TRUE,E31&lt;&gt;""),"HOLD",""))))</f>
        <v/>
      </c>
      <c r="G31" s="12">
        <f>IF(D31=TRUE,4,0)</f>
        <v/>
      </c>
      <c r="H31">
        <f>IF(A31="","",BDP(A31&amp;" US Equity","GICS_SECTOR_NAME"))</f>
        <v/>
      </c>
    </row>
    <row r="32">
      <c r="A32">
        <f>'Factor Scores'!A32</f>
        <v/>
      </c>
      <c r="B32" s="10">
        <f>IF(A32="","",0.40*'Factor Scores'!C32+0.20*'Factor Scores'!E32+0.20*'Factor Scores'!G32+0.20*'Factor Scores'!H32)</f>
        <v/>
      </c>
      <c r="C32" s="12">
        <f>IF(B32="","",RANK(B32,$B$2:$B$2501,0))</f>
        <v/>
      </c>
      <c r="D32">
        <f>IF(C32="","",C32&lt;=25)</f>
        <v/>
      </c>
      <c r="F32">
        <f>IF(A32="","",IF(AND(D32=TRUE,E32=""),"BUY",IF(AND(D32=FALSE,E32&lt;&gt;""),"SELL",IF(AND(D32=TRUE,E32&lt;&gt;""),"HOLD",""))))</f>
        <v/>
      </c>
      <c r="G32" s="12">
        <f>IF(D32=TRUE,4,0)</f>
        <v/>
      </c>
      <c r="H32">
        <f>IF(A32="","",BDP(A32&amp;" US Equity","GICS_SECTOR_NAME"))</f>
        <v/>
      </c>
    </row>
    <row r="33">
      <c r="A33">
        <f>'Factor Scores'!A33</f>
        <v/>
      </c>
      <c r="B33" s="10">
        <f>IF(A33="","",0.40*'Factor Scores'!C33+0.20*'Factor Scores'!E33+0.20*'Factor Scores'!G33+0.20*'Factor Scores'!H33)</f>
        <v/>
      </c>
      <c r="C33" s="12">
        <f>IF(B33="","",RANK(B33,$B$2:$B$2501,0))</f>
        <v/>
      </c>
      <c r="D33">
        <f>IF(C33="","",C33&lt;=25)</f>
        <v/>
      </c>
      <c r="F33">
        <f>IF(A33="","",IF(AND(D33=TRUE,E33=""),"BUY",IF(AND(D33=FALSE,E33&lt;&gt;""),"SELL",IF(AND(D33=TRUE,E33&lt;&gt;""),"HOLD",""))))</f>
        <v/>
      </c>
      <c r="G33" s="12">
        <f>IF(D33=TRUE,4,0)</f>
        <v/>
      </c>
      <c r="H33">
        <f>IF(A33="","",BDP(A33&amp;" US Equity","GICS_SECTOR_NAME"))</f>
        <v/>
      </c>
    </row>
    <row r="34">
      <c r="A34">
        <f>'Factor Scores'!A34</f>
        <v/>
      </c>
      <c r="B34" s="10">
        <f>IF(A34="","",0.40*'Factor Scores'!C34+0.20*'Factor Scores'!E34+0.20*'Factor Scores'!G34+0.20*'Factor Scores'!H34)</f>
        <v/>
      </c>
      <c r="C34" s="12">
        <f>IF(B34="","",RANK(B34,$B$2:$B$2501,0))</f>
        <v/>
      </c>
      <c r="D34">
        <f>IF(C34="","",C34&lt;=25)</f>
        <v/>
      </c>
      <c r="F34">
        <f>IF(A34="","",IF(AND(D34=TRUE,E34=""),"BUY",IF(AND(D34=FALSE,E34&lt;&gt;""),"SELL",IF(AND(D34=TRUE,E34&lt;&gt;""),"HOLD",""))))</f>
        <v/>
      </c>
      <c r="G34" s="12">
        <f>IF(D34=TRUE,4,0)</f>
        <v/>
      </c>
      <c r="H34">
        <f>IF(A34="","",BDP(A34&amp;" US Equity","GICS_SECTOR_NAME"))</f>
        <v/>
      </c>
    </row>
    <row r="35">
      <c r="A35">
        <f>'Factor Scores'!A35</f>
        <v/>
      </c>
      <c r="B35" s="10">
        <f>IF(A35="","",0.40*'Factor Scores'!C35+0.20*'Factor Scores'!E35+0.20*'Factor Scores'!G35+0.20*'Factor Scores'!H35)</f>
        <v/>
      </c>
      <c r="C35" s="12">
        <f>IF(B35="","",RANK(B35,$B$2:$B$2501,0))</f>
        <v/>
      </c>
      <c r="D35">
        <f>IF(C35="","",C35&lt;=25)</f>
        <v/>
      </c>
      <c r="F35">
        <f>IF(A35="","",IF(AND(D35=TRUE,E35=""),"BUY",IF(AND(D35=FALSE,E35&lt;&gt;""),"SELL",IF(AND(D35=TRUE,E35&lt;&gt;""),"HOLD",""))))</f>
        <v/>
      </c>
      <c r="G35" s="12">
        <f>IF(D35=TRUE,4,0)</f>
        <v/>
      </c>
      <c r="H35">
        <f>IF(A35="","",BDP(A35&amp;" US Equity","GICS_SECTOR_NAME"))</f>
        <v/>
      </c>
    </row>
    <row r="36">
      <c r="A36">
        <f>'Factor Scores'!A36</f>
        <v/>
      </c>
      <c r="B36" s="10">
        <f>IF(A36="","",0.40*'Factor Scores'!C36+0.20*'Factor Scores'!E36+0.20*'Factor Scores'!G36+0.20*'Factor Scores'!H36)</f>
        <v/>
      </c>
      <c r="C36" s="12">
        <f>IF(B36="","",RANK(B36,$B$2:$B$2501,0))</f>
        <v/>
      </c>
      <c r="D36">
        <f>IF(C36="","",C36&lt;=25)</f>
        <v/>
      </c>
      <c r="F36">
        <f>IF(A36="","",IF(AND(D36=TRUE,E36=""),"BUY",IF(AND(D36=FALSE,E36&lt;&gt;""),"SELL",IF(AND(D36=TRUE,E36&lt;&gt;""),"HOLD",""))))</f>
        <v/>
      </c>
      <c r="G36" s="12">
        <f>IF(D36=TRUE,4,0)</f>
        <v/>
      </c>
      <c r="H36">
        <f>IF(A36="","",BDP(A36&amp;" US Equity","GICS_SECTOR_NAME"))</f>
        <v/>
      </c>
    </row>
    <row r="37">
      <c r="A37">
        <f>'Factor Scores'!A37</f>
        <v/>
      </c>
      <c r="B37" s="10">
        <f>IF(A37="","",0.40*'Factor Scores'!C37+0.20*'Factor Scores'!E37+0.20*'Factor Scores'!G37+0.20*'Factor Scores'!H37)</f>
        <v/>
      </c>
      <c r="C37" s="12">
        <f>IF(B37="","",RANK(B37,$B$2:$B$2501,0))</f>
        <v/>
      </c>
      <c r="D37">
        <f>IF(C37="","",C37&lt;=25)</f>
        <v/>
      </c>
      <c r="F37">
        <f>IF(A37="","",IF(AND(D37=TRUE,E37=""),"BUY",IF(AND(D37=FALSE,E37&lt;&gt;""),"SELL",IF(AND(D37=TRUE,E37&lt;&gt;""),"HOLD",""))))</f>
        <v/>
      </c>
      <c r="G37" s="12">
        <f>IF(D37=TRUE,4,0)</f>
        <v/>
      </c>
      <c r="H37">
        <f>IF(A37="","",BDP(A37&amp;" US Equity","GICS_SECTOR_NAME"))</f>
        <v/>
      </c>
    </row>
    <row r="38">
      <c r="A38">
        <f>'Factor Scores'!A38</f>
        <v/>
      </c>
      <c r="B38" s="10">
        <f>IF(A38="","",0.40*'Factor Scores'!C38+0.20*'Factor Scores'!E38+0.20*'Factor Scores'!G38+0.20*'Factor Scores'!H38)</f>
        <v/>
      </c>
      <c r="C38" s="12">
        <f>IF(B38="","",RANK(B38,$B$2:$B$2501,0))</f>
        <v/>
      </c>
      <c r="D38">
        <f>IF(C38="","",C38&lt;=25)</f>
        <v/>
      </c>
      <c r="F38">
        <f>IF(A38="","",IF(AND(D38=TRUE,E38=""),"BUY",IF(AND(D38=FALSE,E38&lt;&gt;""),"SELL",IF(AND(D38=TRUE,E38&lt;&gt;""),"HOLD",""))))</f>
        <v/>
      </c>
      <c r="G38" s="12">
        <f>IF(D38=TRUE,4,0)</f>
        <v/>
      </c>
      <c r="H38">
        <f>IF(A38="","",BDP(A38&amp;" US Equity","GICS_SECTOR_NAME"))</f>
        <v/>
      </c>
    </row>
    <row r="39">
      <c r="A39">
        <f>'Factor Scores'!A39</f>
        <v/>
      </c>
      <c r="B39" s="10">
        <f>IF(A39="","",0.40*'Factor Scores'!C39+0.20*'Factor Scores'!E39+0.20*'Factor Scores'!G39+0.20*'Factor Scores'!H39)</f>
        <v/>
      </c>
      <c r="C39" s="12">
        <f>IF(B39="","",RANK(B39,$B$2:$B$2501,0))</f>
        <v/>
      </c>
      <c r="D39">
        <f>IF(C39="","",C39&lt;=25)</f>
        <v/>
      </c>
      <c r="F39">
        <f>IF(A39="","",IF(AND(D39=TRUE,E39=""),"BUY",IF(AND(D39=FALSE,E39&lt;&gt;""),"SELL",IF(AND(D39=TRUE,E39&lt;&gt;""),"HOLD",""))))</f>
        <v/>
      </c>
      <c r="G39" s="12">
        <f>IF(D39=TRUE,4,0)</f>
        <v/>
      </c>
      <c r="H39">
        <f>IF(A39="","",BDP(A39&amp;" US Equity","GICS_SECTOR_NAME"))</f>
        <v/>
      </c>
    </row>
    <row r="40">
      <c r="A40">
        <f>'Factor Scores'!A40</f>
        <v/>
      </c>
      <c r="B40" s="10">
        <f>IF(A40="","",0.40*'Factor Scores'!C40+0.20*'Factor Scores'!E40+0.20*'Factor Scores'!G40+0.20*'Factor Scores'!H40)</f>
        <v/>
      </c>
      <c r="C40" s="12">
        <f>IF(B40="","",RANK(B40,$B$2:$B$2501,0))</f>
        <v/>
      </c>
      <c r="D40">
        <f>IF(C40="","",C40&lt;=25)</f>
        <v/>
      </c>
      <c r="F40">
        <f>IF(A40="","",IF(AND(D40=TRUE,E40=""),"BUY",IF(AND(D40=FALSE,E40&lt;&gt;""),"SELL",IF(AND(D40=TRUE,E40&lt;&gt;""),"HOLD",""))))</f>
        <v/>
      </c>
      <c r="G40" s="12">
        <f>IF(D40=TRUE,4,0)</f>
        <v/>
      </c>
      <c r="H40">
        <f>IF(A40="","",BDP(A40&amp;" US Equity","GICS_SECTOR_NAME"))</f>
        <v/>
      </c>
    </row>
    <row r="41">
      <c r="A41">
        <f>'Factor Scores'!A41</f>
        <v/>
      </c>
      <c r="B41" s="10">
        <f>IF(A41="","",0.40*'Factor Scores'!C41+0.20*'Factor Scores'!E41+0.20*'Factor Scores'!G41+0.20*'Factor Scores'!H41)</f>
        <v/>
      </c>
      <c r="C41" s="12">
        <f>IF(B41="","",RANK(B41,$B$2:$B$2501,0))</f>
        <v/>
      </c>
      <c r="D41">
        <f>IF(C41="","",C41&lt;=25)</f>
        <v/>
      </c>
      <c r="F41">
        <f>IF(A41="","",IF(AND(D41=TRUE,E41=""),"BUY",IF(AND(D41=FALSE,E41&lt;&gt;""),"SELL",IF(AND(D41=TRUE,E41&lt;&gt;""),"HOLD",""))))</f>
        <v/>
      </c>
      <c r="G41" s="12">
        <f>IF(D41=TRUE,4,0)</f>
        <v/>
      </c>
      <c r="H41">
        <f>IF(A41="","",BDP(A41&amp;" US Equity","GICS_SECTOR_NAME"))</f>
        <v/>
      </c>
    </row>
    <row r="42">
      <c r="A42">
        <f>'Factor Scores'!A42</f>
        <v/>
      </c>
      <c r="B42" s="10">
        <f>IF(A42="","",0.40*'Factor Scores'!C42+0.20*'Factor Scores'!E42+0.20*'Factor Scores'!G42+0.20*'Factor Scores'!H42)</f>
        <v/>
      </c>
      <c r="C42" s="12">
        <f>IF(B42="","",RANK(B42,$B$2:$B$2501,0))</f>
        <v/>
      </c>
      <c r="D42">
        <f>IF(C42="","",C42&lt;=25)</f>
        <v/>
      </c>
      <c r="F42">
        <f>IF(A42="","",IF(AND(D42=TRUE,E42=""),"BUY",IF(AND(D42=FALSE,E42&lt;&gt;""),"SELL",IF(AND(D42=TRUE,E42&lt;&gt;""),"HOLD",""))))</f>
        <v/>
      </c>
      <c r="G42" s="12">
        <f>IF(D42=TRUE,4,0)</f>
        <v/>
      </c>
      <c r="H42">
        <f>IF(A42="","",BDP(A42&amp;" US Equity","GICS_SECTOR_NAME"))</f>
        <v/>
      </c>
    </row>
    <row r="43">
      <c r="A43">
        <f>'Factor Scores'!A43</f>
        <v/>
      </c>
      <c r="B43" s="10">
        <f>IF(A43="","",0.40*'Factor Scores'!C43+0.20*'Factor Scores'!E43+0.20*'Factor Scores'!G43+0.20*'Factor Scores'!H43)</f>
        <v/>
      </c>
      <c r="C43" s="12">
        <f>IF(B43="","",RANK(B43,$B$2:$B$2501,0))</f>
        <v/>
      </c>
      <c r="D43">
        <f>IF(C43="","",C43&lt;=25)</f>
        <v/>
      </c>
      <c r="F43">
        <f>IF(A43="","",IF(AND(D43=TRUE,E43=""),"BUY",IF(AND(D43=FALSE,E43&lt;&gt;""),"SELL",IF(AND(D43=TRUE,E43&lt;&gt;""),"HOLD",""))))</f>
        <v/>
      </c>
      <c r="G43" s="12">
        <f>IF(D43=TRUE,4,0)</f>
        <v/>
      </c>
      <c r="H43">
        <f>IF(A43="","",BDP(A43&amp;" US Equity","GICS_SECTOR_NAME"))</f>
        <v/>
      </c>
    </row>
    <row r="44">
      <c r="A44">
        <f>'Factor Scores'!A44</f>
        <v/>
      </c>
      <c r="B44" s="10">
        <f>IF(A44="","",0.40*'Factor Scores'!C44+0.20*'Factor Scores'!E44+0.20*'Factor Scores'!G44+0.20*'Factor Scores'!H44)</f>
        <v/>
      </c>
      <c r="C44" s="12">
        <f>IF(B44="","",RANK(B44,$B$2:$B$2501,0))</f>
        <v/>
      </c>
      <c r="D44">
        <f>IF(C44="","",C44&lt;=25)</f>
        <v/>
      </c>
      <c r="F44">
        <f>IF(A44="","",IF(AND(D44=TRUE,E44=""),"BUY",IF(AND(D44=FALSE,E44&lt;&gt;""),"SELL",IF(AND(D44=TRUE,E44&lt;&gt;""),"HOLD",""))))</f>
        <v/>
      </c>
      <c r="G44" s="12">
        <f>IF(D44=TRUE,4,0)</f>
        <v/>
      </c>
      <c r="H44">
        <f>IF(A44="","",BDP(A44&amp;" US Equity","GICS_SECTOR_NAME"))</f>
        <v/>
      </c>
    </row>
    <row r="45">
      <c r="A45">
        <f>'Factor Scores'!A45</f>
        <v/>
      </c>
      <c r="B45" s="10">
        <f>IF(A45="","",0.40*'Factor Scores'!C45+0.20*'Factor Scores'!E45+0.20*'Factor Scores'!G45+0.20*'Factor Scores'!H45)</f>
        <v/>
      </c>
      <c r="C45" s="12">
        <f>IF(B45="","",RANK(B45,$B$2:$B$2501,0))</f>
        <v/>
      </c>
      <c r="D45">
        <f>IF(C45="","",C45&lt;=25)</f>
        <v/>
      </c>
      <c r="F45">
        <f>IF(A45="","",IF(AND(D45=TRUE,E45=""),"BUY",IF(AND(D45=FALSE,E45&lt;&gt;""),"SELL",IF(AND(D45=TRUE,E45&lt;&gt;""),"HOLD",""))))</f>
        <v/>
      </c>
      <c r="G45" s="12">
        <f>IF(D45=TRUE,4,0)</f>
        <v/>
      </c>
      <c r="H45">
        <f>IF(A45="","",BDP(A45&amp;" US Equity","GICS_SECTOR_NAME"))</f>
        <v/>
      </c>
    </row>
    <row r="46">
      <c r="A46">
        <f>'Factor Scores'!A46</f>
        <v/>
      </c>
      <c r="B46" s="10">
        <f>IF(A46="","",0.40*'Factor Scores'!C46+0.20*'Factor Scores'!E46+0.20*'Factor Scores'!G46+0.20*'Factor Scores'!H46)</f>
        <v/>
      </c>
      <c r="C46" s="12">
        <f>IF(B46="","",RANK(B46,$B$2:$B$2501,0))</f>
        <v/>
      </c>
      <c r="D46">
        <f>IF(C46="","",C46&lt;=25)</f>
        <v/>
      </c>
      <c r="F46">
        <f>IF(A46="","",IF(AND(D46=TRUE,E46=""),"BUY",IF(AND(D46=FALSE,E46&lt;&gt;""),"SELL",IF(AND(D46=TRUE,E46&lt;&gt;""),"HOLD",""))))</f>
        <v/>
      </c>
      <c r="G46" s="12">
        <f>IF(D46=TRUE,4,0)</f>
        <v/>
      </c>
      <c r="H46">
        <f>IF(A46="","",BDP(A46&amp;" US Equity","GICS_SECTOR_NAME"))</f>
        <v/>
      </c>
    </row>
    <row r="47">
      <c r="A47">
        <f>'Factor Scores'!A47</f>
        <v/>
      </c>
      <c r="B47" s="10">
        <f>IF(A47="","",0.40*'Factor Scores'!C47+0.20*'Factor Scores'!E47+0.20*'Factor Scores'!G47+0.20*'Factor Scores'!H47)</f>
        <v/>
      </c>
      <c r="C47" s="12">
        <f>IF(B47="","",RANK(B47,$B$2:$B$2501,0))</f>
        <v/>
      </c>
      <c r="D47">
        <f>IF(C47="","",C47&lt;=25)</f>
        <v/>
      </c>
      <c r="F47">
        <f>IF(A47="","",IF(AND(D47=TRUE,E47=""),"BUY",IF(AND(D47=FALSE,E47&lt;&gt;""),"SELL",IF(AND(D47=TRUE,E47&lt;&gt;""),"HOLD",""))))</f>
        <v/>
      </c>
      <c r="G47" s="12">
        <f>IF(D47=TRUE,4,0)</f>
        <v/>
      </c>
      <c r="H47">
        <f>IF(A47="","",BDP(A47&amp;" US Equity","GICS_SECTOR_NAME"))</f>
        <v/>
      </c>
    </row>
    <row r="48">
      <c r="A48">
        <f>'Factor Scores'!A48</f>
        <v/>
      </c>
      <c r="B48" s="10">
        <f>IF(A48="","",0.40*'Factor Scores'!C48+0.20*'Factor Scores'!E48+0.20*'Factor Scores'!G48+0.20*'Factor Scores'!H48)</f>
        <v/>
      </c>
      <c r="C48" s="12">
        <f>IF(B48="","",RANK(B48,$B$2:$B$2501,0))</f>
        <v/>
      </c>
      <c r="D48">
        <f>IF(C48="","",C48&lt;=25)</f>
        <v/>
      </c>
      <c r="F48">
        <f>IF(A48="","",IF(AND(D48=TRUE,E48=""),"BUY",IF(AND(D48=FALSE,E48&lt;&gt;""),"SELL",IF(AND(D48=TRUE,E48&lt;&gt;""),"HOLD",""))))</f>
        <v/>
      </c>
      <c r="G48" s="12">
        <f>IF(D48=TRUE,4,0)</f>
        <v/>
      </c>
      <c r="H48">
        <f>IF(A48="","",BDP(A48&amp;" US Equity","GICS_SECTOR_NAME"))</f>
        <v/>
      </c>
    </row>
    <row r="49">
      <c r="A49">
        <f>'Factor Scores'!A49</f>
        <v/>
      </c>
      <c r="B49" s="10">
        <f>IF(A49="","",0.40*'Factor Scores'!C49+0.20*'Factor Scores'!E49+0.20*'Factor Scores'!G49+0.20*'Factor Scores'!H49)</f>
        <v/>
      </c>
      <c r="C49" s="12">
        <f>IF(B49="","",RANK(B49,$B$2:$B$2501,0))</f>
        <v/>
      </c>
      <c r="D49">
        <f>IF(C49="","",C49&lt;=25)</f>
        <v/>
      </c>
      <c r="F49">
        <f>IF(A49="","",IF(AND(D49=TRUE,E49=""),"BUY",IF(AND(D49=FALSE,E49&lt;&gt;""),"SELL",IF(AND(D49=TRUE,E49&lt;&gt;""),"HOLD",""))))</f>
        <v/>
      </c>
      <c r="G49" s="12">
        <f>IF(D49=TRUE,4,0)</f>
        <v/>
      </c>
      <c r="H49">
        <f>IF(A49="","",BDP(A49&amp;" US Equity","GICS_SECTOR_NAME"))</f>
        <v/>
      </c>
    </row>
    <row r="50">
      <c r="A50">
        <f>'Factor Scores'!A50</f>
        <v/>
      </c>
      <c r="B50" s="10">
        <f>IF(A50="","",0.40*'Factor Scores'!C50+0.20*'Factor Scores'!E50+0.20*'Factor Scores'!G50+0.20*'Factor Scores'!H50)</f>
        <v/>
      </c>
      <c r="C50" s="12">
        <f>IF(B50="","",RANK(B50,$B$2:$B$2501,0))</f>
        <v/>
      </c>
      <c r="D50">
        <f>IF(C50="","",C50&lt;=25)</f>
        <v/>
      </c>
      <c r="F50">
        <f>IF(A50="","",IF(AND(D50=TRUE,E50=""),"BUY",IF(AND(D50=FALSE,E50&lt;&gt;""),"SELL",IF(AND(D50=TRUE,E50&lt;&gt;""),"HOLD",""))))</f>
        <v/>
      </c>
      <c r="G50" s="12">
        <f>IF(D50=TRUE,4,0)</f>
        <v/>
      </c>
      <c r="H50">
        <f>IF(A50="","",BDP(A50&amp;" US Equity","GICS_SECTOR_NAME"))</f>
        <v/>
      </c>
    </row>
    <row r="51">
      <c r="A51">
        <f>'Factor Scores'!A51</f>
        <v/>
      </c>
      <c r="B51" s="10">
        <f>IF(A51="","",0.40*'Factor Scores'!C51+0.20*'Factor Scores'!E51+0.20*'Factor Scores'!G51+0.20*'Factor Scores'!H51)</f>
        <v/>
      </c>
      <c r="C51" s="12">
        <f>IF(B51="","",RANK(B51,$B$2:$B$2501,0))</f>
        <v/>
      </c>
      <c r="D51">
        <f>IF(C51="","",C51&lt;=25)</f>
        <v/>
      </c>
      <c r="F51">
        <f>IF(A51="","",IF(AND(D51=TRUE,E51=""),"BUY",IF(AND(D51=FALSE,E51&lt;&gt;""),"SELL",IF(AND(D51=TRUE,E51&lt;&gt;""),"HOLD",""))))</f>
        <v/>
      </c>
      <c r="G51" s="12">
        <f>IF(D51=TRUE,4,0)</f>
        <v/>
      </c>
      <c r="H51">
        <f>IF(A51="","",BDP(A51&amp;" US Equity","GICS_SECTOR_NAME"))</f>
        <v/>
      </c>
    </row>
    <row r="52">
      <c r="A52">
        <f>'Factor Scores'!A52</f>
        <v/>
      </c>
      <c r="B52" s="10">
        <f>IF(A52="","",0.40*'Factor Scores'!C52+0.20*'Factor Scores'!E52+0.20*'Factor Scores'!G52+0.20*'Factor Scores'!H52)</f>
        <v/>
      </c>
      <c r="C52" s="12">
        <f>IF(B52="","",RANK(B52,$B$2:$B$2501,0))</f>
        <v/>
      </c>
      <c r="D52">
        <f>IF(C52="","",C52&lt;=25)</f>
        <v/>
      </c>
      <c r="F52">
        <f>IF(A52="","",IF(AND(D52=TRUE,E52=""),"BUY",IF(AND(D52=FALSE,E52&lt;&gt;""),"SELL",IF(AND(D52=TRUE,E52&lt;&gt;""),"HOLD",""))))</f>
        <v/>
      </c>
      <c r="G52" s="12">
        <f>IF(D52=TRUE,4,0)</f>
        <v/>
      </c>
      <c r="H52">
        <f>IF(A52="","",BDP(A52&amp;" US Equity","GICS_SECTOR_NAME"))</f>
        <v/>
      </c>
    </row>
    <row r="53">
      <c r="A53">
        <f>'Factor Scores'!A53</f>
        <v/>
      </c>
      <c r="B53" s="10">
        <f>IF(A53="","",0.40*'Factor Scores'!C53+0.20*'Factor Scores'!E53+0.20*'Factor Scores'!G53+0.20*'Factor Scores'!H53)</f>
        <v/>
      </c>
      <c r="C53" s="12">
        <f>IF(B53="","",RANK(B53,$B$2:$B$2501,0))</f>
        <v/>
      </c>
      <c r="D53">
        <f>IF(C53="","",C53&lt;=25)</f>
        <v/>
      </c>
      <c r="F53">
        <f>IF(A53="","",IF(AND(D53=TRUE,E53=""),"BUY",IF(AND(D53=FALSE,E53&lt;&gt;""),"SELL",IF(AND(D53=TRUE,E53&lt;&gt;""),"HOLD",""))))</f>
        <v/>
      </c>
      <c r="G53" s="12">
        <f>IF(D53=TRUE,4,0)</f>
        <v/>
      </c>
      <c r="H53">
        <f>IF(A53="","",BDP(A53&amp;" US Equity","GICS_SECTOR_NAME"))</f>
        <v/>
      </c>
    </row>
    <row r="54">
      <c r="A54">
        <f>'Factor Scores'!A54</f>
        <v/>
      </c>
      <c r="B54" s="10">
        <f>IF(A54="","",0.40*'Factor Scores'!C54+0.20*'Factor Scores'!E54+0.20*'Factor Scores'!G54+0.20*'Factor Scores'!H54)</f>
        <v/>
      </c>
      <c r="C54" s="12">
        <f>IF(B54="","",RANK(B54,$B$2:$B$2501,0))</f>
        <v/>
      </c>
      <c r="D54">
        <f>IF(C54="","",C54&lt;=25)</f>
        <v/>
      </c>
      <c r="F54">
        <f>IF(A54="","",IF(AND(D54=TRUE,E54=""),"BUY",IF(AND(D54=FALSE,E54&lt;&gt;""),"SELL",IF(AND(D54=TRUE,E54&lt;&gt;""),"HOLD",""))))</f>
        <v/>
      </c>
      <c r="G54" s="12">
        <f>IF(D54=TRUE,4,0)</f>
        <v/>
      </c>
      <c r="H54">
        <f>IF(A54="","",BDP(A54&amp;" US Equity","GICS_SECTOR_NAME"))</f>
        <v/>
      </c>
    </row>
    <row r="55">
      <c r="A55">
        <f>'Factor Scores'!A55</f>
        <v/>
      </c>
      <c r="B55" s="10">
        <f>IF(A55="","",0.40*'Factor Scores'!C55+0.20*'Factor Scores'!E55+0.20*'Factor Scores'!G55+0.20*'Factor Scores'!H55)</f>
        <v/>
      </c>
      <c r="C55" s="12">
        <f>IF(B55="","",RANK(B55,$B$2:$B$2501,0))</f>
        <v/>
      </c>
      <c r="D55">
        <f>IF(C55="","",C55&lt;=25)</f>
        <v/>
      </c>
      <c r="F55">
        <f>IF(A55="","",IF(AND(D55=TRUE,E55=""),"BUY",IF(AND(D55=FALSE,E55&lt;&gt;""),"SELL",IF(AND(D55=TRUE,E55&lt;&gt;""),"HOLD",""))))</f>
        <v/>
      </c>
      <c r="G55" s="12">
        <f>IF(D55=TRUE,4,0)</f>
        <v/>
      </c>
      <c r="H55">
        <f>IF(A55="","",BDP(A55&amp;" US Equity","GICS_SECTOR_NAME"))</f>
        <v/>
      </c>
    </row>
    <row r="56">
      <c r="A56">
        <f>'Factor Scores'!A56</f>
        <v/>
      </c>
      <c r="B56" s="10">
        <f>IF(A56="","",0.40*'Factor Scores'!C56+0.20*'Factor Scores'!E56+0.20*'Factor Scores'!G56+0.20*'Factor Scores'!H56)</f>
        <v/>
      </c>
      <c r="C56" s="12">
        <f>IF(B56="","",RANK(B56,$B$2:$B$2501,0))</f>
        <v/>
      </c>
      <c r="D56">
        <f>IF(C56="","",C56&lt;=25)</f>
        <v/>
      </c>
      <c r="F56">
        <f>IF(A56="","",IF(AND(D56=TRUE,E56=""),"BUY",IF(AND(D56=FALSE,E56&lt;&gt;""),"SELL",IF(AND(D56=TRUE,E56&lt;&gt;""),"HOLD",""))))</f>
        <v/>
      </c>
      <c r="G56" s="12">
        <f>IF(D56=TRUE,4,0)</f>
        <v/>
      </c>
      <c r="H56">
        <f>IF(A56="","",BDP(A56&amp;" US Equity","GICS_SECTOR_NAME"))</f>
        <v/>
      </c>
    </row>
    <row r="57">
      <c r="A57">
        <f>'Factor Scores'!A57</f>
        <v/>
      </c>
      <c r="B57" s="10">
        <f>IF(A57="","",0.40*'Factor Scores'!C57+0.20*'Factor Scores'!E57+0.20*'Factor Scores'!G57+0.20*'Factor Scores'!H57)</f>
        <v/>
      </c>
      <c r="C57" s="12">
        <f>IF(B57="","",RANK(B57,$B$2:$B$2501,0))</f>
        <v/>
      </c>
      <c r="D57">
        <f>IF(C57="","",C57&lt;=25)</f>
        <v/>
      </c>
      <c r="F57">
        <f>IF(A57="","",IF(AND(D57=TRUE,E57=""),"BUY",IF(AND(D57=FALSE,E57&lt;&gt;""),"SELL",IF(AND(D57=TRUE,E57&lt;&gt;""),"HOLD",""))))</f>
        <v/>
      </c>
      <c r="G57" s="12">
        <f>IF(D57=TRUE,4,0)</f>
        <v/>
      </c>
      <c r="H57">
        <f>IF(A57="","",BDP(A57&amp;" US Equity","GICS_SECTOR_NAME"))</f>
        <v/>
      </c>
    </row>
    <row r="58">
      <c r="A58">
        <f>'Factor Scores'!A58</f>
        <v/>
      </c>
      <c r="B58" s="10">
        <f>IF(A58="","",0.40*'Factor Scores'!C58+0.20*'Factor Scores'!E58+0.20*'Factor Scores'!G58+0.20*'Factor Scores'!H58)</f>
        <v/>
      </c>
      <c r="C58" s="12">
        <f>IF(B58="","",RANK(B58,$B$2:$B$2501,0))</f>
        <v/>
      </c>
      <c r="D58">
        <f>IF(C58="","",C58&lt;=25)</f>
        <v/>
      </c>
      <c r="F58">
        <f>IF(A58="","",IF(AND(D58=TRUE,E58=""),"BUY",IF(AND(D58=FALSE,E58&lt;&gt;""),"SELL",IF(AND(D58=TRUE,E58&lt;&gt;""),"HOLD",""))))</f>
        <v/>
      </c>
      <c r="G58" s="12">
        <f>IF(D58=TRUE,4,0)</f>
        <v/>
      </c>
      <c r="H58">
        <f>IF(A58="","",BDP(A58&amp;" US Equity","GICS_SECTOR_NAME"))</f>
        <v/>
      </c>
    </row>
    <row r="59">
      <c r="A59">
        <f>'Factor Scores'!A59</f>
        <v/>
      </c>
      <c r="B59" s="10">
        <f>IF(A59="","",0.40*'Factor Scores'!C59+0.20*'Factor Scores'!E59+0.20*'Factor Scores'!G59+0.20*'Factor Scores'!H59)</f>
        <v/>
      </c>
      <c r="C59" s="12">
        <f>IF(B59="","",RANK(B59,$B$2:$B$2501,0))</f>
        <v/>
      </c>
      <c r="D59">
        <f>IF(C59="","",C59&lt;=25)</f>
        <v/>
      </c>
      <c r="F59">
        <f>IF(A59="","",IF(AND(D59=TRUE,E59=""),"BUY",IF(AND(D59=FALSE,E59&lt;&gt;""),"SELL",IF(AND(D59=TRUE,E59&lt;&gt;""),"HOLD",""))))</f>
        <v/>
      </c>
      <c r="G59" s="12">
        <f>IF(D59=TRUE,4,0)</f>
        <v/>
      </c>
      <c r="H59">
        <f>IF(A59="","",BDP(A59&amp;" US Equity","GICS_SECTOR_NAME"))</f>
        <v/>
      </c>
    </row>
    <row r="60">
      <c r="A60">
        <f>'Factor Scores'!A60</f>
        <v/>
      </c>
      <c r="B60" s="10">
        <f>IF(A60="","",0.40*'Factor Scores'!C60+0.20*'Factor Scores'!E60+0.20*'Factor Scores'!G60+0.20*'Factor Scores'!H60)</f>
        <v/>
      </c>
      <c r="C60" s="12">
        <f>IF(B60="","",RANK(B60,$B$2:$B$2501,0))</f>
        <v/>
      </c>
      <c r="D60">
        <f>IF(C60="","",C60&lt;=25)</f>
        <v/>
      </c>
      <c r="F60">
        <f>IF(A60="","",IF(AND(D60=TRUE,E60=""),"BUY",IF(AND(D60=FALSE,E60&lt;&gt;""),"SELL",IF(AND(D60=TRUE,E60&lt;&gt;""),"HOLD",""))))</f>
        <v/>
      </c>
      <c r="G60" s="12">
        <f>IF(D60=TRUE,4,0)</f>
        <v/>
      </c>
      <c r="H60">
        <f>IF(A60="","",BDP(A60&amp;" US Equity","GICS_SECTOR_NAME"))</f>
        <v/>
      </c>
    </row>
    <row r="61">
      <c r="A61">
        <f>'Factor Scores'!A61</f>
        <v/>
      </c>
      <c r="B61" s="10">
        <f>IF(A61="","",0.40*'Factor Scores'!C61+0.20*'Factor Scores'!E61+0.20*'Factor Scores'!G61+0.20*'Factor Scores'!H61)</f>
        <v/>
      </c>
      <c r="C61" s="12">
        <f>IF(B61="","",RANK(B61,$B$2:$B$2501,0))</f>
        <v/>
      </c>
      <c r="D61">
        <f>IF(C61="","",C61&lt;=25)</f>
        <v/>
      </c>
      <c r="F61">
        <f>IF(A61="","",IF(AND(D61=TRUE,E61=""),"BUY",IF(AND(D61=FALSE,E61&lt;&gt;""),"SELL",IF(AND(D61=TRUE,E61&lt;&gt;""),"HOLD",""))))</f>
        <v/>
      </c>
      <c r="G61" s="12">
        <f>IF(D61=TRUE,4,0)</f>
        <v/>
      </c>
      <c r="H61">
        <f>IF(A61="","",BDP(A61&amp;" US Equity","GICS_SECTOR_NAME"))</f>
        <v/>
      </c>
    </row>
    <row r="62">
      <c r="A62">
        <f>'Factor Scores'!A62</f>
        <v/>
      </c>
      <c r="B62" s="10">
        <f>IF(A62="","",0.40*'Factor Scores'!C62+0.20*'Factor Scores'!E62+0.20*'Factor Scores'!G62+0.20*'Factor Scores'!H62)</f>
        <v/>
      </c>
      <c r="C62" s="12">
        <f>IF(B62="","",RANK(B62,$B$2:$B$2501,0))</f>
        <v/>
      </c>
      <c r="D62">
        <f>IF(C62="","",C62&lt;=25)</f>
        <v/>
      </c>
      <c r="F62">
        <f>IF(A62="","",IF(AND(D62=TRUE,E62=""),"BUY",IF(AND(D62=FALSE,E62&lt;&gt;""),"SELL",IF(AND(D62=TRUE,E62&lt;&gt;""),"HOLD",""))))</f>
        <v/>
      </c>
      <c r="G62" s="12">
        <f>IF(D62=TRUE,4,0)</f>
        <v/>
      </c>
      <c r="H62">
        <f>IF(A62="","",BDP(A62&amp;" US Equity","GICS_SECTOR_NAME"))</f>
        <v/>
      </c>
    </row>
    <row r="63">
      <c r="A63">
        <f>'Factor Scores'!A63</f>
        <v/>
      </c>
      <c r="B63" s="10">
        <f>IF(A63="","",0.40*'Factor Scores'!C63+0.20*'Factor Scores'!E63+0.20*'Factor Scores'!G63+0.20*'Factor Scores'!H63)</f>
        <v/>
      </c>
      <c r="C63" s="12">
        <f>IF(B63="","",RANK(B63,$B$2:$B$2501,0))</f>
        <v/>
      </c>
      <c r="D63">
        <f>IF(C63="","",C63&lt;=25)</f>
        <v/>
      </c>
      <c r="F63">
        <f>IF(A63="","",IF(AND(D63=TRUE,E63=""),"BUY",IF(AND(D63=FALSE,E63&lt;&gt;""),"SELL",IF(AND(D63=TRUE,E63&lt;&gt;""),"HOLD",""))))</f>
        <v/>
      </c>
      <c r="G63" s="12">
        <f>IF(D63=TRUE,4,0)</f>
        <v/>
      </c>
      <c r="H63">
        <f>IF(A63="","",BDP(A63&amp;" US Equity","GICS_SECTOR_NAME"))</f>
        <v/>
      </c>
    </row>
    <row r="64">
      <c r="A64">
        <f>'Factor Scores'!A64</f>
        <v/>
      </c>
      <c r="B64" s="10">
        <f>IF(A64="","",0.40*'Factor Scores'!C64+0.20*'Factor Scores'!E64+0.20*'Factor Scores'!G64+0.20*'Factor Scores'!H64)</f>
        <v/>
      </c>
      <c r="C64" s="12">
        <f>IF(B64="","",RANK(B64,$B$2:$B$2501,0))</f>
        <v/>
      </c>
      <c r="D64">
        <f>IF(C64="","",C64&lt;=25)</f>
        <v/>
      </c>
      <c r="F64">
        <f>IF(A64="","",IF(AND(D64=TRUE,E64=""),"BUY",IF(AND(D64=FALSE,E64&lt;&gt;""),"SELL",IF(AND(D64=TRUE,E64&lt;&gt;""),"HOLD",""))))</f>
        <v/>
      </c>
      <c r="G64" s="12">
        <f>IF(D64=TRUE,4,0)</f>
        <v/>
      </c>
      <c r="H64">
        <f>IF(A64="","",BDP(A64&amp;" US Equity","GICS_SECTOR_NAME"))</f>
        <v/>
      </c>
    </row>
    <row r="65">
      <c r="A65">
        <f>'Factor Scores'!A65</f>
        <v/>
      </c>
      <c r="B65" s="10">
        <f>IF(A65="","",0.40*'Factor Scores'!C65+0.20*'Factor Scores'!E65+0.20*'Factor Scores'!G65+0.20*'Factor Scores'!H65)</f>
        <v/>
      </c>
      <c r="C65" s="12">
        <f>IF(B65="","",RANK(B65,$B$2:$B$2501,0))</f>
        <v/>
      </c>
      <c r="D65">
        <f>IF(C65="","",C65&lt;=25)</f>
        <v/>
      </c>
      <c r="F65">
        <f>IF(A65="","",IF(AND(D65=TRUE,E65=""),"BUY",IF(AND(D65=FALSE,E65&lt;&gt;""),"SELL",IF(AND(D65=TRUE,E65&lt;&gt;""),"HOLD",""))))</f>
        <v/>
      </c>
      <c r="G65" s="12">
        <f>IF(D65=TRUE,4,0)</f>
        <v/>
      </c>
      <c r="H65">
        <f>IF(A65="","",BDP(A65&amp;" US Equity","GICS_SECTOR_NAME"))</f>
        <v/>
      </c>
    </row>
    <row r="66">
      <c r="A66">
        <f>'Factor Scores'!A66</f>
        <v/>
      </c>
      <c r="B66" s="10">
        <f>IF(A66="","",0.40*'Factor Scores'!C66+0.20*'Factor Scores'!E66+0.20*'Factor Scores'!G66+0.20*'Factor Scores'!H66)</f>
        <v/>
      </c>
      <c r="C66" s="12">
        <f>IF(B66="","",RANK(B66,$B$2:$B$2501,0))</f>
        <v/>
      </c>
      <c r="D66">
        <f>IF(C66="","",C66&lt;=25)</f>
        <v/>
      </c>
      <c r="F66">
        <f>IF(A66="","",IF(AND(D66=TRUE,E66=""),"BUY",IF(AND(D66=FALSE,E66&lt;&gt;""),"SELL",IF(AND(D66=TRUE,E66&lt;&gt;""),"HOLD",""))))</f>
        <v/>
      </c>
      <c r="G66" s="12">
        <f>IF(D66=TRUE,4,0)</f>
        <v/>
      </c>
      <c r="H66">
        <f>IF(A66="","",BDP(A66&amp;" US Equity","GICS_SECTOR_NAME"))</f>
        <v/>
      </c>
    </row>
    <row r="67">
      <c r="A67">
        <f>'Factor Scores'!A67</f>
        <v/>
      </c>
      <c r="B67" s="10">
        <f>IF(A67="","",0.40*'Factor Scores'!C67+0.20*'Factor Scores'!E67+0.20*'Factor Scores'!G67+0.20*'Factor Scores'!H67)</f>
        <v/>
      </c>
      <c r="C67" s="12">
        <f>IF(B67="","",RANK(B67,$B$2:$B$2501,0))</f>
        <v/>
      </c>
      <c r="D67">
        <f>IF(C67="","",C67&lt;=25)</f>
        <v/>
      </c>
      <c r="F67">
        <f>IF(A67="","",IF(AND(D67=TRUE,E67=""),"BUY",IF(AND(D67=FALSE,E67&lt;&gt;""),"SELL",IF(AND(D67=TRUE,E67&lt;&gt;""),"HOLD",""))))</f>
        <v/>
      </c>
      <c r="G67" s="12">
        <f>IF(D67=TRUE,4,0)</f>
        <v/>
      </c>
      <c r="H67">
        <f>IF(A67="","",BDP(A67&amp;" US Equity","GICS_SECTOR_NAME"))</f>
        <v/>
      </c>
    </row>
    <row r="68">
      <c r="A68">
        <f>'Factor Scores'!A68</f>
        <v/>
      </c>
      <c r="B68" s="10">
        <f>IF(A68="","",0.40*'Factor Scores'!C68+0.20*'Factor Scores'!E68+0.20*'Factor Scores'!G68+0.20*'Factor Scores'!H68)</f>
        <v/>
      </c>
      <c r="C68" s="12">
        <f>IF(B68="","",RANK(B68,$B$2:$B$2501,0))</f>
        <v/>
      </c>
      <c r="D68">
        <f>IF(C68="","",C68&lt;=25)</f>
        <v/>
      </c>
      <c r="F68">
        <f>IF(A68="","",IF(AND(D68=TRUE,E68=""),"BUY",IF(AND(D68=FALSE,E68&lt;&gt;""),"SELL",IF(AND(D68=TRUE,E68&lt;&gt;""),"HOLD",""))))</f>
        <v/>
      </c>
      <c r="G68" s="12">
        <f>IF(D68=TRUE,4,0)</f>
        <v/>
      </c>
      <c r="H68">
        <f>IF(A68="","",BDP(A68&amp;" US Equity","GICS_SECTOR_NAME"))</f>
        <v/>
      </c>
    </row>
    <row r="69">
      <c r="A69">
        <f>'Factor Scores'!A69</f>
        <v/>
      </c>
      <c r="B69" s="10">
        <f>IF(A69="","",0.40*'Factor Scores'!C69+0.20*'Factor Scores'!E69+0.20*'Factor Scores'!G69+0.20*'Factor Scores'!H69)</f>
        <v/>
      </c>
      <c r="C69" s="12">
        <f>IF(B69="","",RANK(B69,$B$2:$B$2501,0))</f>
        <v/>
      </c>
      <c r="D69">
        <f>IF(C69="","",C69&lt;=25)</f>
        <v/>
      </c>
      <c r="F69">
        <f>IF(A69="","",IF(AND(D69=TRUE,E69=""),"BUY",IF(AND(D69=FALSE,E69&lt;&gt;""),"SELL",IF(AND(D69=TRUE,E69&lt;&gt;""),"HOLD",""))))</f>
        <v/>
      </c>
      <c r="G69" s="12">
        <f>IF(D69=TRUE,4,0)</f>
        <v/>
      </c>
      <c r="H69">
        <f>IF(A69="","",BDP(A69&amp;" US Equity","GICS_SECTOR_NAME"))</f>
        <v/>
      </c>
    </row>
    <row r="70">
      <c r="A70">
        <f>'Factor Scores'!A70</f>
        <v/>
      </c>
      <c r="B70" s="10">
        <f>IF(A70="","",0.40*'Factor Scores'!C70+0.20*'Factor Scores'!E70+0.20*'Factor Scores'!G70+0.20*'Factor Scores'!H70)</f>
        <v/>
      </c>
      <c r="C70" s="12">
        <f>IF(B70="","",RANK(B70,$B$2:$B$2501,0))</f>
        <v/>
      </c>
      <c r="D70">
        <f>IF(C70="","",C70&lt;=25)</f>
        <v/>
      </c>
      <c r="F70">
        <f>IF(A70="","",IF(AND(D70=TRUE,E70=""),"BUY",IF(AND(D70=FALSE,E70&lt;&gt;""),"SELL",IF(AND(D70=TRUE,E70&lt;&gt;""),"HOLD",""))))</f>
        <v/>
      </c>
      <c r="G70" s="12">
        <f>IF(D70=TRUE,4,0)</f>
        <v/>
      </c>
      <c r="H70">
        <f>IF(A70="","",BDP(A70&amp;" US Equity","GICS_SECTOR_NAME"))</f>
        <v/>
      </c>
    </row>
    <row r="71">
      <c r="A71">
        <f>'Factor Scores'!A71</f>
        <v/>
      </c>
      <c r="B71" s="10">
        <f>IF(A71="","",0.40*'Factor Scores'!C71+0.20*'Factor Scores'!E71+0.20*'Factor Scores'!G71+0.20*'Factor Scores'!H71)</f>
        <v/>
      </c>
      <c r="C71" s="12">
        <f>IF(B71="","",RANK(B71,$B$2:$B$2501,0))</f>
        <v/>
      </c>
      <c r="D71">
        <f>IF(C71="","",C71&lt;=25)</f>
        <v/>
      </c>
      <c r="F71">
        <f>IF(A71="","",IF(AND(D71=TRUE,E71=""),"BUY",IF(AND(D71=FALSE,E71&lt;&gt;""),"SELL",IF(AND(D71=TRUE,E71&lt;&gt;""),"HOLD",""))))</f>
        <v/>
      </c>
      <c r="G71" s="12">
        <f>IF(D71=TRUE,4,0)</f>
        <v/>
      </c>
      <c r="H71">
        <f>IF(A71="","",BDP(A71&amp;" US Equity","GICS_SECTOR_NAME"))</f>
        <v/>
      </c>
    </row>
    <row r="72">
      <c r="A72">
        <f>'Factor Scores'!A72</f>
        <v/>
      </c>
      <c r="B72" s="10">
        <f>IF(A72="","",0.40*'Factor Scores'!C72+0.20*'Factor Scores'!E72+0.20*'Factor Scores'!G72+0.20*'Factor Scores'!H72)</f>
        <v/>
      </c>
      <c r="C72" s="12">
        <f>IF(B72="","",RANK(B72,$B$2:$B$2501,0))</f>
        <v/>
      </c>
      <c r="D72">
        <f>IF(C72="","",C72&lt;=25)</f>
        <v/>
      </c>
      <c r="F72">
        <f>IF(A72="","",IF(AND(D72=TRUE,E72=""),"BUY",IF(AND(D72=FALSE,E72&lt;&gt;""),"SELL",IF(AND(D72=TRUE,E72&lt;&gt;""),"HOLD",""))))</f>
        <v/>
      </c>
      <c r="G72" s="12">
        <f>IF(D72=TRUE,4,0)</f>
        <v/>
      </c>
      <c r="H72">
        <f>IF(A72="","",BDP(A72&amp;" US Equity","GICS_SECTOR_NAME"))</f>
        <v/>
      </c>
    </row>
    <row r="73">
      <c r="A73">
        <f>'Factor Scores'!A73</f>
        <v/>
      </c>
      <c r="B73" s="10">
        <f>IF(A73="","",0.40*'Factor Scores'!C73+0.20*'Factor Scores'!E73+0.20*'Factor Scores'!G73+0.20*'Factor Scores'!H73)</f>
        <v/>
      </c>
      <c r="C73" s="12">
        <f>IF(B73="","",RANK(B73,$B$2:$B$2501,0))</f>
        <v/>
      </c>
      <c r="D73">
        <f>IF(C73="","",C73&lt;=25)</f>
        <v/>
      </c>
      <c r="F73">
        <f>IF(A73="","",IF(AND(D73=TRUE,E73=""),"BUY",IF(AND(D73=FALSE,E73&lt;&gt;""),"SELL",IF(AND(D73=TRUE,E73&lt;&gt;""),"HOLD",""))))</f>
        <v/>
      </c>
      <c r="G73" s="12">
        <f>IF(D73=TRUE,4,0)</f>
        <v/>
      </c>
      <c r="H73">
        <f>IF(A73="","",BDP(A73&amp;" US Equity","GICS_SECTOR_NAME"))</f>
        <v/>
      </c>
    </row>
    <row r="74">
      <c r="A74">
        <f>'Factor Scores'!A74</f>
        <v/>
      </c>
      <c r="B74" s="10">
        <f>IF(A74="","",0.40*'Factor Scores'!C74+0.20*'Factor Scores'!E74+0.20*'Factor Scores'!G74+0.20*'Factor Scores'!H74)</f>
        <v/>
      </c>
      <c r="C74" s="12">
        <f>IF(B74="","",RANK(B74,$B$2:$B$2501,0))</f>
        <v/>
      </c>
      <c r="D74">
        <f>IF(C74="","",C74&lt;=25)</f>
        <v/>
      </c>
      <c r="F74">
        <f>IF(A74="","",IF(AND(D74=TRUE,E74=""),"BUY",IF(AND(D74=FALSE,E74&lt;&gt;""),"SELL",IF(AND(D74=TRUE,E74&lt;&gt;""),"HOLD",""))))</f>
        <v/>
      </c>
      <c r="G74" s="12">
        <f>IF(D74=TRUE,4,0)</f>
        <v/>
      </c>
      <c r="H74">
        <f>IF(A74="","",BDP(A74&amp;" US Equity","GICS_SECTOR_NAME"))</f>
        <v/>
      </c>
    </row>
    <row r="75">
      <c r="A75">
        <f>'Factor Scores'!A75</f>
        <v/>
      </c>
      <c r="B75" s="10">
        <f>IF(A75="","",0.40*'Factor Scores'!C75+0.20*'Factor Scores'!E75+0.20*'Factor Scores'!G75+0.20*'Factor Scores'!H75)</f>
        <v/>
      </c>
      <c r="C75" s="12">
        <f>IF(B75="","",RANK(B75,$B$2:$B$2501,0))</f>
        <v/>
      </c>
      <c r="D75">
        <f>IF(C75="","",C75&lt;=25)</f>
        <v/>
      </c>
      <c r="F75">
        <f>IF(A75="","",IF(AND(D75=TRUE,E75=""),"BUY",IF(AND(D75=FALSE,E75&lt;&gt;""),"SELL",IF(AND(D75=TRUE,E75&lt;&gt;""),"HOLD",""))))</f>
        <v/>
      </c>
      <c r="G75" s="12">
        <f>IF(D75=TRUE,4,0)</f>
        <v/>
      </c>
      <c r="H75">
        <f>IF(A75="","",BDP(A75&amp;" US Equity","GICS_SECTOR_NAME"))</f>
        <v/>
      </c>
    </row>
    <row r="76">
      <c r="A76">
        <f>'Factor Scores'!A76</f>
        <v/>
      </c>
      <c r="B76" s="10">
        <f>IF(A76="","",0.40*'Factor Scores'!C76+0.20*'Factor Scores'!E76+0.20*'Factor Scores'!G76+0.20*'Factor Scores'!H76)</f>
        <v/>
      </c>
      <c r="C76" s="12">
        <f>IF(B76="","",RANK(B76,$B$2:$B$2501,0))</f>
        <v/>
      </c>
      <c r="D76">
        <f>IF(C76="","",C76&lt;=25)</f>
        <v/>
      </c>
      <c r="F76">
        <f>IF(A76="","",IF(AND(D76=TRUE,E76=""),"BUY",IF(AND(D76=FALSE,E76&lt;&gt;""),"SELL",IF(AND(D76=TRUE,E76&lt;&gt;""),"HOLD",""))))</f>
        <v/>
      </c>
      <c r="G76" s="12">
        <f>IF(D76=TRUE,4,0)</f>
        <v/>
      </c>
      <c r="H76">
        <f>IF(A76="","",BDP(A76&amp;" US Equity","GICS_SECTOR_NAME"))</f>
        <v/>
      </c>
    </row>
    <row r="77">
      <c r="A77">
        <f>'Factor Scores'!A77</f>
        <v/>
      </c>
      <c r="B77" s="10">
        <f>IF(A77="","",0.40*'Factor Scores'!C77+0.20*'Factor Scores'!E77+0.20*'Factor Scores'!G77+0.20*'Factor Scores'!H77)</f>
        <v/>
      </c>
      <c r="C77" s="12">
        <f>IF(B77="","",RANK(B77,$B$2:$B$2501,0))</f>
        <v/>
      </c>
      <c r="D77">
        <f>IF(C77="","",C77&lt;=25)</f>
        <v/>
      </c>
      <c r="F77">
        <f>IF(A77="","",IF(AND(D77=TRUE,E77=""),"BUY",IF(AND(D77=FALSE,E77&lt;&gt;""),"SELL",IF(AND(D77=TRUE,E77&lt;&gt;""),"HOLD",""))))</f>
        <v/>
      </c>
      <c r="G77" s="12">
        <f>IF(D77=TRUE,4,0)</f>
        <v/>
      </c>
      <c r="H77">
        <f>IF(A77="","",BDP(A77&amp;" US Equity","GICS_SECTOR_NAME"))</f>
        <v/>
      </c>
    </row>
    <row r="78">
      <c r="A78">
        <f>'Factor Scores'!A78</f>
        <v/>
      </c>
      <c r="B78" s="10">
        <f>IF(A78="","",0.40*'Factor Scores'!C78+0.20*'Factor Scores'!E78+0.20*'Factor Scores'!G78+0.20*'Factor Scores'!H78)</f>
        <v/>
      </c>
      <c r="C78" s="12">
        <f>IF(B78="","",RANK(B78,$B$2:$B$2501,0))</f>
        <v/>
      </c>
      <c r="D78">
        <f>IF(C78="","",C78&lt;=25)</f>
        <v/>
      </c>
      <c r="F78">
        <f>IF(A78="","",IF(AND(D78=TRUE,E78=""),"BUY",IF(AND(D78=FALSE,E78&lt;&gt;""),"SELL",IF(AND(D78=TRUE,E78&lt;&gt;""),"HOLD",""))))</f>
        <v/>
      </c>
      <c r="G78" s="12">
        <f>IF(D78=TRUE,4,0)</f>
        <v/>
      </c>
      <c r="H78">
        <f>IF(A78="","",BDP(A78&amp;" US Equity","GICS_SECTOR_NAME"))</f>
        <v/>
      </c>
    </row>
    <row r="79">
      <c r="A79">
        <f>'Factor Scores'!A79</f>
        <v/>
      </c>
      <c r="B79" s="10">
        <f>IF(A79="","",0.40*'Factor Scores'!C79+0.20*'Factor Scores'!E79+0.20*'Factor Scores'!G79+0.20*'Factor Scores'!H79)</f>
        <v/>
      </c>
      <c r="C79" s="12">
        <f>IF(B79="","",RANK(B79,$B$2:$B$2501,0))</f>
        <v/>
      </c>
      <c r="D79">
        <f>IF(C79="","",C79&lt;=25)</f>
        <v/>
      </c>
      <c r="F79">
        <f>IF(A79="","",IF(AND(D79=TRUE,E79=""),"BUY",IF(AND(D79=FALSE,E79&lt;&gt;""),"SELL",IF(AND(D79=TRUE,E79&lt;&gt;""),"HOLD",""))))</f>
        <v/>
      </c>
      <c r="G79" s="12">
        <f>IF(D79=TRUE,4,0)</f>
        <v/>
      </c>
      <c r="H79">
        <f>IF(A79="","",BDP(A79&amp;" US Equity","GICS_SECTOR_NAME"))</f>
        <v/>
      </c>
    </row>
    <row r="80">
      <c r="A80">
        <f>'Factor Scores'!A80</f>
        <v/>
      </c>
      <c r="B80" s="10">
        <f>IF(A80="","",0.40*'Factor Scores'!C80+0.20*'Factor Scores'!E80+0.20*'Factor Scores'!G80+0.20*'Factor Scores'!H80)</f>
        <v/>
      </c>
      <c r="C80" s="12">
        <f>IF(B80="","",RANK(B80,$B$2:$B$2501,0))</f>
        <v/>
      </c>
      <c r="D80">
        <f>IF(C80="","",C80&lt;=25)</f>
        <v/>
      </c>
      <c r="F80">
        <f>IF(A80="","",IF(AND(D80=TRUE,E80=""),"BUY",IF(AND(D80=FALSE,E80&lt;&gt;""),"SELL",IF(AND(D80=TRUE,E80&lt;&gt;""),"HOLD",""))))</f>
        <v/>
      </c>
      <c r="G80" s="12">
        <f>IF(D80=TRUE,4,0)</f>
        <v/>
      </c>
      <c r="H80">
        <f>IF(A80="","",BDP(A80&amp;" US Equity","GICS_SECTOR_NAME"))</f>
        <v/>
      </c>
    </row>
    <row r="81">
      <c r="A81">
        <f>'Factor Scores'!A81</f>
        <v/>
      </c>
      <c r="B81" s="10">
        <f>IF(A81="","",0.40*'Factor Scores'!C81+0.20*'Factor Scores'!E81+0.20*'Factor Scores'!G81+0.20*'Factor Scores'!H81)</f>
        <v/>
      </c>
      <c r="C81" s="12">
        <f>IF(B81="","",RANK(B81,$B$2:$B$2501,0))</f>
        <v/>
      </c>
      <c r="D81">
        <f>IF(C81="","",C81&lt;=25)</f>
        <v/>
      </c>
      <c r="F81">
        <f>IF(A81="","",IF(AND(D81=TRUE,E81=""),"BUY",IF(AND(D81=FALSE,E81&lt;&gt;""),"SELL",IF(AND(D81=TRUE,E81&lt;&gt;""),"HOLD",""))))</f>
        <v/>
      </c>
      <c r="G81" s="12">
        <f>IF(D81=TRUE,4,0)</f>
        <v/>
      </c>
      <c r="H81">
        <f>IF(A81="","",BDP(A81&amp;" US Equity","GICS_SECTOR_NAME"))</f>
        <v/>
      </c>
    </row>
    <row r="82">
      <c r="A82">
        <f>'Factor Scores'!A82</f>
        <v/>
      </c>
      <c r="B82" s="10">
        <f>IF(A82="","",0.40*'Factor Scores'!C82+0.20*'Factor Scores'!E82+0.20*'Factor Scores'!G82+0.20*'Factor Scores'!H82)</f>
        <v/>
      </c>
      <c r="C82" s="12">
        <f>IF(B82="","",RANK(B82,$B$2:$B$2501,0))</f>
        <v/>
      </c>
      <c r="D82">
        <f>IF(C82="","",C82&lt;=25)</f>
        <v/>
      </c>
      <c r="F82">
        <f>IF(A82="","",IF(AND(D82=TRUE,E82=""),"BUY",IF(AND(D82=FALSE,E82&lt;&gt;""),"SELL",IF(AND(D82=TRUE,E82&lt;&gt;""),"HOLD",""))))</f>
        <v/>
      </c>
      <c r="G82" s="12">
        <f>IF(D82=TRUE,4,0)</f>
        <v/>
      </c>
      <c r="H82">
        <f>IF(A82="","",BDP(A82&amp;" US Equity","GICS_SECTOR_NAME"))</f>
        <v/>
      </c>
    </row>
    <row r="83">
      <c r="A83">
        <f>'Factor Scores'!A83</f>
        <v/>
      </c>
      <c r="B83" s="10">
        <f>IF(A83="","",0.40*'Factor Scores'!C83+0.20*'Factor Scores'!E83+0.20*'Factor Scores'!G83+0.20*'Factor Scores'!H83)</f>
        <v/>
      </c>
      <c r="C83" s="12">
        <f>IF(B83="","",RANK(B83,$B$2:$B$2501,0))</f>
        <v/>
      </c>
      <c r="D83">
        <f>IF(C83="","",C83&lt;=25)</f>
        <v/>
      </c>
      <c r="F83">
        <f>IF(A83="","",IF(AND(D83=TRUE,E83=""),"BUY",IF(AND(D83=FALSE,E83&lt;&gt;""),"SELL",IF(AND(D83=TRUE,E83&lt;&gt;""),"HOLD",""))))</f>
        <v/>
      </c>
      <c r="G83" s="12">
        <f>IF(D83=TRUE,4,0)</f>
        <v/>
      </c>
      <c r="H83">
        <f>IF(A83="","",BDP(A83&amp;" US Equity","GICS_SECTOR_NAME"))</f>
        <v/>
      </c>
    </row>
    <row r="84">
      <c r="A84">
        <f>'Factor Scores'!A84</f>
        <v/>
      </c>
      <c r="B84" s="10">
        <f>IF(A84="","",0.40*'Factor Scores'!C84+0.20*'Factor Scores'!E84+0.20*'Factor Scores'!G84+0.20*'Factor Scores'!H84)</f>
        <v/>
      </c>
      <c r="C84" s="12">
        <f>IF(B84="","",RANK(B84,$B$2:$B$2501,0))</f>
        <v/>
      </c>
      <c r="D84">
        <f>IF(C84="","",C84&lt;=25)</f>
        <v/>
      </c>
      <c r="F84">
        <f>IF(A84="","",IF(AND(D84=TRUE,E84=""),"BUY",IF(AND(D84=FALSE,E84&lt;&gt;""),"SELL",IF(AND(D84=TRUE,E84&lt;&gt;""),"HOLD",""))))</f>
        <v/>
      </c>
      <c r="G84" s="12">
        <f>IF(D84=TRUE,4,0)</f>
        <v/>
      </c>
      <c r="H84">
        <f>IF(A84="","",BDP(A84&amp;" US Equity","GICS_SECTOR_NAME"))</f>
        <v/>
      </c>
    </row>
    <row r="85">
      <c r="A85">
        <f>'Factor Scores'!A85</f>
        <v/>
      </c>
      <c r="B85" s="10">
        <f>IF(A85="","",0.40*'Factor Scores'!C85+0.20*'Factor Scores'!E85+0.20*'Factor Scores'!G85+0.20*'Factor Scores'!H85)</f>
        <v/>
      </c>
      <c r="C85" s="12">
        <f>IF(B85="","",RANK(B85,$B$2:$B$2501,0))</f>
        <v/>
      </c>
      <c r="D85">
        <f>IF(C85="","",C85&lt;=25)</f>
        <v/>
      </c>
      <c r="F85">
        <f>IF(A85="","",IF(AND(D85=TRUE,E85=""),"BUY",IF(AND(D85=FALSE,E85&lt;&gt;""),"SELL",IF(AND(D85=TRUE,E85&lt;&gt;""),"HOLD",""))))</f>
        <v/>
      </c>
      <c r="G85" s="12">
        <f>IF(D85=TRUE,4,0)</f>
        <v/>
      </c>
      <c r="H85">
        <f>IF(A85="","",BDP(A85&amp;" US Equity","GICS_SECTOR_NAME"))</f>
        <v/>
      </c>
    </row>
    <row r="86">
      <c r="A86">
        <f>'Factor Scores'!A86</f>
        <v/>
      </c>
      <c r="B86" s="10">
        <f>IF(A86="","",0.40*'Factor Scores'!C86+0.20*'Factor Scores'!E86+0.20*'Factor Scores'!G86+0.20*'Factor Scores'!H86)</f>
        <v/>
      </c>
      <c r="C86" s="12">
        <f>IF(B86="","",RANK(B86,$B$2:$B$2501,0))</f>
        <v/>
      </c>
      <c r="D86">
        <f>IF(C86="","",C86&lt;=25)</f>
        <v/>
      </c>
      <c r="F86">
        <f>IF(A86="","",IF(AND(D86=TRUE,E86=""),"BUY",IF(AND(D86=FALSE,E86&lt;&gt;""),"SELL",IF(AND(D86=TRUE,E86&lt;&gt;""),"HOLD",""))))</f>
        <v/>
      </c>
      <c r="G86" s="12">
        <f>IF(D86=TRUE,4,0)</f>
        <v/>
      </c>
      <c r="H86">
        <f>IF(A86="","",BDP(A86&amp;" US Equity","GICS_SECTOR_NAME"))</f>
        <v/>
      </c>
    </row>
    <row r="87">
      <c r="A87">
        <f>'Factor Scores'!A87</f>
        <v/>
      </c>
      <c r="B87" s="10">
        <f>IF(A87="","",0.40*'Factor Scores'!C87+0.20*'Factor Scores'!E87+0.20*'Factor Scores'!G87+0.20*'Factor Scores'!H87)</f>
        <v/>
      </c>
      <c r="C87" s="12">
        <f>IF(B87="","",RANK(B87,$B$2:$B$2501,0))</f>
        <v/>
      </c>
      <c r="D87">
        <f>IF(C87="","",C87&lt;=25)</f>
        <v/>
      </c>
      <c r="F87">
        <f>IF(A87="","",IF(AND(D87=TRUE,E87=""),"BUY",IF(AND(D87=FALSE,E87&lt;&gt;""),"SELL",IF(AND(D87=TRUE,E87&lt;&gt;""),"HOLD",""))))</f>
        <v/>
      </c>
      <c r="G87" s="12">
        <f>IF(D87=TRUE,4,0)</f>
        <v/>
      </c>
      <c r="H87">
        <f>IF(A87="","",BDP(A87&amp;" US Equity","GICS_SECTOR_NAME"))</f>
        <v/>
      </c>
    </row>
    <row r="88">
      <c r="A88">
        <f>'Factor Scores'!A88</f>
        <v/>
      </c>
      <c r="B88" s="10">
        <f>IF(A88="","",0.40*'Factor Scores'!C88+0.20*'Factor Scores'!E88+0.20*'Factor Scores'!G88+0.20*'Factor Scores'!H88)</f>
        <v/>
      </c>
      <c r="C88" s="12">
        <f>IF(B88="","",RANK(B88,$B$2:$B$2501,0))</f>
        <v/>
      </c>
      <c r="D88">
        <f>IF(C88="","",C88&lt;=25)</f>
        <v/>
      </c>
      <c r="F88">
        <f>IF(A88="","",IF(AND(D88=TRUE,E88=""),"BUY",IF(AND(D88=FALSE,E88&lt;&gt;""),"SELL",IF(AND(D88=TRUE,E88&lt;&gt;""),"HOLD",""))))</f>
        <v/>
      </c>
      <c r="G88" s="12">
        <f>IF(D88=TRUE,4,0)</f>
        <v/>
      </c>
      <c r="H88">
        <f>IF(A88="","",BDP(A88&amp;" US Equity","GICS_SECTOR_NAME"))</f>
        <v/>
      </c>
    </row>
    <row r="89">
      <c r="A89">
        <f>'Factor Scores'!A89</f>
        <v/>
      </c>
      <c r="B89" s="10">
        <f>IF(A89="","",0.40*'Factor Scores'!C89+0.20*'Factor Scores'!E89+0.20*'Factor Scores'!G89+0.20*'Factor Scores'!H89)</f>
        <v/>
      </c>
      <c r="C89" s="12">
        <f>IF(B89="","",RANK(B89,$B$2:$B$2501,0))</f>
        <v/>
      </c>
      <c r="D89">
        <f>IF(C89="","",C89&lt;=25)</f>
        <v/>
      </c>
      <c r="F89">
        <f>IF(A89="","",IF(AND(D89=TRUE,E89=""),"BUY",IF(AND(D89=FALSE,E89&lt;&gt;""),"SELL",IF(AND(D89=TRUE,E89&lt;&gt;""),"HOLD",""))))</f>
        <v/>
      </c>
      <c r="G89" s="12">
        <f>IF(D89=TRUE,4,0)</f>
        <v/>
      </c>
      <c r="H89">
        <f>IF(A89="","",BDP(A89&amp;" US Equity","GICS_SECTOR_NAME"))</f>
        <v/>
      </c>
    </row>
    <row r="90">
      <c r="A90">
        <f>'Factor Scores'!A90</f>
        <v/>
      </c>
      <c r="B90" s="10">
        <f>IF(A90="","",0.40*'Factor Scores'!C90+0.20*'Factor Scores'!E90+0.20*'Factor Scores'!G90+0.20*'Factor Scores'!H90)</f>
        <v/>
      </c>
      <c r="C90" s="12">
        <f>IF(B90="","",RANK(B90,$B$2:$B$2501,0))</f>
        <v/>
      </c>
      <c r="D90">
        <f>IF(C90="","",C90&lt;=25)</f>
        <v/>
      </c>
      <c r="F90">
        <f>IF(A90="","",IF(AND(D90=TRUE,E90=""),"BUY",IF(AND(D90=FALSE,E90&lt;&gt;""),"SELL",IF(AND(D90=TRUE,E90&lt;&gt;""),"HOLD",""))))</f>
        <v/>
      </c>
      <c r="G90" s="12">
        <f>IF(D90=TRUE,4,0)</f>
        <v/>
      </c>
      <c r="H90">
        <f>IF(A90="","",BDP(A90&amp;" US Equity","GICS_SECTOR_NAME"))</f>
        <v/>
      </c>
    </row>
    <row r="91">
      <c r="A91">
        <f>'Factor Scores'!A91</f>
        <v/>
      </c>
      <c r="B91" s="10">
        <f>IF(A91="","",0.40*'Factor Scores'!C91+0.20*'Factor Scores'!E91+0.20*'Factor Scores'!G91+0.20*'Factor Scores'!H91)</f>
        <v/>
      </c>
      <c r="C91" s="12">
        <f>IF(B91="","",RANK(B91,$B$2:$B$2501,0))</f>
        <v/>
      </c>
      <c r="D91">
        <f>IF(C91="","",C91&lt;=25)</f>
        <v/>
      </c>
      <c r="F91">
        <f>IF(A91="","",IF(AND(D91=TRUE,E91=""),"BUY",IF(AND(D91=FALSE,E91&lt;&gt;""),"SELL",IF(AND(D91=TRUE,E91&lt;&gt;""),"HOLD",""))))</f>
        <v/>
      </c>
      <c r="G91" s="12">
        <f>IF(D91=TRUE,4,0)</f>
        <v/>
      </c>
      <c r="H91">
        <f>IF(A91="","",BDP(A91&amp;" US Equity","GICS_SECTOR_NAME"))</f>
        <v/>
      </c>
    </row>
    <row r="92">
      <c r="A92">
        <f>'Factor Scores'!A92</f>
        <v/>
      </c>
      <c r="B92" s="10">
        <f>IF(A92="","",0.40*'Factor Scores'!C92+0.20*'Factor Scores'!E92+0.20*'Factor Scores'!G92+0.20*'Factor Scores'!H92)</f>
        <v/>
      </c>
      <c r="C92" s="12">
        <f>IF(B92="","",RANK(B92,$B$2:$B$2501,0))</f>
        <v/>
      </c>
      <c r="D92">
        <f>IF(C92="","",C92&lt;=25)</f>
        <v/>
      </c>
      <c r="F92">
        <f>IF(A92="","",IF(AND(D92=TRUE,E92=""),"BUY",IF(AND(D92=FALSE,E92&lt;&gt;""),"SELL",IF(AND(D92=TRUE,E92&lt;&gt;""),"HOLD",""))))</f>
        <v/>
      </c>
      <c r="G92" s="12">
        <f>IF(D92=TRUE,4,0)</f>
        <v/>
      </c>
      <c r="H92">
        <f>IF(A92="","",BDP(A92&amp;" US Equity","GICS_SECTOR_NAME"))</f>
        <v/>
      </c>
    </row>
    <row r="93">
      <c r="A93">
        <f>'Factor Scores'!A93</f>
        <v/>
      </c>
      <c r="B93" s="10">
        <f>IF(A93="","",0.40*'Factor Scores'!C93+0.20*'Factor Scores'!E93+0.20*'Factor Scores'!G93+0.20*'Factor Scores'!H93)</f>
        <v/>
      </c>
      <c r="C93" s="12">
        <f>IF(B93="","",RANK(B93,$B$2:$B$2501,0))</f>
        <v/>
      </c>
      <c r="D93">
        <f>IF(C93="","",C93&lt;=25)</f>
        <v/>
      </c>
      <c r="F93">
        <f>IF(A93="","",IF(AND(D93=TRUE,E93=""),"BUY",IF(AND(D93=FALSE,E93&lt;&gt;""),"SELL",IF(AND(D93=TRUE,E93&lt;&gt;""),"HOLD",""))))</f>
        <v/>
      </c>
      <c r="G93" s="12">
        <f>IF(D93=TRUE,4,0)</f>
        <v/>
      </c>
      <c r="H93">
        <f>IF(A93="","",BDP(A93&amp;" US Equity","GICS_SECTOR_NAME"))</f>
        <v/>
      </c>
    </row>
    <row r="94">
      <c r="A94">
        <f>'Factor Scores'!A94</f>
        <v/>
      </c>
      <c r="B94" s="10">
        <f>IF(A94="","",0.40*'Factor Scores'!C94+0.20*'Factor Scores'!E94+0.20*'Factor Scores'!G94+0.20*'Factor Scores'!H94)</f>
        <v/>
      </c>
      <c r="C94" s="12">
        <f>IF(B94="","",RANK(B94,$B$2:$B$2501,0))</f>
        <v/>
      </c>
      <c r="D94">
        <f>IF(C94="","",C94&lt;=25)</f>
        <v/>
      </c>
      <c r="F94">
        <f>IF(A94="","",IF(AND(D94=TRUE,E94=""),"BUY",IF(AND(D94=FALSE,E94&lt;&gt;""),"SELL",IF(AND(D94=TRUE,E94&lt;&gt;""),"HOLD",""))))</f>
        <v/>
      </c>
      <c r="G94" s="12">
        <f>IF(D94=TRUE,4,0)</f>
        <v/>
      </c>
      <c r="H94">
        <f>IF(A94="","",BDP(A94&amp;" US Equity","GICS_SECTOR_NAME"))</f>
        <v/>
      </c>
    </row>
    <row r="95">
      <c r="A95">
        <f>'Factor Scores'!A95</f>
        <v/>
      </c>
      <c r="B95" s="10">
        <f>IF(A95="","",0.40*'Factor Scores'!C95+0.20*'Factor Scores'!E95+0.20*'Factor Scores'!G95+0.20*'Factor Scores'!H95)</f>
        <v/>
      </c>
      <c r="C95" s="12">
        <f>IF(B95="","",RANK(B95,$B$2:$B$2501,0))</f>
        <v/>
      </c>
      <c r="D95">
        <f>IF(C95="","",C95&lt;=25)</f>
        <v/>
      </c>
      <c r="F95">
        <f>IF(A95="","",IF(AND(D95=TRUE,E95=""),"BUY",IF(AND(D95=FALSE,E95&lt;&gt;""),"SELL",IF(AND(D95=TRUE,E95&lt;&gt;""),"HOLD",""))))</f>
        <v/>
      </c>
      <c r="G95" s="12">
        <f>IF(D95=TRUE,4,0)</f>
        <v/>
      </c>
      <c r="H95">
        <f>IF(A95="","",BDP(A95&amp;" US Equity","GICS_SECTOR_NAME"))</f>
        <v/>
      </c>
    </row>
    <row r="96">
      <c r="A96">
        <f>'Factor Scores'!A96</f>
        <v/>
      </c>
      <c r="B96" s="10">
        <f>IF(A96="","",0.40*'Factor Scores'!C96+0.20*'Factor Scores'!E96+0.20*'Factor Scores'!G96+0.20*'Factor Scores'!H96)</f>
        <v/>
      </c>
      <c r="C96" s="12">
        <f>IF(B96="","",RANK(B96,$B$2:$B$2501,0))</f>
        <v/>
      </c>
      <c r="D96">
        <f>IF(C96="","",C96&lt;=25)</f>
        <v/>
      </c>
      <c r="F96">
        <f>IF(A96="","",IF(AND(D96=TRUE,E96=""),"BUY",IF(AND(D96=FALSE,E96&lt;&gt;""),"SELL",IF(AND(D96=TRUE,E96&lt;&gt;""),"HOLD",""))))</f>
        <v/>
      </c>
      <c r="G96" s="12">
        <f>IF(D96=TRUE,4,0)</f>
        <v/>
      </c>
      <c r="H96">
        <f>IF(A96="","",BDP(A96&amp;" US Equity","GICS_SECTOR_NAME"))</f>
        <v/>
      </c>
    </row>
    <row r="97">
      <c r="A97">
        <f>'Factor Scores'!A97</f>
        <v/>
      </c>
      <c r="B97" s="10">
        <f>IF(A97="","",0.40*'Factor Scores'!C97+0.20*'Factor Scores'!E97+0.20*'Factor Scores'!G97+0.20*'Factor Scores'!H97)</f>
        <v/>
      </c>
      <c r="C97" s="12">
        <f>IF(B97="","",RANK(B97,$B$2:$B$2501,0))</f>
        <v/>
      </c>
      <c r="D97">
        <f>IF(C97="","",C97&lt;=25)</f>
        <v/>
      </c>
      <c r="F97">
        <f>IF(A97="","",IF(AND(D97=TRUE,E97=""),"BUY",IF(AND(D97=FALSE,E97&lt;&gt;""),"SELL",IF(AND(D97=TRUE,E97&lt;&gt;""),"HOLD",""))))</f>
        <v/>
      </c>
      <c r="G97" s="12">
        <f>IF(D97=TRUE,4,0)</f>
        <v/>
      </c>
      <c r="H97">
        <f>IF(A97="","",BDP(A97&amp;" US Equity","GICS_SECTOR_NAME"))</f>
        <v/>
      </c>
    </row>
    <row r="98">
      <c r="A98">
        <f>'Factor Scores'!A98</f>
        <v/>
      </c>
      <c r="B98" s="10">
        <f>IF(A98="","",0.40*'Factor Scores'!C98+0.20*'Factor Scores'!E98+0.20*'Factor Scores'!G98+0.20*'Factor Scores'!H98)</f>
        <v/>
      </c>
      <c r="C98" s="12">
        <f>IF(B98="","",RANK(B98,$B$2:$B$2501,0))</f>
        <v/>
      </c>
      <c r="D98">
        <f>IF(C98="","",C98&lt;=25)</f>
        <v/>
      </c>
      <c r="F98">
        <f>IF(A98="","",IF(AND(D98=TRUE,E98=""),"BUY",IF(AND(D98=FALSE,E98&lt;&gt;""),"SELL",IF(AND(D98=TRUE,E98&lt;&gt;""),"HOLD",""))))</f>
        <v/>
      </c>
      <c r="G98" s="12">
        <f>IF(D98=TRUE,4,0)</f>
        <v/>
      </c>
      <c r="H98">
        <f>IF(A98="","",BDP(A98&amp;" US Equity","GICS_SECTOR_NAME"))</f>
        <v/>
      </c>
    </row>
    <row r="99">
      <c r="A99">
        <f>'Factor Scores'!A99</f>
        <v/>
      </c>
      <c r="B99" s="10">
        <f>IF(A99="","",0.40*'Factor Scores'!C99+0.20*'Factor Scores'!E99+0.20*'Factor Scores'!G99+0.20*'Factor Scores'!H99)</f>
        <v/>
      </c>
      <c r="C99" s="12">
        <f>IF(B99="","",RANK(B99,$B$2:$B$2501,0))</f>
        <v/>
      </c>
      <c r="D99">
        <f>IF(C99="","",C99&lt;=25)</f>
        <v/>
      </c>
      <c r="F99">
        <f>IF(A99="","",IF(AND(D99=TRUE,E99=""),"BUY",IF(AND(D99=FALSE,E99&lt;&gt;""),"SELL",IF(AND(D99=TRUE,E99&lt;&gt;""),"HOLD",""))))</f>
        <v/>
      </c>
      <c r="G99" s="12">
        <f>IF(D99=TRUE,4,0)</f>
        <v/>
      </c>
      <c r="H99">
        <f>IF(A99="","",BDP(A99&amp;" US Equity","GICS_SECTOR_NAME"))</f>
        <v/>
      </c>
    </row>
    <row r="100">
      <c r="A100">
        <f>'Factor Scores'!A100</f>
        <v/>
      </c>
      <c r="B100" s="10">
        <f>IF(A100="","",0.40*'Factor Scores'!C100+0.20*'Factor Scores'!E100+0.20*'Factor Scores'!G100+0.20*'Factor Scores'!H100)</f>
        <v/>
      </c>
      <c r="C100" s="12">
        <f>IF(B100="","",RANK(B100,$B$2:$B$2501,0))</f>
        <v/>
      </c>
      <c r="D100">
        <f>IF(C100="","",C100&lt;=25)</f>
        <v/>
      </c>
      <c r="F100">
        <f>IF(A100="","",IF(AND(D100=TRUE,E100=""),"BUY",IF(AND(D100=FALSE,E100&lt;&gt;""),"SELL",IF(AND(D100=TRUE,E100&lt;&gt;""),"HOLD",""))))</f>
        <v/>
      </c>
      <c r="G100" s="12">
        <f>IF(D100=TRUE,4,0)</f>
        <v/>
      </c>
      <c r="H100">
        <f>IF(A100="","",BDP(A100&amp;" US Equity","GICS_SECTOR_NAME"))</f>
        <v/>
      </c>
    </row>
    <row r="101">
      <c r="A101">
        <f>'Factor Scores'!A101</f>
        <v/>
      </c>
      <c r="B101" s="10">
        <f>IF(A101="","",0.40*'Factor Scores'!C101+0.20*'Factor Scores'!E101+0.20*'Factor Scores'!G101+0.20*'Factor Scores'!H101)</f>
        <v/>
      </c>
      <c r="C101" s="12">
        <f>IF(B101="","",RANK(B101,$B$2:$B$2501,0))</f>
        <v/>
      </c>
      <c r="D101">
        <f>IF(C101="","",C101&lt;=25)</f>
        <v/>
      </c>
      <c r="F101">
        <f>IF(A101="","",IF(AND(D101=TRUE,E101=""),"BUY",IF(AND(D101=FALSE,E101&lt;&gt;""),"SELL",IF(AND(D101=TRUE,E101&lt;&gt;""),"HOLD",""))))</f>
        <v/>
      </c>
      <c r="G101" s="12">
        <f>IF(D101=TRUE,4,0)</f>
        <v/>
      </c>
      <c r="H101">
        <f>IF(A101="","",BDP(A101&amp;" US Equity","GICS_SECTOR_NAME"))</f>
        <v/>
      </c>
    </row>
    <row r="102">
      <c r="A102">
        <f>'Factor Scores'!A102</f>
        <v/>
      </c>
      <c r="B102" s="10">
        <f>IF(A102="","",0.40*'Factor Scores'!C102+0.20*'Factor Scores'!E102+0.20*'Factor Scores'!G102+0.20*'Factor Scores'!H102)</f>
        <v/>
      </c>
      <c r="C102" s="12">
        <f>IF(B102="","",RANK(B102,$B$2:$B$2501,0))</f>
        <v/>
      </c>
      <c r="D102">
        <f>IF(C102="","",C102&lt;=25)</f>
        <v/>
      </c>
      <c r="F102">
        <f>IF(A102="","",IF(AND(D102=TRUE,E102=""),"BUY",IF(AND(D102=FALSE,E102&lt;&gt;""),"SELL",IF(AND(D102=TRUE,E102&lt;&gt;""),"HOLD",""))))</f>
        <v/>
      </c>
      <c r="G102" s="12">
        <f>IF(D102=TRUE,4,0)</f>
        <v/>
      </c>
      <c r="H102">
        <f>IF(A102="","",BDP(A102&amp;" US Equity","GICS_SECTOR_NAME"))</f>
        <v/>
      </c>
    </row>
    <row r="103">
      <c r="A103">
        <f>'Factor Scores'!A103</f>
        <v/>
      </c>
      <c r="B103" s="10">
        <f>IF(A103="","",0.40*'Factor Scores'!C103+0.20*'Factor Scores'!E103+0.20*'Factor Scores'!G103+0.20*'Factor Scores'!H103)</f>
        <v/>
      </c>
      <c r="C103" s="12">
        <f>IF(B103="","",RANK(B103,$B$2:$B$2501,0))</f>
        <v/>
      </c>
      <c r="D103">
        <f>IF(C103="","",C103&lt;=25)</f>
        <v/>
      </c>
      <c r="F103">
        <f>IF(A103="","",IF(AND(D103=TRUE,E103=""),"BUY",IF(AND(D103=FALSE,E103&lt;&gt;""),"SELL",IF(AND(D103=TRUE,E103&lt;&gt;""),"HOLD",""))))</f>
        <v/>
      </c>
      <c r="G103" s="12">
        <f>IF(D103=TRUE,4,0)</f>
        <v/>
      </c>
      <c r="H103">
        <f>IF(A103="","",BDP(A103&amp;" US Equity","GICS_SECTOR_NAME"))</f>
        <v/>
      </c>
    </row>
    <row r="104">
      <c r="A104">
        <f>'Factor Scores'!A104</f>
        <v/>
      </c>
      <c r="B104" s="10">
        <f>IF(A104="","",0.40*'Factor Scores'!C104+0.20*'Factor Scores'!E104+0.20*'Factor Scores'!G104+0.20*'Factor Scores'!H104)</f>
        <v/>
      </c>
      <c r="C104" s="12">
        <f>IF(B104="","",RANK(B104,$B$2:$B$2501,0))</f>
        <v/>
      </c>
      <c r="D104">
        <f>IF(C104="","",C104&lt;=25)</f>
        <v/>
      </c>
      <c r="F104">
        <f>IF(A104="","",IF(AND(D104=TRUE,E104=""),"BUY",IF(AND(D104=FALSE,E104&lt;&gt;""),"SELL",IF(AND(D104=TRUE,E104&lt;&gt;""),"HOLD",""))))</f>
        <v/>
      </c>
      <c r="G104" s="12">
        <f>IF(D104=TRUE,4,0)</f>
        <v/>
      </c>
      <c r="H104">
        <f>IF(A104="","",BDP(A104&amp;" US Equity","GICS_SECTOR_NAME"))</f>
        <v/>
      </c>
    </row>
    <row r="105">
      <c r="A105">
        <f>'Factor Scores'!A105</f>
        <v/>
      </c>
      <c r="B105" s="10">
        <f>IF(A105="","",0.40*'Factor Scores'!C105+0.20*'Factor Scores'!E105+0.20*'Factor Scores'!G105+0.20*'Factor Scores'!H105)</f>
        <v/>
      </c>
      <c r="C105" s="12">
        <f>IF(B105="","",RANK(B105,$B$2:$B$2501,0))</f>
        <v/>
      </c>
      <c r="D105">
        <f>IF(C105="","",C105&lt;=25)</f>
        <v/>
      </c>
      <c r="F105">
        <f>IF(A105="","",IF(AND(D105=TRUE,E105=""),"BUY",IF(AND(D105=FALSE,E105&lt;&gt;""),"SELL",IF(AND(D105=TRUE,E105&lt;&gt;""),"HOLD",""))))</f>
        <v/>
      </c>
      <c r="G105" s="12">
        <f>IF(D105=TRUE,4,0)</f>
        <v/>
      </c>
      <c r="H105">
        <f>IF(A105="","",BDP(A105&amp;" US Equity","GICS_SECTOR_NAME"))</f>
        <v/>
      </c>
    </row>
    <row r="106">
      <c r="A106">
        <f>'Factor Scores'!A106</f>
        <v/>
      </c>
      <c r="B106" s="10">
        <f>IF(A106="","",0.40*'Factor Scores'!C106+0.20*'Factor Scores'!E106+0.20*'Factor Scores'!G106+0.20*'Factor Scores'!H106)</f>
        <v/>
      </c>
      <c r="C106" s="12">
        <f>IF(B106="","",RANK(B106,$B$2:$B$2501,0))</f>
        <v/>
      </c>
      <c r="D106">
        <f>IF(C106="","",C106&lt;=25)</f>
        <v/>
      </c>
      <c r="F106">
        <f>IF(A106="","",IF(AND(D106=TRUE,E106=""),"BUY",IF(AND(D106=FALSE,E106&lt;&gt;""),"SELL",IF(AND(D106=TRUE,E106&lt;&gt;""),"HOLD",""))))</f>
        <v/>
      </c>
      <c r="G106" s="12">
        <f>IF(D106=TRUE,4,0)</f>
        <v/>
      </c>
      <c r="H106">
        <f>IF(A106="","",BDP(A106&amp;" US Equity","GICS_SECTOR_NAME"))</f>
        <v/>
      </c>
    </row>
    <row r="107">
      <c r="A107">
        <f>'Factor Scores'!A107</f>
        <v/>
      </c>
      <c r="B107" s="10">
        <f>IF(A107="","",0.40*'Factor Scores'!C107+0.20*'Factor Scores'!E107+0.20*'Factor Scores'!G107+0.20*'Factor Scores'!H107)</f>
        <v/>
      </c>
      <c r="C107" s="12">
        <f>IF(B107="","",RANK(B107,$B$2:$B$2501,0))</f>
        <v/>
      </c>
      <c r="D107">
        <f>IF(C107="","",C107&lt;=25)</f>
        <v/>
      </c>
      <c r="F107">
        <f>IF(A107="","",IF(AND(D107=TRUE,E107=""),"BUY",IF(AND(D107=FALSE,E107&lt;&gt;""),"SELL",IF(AND(D107=TRUE,E107&lt;&gt;""),"HOLD",""))))</f>
        <v/>
      </c>
      <c r="G107" s="12">
        <f>IF(D107=TRUE,4,0)</f>
        <v/>
      </c>
      <c r="H107">
        <f>IF(A107="","",BDP(A107&amp;" US Equity","GICS_SECTOR_NAME"))</f>
        <v/>
      </c>
    </row>
    <row r="108">
      <c r="A108">
        <f>'Factor Scores'!A108</f>
        <v/>
      </c>
      <c r="B108" s="10">
        <f>IF(A108="","",0.40*'Factor Scores'!C108+0.20*'Factor Scores'!E108+0.20*'Factor Scores'!G108+0.20*'Factor Scores'!H108)</f>
        <v/>
      </c>
      <c r="C108" s="12">
        <f>IF(B108="","",RANK(B108,$B$2:$B$2501,0))</f>
        <v/>
      </c>
      <c r="D108">
        <f>IF(C108="","",C108&lt;=25)</f>
        <v/>
      </c>
      <c r="F108">
        <f>IF(A108="","",IF(AND(D108=TRUE,E108=""),"BUY",IF(AND(D108=FALSE,E108&lt;&gt;""),"SELL",IF(AND(D108=TRUE,E108&lt;&gt;""),"HOLD",""))))</f>
        <v/>
      </c>
      <c r="G108" s="12">
        <f>IF(D108=TRUE,4,0)</f>
        <v/>
      </c>
      <c r="H108">
        <f>IF(A108="","",BDP(A108&amp;" US Equity","GICS_SECTOR_NAME"))</f>
        <v/>
      </c>
    </row>
    <row r="109">
      <c r="A109">
        <f>'Factor Scores'!A109</f>
        <v/>
      </c>
      <c r="B109" s="10">
        <f>IF(A109="","",0.40*'Factor Scores'!C109+0.20*'Factor Scores'!E109+0.20*'Factor Scores'!G109+0.20*'Factor Scores'!H109)</f>
        <v/>
      </c>
      <c r="C109" s="12">
        <f>IF(B109="","",RANK(B109,$B$2:$B$2501,0))</f>
        <v/>
      </c>
      <c r="D109">
        <f>IF(C109="","",C109&lt;=25)</f>
        <v/>
      </c>
      <c r="F109">
        <f>IF(A109="","",IF(AND(D109=TRUE,E109=""),"BUY",IF(AND(D109=FALSE,E109&lt;&gt;""),"SELL",IF(AND(D109=TRUE,E109&lt;&gt;""),"HOLD",""))))</f>
        <v/>
      </c>
      <c r="G109" s="12">
        <f>IF(D109=TRUE,4,0)</f>
        <v/>
      </c>
      <c r="H109">
        <f>IF(A109="","",BDP(A109&amp;" US Equity","GICS_SECTOR_NAME"))</f>
        <v/>
      </c>
    </row>
    <row r="110">
      <c r="A110">
        <f>'Factor Scores'!A110</f>
        <v/>
      </c>
      <c r="B110" s="10">
        <f>IF(A110="","",0.40*'Factor Scores'!C110+0.20*'Factor Scores'!E110+0.20*'Factor Scores'!G110+0.20*'Factor Scores'!H110)</f>
        <v/>
      </c>
      <c r="C110" s="12">
        <f>IF(B110="","",RANK(B110,$B$2:$B$2501,0))</f>
        <v/>
      </c>
      <c r="D110">
        <f>IF(C110="","",C110&lt;=25)</f>
        <v/>
      </c>
      <c r="F110">
        <f>IF(A110="","",IF(AND(D110=TRUE,E110=""),"BUY",IF(AND(D110=FALSE,E110&lt;&gt;""),"SELL",IF(AND(D110=TRUE,E110&lt;&gt;""),"HOLD",""))))</f>
        <v/>
      </c>
      <c r="G110" s="12">
        <f>IF(D110=TRUE,4,0)</f>
        <v/>
      </c>
      <c r="H110">
        <f>IF(A110="","",BDP(A110&amp;" US Equity","GICS_SECTOR_NAME"))</f>
        <v/>
      </c>
    </row>
    <row r="111">
      <c r="A111">
        <f>'Factor Scores'!A111</f>
        <v/>
      </c>
      <c r="B111" s="10">
        <f>IF(A111="","",0.40*'Factor Scores'!C111+0.20*'Factor Scores'!E111+0.20*'Factor Scores'!G111+0.20*'Factor Scores'!H111)</f>
        <v/>
      </c>
      <c r="C111" s="12">
        <f>IF(B111="","",RANK(B111,$B$2:$B$2501,0))</f>
        <v/>
      </c>
      <c r="D111">
        <f>IF(C111="","",C111&lt;=25)</f>
        <v/>
      </c>
      <c r="F111">
        <f>IF(A111="","",IF(AND(D111=TRUE,E111=""),"BUY",IF(AND(D111=FALSE,E111&lt;&gt;""),"SELL",IF(AND(D111=TRUE,E111&lt;&gt;""),"HOLD",""))))</f>
        <v/>
      </c>
      <c r="G111" s="12">
        <f>IF(D111=TRUE,4,0)</f>
        <v/>
      </c>
      <c r="H111">
        <f>IF(A111="","",BDP(A111&amp;" US Equity","GICS_SECTOR_NAME"))</f>
        <v/>
      </c>
    </row>
    <row r="112">
      <c r="A112">
        <f>'Factor Scores'!A112</f>
        <v/>
      </c>
      <c r="B112" s="10">
        <f>IF(A112="","",0.40*'Factor Scores'!C112+0.20*'Factor Scores'!E112+0.20*'Factor Scores'!G112+0.20*'Factor Scores'!H112)</f>
        <v/>
      </c>
      <c r="C112" s="12">
        <f>IF(B112="","",RANK(B112,$B$2:$B$2501,0))</f>
        <v/>
      </c>
      <c r="D112">
        <f>IF(C112="","",C112&lt;=25)</f>
        <v/>
      </c>
      <c r="F112">
        <f>IF(A112="","",IF(AND(D112=TRUE,E112=""),"BUY",IF(AND(D112=FALSE,E112&lt;&gt;""),"SELL",IF(AND(D112=TRUE,E112&lt;&gt;""),"HOLD",""))))</f>
        <v/>
      </c>
      <c r="G112" s="12">
        <f>IF(D112=TRUE,4,0)</f>
        <v/>
      </c>
      <c r="H112">
        <f>IF(A112="","",BDP(A112&amp;" US Equity","GICS_SECTOR_NAME"))</f>
        <v/>
      </c>
    </row>
    <row r="113">
      <c r="A113">
        <f>'Factor Scores'!A113</f>
        <v/>
      </c>
      <c r="B113" s="10">
        <f>IF(A113="","",0.40*'Factor Scores'!C113+0.20*'Factor Scores'!E113+0.20*'Factor Scores'!G113+0.20*'Factor Scores'!H113)</f>
        <v/>
      </c>
      <c r="C113" s="12">
        <f>IF(B113="","",RANK(B113,$B$2:$B$2501,0))</f>
        <v/>
      </c>
      <c r="D113">
        <f>IF(C113="","",C113&lt;=25)</f>
        <v/>
      </c>
      <c r="F113">
        <f>IF(A113="","",IF(AND(D113=TRUE,E113=""),"BUY",IF(AND(D113=FALSE,E113&lt;&gt;""),"SELL",IF(AND(D113=TRUE,E113&lt;&gt;""),"HOLD",""))))</f>
        <v/>
      </c>
      <c r="G113" s="12">
        <f>IF(D113=TRUE,4,0)</f>
        <v/>
      </c>
      <c r="H113">
        <f>IF(A113="","",BDP(A113&amp;" US Equity","GICS_SECTOR_NAME"))</f>
        <v/>
      </c>
    </row>
    <row r="114">
      <c r="A114">
        <f>'Factor Scores'!A114</f>
        <v/>
      </c>
      <c r="B114" s="10">
        <f>IF(A114="","",0.40*'Factor Scores'!C114+0.20*'Factor Scores'!E114+0.20*'Factor Scores'!G114+0.20*'Factor Scores'!H114)</f>
        <v/>
      </c>
      <c r="C114" s="12">
        <f>IF(B114="","",RANK(B114,$B$2:$B$2501,0))</f>
        <v/>
      </c>
      <c r="D114">
        <f>IF(C114="","",C114&lt;=25)</f>
        <v/>
      </c>
      <c r="F114">
        <f>IF(A114="","",IF(AND(D114=TRUE,E114=""),"BUY",IF(AND(D114=FALSE,E114&lt;&gt;""),"SELL",IF(AND(D114=TRUE,E114&lt;&gt;""),"HOLD",""))))</f>
        <v/>
      </c>
      <c r="G114" s="12">
        <f>IF(D114=TRUE,4,0)</f>
        <v/>
      </c>
      <c r="H114">
        <f>IF(A114="","",BDP(A114&amp;" US Equity","GICS_SECTOR_NAME"))</f>
        <v/>
      </c>
    </row>
    <row r="115">
      <c r="A115">
        <f>'Factor Scores'!A115</f>
        <v/>
      </c>
      <c r="B115" s="10">
        <f>IF(A115="","",0.40*'Factor Scores'!C115+0.20*'Factor Scores'!E115+0.20*'Factor Scores'!G115+0.20*'Factor Scores'!H115)</f>
        <v/>
      </c>
      <c r="C115" s="12">
        <f>IF(B115="","",RANK(B115,$B$2:$B$2501,0))</f>
        <v/>
      </c>
      <c r="D115">
        <f>IF(C115="","",C115&lt;=25)</f>
        <v/>
      </c>
      <c r="F115">
        <f>IF(A115="","",IF(AND(D115=TRUE,E115=""),"BUY",IF(AND(D115=FALSE,E115&lt;&gt;""),"SELL",IF(AND(D115=TRUE,E115&lt;&gt;""),"HOLD",""))))</f>
        <v/>
      </c>
      <c r="G115" s="12">
        <f>IF(D115=TRUE,4,0)</f>
        <v/>
      </c>
      <c r="H115">
        <f>IF(A115="","",BDP(A115&amp;" US Equity","GICS_SECTOR_NAME"))</f>
        <v/>
      </c>
    </row>
    <row r="116">
      <c r="A116">
        <f>'Factor Scores'!A116</f>
        <v/>
      </c>
      <c r="B116" s="10">
        <f>IF(A116="","",0.40*'Factor Scores'!C116+0.20*'Factor Scores'!E116+0.20*'Factor Scores'!G116+0.20*'Factor Scores'!H116)</f>
        <v/>
      </c>
      <c r="C116" s="12">
        <f>IF(B116="","",RANK(B116,$B$2:$B$2501,0))</f>
        <v/>
      </c>
      <c r="D116">
        <f>IF(C116="","",C116&lt;=25)</f>
        <v/>
      </c>
      <c r="F116">
        <f>IF(A116="","",IF(AND(D116=TRUE,E116=""),"BUY",IF(AND(D116=FALSE,E116&lt;&gt;""),"SELL",IF(AND(D116=TRUE,E116&lt;&gt;""),"HOLD",""))))</f>
        <v/>
      </c>
      <c r="G116" s="12">
        <f>IF(D116=TRUE,4,0)</f>
        <v/>
      </c>
      <c r="H116">
        <f>IF(A116="","",BDP(A116&amp;" US Equity","GICS_SECTOR_NAME"))</f>
        <v/>
      </c>
    </row>
    <row r="117">
      <c r="A117">
        <f>'Factor Scores'!A117</f>
        <v/>
      </c>
      <c r="B117" s="10">
        <f>IF(A117="","",0.40*'Factor Scores'!C117+0.20*'Factor Scores'!E117+0.20*'Factor Scores'!G117+0.20*'Factor Scores'!H117)</f>
        <v/>
      </c>
      <c r="C117" s="12">
        <f>IF(B117="","",RANK(B117,$B$2:$B$2501,0))</f>
        <v/>
      </c>
      <c r="D117">
        <f>IF(C117="","",C117&lt;=25)</f>
        <v/>
      </c>
      <c r="F117">
        <f>IF(A117="","",IF(AND(D117=TRUE,E117=""),"BUY",IF(AND(D117=FALSE,E117&lt;&gt;""),"SELL",IF(AND(D117=TRUE,E117&lt;&gt;""),"HOLD",""))))</f>
        <v/>
      </c>
      <c r="G117" s="12">
        <f>IF(D117=TRUE,4,0)</f>
        <v/>
      </c>
      <c r="H117">
        <f>IF(A117="","",BDP(A117&amp;" US Equity","GICS_SECTOR_NAME"))</f>
        <v/>
      </c>
    </row>
    <row r="118">
      <c r="A118">
        <f>'Factor Scores'!A118</f>
        <v/>
      </c>
      <c r="B118" s="10">
        <f>IF(A118="","",0.40*'Factor Scores'!C118+0.20*'Factor Scores'!E118+0.20*'Factor Scores'!G118+0.20*'Factor Scores'!H118)</f>
        <v/>
      </c>
      <c r="C118" s="12">
        <f>IF(B118="","",RANK(B118,$B$2:$B$2501,0))</f>
        <v/>
      </c>
      <c r="D118">
        <f>IF(C118="","",C118&lt;=25)</f>
        <v/>
      </c>
      <c r="F118">
        <f>IF(A118="","",IF(AND(D118=TRUE,E118=""),"BUY",IF(AND(D118=FALSE,E118&lt;&gt;""),"SELL",IF(AND(D118=TRUE,E118&lt;&gt;""),"HOLD",""))))</f>
        <v/>
      </c>
      <c r="G118" s="12">
        <f>IF(D118=TRUE,4,0)</f>
        <v/>
      </c>
      <c r="H118">
        <f>IF(A118="","",BDP(A118&amp;" US Equity","GICS_SECTOR_NAME"))</f>
        <v/>
      </c>
    </row>
    <row r="119">
      <c r="A119">
        <f>'Factor Scores'!A119</f>
        <v/>
      </c>
      <c r="B119" s="10">
        <f>IF(A119="","",0.40*'Factor Scores'!C119+0.20*'Factor Scores'!E119+0.20*'Factor Scores'!G119+0.20*'Factor Scores'!H119)</f>
        <v/>
      </c>
      <c r="C119" s="12">
        <f>IF(B119="","",RANK(B119,$B$2:$B$2501,0))</f>
        <v/>
      </c>
      <c r="D119">
        <f>IF(C119="","",C119&lt;=25)</f>
        <v/>
      </c>
      <c r="F119">
        <f>IF(A119="","",IF(AND(D119=TRUE,E119=""),"BUY",IF(AND(D119=FALSE,E119&lt;&gt;""),"SELL",IF(AND(D119=TRUE,E119&lt;&gt;""),"HOLD",""))))</f>
        <v/>
      </c>
      <c r="G119" s="12">
        <f>IF(D119=TRUE,4,0)</f>
        <v/>
      </c>
      <c r="H119">
        <f>IF(A119="","",BDP(A119&amp;" US Equity","GICS_SECTOR_NAME"))</f>
        <v/>
      </c>
    </row>
    <row r="120">
      <c r="A120">
        <f>'Factor Scores'!A120</f>
        <v/>
      </c>
      <c r="B120" s="10">
        <f>IF(A120="","",0.40*'Factor Scores'!C120+0.20*'Factor Scores'!E120+0.20*'Factor Scores'!G120+0.20*'Factor Scores'!H120)</f>
        <v/>
      </c>
      <c r="C120" s="12">
        <f>IF(B120="","",RANK(B120,$B$2:$B$2501,0))</f>
        <v/>
      </c>
      <c r="D120">
        <f>IF(C120="","",C120&lt;=25)</f>
        <v/>
      </c>
      <c r="F120">
        <f>IF(A120="","",IF(AND(D120=TRUE,E120=""),"BUY",IF(AND(D120=FALSE,E120&lt;&gt;""),"SELL",IF(AND(D120=TRUE,E120&lt;&gt;""),"HOLD",""))))</f>
        <v/>
      </c>
      <c r="G120" s="12">
        <f>IF(D120=TRUE,4,0)</f>
        <v/>
      </c>
      <c r="H120">
        <f>IF(A120="","",BDP(A120&amp;" US Equity","GICS_SECTOR_NAME"))</f>
        <v/>
      </c>
    </row>
    <row r="121">
      <c r="A121">
        <f>'Factor Scores'!A121</f>
        <v/>
      </c>
      <c r="B121" s="10">
        <f>IF(A121="","",0.40*'Factor Scores'!C121+0.20*'Factor Scores'!E121+0.20*'Factor Scores'!G121+0.20*'Factor Scores'!H121)</f>
        <v/>
      </c>
      <c r="C121" s="12">
        <f>IF(B121="","",RANK(B121,$B$2:$B$2501,0))</f>
        <v/>
      </c>
      <c r="D121">
        <f>IF(C121="","",C121&lt;=25)</f>
        <v/>
      </c>
      <c r="F121">
        <f>IF(A121="","",IF(AND(D121=TRUE,E121=""),"BUY",IF(AND(D121=FALSE,E121&lt;&gt;""),"SELL",IF(AND(D121=TRUE,E121&lt;&gt;""),"HOLD",""))))</f>
        <v/>
      </c>
      <c r="G121" s="12">
        <f>IF(D121=TRUE,4,0)</f>
        <v/>
      </c>
      <c r="H121">
        <f>IF(A121="","",BDP(A121&amp;" US Equity","GICS_SECTOR_NAME"))</f>
        <v/>
      </c>
    </row>
    <row r="122">
      <c r="A122">
        <f>'Factor Scores'!A122</f>
        <v/>
      </c>
      <c r="B122" s="10">
        <f>IF(A122="","",0.40*'Factor Scores'!C122+0.20*'Factor Scores'!E122+0.20*'Factor Scores'!G122+0.20*'Factor Scores'!H122)</f>
        <v/>
      </c>
      <c r="C122" s="12">
        <f>IF(B122="","",RANK(B122,$B$2:$B$2501,0))</f>
        <v/>
      </c>
      <c r="D122">
        <f>IF(C122="","",C122&lt;=25)</f>
        <v/>
      </c>
      <c r="F122">
        <f>IF(A122="","",IF(AND(D122=TRUE,E122=""),"BUY",IF(AND(D122=FALSE,E122&lt;&gt;""),"SELL",IF(AND(D122=TRUE,E122&lt;&gt;""),"HOLD",""))))</f>
        <v/>
      </c>
      <c r="G122" s="12">
        <f>IF(D122=TRUE,4,0)</f>
        <v/>
      </c>
      <c r="H122">
        <f>IF(A122="","",BDP(A122&amp;" US Equity","GICS_SECTOR_NAME"))</f>
        <v/>
      </c>
    </row>
    <row r="123">
      <c r="A123">
        <f>'Factor Scores'!A123</f>
        <v/>
      </c>
      <c r="B123" s="10">
        <f>IF(A123="","",0.40*'Factor Scores'!C123+0.20*'Factor Scores'!E123+0.20*'Factor Scores'!G123+0.20*'Factor Scores'!H123)</f>
        <v/>
      </c>
      <c r="C123" s="12">
        <f>IF(B123="","",RANK(B123,$B$2:$B$2501,0))</f>
        <v/>
      </c>
      <c r="D123">
        <f>IF(C123="","",C123&lt;=25)</f>
        <v/>
      </c>
      <c r="F123">
        <f>IF(A123="","",IF(AND(D123=TRUE,E123=""),"BUY",IF(AND(D123=FALSE,E123&lt;&gt;""),"SELL",IF(AND(D123=TRUE,E123&lt;&gt;""),"HOLD",""))))</f>
        <v/>
      </c>
      <c r="G123" s="12">
        <f>IF(D123=TRUE,4,0)</f>
        <v/>
      </c>
      <c r="H123">
        <f>IF(A123="","",BDP(A123&amp;" US Equity","GICS_SECTOR_NAME"))</f>
        <v/>
      </c>
    </row>
    <row r="124">
      <c r="A124">
        <f>'Factor Scores'!A124</f>
        <v/>
      </c>
      <c r="B124" s="10">
        <f>IF(A124="","",0.40*'Factor Scores'!C124+0.20*'Factor Scores'!E124+0.20*'Factor Scores'!G124+0.20*'Factor Scores'!H124)</f>
        <v/>
      </c>
      <c r="C124" s="12">
        <f>IF(B124="","",RANK(B124,$B$2:$B$2501,0))</f>
        <v/>
      </c>
      <c r="D124">
        <f>IF(C124="","",C124&lt;=25)</f>
        <v/>
      </c>
      <c r="F124">
        <f>IF(A124="","",IF(AND(D124=TRUE,E124=""),"BUY",IF(AND(D124=FALSE,E124&lt;&gt;""),"SELL",IF(AND(D124=TRUE,E124&lt;&gt;""),"HOLD",""))))</f>
        <v/>
      </c>
      <c r="G124" s="12">
        <f>IF(D124=TRUE,4,0)</f>
        <v/>
      </c>
      <c r="H124">
        <f>IF(A124="","",BDP(A124&amp;" US Equity","GICS_SECTOR_NAME"))</f>
        <v/>
      </c>
    </row>
    <row r="125">
      <c r="A125">
        <f>'Factor Scores'!A125</f>
        <v/>
      </c>
      <c r="B125" s="10">
        <f>IF(A125="","",0.40*'Factor Scores'!C125+0.20*'Factor Scores'!E125+0.20*'Factor Scores'!G125+0.20*'Factor Scores'!H125)</f>
        <v/>
      </c>
      <c r="C125" s="12">
        <f>IF(B125="","",RANK(B125,$B$2:$B$2501,0))</f>
        <v/>
      </c>
      <c r="D125">
        <f>IF(C125="","",C125&lt;=25)</f>
        <v/>
      </c>
      <c r="F125">
        <f>IF(A125="","",IF(AND(D125=TRUE,E125=""),"BUY",IF(AND(D125=FALSE,E125&lt;&gt;""),"SELL",IF(AND(D125=TRUE,E125&lt;&gt;""),"HOLD",""))))</f>
        <v/>
      </c>
      <c r="G125" s="12">
        <f>IF(D125=TRUE,4,0)</f>
        <v/>
      </c>
      <c r="H125">
        <f>IF(A125="","",BDP(A125&amp;" US Equity","GICS_SECTOR_NAME"))</f>
        <v/>
      </c>
    </row>
    <row r="126">
      <c r="A126">
        <f>'Factor Scores'!A126</f>
        <v/>
      </c>
      <c r="B126" s="10">
        <f>IF(A126="","",0.40*'Factor Scores'!C126+0.20*'Factor Scores'!E126+0.20*'Factor Scores'!G126+0.20*'Factor Scores'!H126)</f>
        <v/>
      </c>
      <c r="C126" s="12">
        <f>IF(B126="","",RANK(B126,$B$2:$B$2501,0))</f>
        <v/>
      </c>
      <c r="D126">
        <f>IF(C126="","",C126&lt;=25)</f>
        <v/>
      </c>
      <c r="F126">
        <f>IF(A126="","",IF(AND(D126=TRUE,E126=""),"BUY",IF(AND(D126=FALSE,E126&lt;&gt;""),"SELL",IF(AND(D126=TRUE,E126&lt;&gt;""),"HOLD",""))))</f>
        <v/>
      </c>
      <c r="G126" s="12">
        <f>IF(D126=TRUE,4,0)</f>
        <v/>
      </c>
      <c r="H126">
        <f>IF(A126="","",BDP(A126&amp;" US Equity","GICS_SECTOR_NAME"))</f>
        <v/>
      </c>
    </row>
    <row r="127">
      <c r="A127">
        <f>'Factor Scores'!A127</f>
        <v/>
      </c>
      <c r="B127" s="10">
        <f>IF(A127="","",0.40*'Factor Scores'!C127+0.20*'Factor Scores'!E127+0.20*'Factor Scores'!G127+0.20*'Factor Scores'!H127)</f>
        <v/>
      </c>
      <c r="C127" s="12">
        <f>IF(B127="","",RANK(B127,$B$2:$B$2501,0))</f>
        <v/>
      </c>
      <c r="D127">
        <f>IF(C127="","",C127&lt;=25)</f>
        <v/>
      </c>
      <c r="F127">
        <f>IF(A127="","",IF(AND(D127=TRUE,E127=""),"BUY",IF(AND(D127=FALSE,E127&lt;&gt;""),"SELL",IF(AND(D127=TRUE,E127&lt;&gt;""),"HOLD",""))))</f>
        <v/>
      </c>
      <c r="G127" s="12">
        <f>IF(D127=TRUE,4,0)</f>
        <v/>
      </c>
      <c r="H127">
        <f>IF(A127="","",BDP(A127&amp;" US Equity","GICS_SECTOR_NAME"))</f>
        <v/>
      </c>
    </row>
    <row r="128">
      <c r="A128">
        <f>'Factor Scores'!A128</f>
        <v/>
      </c>
      <c r="B128" s="10">
        <f>IF(A128="","",0.40*'Factor Scores'!C128+0.20*'Factor Scores'!E128+0.20*'Factor Scores'!G128+0.20*'Factor Scores'!H128)</f>
        <v/>
      </c>
      <c r="C128" s="12">
        <f>IF(B128="","",RANK(B128,$B$2:$B$2501,0))</f>
        <v/>
      </c>
      <c r="D128">
        <f>IF(C128="","",C128&lt;=25)</f>
        <v/>
      </c>
      <c r="F128">
        <f>IF(A128="","",IF(AND(D128=TRUE,E128=""),"BUY",IF(AND(D128=FALSE,E128&lt;&gt;""),"SELL",IF(AND(D128=TRUE,E128&lt;&gt;""),"HOLD",""))))</f>
        <v/>
      </c>
      <c r="G128" s="12">
        <f>IF(D128=TRUE,4,0)</f>
        <v/>
      </c>
      <c r="H128">
        <f>IF(A128="","",BDP(A128&amp;" US Equity","GICS_SECTOR_NAME"))</f>
        <v/>
      </c>
    </row>
    <row r="129">
      <c r="A129">
        <f>'Factor Scores'!A129</f>
        <v/>
      </c>
      <c r="B129" s="10">
        <f>IF(A129="","",0.40*'Factor Scores'!C129+0.20*'Factor Scores'!E129+0.20*'Factor Scores'!G129+0.20*'Factor Scores'!H129)</f>
        <v/>
      </c>
      <c r="C129" s="12">
        <f>IF(B129="","",RANK(B129,$B$2:$B$2501,0))</f>
        <v/>
      </c>
      <c r="D129">
        <f>IF(C129="","",C129&lt;=25)</f>
        <v/>
      </c>
      <c r="F129">
        <f>IF(A129="","",IF(AND(D129=TRUE,E129=""),"BUY",IF(AND(D129=FALSE,E129&lt;&gt;""),"SELL",IF(AND(D129=TRUE,E129&lt;&gt;""),"HOLD",""))))</f>
        <v/>
      </c>
      <c r="G129" s="12">
        <f>IF(D129=TRUE,4,0)</f>
        <v/>
      </c>
      <c r="H129">
        <f>IF(A129="","",BDP(A129&amp;" US Equity","GICS_SECTOR_NAME"))</f>
        <v/>
      </c>
    </row>
    <row r="130">
      <c r="A130">
        <f>'Factor Scores'!A130</f>
        <v/>
      </c>
      <c r="B130" s="10">
        <f>IF(A130="","",0.40*'Factor Scores'!C130+0.20*'Factor Scores'!E130+0.20*'Factor Scores'!G130+0.20*'Factor Scores'!H130)</f>
        <v/>
      </c>
      <c r="C130" s="12">
        <f>IF(B130="","",RANK(B130,$B$2:$B$2501,0))</f>
        <v/>
      </c>
      <c r="D130">
        <f>IF(C130="","",C130&lt;=25)</f>
        <v/>
      </c>
      <c r="F130">
        <f>IF(A130="","",IF(AND(D130=TRUE,E130=""),"BUY",IF(AND(D130=FALSE,E130&lt;&gt;""),"SELL",IF(AND(D130=TRUE,E130&lt;&gt;""),"HOLD",""))))</f>
        <v/>
      </c>
      <c r="G130" s="12">
        <f>IF(D130=TRUE,4,0)</f>
        <v/>
      </c>
      <c r="H130">
        <f>IF(A130="","",BDP(A130&amp;" US Equity","GICS_SECTOR_NAME"))</f>
        <v/>
      </c>
    </row>
    <row r="131">
      <c r="A131">
        <f>'Factor Scores'!A131</f>
        <v/>
      </c>
      <c r="B131" s="10">
        <f>IF(A131="","",0.40*'Factor Scores'!C131+0.20*'Factor Scores'!E131+0.20*'Factor Scores'!G131+0.20*'Factor Scores'!H131)</f>
        <v/>
      </c>
      <c r="C131" s="12">
        <f>IF(B131="","",RANK(B131,$B$2:$B$2501,0))</f>
        <v/>
      </c>
      <c r="D131">
        <f>IF(C131="","",C131&lt;=25)</f>
        <v/>
      </c>
      <c r="F131">
        <f>IF(A131="","",IF(AND(D131=TRUE,E131=""),"BUY",IF(AND(D131=FALSE,E131&lt;&gt;""),"SELL",IF(AND(D131=TRUE,E131&lt;&gt;""),"HOLD",""))))</f>
        <v/>
      </c>
      <c r="G131" s="12">
        <f>IF(D131=TRUE,4,0)</f>
        <v/>
      </c>
      <c r="H131">
        <f>IF(A131="","",BDP(A131&amp;" US Equity","GICS_SECTOR_NAME"))</f>
        <v/>
      </c>
    </row>
    <row r="132">
      <c r="A132">
        <f>'Factor Scores'!A132</f>
        <v/>
      </c>
      <c r="B132" s="10">
        <f>IF(A132="","",0.40*'Factor Scores'!C132+0.20*'Factor Scores'!E132+0.20*'Factor Scores'!G132+0.20*'Factor Scores'!H132)</f>
        <v/>
      </c>
      <c r="C132" s="12">
        <f>IF(B132="","",RANK(B132,$B$2:$B$2501,0))</f>
        <v/>
      </c>
      <c r="D132">
        <f>IF(C132="","",C132&lt;=25)</f>
        <v/>
      </c>
      <c r="F132">
        <f>IF(A132="","",IF(AND(D132=TRUE,E132=""),"BUY",IF(AND(D132=FALSE,E132&lt;&gt;""),"SELL",IF(AND(D132=TRUE,E132&lt;&gt;""),"HOLD",""))))</f>
        <v/>
      </c>
      <c r="G132" s="12">
        <f>IF(D132=TRUE,4,0)</f>
        <v/>
      </c>
      <c r="H132">
        <f>IF(A132="","",BDP(A132&amp;" US Equity","GICS_SECTOR_NAME"))</f>
        <v/>
      </c>
    </row>
    <row r="133">
      <c r="A133">
        <f>'Factor Scores'!A133</f>
        <v/>
      </c>
      <c r="B133" s="10">
        <f>IF(A133="","",0.40*'Factor Scores'!C133+0.20*'Factor Scores'!E133+0.20*'Factor Scores'!G133+0.20*'Factor Scores'!H133)</f>
        <v/>
      </c>
      <c r="C133" s="12">
        <f>IF(B133="","",RANK(B133,$B$2:$B$2501,0))</f>
        <v/>
      </c>
      <c r="D133">
        <f>IF(C133="","",C133&lt;=25)</f>
        <v/>
      </c>
      <c r="F133">
        <f>IF(A133="","",IF(AND(D133=TRUE,E133=""),"BUY",IF(AND(D133=FALSE,E133&lt;&gt;""),"SELL",IF(AND(D133=TRUE,E133&lt;&gt;""),"HOLD",""))))</f>
        <v/>
      </c>
      <c r="G133" s="12">
        <f>IF(D133=TRUE,4,0)</f>
        <v/>
      </c>
      <c r="H133">
        <f>IF(A133="","",BDP(A133&amp;" US Equity","GICS_SECTOR_NAME"))</f>
        <v/>
      </c>
    </row>
    <row r="134">
      <c r="A134">
        <f>'Factor Scores'!A134</f>
        <v/>
      </c>
      <c r="B134" s="10">
        <f>IF(A134="","",0.40*'Factor Scores'!C134+0.20*'Factor Scores'!E134+0.20*'Factor Scores'!G134+0.20*'Factor Scores'!H134)</f>
        <v/>
      </c>
      <c r="C134" s="12">
        <f>IF(B134="","",RANK(B134,$B$2:$B$2501,0))</f>
        <v/>
      </c>
      <c r="D134">
        <f>IF(C134="","",C134&lt;=25)</f>
        <v/>
      </c>
      <c r="F134">
        <f>IF(A134="","",IF(AND(D134=TRUE,E134=""),"BUY",IF(AND(D134=FALSE,E134&lt;&gt;""),"SELL",IF(AND(D134=TRUE,E134&lt;&gt;""),"HOLD",""))))</f>
        <v/>
      </c>
      <c r="G134" s="12">
        <f>IF(D134=TRUE,4,0)</f>
        <v/>
      </c>
      <c r="H134">
        <f>IF(A134="","",BDP(A134&amp;" US Equity","GICS_SECTOR_NAME"))</f>
        <v/>
      </c>
    </row>
    <row r="135">
      <c r="A135">
        <f>'Factor Scores'!A135</f>
        <v/>
      </c>
      <c r="B135" s="10">
        <f>IF(A135="","",0.40*'Factor Scores'!C135+0.20*'Factor Scores'!E135+0.20*'Factor Scores'!G135+0.20*'Factor Scores'!H135)</f>
        <v/>
      </c>
      <c r="C135" s="12">
        <f>IF(B135="","",RANK(B135,$B$2:$B$2501,0))</f>
        <v/>
      </c>
      <c r="D135">
        <f>IF(C135="","",C135&lt;=25)</f>
        <v/>
      </c>
      <c r="F135">
        <f>IF(A135="","",IF(AND(D135=TRUE,E135=""),"BUY",IF(AND(D135=FALSE,E135&lt;&gt;""),"SELL",IF(AND(D135=TRUE,E135&lt;&gt;""),"HOLD",""))))</f>
        <v/>
      </c>
      <c r="G135" s="12">
        <f>IF(D135=TRUE,4,0)</f>
        <v/>
      </c>
      <c r="H135">
        <f>IF(A135="","",BDP(A135&amp;" US Equity","GICS_SECTOR_NAME"))</f>
        <v/>
      </c>
    </row>
    <row r="136">
      <c r="A136">
        <f>'Factor Scores'!A136</f>
        <v/>
      </c>
      <c r="B136" s="10">
        <f>IF(A136="","",0.40*'Factor Scores'!C136+0.20*'Factor Scores'!E136+0.20*'Factor Scores'!G136+0.20*'Factor Scores'!H136)</f>
        <v/>
      </c>
      <c r="C136" s="12">
        <f>IF(B136="","",RANK(B136,$B$2:$B$2501,0))</f>
        <v/>
      </c>
      <c r="D136">
        <f>IF(C136="","",C136&lt;=25)</f>
        <v/>
      </c>
      <c r="F136">
        <f>IF(A136="","",IF(AND(D136=TRUE,E136=""),"BUY",IF(AND(D136=FALSE,E136&lt;&gt;""),"SELL",IF(AND(D136=TRUE,E136&lt;&gt;""),"HOLD",""))))</f>
        <v/>
      </c>
      <c r="G136" s="12">
        <f>IF(D136=TRUE,4,0)</f>
        <v/>
      </c>
      <c r="H136">
        <f>IF(A136="","",BDP(A136&amp;" US Equity","GICS_SECTOR_NAME"))</f>
        <v/>
      </c>
    </row>
    <row r="137">
      <c r="A137">
        <f>'Factor Scores'!A137</f>
        <v/>
      </c>
      <c r="B137" s="10">
        <f>IF(A137="","",0.40*'Factor Scores'!C137+0.20*'Factor Scores'!E137+0.20*'Factor Scores'!G137+0.20*'Factor Scores'!H137)</f>
        <v/>
      </c>
      <c r="C137" s="12">
        <f>IF(B137="","",RANK(B137,$B$2:$B$2501,0))</f>
        <v/>
      </c>
      <c r="D137">
        <f>IF(C137="","",C137&lt;=25)</f>
        <v/>
      </c>
      <c r="F137">
        <f>IF(A137="","",IF(AND(D137=TRUE,E137=""),"BUY",IF(AND(D137=FALSE,E137&lt;&gt;""),"SELL",IF(AND(D137=TRUE,E137&lt;&gt;""),"HOLD",""))))</f>
        <v/>
      </c>
      <c r="G137" s="12">
        <f>IF(D137=TRUE,4,0)</f>
        <v/>
      </c>
      <c r="H137">
        <f>IF(A137="","",BDP(A137&amp;" US Equity","GICS_SECTOR_NAME"))</f>
        <v/>
      </c>
    </row>
    <row r="138">
      <c r="A138">
        <f>'Factor Scores'!A138</f>
        <v/>
      </c>
      <c r="B138" s="10">
        <f>IF(A138="","",0.40*'Factor Scores'!C138+0.20*'Factor Scores'!E138+0.20*'Factor Scores'!G138+0.20*'Factor Scores'!H138)</f>
        <v/>
      </c>
      <c r="C138" s="12">
        <f>IF(B138="","",RANK(B138,$B$2:$B$2501,0))</f>
        <v/>
      </c>
      <c r="D138">
        <f>IF(C138="","",C138&lt;=25)</f>
        <v/>
      </c>
      <c r="F138">
        <f>IF(A138="","",IF(AND(D138=TRUE,E138=""),"BUY",IF(AND(D138=FALSE,E138&lt;&gt;""),"SELL",IF(AND(D138=TRUE,E138&lt;&gt;""),"HOLD",""))))</f>
        <v/>
      </c>
      <c r="G138" s="12">
        <f>IF(D138=TRUE,4,0)</f>
        <v/>
      </c>
      <c r="H138">
        <f>IF(A138="","",BDP(A138&amp;" US Equity","GICS_SECTOR_NAME"))</f>
        <v/>
      </c>
    </row>
    <row r="139">
      <c r="A139">
        <f>'Factor Scores'!A139</f>
        <v/>
      </c>
      <c r="B139" s="10">
        <f>IF(A139="","",0.40*'Factor Scores'!C139+0.20*'Factor Scores'!E139+0.20*'Factor Scores'!G139+0.20*'Factor Scores'!H139)</f>
        <v/>
      </c>
      <c r="C139" s="12">
        <f>IF(B139="","",RANK(B139,$B$2:$B$2501,0))</f>
        <v/>
      </c>
      <c r="D139">
        <f>IF(C139="","",C139&lt;=25)</f>
        <v/>
      </c>
      <c r="F139">
        <f>IF(A139="","",IF(AND(D139=TRUE,E139=""),"BUY",IF(AND(D139=FALSE,E139&lt;&gt;""),"SELL",IF(AND(D139=TRUE,E139&lt;&gt;""),"HOLD",""))))</f>
        <v/>
      </c>
      <c r="G139" s="12">
        <f>IF(D139=TRUE,4,0)</f>
        <v/>
      </c>
      <c r="H139">
        <f>IF(A139="","",BDP(A139&amp;" US Equity","GICS_SECTOR_NAME"))</f>
        <v/>
      </c>
    </row>
    <row r="140">
      <c r="A140">
        <f>'Factor Scores'!A140</f>
        <v/>
      </c>
      <c r="B140" s="10">
        <f>IF(A140="","",0.40*'Factor Scores'!C140+0.20*'Factor Scores'!E140+0.20*'Factor Scores'!G140+0.20*'Factor Scores'!H140)</f>
        <v/>
      </c>
      <c r="C140" s="12">
        <f>IF(B140="","",RANK(B140,$B$2:$B$2501,0))</f>
        <v/>
      </c>
      <c r="D140">
        <f>IF(C140="","",C140&lt;=25)</f>
        <v/>
      </c>
      <c r="F140">
        <f>IF(A140="","",IF(AND(D140=TRUE,E140=""),"BUY",IF(AND(D140=FALSE,E140&lt;&gt;""),"SELL",IF(AND(D140=TRUE,E140&lt;&gt;""),"HOLD",""))))</f>
        <v/>
      </c>
      <c r="G140" s="12">
        <f>IF(D140=TRUE,4,0)</f>
        <v/>
      </c>
      <c r="H140">
        <f>IF(A140="","",BDP(A140&amp;" US Equity","GICS_SECTOR_NAME"))</f>
        <v/>
      </c>
    </row>
    <row r="141">
      <c r="A141">
        <f>'Factor Scores'!A141</f>
        <v/>
      </c>
      <c r="B141" s="10">
        <f>IF(A141="","",0.40*'Factor Scores'!C141+0.20*'Factor Scores'!E141+0.20*'Factor Scores'!G141+0.20*'Factor Scores'!H141)</f>
        <v/>
      </c>
      <c r="C141" s="12">
        <f>IF(B141="","",RANK(B141,$B$2:$B$2501,0))</f>
        <v/>
      </c>
      <c r="D141">
        <f>IF(C141="","",C141&lt;=25)</f>
        <v/>
      </c>
      <c r="F141">
        <f>IF(A141="","",IF(AND(D141=TRUE,E141=""),"BUY",IF(AND(D141=FALSE,E141&lt;&gt;""),"SELL",IF(AND(D141=TRUE,E141&lt;&gt;""),"HOLD",""))))</f>
        <v/>
      </c>
      <c r="G141" s="12">
        <f>IF(D141=TRUE,4,0)</f>
        <v/>
      </c>
      <c r="H141">
        <f>IF(A141="","",BDP(A141&amp;" US Equity","GICS_SECTOR_NAME"))</f>
        <v/>
      </c>
    </row>
    <row r="142">
      <c r="A142">
        <f>'Factor Scores'!A142</f>
        <v/>
      </c>
      <c r="B142" s="10">
        <f>IF(A142="","",0.40*'Factor Scores'!C142+0.20*'Factor Scores'!E142+0.20*'Factor Scores'!G142+0.20*'Factor Scores'!H142)</f>
        <v/>
      </c>
      <c r="C142" s="12">
        <f>IF(B142="","",RANK(B142,$B$2:$B$2501,0))</f>
        <v/>
      </c>
      <c r="D142">
        <f>IF(C142="","",C142&lt;=25)</f>
        <v/>
      </c>
      <c r="F142">
        <f>IF(A142="","",IF(AND(D142=TRUE,E142=""),"BUY",IF(AND(D142=FALSE,E142&lt;&gt;""),"SELL",IF(AND(D142=TRUE,E142&lt;&gt;""),"HOLD",""))))</f>
        <v/>
      </c>
      <c r="G142" s="12">
        <f>IF(D142=TRUE,4,0)</f>
        <v/>
      </c>
      <c r="H142">
        <f>IF(A142="","",BDP(A142&amp;" US Equity","GICS_SECTOR_NAME"))</f>
        <v/>
      </c>
    </row>
    <row r="143">
      <c r="A143">
        <f>'Factor Scores'!A143</f>
        <v/>
      </c>
      <c r="B143" s="10">
        <f>IF(A143="","",0.40*'Factor Scores'!C143+0.20*'Factor Scores'!E143+0.20*'Factor Scores'!G143+0.20*'Factor Scores'!H143)</f>
        <v/>
      </c>
      <c r="C143" s="12">
        <f>IF(B143="","",RANK(B143,$B$2:$B$2501,0))</f>
        <v/>
      </c>
      <c r="D143">
        <f>IF(C143="","",C143&lt;=25)</f>
        <v/>
      </c>
      <c r="F143">
        <f>IF(A143="","",IF(AND(D143=TRUE,E143=""),"BUY",IF(AND(D143=FALSE,E143&lt;&gt;""),"SELL",IF(AND(D143=TRUE,E143&lt;&gt;""),"HOLD",""))))</f>
        <v/>
      </c>
      <c r="G143" s="12">
        <f>IF(D143=TRUE,4,0)</f>
        <v/>
      </c>
      <c r="H143">
        <f>IF(A143="","",BDP(A143&amp;" US Equity","GICS_SECTOR_NAME"))</f>
        <v/>
      </c>
    </row>
    <row r="144">
      <c r="A144">
        <f>'Factor Scores'!A144</f>
        <v/>
      </c>
      <c r="B144" s="10">
        <f>IF(A144="","",0.40*'Factor Scores'!C144+0.20*'Factor Scores'!E144+0.20*'Factor Scores'!G144+0.20*'Factor Scores'!H144)</f>
        <v/>
      </c>
      <c r="C144" s="12">
        <f>IF(B144="","",RANK(B144,$B$2:$B$2501,0))</f>
        <v/>
      </c>
      <c r="D144">
        <f>IF(C144="","",C144&lt;=25)</f>
        <v/>
      </c>
      <c r="F144">
        <f>IF(A144="","",IF(AND(D144=TRUE,E144=""),"BUY",IF(AND(D144=FALSE,E144&lt;&gt;""),"SELL",IF(AND(D144=TRUE,E144&lt;&gt;""),"HOLD",""))))</f>
        <v/>
      </c>
      <c r="G144" s="12">
        <f>IF(D144=TRUE,4,0)</f>
        <v/>
      </c>
      <c r="H144">
        <f>IF(A144="","",BDP(A144&amp;" US Equity","GICS_SECTOR_NAME"))</f>
        <v/>
      </c>
    </row>
    <row r="145">
      <c r="A145">
        <f>'Factor Scores'!A145</f>
        <v/>
      </c>
      <c r="B145" s="10">
        <f>IF(A145="","",0.40*'Factor Scores'!C145+0.20*'Factor Scores'!E145+0.20*'Factor Scores'!G145+0.20*'Factor Scores'!H145)</f>
        <v/>
      </c>
      <c r="C145" s="12">
        <f>IF(B145="","",RANK(B145,$B$2:$B$2501,0))</f>
        <v/>
      </c>
      <c r="D145">
        <f>IF(C145="","",C145&lt;=25)</f>
        <v/>
      </c>
      <c r="F145">
        <f>IF(A145="","",IF(AND(D145=TRUE,E145=""),"BUY",IF(AND(D145=FALSE,E145&lt;&gt;""),"SELL",IF(AND(D145=TRUE,E145&lt;&gt;""),"HOLD",""))))</f>
        <v/>
      </c>
      <c r="G145" s="12">
        <f>IF(D145=TRUE,4,0)</f>
        <v/>
      </c>
      <c r="H145">
        <f>IF(A145="","",BDP(A145&amp;" US Equity","GICS_SECTOR_NAME"))</f>
        <v/>
      </c>
    </row>
    <row r="146">
      <c r="A146">
        <f>'Factor Scores'!A146</f>
        <v/>
      </c>
      <c r="B146" s="10">
        <f>IF(A146="","",0.40*'Factor Scores'!C146+0.20*'Factor Scores'!E146+0.20*'Factor Scores'!G146+0.20*'Factor Scores'!H146)</f>
        <v/>
      </c>
      <c r="C146" s="12">
        <f>IF(B146="","",RANK(B146,$B$2:$B$2501,0))</f>
        <v/>
      </c>
      <c r="D146">
        <f>IF(C146="","",C146&lt;=25)</f>
        <v/>
      </c>
      <c r="F146">
        <f>IF(A146="","",IF(AND(D146=TRUE,E146=""),"BUY",IF(AND(D146=FALSE,E146&lt;&gt;""),"SELL",IF(AND(D146=TRUE,E146&lt;&gt;""),"HOLD",""))))</f>
        <v/>
      </c>
      <c r="G146" s="12">
        <f>IF(D146=TRUE,4,0)</f>
        <v/>
      </c>
      <c r="H146">
        <f>IF(A146="","",BDP(A146&amp;" US Equity","GICS_SECTOR_NAME"))</f>
        <v/>
      </c>
    </row>
    <row r="147">
      <c r="A147">
        <f>'Factor Scores'!A147</f>
        <v/>
      </c>
      <c r="B147" s="10">
        <f>IF(A147="","",0.40*'Factor Scores'!C147+0.20*'Factor Scores'!E147+0.20*'Factor Scores'!G147+0.20*'Factor Scores'!H147)</f>
        <v/>
      </c>
      <c r="C147" s="12">
        <f>IF(B147="","",RANK(B147,$B$2:$B$2501,0))</f>
        <v/>
      </c>
      <c r="D147">
        <f>IF(C147="","",C147&lt;=25)</f>
        <v/>
      </c>
      <c r="F147">
        <f>IF(A147="","",IF(AND(D147=TRUE,E147=""),"BUY",IF(AND(D147=FALSE,E147&lt;&gt;""),"SELL",IF(AND(D147=TRUE,E147&lt;&gt;""),"HOLD",""))))</f>
        <v/>
      </c>
      <c r="G147" s="12">
        <f>IF(D147=TRUE,4,0)</f>
        <v/>
      </c>
      <c r="H147">
        <f>IF(A147="","",BDP(A147&amp;" US Equity","GICS_SECTOR_NAME"))</f>
        <v/>
      </c>
    </row>
    <row r="148">
      <c r="A148">
        <f>'Factor Scores'!A148</f>
        <v/>
      </c>
      <c r="B148" s="10">
        <f>IF(A148="","",0.40*'Factor Scores'!C148+0.20*'Factor Scores'!E148+0.20*'Factor Scores'!G148+0.20*'Factor Scores'!H148)</f>
        <v/>
      </c>
      <c r="C148" s="12">
        <f>IF(B148="","",RANK(B148,$B$2:$B$2501,0))</f>
        <v/>
      </c>
      <c r="D148">
        <f>IF(C148="","",C148&lt;=25)</f>
        <v/>
      </c>
      <c r="F148">
        <f>IF(A148="","",IF(AND(D148=TRUE,E148=""),"BUY",IF(AND(D148=FALSE,E148&lt;&gt;""),"SELL",IF(AND(D148=TRUE,E148&lt;&gt;""),"HOLD",""))))</f>
        <v/>
      </c>
      <c r="G148" s="12">
        <f>IF(D148=TRUE,4,0)</f>
        <v/>
      </c>
      <c r="H148">
        <f>IF(A148="","",BDP(A148&amp;" US Equity","GICS_SECTOR_NAME"))</f>
        <v/>
      </c>
    </row>
    <row r="149">
      <c r="A149">
        <f>'Factor Scores'!A149</f>
        <v/>
      </c>
      <c r="B149" s="10">
        <f>IF(A149="","",0.40*'Factor Scores'!C149+0.20*'Factor Scores'!E149+0.20*'Factor Scores'!G149+0.20*'Factor Scores'!H149)</f>
        <v/>
      </c>
      <c r="C149" s="12">
        <f>IF(B149="","",RANK(B149,$B$2:$B$2501,0))</f>
        <v/>
      </c>
      <c r="D149">
        <f>IF(C149="","",C149&lt;=25)</f>
        <v/>
      </c>
      <c r="F149">
        <f>IF(A149="","",IF(AND(D149=TRUE,E149=""),"BUY",IF(AND(D149=FALSE,E149&lt;&gt;""),"SELL",IF(AND(D149=TRUE,E149&lt;&gt;""),"HOLD",""))))</f>
        <v/>
      </c>
      <c r="G149" s="12">
        <f>IF(D149=TRUE,4,0)</f>
        <v/>
      </c>
      <c r="H149">
        <f>IF(A149="","",BDP(A149&amp;" US Equity","GICS_SECTOR_NAME"))</f>
        <v/>
      </c>
    </row>
    <row r="150">
      <c r="A150">
        <f>'Factor Scores'!A150</f>
        <v/>
      </c>
      <c r="B150" s="10">
        <f>IF(A150="","",0.40*'Factor Scores'!C150+0.20*'Factor Scores'!E150+0.20*'Factor Scores'!G150+0.20*'Factor Scores'!H150)</f>
        <v/>
      </c>
      <c r="C150" s="12">
        <f>IF(B150="","",RANK(B150,$B$2:$B$2501,0))</f>
        <v/>
      </c>
      <c r="D150">
        <f>IF(C150="","",C150&lt;=25)</f>
        <v/>
      </c>
      <c r="F150">
        <f>IF(A150="","",IF(AND(D150=TRUE,E150=""),"BUY",IF(AND(D150=FALSE,E150&lt;&gt;""),"SELL",IF(AND(D150=TRUE,E150&lt;&gt;""),"HOLD",""))))</f>
        <v/>
      </c>
      <c r="G150" s="12">
        <f>IF(D150=TRUE,4,0)</f>
        <v/>
      </c>
      <c r="H150">
        <f>IF(A150="","",BDP(A150&amp;" US Equity","GICS_SECTOR_NAME"))</f>
        <v/>
      </c>
    </row>
    <row r="151">
      <c r="A151">
        <f>'Factor Scores'!A151</f>
        <v/>
      </c>
      <c r="B151" s="10">
        <f>IF(A151="","",0.40*'Factor Scores'!C151+0.20*'Factor Scores'!E151+0.20*'Factor Scores'!G151+0.20*'Factor Scores'!H151)</f>
        <v/>
      </c>
      <c r="C151" s="12">
        <f>IF(B151="","",RANK(B151,$B$2:$B$2501,0))</f>
        <v/>
      </c>
      <c r="D151">
        <f>IF(C151="","",C151&lt;=25)</f>
        <v/>
      </c>
      <c r="F151">
        <f>IF(A151="","",IF(AND(D151=TRUE,E151=""),"BUY",IF(AND(D151=FALSE,E151&lt;&gt;""),"SELL",IF(AND(D151=TRUE,E151&lt;&gt;""),"HOLD",""))))</f>
        <v/>
      </c>
      <c r="G151" s="12">
        <f>IF(D151=TRUE,4,0)</f>
        <v/>
      </c>
      <c r="H151">
        <f>IF(A151="","",BDP(A151&amp;" US Equity","GICS_SECTOR_NAME"))</f>
        <v/>
      </c>
    </row>
    <row r="152">
      <c r="A152">
        <f>'Factor Scores'!A152</f>
        <v/>
      </c>
      <c r="B152" s="10">
        <f>IF(A152="","",0.40*'Factor Scores'!C152+0.20*'Factor Scores'!E152+0.20*'Factor Scores'!G152+0.20*'Factor Scores'!H152)</f>
        <v/>
      </c>
      <c r="C152" s="12">
        <f>IF(B152="","",RANK(B152,$B$2:$B$2501,0))</f>
        <v/>
      </c>
      <c r="D152">
        <f>IF(C152="","",C152&lt;=25)</f>
        <v/>
      </c>
      <c r="F152">
        <f>IF(A152="","",IF(AND(D152=TRUE,E152=""),"BUY",IF(AND(D152=FALSE,E152&lt;&gt;""),"SELL",IF(AND(D152=TRUE,E152&lt;&gt;""),"HOLD",""))))</f>
        <v/>
      </c>
      <c r="G152" s="12">
        <f>IF(D152=TRUE,4,0)</f>
        <v/>
      </c>
      <c r="H152">
        <f>IF(A152="","",BDP(A152&amp;" US Equity","GICS_SECTOR_NAME"))</f>
        <v/>
      </c>
    </row>
    <row r="153">
      <c r="A153">
        <f>'Factor Scores'!A153</f>
        <v/>
      </c>
      <c r="B153" s="10">
        <f>IF(A153="","",0.40*'Factor Scores'!C153+0.20*'Factor Scores'!E153+0.20*'Factor Scores'!G153+0.20*'Factor Scores'!H153)</f>
        <v/>
      </c>
      <c r="C153" s="12">
        <f>IF(B153="","",RANK(B153,$B$2:$B$2501,0))</f>
        <v/>
      </c>
      <c r="D153">
        <f>IF(C153="","",C153&lt;=25)</f>
        <v/>
      </c>
      <c r="F153">
        <f>IF(A153="","",IF(AND(D153=TRUE,E153=""),"BUY",IF(AND(D153=FALSE,E153&lt;&gt;""),"SELL",IF(AND(D153=TRUE,E153&lt;&gt;""),"HOLD",""))))</f>
        <v/>
      </c>
      <c r="G153" s="12">
        <f>IF(D153=TRUE,4,0)</f>
        <v/>
      </c>
      <c r="H153">
        <f>IF(A153="","",BDP(A153&amp;" US Equity","GICS_SECTOR_NAME"))</f>
        <v/>
      </c>
    </row>
    <row r="154">
      <c r="A154">
        <f>'Factor Scores'!A154</f>
        <v/>
      </c>
      <c r="B154" s="10">
        <f>IF(A154="","",0.40*'Factor Scores'!C154+0.20*'Factor Scores'!E154+0.20*'Factor Scores'!G154+0.20*'Factor Scores'!H154)</f>
        <v/>
      </c>
      <c r="C154" s="12">
        <f>IF(B154="","",RANK(B154,$B$2:$B$2501,0))</f>
        <v/>
      </c>
      <c r="D154">
        <f>IF(C154="","",C154&lt;=25)</f>
        <v/>
      </c>
      <c r="F154">
        <f>IF(A154="","",IF(AND(D154=TRUE,E154=""),"BUY",IF(AND(D154=FALSE,E154&lt;&gt;""),"SELL",IF(AND(D154=TRUE,E154&lt;&gt;""),"HOLD",""))))</f>
        <v/>
      </c>
      <c r="G154" s="12">
        <f>IF(D154=TRUE,4,0)</f>
        <v/>
      </c>
      <c r="H154">
        <f>IF(A154="","",BDP(A154&amp;" US Equity","GICS_SECTOR_NAME"))</f>
        <v/>
      </c>
    </row>
    <row r="155">
      <c r="A155">
        <f>'Factor Scores'!A155</f>
        <v/>
      </c>
      <c r="B155" s="10">
        <f>IF(A155="","",0.40*'Factor Scores'!C155+0.20*'Factor Scores'!E155+0.20*'Factor Scores'!G155+0.20*'Factor Scores'!H155)</f>
        <v/>
      </c>
      <c r="C155" s="12">
        <f>IF(B155="","",RANK(B155,$B$2:$B$2501,0))</f>
        <v/>
      </c>
      <c r="D155">
        <f>IF(C155="","",C155&lt;=25)</f>
        <v/>
      </c>
      <c r="F155">
        <f>IF(A155="","",IF(AND(D155=TRUE,E155=""),"BUY",IF(AND(D155=FALSE,E155&lt;&gt;""),"SELL",IF(AND(D155=TRUE,E155&lt;&gt;""),"HOLD",""))))</f>
        <v/>
      </c>
      <c r="G155" s="12">
        <f>IF(D155=TRUE,4,0)</f>
        <v/>
      </c>
      <c r="H155">
        <f>IF(A155="","",BDP(A155&amp;" US Equity","GICS_SECTOR_NAME"))</f>
        <v/>
      </c>
    </row>
    <row r="156">
      <c r="A156">
        <f>'Factor Scores'!A156</f>
        <v/>
      </c>
      <c r="B156" s="10">
        <f>IF(A156="","",0.40*'Factor Scores'!C156+0.20*'Factor Scores'!E156+0.20*'Factor Scores'!G156+0.20*'Factor Scores'!H156)</f>
        <v/>
      </c>
      <c r="C156" s="12">
        <f>IF(B156="","",RANK(B156,$B$2:$B$2501,0))</f>
        <v/>
      </c>
      <c r="D156">
        <f>IF(C156="","",C156&lt;=25)</f>
        <v/>
      </c>
      <c r="F156">
        <f>IF(A156="","",IF(AND(D156=TRUE,E156=""),"BUY",IF(AND(D156=FALSE,E156&lt;&gt;""),"SELL",IF(AND(D156=TRUE,E156&lt;&gt;""),"HOLD",""))))</f>
        <v/>
      </c>
      <c r="G156" s="12">
        <f>IF(D156=TRUE,4,0)</f>
        <v/>
      </c>
      <c r="H156">
        <f>IF(A156="","",BDP(A156&amp;" US Equity","GICS_SECTOR_NAME"))</f>
        <v/>
      </c>
    </row>
    <row r="157">
      <c r="A157">
        <f>'Factor Scores'!A157</f>
        <v/>
      </c>
      <c r="B157" s="10">
        <f>IF(A157="","",0.40*'Factor Scores'!C157+0.20*'Factor Scores'!E157+0.20*'Factor Scores'!G157+0.20*'Factor Scores'!H157)</f>
        <v/>
      </c>
      <c r="C157" s="12">
        <f>IF(B157="","",RANK(B157,$B$2:$B$2501,0))</f>
        <v/>
      </c>
      <c r="D157">
        <f>IF(C157="","",C157&lt;=25)</f>
        <v/>
      </c>
      <c r="F157">
        <f>IF(A157="","",IF(AND(D157=TRUE,E157=""),"BUY",IF(AND(D157=FALSE,E157&lt;&gt;""),"SELL",IF(AND(D157=TRUE,E157&lt;&gt;""),"HOLD",""))))</f>
        <v/>
      </c>
      <c r="G157" s="12">
        <f>IF(D157=TRUE,4,0)</f>
        <v/>
      </c>
      <c r="H157">
        <f>IF(A157="","",BDP(A157&amp;" US Equity","GICS_SECTOR_NAME"))</f>
        <v/>
      </c>
    </row>
    <row r="158">
      <c r="A158">
        <f>'Factor Scores'!A158</f>
        <v/>
      </c>
      <c r="B158" s="10">
        <f>IF(A158="","",0.40*'Factor Scores'!C158+0.20*'Factor Scores'!E158+0.20*'Factor Scores'!G158+0.20*'Factor Scores'!H158)</f>
        <v/>
      </c>
      <c r="C158" s="12">
        <f>IF(B158="","",RANK(B158,$B$2:$B$2501,0))</f>
        <v/>
      </c>
      <c r="D158">
        <f>IF(C158="","",C158&lt;=25)</f>
        <v/>
      </c>
      <c r="F158">
        <f>IF(A158="","",IF(AND(D158=TRUE,E158=""),"BUY",IF(AND(D158=FALSE,E158&lt;&gt;""),"SELL",IF(AND(D158=TRUE,E158&lt;&gt;""),"HOLD",""))))</f>
        <v/>
      </c>
      <c r="G158" s="12">
        <f>IF(D158=TRUE,4,0)</f>
        <v/>
      </c>
      <c r="H158">
        <f>IF(A158="","",BDP(A158&amp;" US Equity","GICS_SECTOR_NAME"))</f>
        <v/>
      </c>
    </row>
    <row r="159">
      <c r="A159">
        <f>'Factor Scores'!A159</f>
        <v/>
      </c>
      <c r="B159" s="10">
        <f>IF(A159="","",0.40*'Factor Scores'!C159+0.20*'Factor Scores'!E159+0.20*'Factor Scores'!G159+0.20*'Factor Scores'!H159)</f>
        <v/>
      </c>
      <c r="C159" s="12">
        <f>IF(B159="","",RANK(B159,$B$2:$B$2501,0))</f>
        <v/>
      </c>
      <c r="D159">
        <f>IF(C159="","",C159&lt;=25)</f>
        <v/>
      </c>
      <c r="F159">
        <f>IF(A159="","",IF(AND(D159=TRUE,E159=""),"BUY",IF(AND(D159=FALSE,E159&lt;&gt;""),"SELL",IF(AND(D159=TRUE,E159&lt;&gt;""),"HOLD",""))))</f>
        <v/>
      </c>
      <c r="G159" s="12">
        <f>IF(D159=TRUE,4,0)</f>
        <v/>
      </c>
      <c r="H159">
        <f>IF(A159="","",BDP(A159&amp;" US Equity","GICS_SECTOR_NAME"))</f>
        <v/>
      </c>
    </row>
    <row r="160">
      <c r="A160">
        <f>'Factor Scores'!A160</f>
        <v/>
      </c>
      <c r="B160" s="10">
        <f>IF(A160="","",0.40*'Factor Scores'!C160+0.20*'Factor Scores'!E160+0.20*'Factor Scores'!G160+0.20*'Factor Scores'!H160)</f>
        <v/>
      </c>
      <c r="C160" s="12">
        <f>IF(B160="","",RANK(B160,$B$2:$B$2501,0))</f>
        <v/>
      </c>
      <c r="D160">
        <f>IF(C160="","",C160&lt;=25)</f>
        <v/>
      </c>
      <c r="F160">
        <f>IF(A160="","",IF(AND(D160=TRUE,E160=""),"BUY",IF(AND(D160=FALSE,E160&lt;&gt;""),"SELL",IF(AND(D160=TRUE,E160&lt;&gt;""),"HOLD",""))))</f>
        <v/>
      </c>
      <c r="G160" s="12">
        <f>IF(D160=TRUE,4,0)</f>
        <v/>
      </c>
      <c r="H160">
        <f>IF(A160="","",BDP(A160&amp;" US Equity","GICS_SECTOR_NAME"))</f>
        <v/>
      </c>
    </row>
    <row r="161">
      <c r="A161">
        <f>'Factor Scores'!A161</f>
        <v/>
      </c>
      <c r="B161" s="10">
        <f>IF(A161="","",0.40*'Factor Scores'!C161+0.20*'Factor Scores'!E161+0.20*'Factor Scores'!G161+0.20*'Factor Scores'!H161)</f>
        <v/>
      </c>
      <c r="C161" s="12">
        <f>IF(B161="","",RANK(B161,$B$2:$B$2501,0))</f>
        <v/>
      </c>
      <c r="D161">
        <f>IF(C161="","",C161&lt;=25)</f>
        <v/>
      </c>
      <c r="F161">
        <f>IF(A161="","",IF(AND(D161=TRUE,E161=""),"BUY",IF(AND(D161=FALSE,E161&lt;&gt;""),"SELL",IF(AND(D161=TRUE,E161&lt;&gt;""),"HOLD",""))))</f>
        <v/>
      </c>
      <c r="G161" s="12">
        <f>IF(D161=TRUE,4,0)</f>
        <v/>
      </c>
      <c r="H161">
        <f>IF(A161="","",BDP(A161&amp;" US Equity","GICS_SECTOR_NAME"))</f>
        <v/>
      </c>
    </row>
    <row r="162">
      <c r="A162">
        <f>'Factor Scores'!A162</f>
        <v/>
      </c>
      <c r="B162" s="10">
        <f>IF(A162="","",0.40*'Factor Scores'!C162+0.20*'Factor Scores'!E162+0.20*'Factor Scores'!G162+0.20*'Factor Scores'!H162)</f>
        <v/>
      </c>
      <c r="C162" s="12">
        <f>IF(B162="","",RANK(B162,$B$2:$B$2501,0))</f>
        <v/>
      </c>
      <c r="D162">
        <f>IF(C162="","",C162&lt;=25)</f>
        <v/>
      </c>
      <c r="F162">
        <f>IF(A162="","",IF(AND(D162=TRUE,E162=""),"BUY",IF(AND(D162=FALSE,E162&lt;&gt;""),"SELL",IF(AND(D162=TRUE,E162&lt;&gt;""),"HOLD",""))))</f>
        <v/>
      </c>
      <c r="G162" s="12">
        <f>IF(D162=TRUE,4,0)</f>
        <v/>
      </c>
      <c r="H162">
        <f>IF(A162="","",BDP(A162&amp;" US Equity","GICS_SECTOR_NAME"))</f>
        <v/>
      </c>
    </row>
    <row r="163">
      <c r="A163">
        <f>'Factor Scores'!A163</f>
        <v/>
      </c>
      <c r="B163" s="10">
        <f>IF(A163="","",0.40*'Factor Scores'!C163+0.20*'Factor Scores'!E163+0.20*'Factor Scores'!G163+0.20*'Factor Scores'!H163)</f>
        <v/>
      </c>
      <c r="C163" s="12">
        <f>IF(B163="","",RANK(B163,$B$2:$B$2501,0))</f>
        <v/>
      </c>
      <c r="D163">
        <f>IF(C163="","",C163&lt;=25)</f>
        <v/>
      </c>
      <c r="F163">
        <f>IF(A163="","",IF(AND(D163=TRUE,E163=""),"BUY",IF(AND(D163=FALSE,E163&lt;&gt;""),"SELL",IF(AND(D163=TRUE,E163&lt;&gt;""),"HOLD",""))))</f>
        <v/>
      </c>
      <c r="G163" s="12">
        <f>IF(D163=TRUE,4,0)</f>
        <v/>
      </c>
      <c r="H163">
        <f>IF(A163="","",BDP(A163&amp;" US Equity","GICS_SECTOR_NAME"))</f>
        <v/>
      </c>
    </row>
    <row r="164">
      <c r="A164">
        <f>'Factor Scores'!A164</f>
        <v/>
      </c>
      <c r="B164" s="10">
        <f>IF(A164="","",0.40*'Factor Scores'!C164+0.20*'Factor Scores'!E164+0.20*'Factor Scores'!G164+0.20*'Factor Scores'!H164)</f>
        <v/>
      </c>
      <c r="C164" s="12">
        <f>IF(B164="","",RANK(B164,$B$2:$B$2501,0))</f>
        <v/>
      </c>
      <c r="D164">
        <f>IF(C164="","",C164&lt;=25)</f>
        <v/>
      </c>
      <c r="F164">
        <f>IF(A164="","",IF(AND(D164=TRUE,E164=""),"BUY",IF(AND(D164=FALSE,E164&lt;&gt;""),"SELL",IF(AND(D164=TRUE,E164&lt;&gt;""),"HOLD",""))))</f>
        <v/>
      </c>
      <c r="G164" s="12">
        <f>IF(D164=TRUE,4,0)</f>
        <v/>
      </c>
      <c r="H164">
        <f>IF(A164="","",BDP(A164&amp;" US Equity","GICS_SECTOR_NAME"))</f>
        <v/>
      </c>
    </row>
    <row r="165">
      <c r="A165">
        <f>'Factor Scores'!A165</f>
        <v/>
      </c>
      <c r="B165" s="10">
        <f>IF(A165="","",0.40*'Factor Scores'!C165+0.20*'Factor Scores'!E165+0.20*'Factor Scores'!G165+0.20*'Factor Scores'!H165)</f>
        <v/>
      </c>
      <c r="C165" s="12">
        <f>IF(B165="","",RANK(B165,$B$2:$B$2501,0))</f>
        <v/>
      </c>
      <c r="D165">
        <f>IF(C165="","",C165&lt;=25)</f>
        <v/>
      </c>
      <c r="F165">
        <f>IF(A165="","",IF(AND(D165=TRUE,E165=""),"BUY",IF(AND(D165=FALSE,E165&lt;&gt;""),"SELL",IF(AND(D165=TRUE,E165&lt;&gt;""),"HOLD",""))))</f>
        <v/>
      </c>
      <c r="G165" s="12">
        <f>IF(D165=TRUE,4,0)</f>
        <v/>
      </c>
      <c r="H165">
        <f>IF(A165="","",BDP(A165&amp;" US Equity","GICS_SECTOR_NAME"))</f>
        <v/>
      </c>
    </row>
    <row r="166">
      <c r="A166">
        <f>'Factor Scores'!A166</f>
        <v/>
      </c>
      <c r="B166" s="10">
        <f>IF(A166="","",0.40*'Factor Scores'!C166+0.20*'Factor Scores'!E166+0.20*'Factor Scores'!G166+0.20*'Factor Scores'!H166)</f>
        <v/>
      </c>
      <c r="C166" s="12">
        <f>IF(B166="","",RANK(B166,$B$2:$B$2501,0))</f>
        <v/>
      </c>
      <c r="D166">
        <f>IF(C166="","",C166&lt;=25)</f>
        <v/>
      </c>
      <c r="F166">
        <f>IF(A166="","",IF(AND(D166=TRUE,E166=""),"BUY",IF(AND(D166=FALSE,E166&lt;&gt;""),"SELL",IF(AND(D166=TRUE,E166&lt;&gt;""),"HOLD",""))))</f>
        <v/>
      </c>
      <c r="G166" s="12">
        <f>IF(D166=TRUE,4,0)</f>
        <v/>
      </c>
      <c r="H166">
        <f>IF(A166="","",BDP(A166&amp;" US Equity","GICS_SECTOR_NAME"))</f>
        <v/>
      </c>
    </row>
    <row r="167">
      <c r="A167">
        <f>'Factor Scores'!A167</f>
        <v/>
      </c>
      <c r="B167" s="10">
        <f>IF(A167="","",0.40*'Factor Scores'!C167+0.20*'Factor Scores'!E167+0.20*'Factor Scores'!G167+0.20*'Factor Scores'!H167)</f>
        <v/>
      </c>
      <c r="C167" s="12">
        <f>IF(B167="","",RANK(B167,$B$2:$B$2501,0))</f>
        <v/>
      </c>
      <c r="D167">
        <f>IF(C167="","",C167&lt;=25)</f>
        <v/>
      </c>
      <c r="F167">
        <f>IF(A167="","",IF(AND(D167=TRUE,E167=""),"BUY",IF(AND(D167=FALSE,E167&lt;&gt;""),"SELL",IF(AND(D167=TRUE,E167&lt;&gt;""),"HOLD",""))))</f>
        <v/>
      </c>
      <c r="G167" s="12">
        <f>IF(D167=TRUE,4,0)</f>
        <v/>
      </c>
      <c r="H167">
        <f>IF(A167="","",BDP(A167&amp;" US Equity","GICS_SECTOR_NAME"))</f>
        <v/>
      </c>
    </row>
    <row r="168">
      <c r="A168">
        <f>'Factor Scores'!A168</f>
        <v/>
      </c>
      <c r="B168" s="10">
        <f>IF(A168="","",0.40*'Factor Scores'!C168+0.20*'Factor Scores'!E168+0.20*'Factor Scores'!G168+0.20*'Factor Scores'!H168)</f>
        <v/>
      </c>
      <c r="C168" s="12">
        <f>IF(B168="","",RANK(B168,$B$2:$B$2501,0))</f>
        <v/>
      </c>
      <c r="D168">
        <f>IF(C168="","",C168&lt;=25)</f>
        <v/>
      </c>
      <c r="F168">
        <f>IF(A168="","",IF(AND(D168=TRUE,E168=""),"BUY",IF(AND(D168=FALSE,E168&lt;&gt;""),"SELL",IF(AND(D168=TRUE,E168&lt;&gt;""),"HOLD",""))))</f>
        <v/>
      </c>
      <c r="G168" s="12">
        <f>IF(D168=TRUE,4,0)</f>
        <v/>
      </c>
      <c r="H168">
        <f>IF(A168="","",BDP(A168&amp;" US Equity","GICS_SECTOR_NAME"))</f>
        <v/>
      </c>
    </row>
    <row r="169">
      <c r="A169">
        <f>'Factor Scores'!A169</f>
        <v/>
      </c>
      <c r="B169" s="10">
        <f>IF(A169="","",0.40*'Factor Scores'!C169+0.20*'Factor Scores'!E169+0.20*'Factor Scores'!G169+0.20*'Factor Scores'!H169)</f>
        <v/>
      </c>
      <c r="C169" s="12">
        <f>IF(B169="","",RANK(B169,$B$2:$B$2501,0))</f>
        <v/>
      </c>
      <c r="D169">
        <f>IF(C169="","",C169&lt;=25)</f>
        <v/>
      </c>
      <c r="F169">
        <f>IF(A169="","",IF(AND(D169=TRUE,E169=""),"BUY",IF(AND(D169=FALSE,E169&lt;&gt;""),"SELL",IF(AND(D169=TRUE,E169&lt;&gt;""),"HOLD",""))))</f>
        <v/>
      </c>
      <c r="G169" s="12">
        <f>IF(D169=TRUE,4,0)</f>
        <v/>
      </c>
      <c r="H169">
        <f>IF(A169="","",BDP(A169&amp;" US Equity","GICS_SECTOR_NAME"))</f>
        <v/>
      </c>
    </row>
    <row r="170">
      <c r="A170">
        <f>'Factor Scores'!A170</f>
        <v/>
      </c>
      <c r="B170" s="10">
        <f>IF(A170="","",0.40*'Factor Scores'!C170+0.20*'Factor Scores'!E170+0.20*'Factor Scores'!G170+0.20*'Factor Scores'!H170)</f>
        <v/>
      </c>
      <c r="C170" s="12">
        <f>IF(B170="","",RANK(B170,$B$2:$B$2501,0))</f>
        <v/>
      </c>
      <c r="D170">
        <f>IF(C170="","",C170&lt;=25)</f>
        <v/>
      </c>
      <c r="F170">
        <f>IF(A170="","",IF(AND(D170=TRUE,E170=""),"BUY",IF(AND(D170=FALSE,E170&lt;&gt;""),"SELL",IF(AND(D170=TRUE,E170&lt;&gt;""),"HOLD",""))))</f>
        <v/>
      </c>
      <c r="G170" s="12">
        <f>IF(D170=TRUE,4,0)</f>
        <v/>
      </c>
      <c r="H170">
        <f>IF(A170="","",BDP(A170&amp;" US Equity","GICS_SECTOR_NAME"))</f>
        <v/>
      </c>
    </row>
    <row r="171">
      <c r="A171">
        <f>'Factor Scores'!A171</f>
        <v/>
      </c>
      <c r="B171" s="10">
        <f>IF(A171="","",0.40*'Factor Scores'!C171+0.20*'Factor Scores'!E171+0.20*'Factor Scores'!G171+0.20*'Factor Scores'!H171)</f>
        <v/>
      </c>
      <c r="C171" s="12">
        <f>IF(B171="","",RANK(B171,$B$2:$B$2501,0))</f>
        <v/>
      </c>
      <c r="D171">
        <f>IF(C171="","",C171&lt;=25)</f>
        <v/>
      </c>
      <c r="F171">
        <f>IF(A171="","",IF(AND(D171=TRUE,E171=""),"BUY",IF(AND(D171=FALSE,E171&lt;&gt;""),"SELL",IF(AND(D171=TRUE,E171&lt;&gt;""),"HOLD",""))))</f>
        <v/>
      </c>
      <c r="G171" s="12">
        <f>IF(D171=TRUE,4,0)</f>
        <v/>
      </c>
      <c r="H171">
        <f>IF(A171="","",BDP(A171&amp;" US Equity","GICS_SECTOR_NAME"))</f>
        <v/>
      </c>
    </row>
    <row r="172">
      <c r="A172">
        <f>'Factor Scores'!A172</f>
        <v/>
      </c>
      <c r="B172" s="10">
        <f>IF(A172="","",0.40*'Factor Scores'!C172+0.20*'Factor Scores'!E172+0.20*'Factor Scores'!G172+0.20*'Factor Scores'!H172)</f>
        <v/>
      </c>
      <c r="C172" s="12">
        <f>IF(B172="","",RANK(B172,$B$2:$B$2501,0))</f>
        <v/>
      </c>
      <c r="D172">
        <f>IF(C172="","",C172&lt;=25)</f>
        <v/>
      </c>
      <c r="F172">
        <f>IF(A172="","",IF(AND(D172=TRUE,E172=""),"BUY",IF(AND(D172=FALSE,E172&lt;&gt;""),"SELL",IF(AND(D172=TRUE,E172&lt;&gt;""),"HOLD",""))))</f>
        <v/>
      </c>
      <c r="G172" s="12">
        <f>IF(D172=TRUE,4,0)</f>
        <v/>
      </c>
      <c r="H172">
        <f>IF(A172="","",BDP(A172&amp;" US Equity","GICS_SECTOR_NAME"))</f>
        <v/>
      </c>
    </row>
    <row r="173">
      <c r="A173">
        <f>'Factor Scores'!A173</f>
        <v/>
      </c>
      <c r="B173" s="10">
        <f>IF(A173="","",0.40*'Factor Scores'!C173+0.20*'Factor Scores'!E173+0.20*'Factor Scores'!G173+0.20*'Factor Scores'!H173)</f>
        <v/>
      </c>
      <c r="C173" s="12">
        <f>IF(B173="","",RANK(B173,$B$2:$B$2501,0))</f>
        <v/>
      </c>
      <c r="D173">
        <f>IF(C173="","",C173&lt;=25)</f>
        <v/>
      </c>
      <c r="F173">
        <f>IF(A173="","",IF(AND(D173=TRUE,E173=""),"BUY",IF(AND(D173=FALSE,E173&lt;&gt;""),"SELL",IF(AND(D173=TRUE,E173&lt;&gt;""),"HOLD",""))))</f>
        <v/>
      </c>
      <c r="G173" s="12">
        <f>IF(D173=TRUE,4,0)</f>
        <v/>
      </c>
      <c r="H173">
        <f>IF(A173="","",BDP(A173&amp;" US Equity","GICS_SECTOR_NAME"))</f>
        <v/>
      </c>
    </row>
    <row r="174">
      <c r="A174">
        <f>'Factor Scores'!A174</f>
        <v/>
      </c>
      <c r="B174" s="10">
        <f>IF(A174="","",0.40*'Factor Scores'!C174+0.20*'Factor Scores'!E174+0.20*'Factor Scores'!G174+0.20*'Factor Scores'!H174)</f>
        <v/>
      </c>
      <c r="C174" s="12">
        <f>IF(B174="","",RANK(B174,$B$2:$B$2501,0))</f>
        <v/>
      </c>
      <c r="D174">
        <f>IF(C174="","",C174&lt;=25)</f>
        <v/>
      </c>
      <c r="F174">
        <f>IF(A174="","",IF(AND(D174=TRUE,E174=""),"BUY",IF(AND(D174=FALSE,E174&lt;&gt;""),"SELL",IF(AND(D174=TRUE,E174&lt;&gt;""),"HOLD",""))))</f>
        <v/>
      </c>
      <c r="G174" s="12">
        <f>IF(D174=TRUE,4,0)</f>
        <v/>
      </c>
      <c r="H174">
        <f>IF(A174="","",BDP(A174&amp;" US Equity","GICS_SECTOR_NAME"))</f>
        <v/>
      </c>
    </row>
    <row r="175">
      <c r="A175">
        <f>'Factor Scores'!A175</f>
        <v/>
      </c>
      <c r="B175" s="10">
        <f>IF(A175="","",0.40*'Factor Scores'!C175+0.20*'Factor Scores'!E175+0.20*'Factor Scores'!G175+0.20*'Factor Scores'!H175)</f>
        <v/>
      </c>
      <c r="C175" s="12">
        <f>IF(B175="","",RANK(B175,$B$2:$B$2501,0))</f>
        <v/>
      </c>
      <c r="D175">
        <f>IF(C175="","",C175&lt;=25)</f>
        <v/>
      </c>
      <c r="F175">
        <f>IF(A175="","",IF(AND(D175=TRUE,E175=""),"BUY",IF(AND(D175=FALSE,E175&lt;&gt;""),"SELL",IF(AND(D175=TRUE,E175&lt;&gt;""),"HOLD",""))))</f>
        <v/>
      </c>
      <c r="G175" s="12">
        <f>IF(D175=TRUE,4,0)</f>
        <v/>
      </c>
      <c r="H175">
        <f>IF(A175="","",BDP(A175&amp;" US Equity","GICS_SECTOR_NAME"))</f>
        <v/>
      </c>
    </row>
    <row r="176">
      <c r="A176">
        <f>'Factor Scores'!A176</f>
        <v/>
      </c>
      <c r="B176" s="10">
        <f>IF(A176="","",0.40*'Factor Scores'!C176+0.20*'Factor Scores'!E176+0.20*'Factor Scores'!G176+0.20*'Factor Scores'!H176)</f>
        <v/>
      </c>
      <c r="C176" s="12">
        <f>IF(B176="","",RANK(B176,$B$2:$B$2501,0))</f>
        <v/>
      </c>
      <c r="D176">
        <f>IF(C176="","",C176&lt;=25)</f>
        <v/>
      </c>
      <c r="F176">
        <f>IF(A176="","",IF(AND(D176=TRUE,E176=""),"BUY",IF(AND(D176=FALSE,E176&lt;&gt;""),"SELL",IF(AND(D176=TRUE,E176&lt;&gt;""),"HOLD",""))))</f>
        <v/>
      </c>
      <c r="G176" s="12">
        <f>IF(D176=TRUE,4,0)</f>
        <v/>
      </c>
      <c r="H176">
        <f>IF(A176="","",BDP(A176&amp;" US Equity","GICS_SECTOR_NAME"))</f>
        <v/>
      </c>
    </row>
    <row r="177">
      <c r="A177">
        <f>'Factor Scores'!A177</f>
        <v/>
      </c>
      <c r="B177" s="10">
        <f>IF(A177="","",0.40*'Factor Scores'!C177+0.20*'Factor Scores'!E177+0.20*'Factor Scores'!G177+0.20*'Factor Scores'!H177)</f>
        <v/>
      </c>
      <c r="C177" s="12">
        <f>IF(B177="","",RANK(B177,$B$2:$B$2501,0))</f>
        <v/>
      </c>
      <c r="D177">
        <f>IF(C177="","",C177&lt;=25)</f>
        <v/>
      </c>
      <c r="F177">
        <f>IF(A177="","",IF(AND(D177=TRUE,E177=""),"BUY",IF(AND(D177=FALSE,E177&lt;&gt;""),"SELL",IF(AND(D177=TRUE,E177&lt;&gt;""),"HOLD",""))))</f>
        <v/>
      </c>
      <c r="G177" s="12">
        <f>IF(D177=TRUE,4,0)</f>
        <v/>
      </c>
      <c r="H177">
        <f>IF(A177="","",BDP(A177&amp;" US Equity","GICS_SECTOR_NAME"))</f>
        <v/>
      </c>
    </row>
    <row r="178">
      <c r="A178">
        <f>'Factor Scores'!A178</f>
        <v/>
      </c>
      <c r="B178" s="10">
        <f>IF(A178="","",0.40*'Factor Scores'!C178+0.20*'Factor Scores'!E178+0.20*'Factor Scores'!G178+0.20*'Factor Scores'!H178)</f>
        <v/>
      </c>
      <c r="C178" s="12">
        <f>IF(B178="","",RANK(B178,$B$2:$B$2501,0))</f>
        <v/>
      </c>
      <c r="D178">
        <f>IF(C178="","",C178&lt;=25)</f>
        <v/>
      </c>
      <c r="F178">
        <f>IF(A178="","",IF(AND(D178=TRUE,E178=""),"BUY",IF(AND(D178=FALSE,E178&lt;&gt;""),"SELL",IF(AND(D178=TRUE,E178&lt;&gt;""),"HOLD",""))))</f>
        <v/>
      </c>
      <c r="G178" s="12">
        <f>IF(D178=TRUE,4,0)</f>
        <v/>
      </c>
      <c r="H178">
        <f>IF(A178="","",BDP(A178&amp;" US Equity","GICS_SECTOR_NAME"))</f>
        <v/>
      </c>
    </row>
    <row r="179">
      <c r="A179">
        <f>'Factor Scores'!A179</f>
        <v/>
      </c>
      <c r="B179" s="10">
        <f>IF(A179="","",0.40*'Factor Scores'!C179+0.20*'Factor Scores'!E179+0.20*'Factor Scores'!G179+0.20*'Factor Scores'!H179)</f>
        <v/>
      </c>
      <c r="C179" s="12">
        <f>IF(B179="","",RANK(B179,$B$2:$B$2501,0))</f>
        <v/>
      </c>
      <c r="D179">
        <f>IF(C179="","",C179&lt;=25)</f>
        <v/>
      </c>
      <c r="F179">
        <f>IF(A179="","",IF(AND(D179=TRUE,E179=""),"BUY",IF(AND(D179=FALSE,E179&lt;&gt;""),"SELL",IF(AND(D179=TRUE,E179&lt;&gt;""),"HOLD",""))))</f>
        <v/>
      </c>
      <c r="G179" s="12">
        <f>IF(D179=TRUE,4,0)</f>
        <v/>
      </c>
      <c r="H179">
        <f>IF(A179="","",BDP(A179&amp;" US Equity","GICS_SECTOR_NAME"))</f>
        <v/>
      </c>
    </row>
    <row r="180">
      <c r="A180">
        <f>'Factor Scores'!A180</f>
        <v/>
      </c>
      <c r="B180" s="10">
        <f>IF(A180="","",0.40*'Factor Scores'!C180+0.20*'Factor Scores'!E180+0.20*'Factor Scores'!G180+0.20*'Factor Scores'!H180)</f>
        <v/>
      </c>
      <c r="C180" s="12">
        <f>IF(B180="","",RANK(B180,$B$2:$B$2501,0))</f>
        <v/>
      </c>
      <c r="D180">
        <f>IF(C180="","",C180&lt;=25)</f>
        <v/>
      </c>
      <c r="F180">
        <f>IF(A180="","",IF(AND(D180=TRUE,E180=""),"BUY",IF(AND(D180=FALSE,E180&lt;&gt;""),"SELL",IF(AND(D180=TRUE,E180&lt;&gt;""),"HOLD",""))))</f>
        <v/>
      </c>
      <c r="G180" s="12">
        <f>IF(D180=TRUE,4,0)</f>
        <v/>
      </c>
      <c r="H180">
        <f>IF(A180="","",BDP(A180&amp;" US Equity","GICS_SECTOR_NAME"))</f>
        <v/>
      </c>
    </row>
    <row r="181">
      <c r="A181">
        <f>'Factor Scores'!A181</f>
        <v/>
      </c>
      <c r="B181" s="10">
        <f>IF(A181="","",0.40*'Factor Scores'!C181+0.20*'Factor Scores'!E181+0.20*'Factor Scores'!G181+0.20*'Factor Scores'!H181)</f>
        <v/>
      </c>
      <c r="C181" s="12">
        <f>IF(B181="","",RANK(B181,$B$2:$B$2501,0))</f>
        <v/>
      </c>
      <c r="D181">
        <f>IF(C181="","",C181&lt;=25)</f>
        <v/>
      </c>
      <c r="F181">
        <f>IF(A181="","",IF(AND(D181=TRUE,E181=""),"BUY",IF(AND(D181=FALSE,E181&lt;&gt;""),"SELL",IF(AND(D181=TRUE,E181&lt;&gt;""),"HOLD",""))))</f>
        <v/>
      </c>
      <c r="G181" s="12">
        <f>IF(D181=TRUE,4,0)</f>
        <v/>
      </c>
      <c r="H181">
        <f>IF(A181="","",BDP(A181&amp;" US Equity","GICS_SECTOR_NAME"))</f>
        <v/>
      </c>
    </row>
    <row r="182">
      <c r="A182">
        <f>'Factor Scores'!A182</f>
        <v/>
      </c>
      <c r="B182" s="10">
        <f>IF(A182="","",0.40*'Factor Scores'!C182+0.20*'Factor Scores'!E182+0.20*'Factor Scores'!G182+0.20*'Factor Scores'!H182)</f>
        <v/>
      </c>
      <c r="C182" s="12">
        <f>IF(B182="","",RANK(B182,$B$2:$B$2501,0))</f>
        <v/>
      </c>
      <c r="D182">
        <f>IF(C182="","",C182&lt;=25)</f>
        <v/>
      </c>
      <c r="F182">
        <f>IF(A182="","",IF(AND(D182=TRUE,E182=""),"BUY",IF(AND(D182=FALSE,E182&lt;&gt;""),"SELL",IF(AND(D182=TRUE,E182&lt;&gt;""),"HOLD",""))))</f>
        <v/>
      </c>
      <c r="G182" s="12">
        <f>IF(D182=TRUE,4,0)</f>
        <v/>
      </c>
      <c r="H182">
        <f>IF(A182="","",BDP(A182&amp;" US Equity","GICS_SECTOR_NAME"))</f>
        <v/>
      </c>
    </row>
    <row r="183">
      <c r="A183">
        <f>'Factor Scores'!A183</f>
        <v/>
      </c>
      <c r="B183" s="10">
        <f>IF(A183="","",0.40*'Factor Scores'!C183+0.20*'Factor Scores'!E183+0.20*'Factor Scores'!G183+0.20*'Factor Scores'!H183)</f>
        <v/>
      </c>
      <c r="C183" s="12">
        <f>IF(B183="","",RANK(B183,$B$2:$B$2501,0))</f>
        <v/>
      </c>
      <c r="D183">
        <f>IF(C183="","",C183&lt;=25)</f>
        <v/>
      </c>
      <c r="F183">
        <f>IF(A183="","",IF(AND(D183=TRUE,E183=""),"BUY",IF(AND(D183=FALSE,E183&lt;&gt;""),"SELL",IF(AND(D183=TRUE,E183&lt;&gt;""),"HOLD",""))))</f>
        <v/>
      </c>
      <c r="G183" s="12">
        <f>IF(D183=TRUE,4,0)</f>
        <v/>
      </c>
      <c r="H183">
        <f>IF(A183="","",BDP(A183&amp;" US Equity","GICS_SECTOR_NAME"))</f>
        <v/>
      </c>
    </row>
    <row r="184">
      <c r="A184">
        <f>'Factor Scores'!A184</f>
        <v/>
      </c>
      <c r="B184" s="10">
        <f>IF(A184="","",0.40*'Factor Scores'!C184+0.20*'Factor Scores'!E184+0.20*'Factor Scores'!G184+0.20*'Factor Scores'!H184)</f>
        <v/>
      </c>
      <c r="C184" s="12">
        <f>IF(B184="","",RANK(B184,$B$2:$B$2501,0))</f>
        <v/>
      </c>
      <c r="D184">
        <f>IF(C184="","",C184&lt;=25)</f>
        <v/>
      </c>
      <c r="F184">
        <f>IF(A184="","",IF(AND(D184=TRUE,E184=""),"BUY",IF(AND(D184=FALSE,E184&lt;&gt;""),"SELL",IF(AND(D184=TRUE,E184&lt;&gt;""),"HOLD",""))))</f>
        <v/>
      </c>
      <c r="G184" s="12">
        <f>IF(D184=TRUE,4,0)</f>
        <v/>
      </c>
      <c r="H184">
        <f>IF(A184="","",BDP(A184&amp;" US Equity","GICS_SECTOR_NAME"))</f>
        <v/>
      </c>
    </row>
    <row r="185">
      <c r="A185">
        <f>'Factor Scores'!A185</f>
        <v/>
      </c>
      <c r="B185" s="10">
        <f>IF(A185="","",0.40*'Factor Scores'!C185+0.20*'Factor Scores'!E185+0.20*'Factor Scores'!G185+0.20*'Factor Scores'!H185)</f>
        <v/>
      </c>
      <c r="C185" s="12">
        <f>IF(B185="","",RANK(B185,$B$2:$B$2501,0))</f>
        <v/>
      </c>
      <c r="D185">
        <f>IF(C185="","",C185&lt;=25)</f>
        <v/>
      </c>
      <c r="F185">
        <f>IF(A185="","",IF(AND(D185=TRUE,E185=""),"BUY",IF(AND(D185=FALSE,E185&lt;&gt;""),"SELL",IF(AND(D185=TRUE,E185&lt;&gt;""),"HOLD",""))))</f>
        <v/>
      </c>
      <c r="G185" s="12">
        <f>IF(D185=TRUE,4,0)</f>
        <v/>
      </c>
      <c r="H185">
        <f>IF(A185="","",BDP(A185&amp;" US Equity","GICS_SECTOR_NAME"))</f>
        <v/>
      </c>
    </row>
    <row r="186">
      <c r="A186">
        <f>'Factor Scores'!A186</f>
        <v/>
      </c>
      <c r="B186" s="10">
        <f>IF(A186="","",0.40*'Factor Scores'!C186+0.20*'Factor Scores'!E186+0.20*'Factor Scores'!G186+0.20*'Factor Scores'!H186)</f>
        <v/>
      </c>
      <c r="C186" s="12">
        <f>IF(B186="","",RANK(B186,$B$2:$B$2501,0))</f>
        <v/>
      </c>
      <c r="D186">
        <f>IF(C186="","",C186&lt;=25)</f>
        <v/>
      </c>
      <c r="F186">
        <f>IF(A186="","",IF(AND(D186=TRUE,E186=""),"BUY",IF(AND(D186=FALSE,E186&lt;&gt;""),"SELL",IF(AND(D186=TRUE,E186&lt;&gt;""),"HOLD",""))))</f>
        <v/>
      </c>
      <c r="G186" s="12">
        <f>IF(D186=TRUE,4,0)</f>
        <v/>
      </c>
      <c r="H186">
        <f>IF(A186="","",BDP(A186&amp;" US Equity","GICS_SECTOR_NAME"))</f>
        <v/>
      </c>
    </row>
    <row r="187">
      <c r="A187">
        <f>'Factor Scores'!A187</f>
        <v/>
      </c>
      <c r="B187" s="10">
        <f>IF(A187="","",0.40*'Factor Scores'!C187+0.20*'Factor Scores'!E187+0.20*'Factor Scores'!G187+0.20*'Factor Scores'!H187)</f>
        <v/>
      </c>
      <c r="C187" s="12">
        <f>IF(B187="","",RANK(B187,$B$2:$B$2501,0))</f>
        <v/>
      </c>
      <c r="D187">
        <f>IF(C187="","",C187&lt;=25)</f>
        <v/>
      </c>
      <c r="F187">
        <f>IF(A187="","",IF(AND(D187=TRUE,E187=""),"BUY",IF(AND(D187=FALSE,E187&lt;&gt;""),"SELL",IF(AND(D187=TRUE,E187&lt;&gt;""),"HOLD",""))))</f>
        <v/>
      </c>
      <c r="G187" s="12">
        <f>IF(D187=TRUE,4,0)</f>
        <v/>
      </c>
      <c r="H187">
        <f>IF(A187="","",BDP(A187&amp;" US Equity","GICS_SECTOR_NAME"))</f>
        <v/>
      </c>
    </row>
    <row r="188">
      <c r="A188">
        <f>'Factor Scores'!A188</f>
        <v/>
      </c>
      <c r="B188" s="10">
        <f>IF(A188="","",0.40*'Factor Scores'!C188+0.20*'Factor Scores'!E188+0.20*'Factor Scores'!G188+0.20*'Factor Scores'!H188)</f>
        <v/>
      </c>
      <c r="C188" s="12">
        <f>IF(B188="","",RANK(B188,$B$2:$B$2501,0))</f>
        <v/>
      </c>
      <c r="D188">
        <f>IF(C188="","",C188&lt;=25)</f>
        <v/>
      </c>
      <c r="F188">
        <f>IF(A188="","",IF(AND(D188=TRUE,E188=""),"BUY",IF(AND(D188=FALSE,E188&lt;&gt;""),"SELL",IF(AND(D188=TRUE,E188&lt;&gt;""),"HOLD",""))))</f>
        <v/>
      </c>
      <c r="G188" s="12">
        <f>IF(D188=TRUE,4,0)</f>
        <v/>
      </c>
      <c r="H188">
        <f>IF(A188="","",BDP(A188&amp;" US Equity","GICS_SECTOR_NAME"))</f>
        <v/>
      </c>
    </row>
    <row r="189">
      <c r="A189">
        <f>'Factor Scores'!A189</f>
        <v/>
      </c>
      <c r="B189" s="10">
        <f>IF(A189="","",0.40*'Factor Scores'!C189+0.20*'Factor Scores'!E189+0.20*'Factor Scores'!G189+0.20*'Factor Scores'!H189)</f>
        <v/>
      </c>
      <c r="C189" s="12">
        <f>IF(B189="","",RANK(B189,$B$2:$B$2501,0))</f>
        <v/>
      </c>
      <c r="D189">
        <f>IF(C189="","",C189&lt;=25)</f>
        <v/>
      </c>
      <c r="F189">
        <f>IF(A189="","",IF(AND(D189=TRUE,E189=""),"BUY",IF(AND(D189=FALSE,E189&lt;&gt;""),"SELL",IF(AND(D189=TRUE,E189&lt;&gt;""),"HOLD",""))))</f>
        <v/>
      </c>
      <c r="G189" s="12">
        <f>IF(D189=TRUE,4,0)</f>
        <v/>
      </c>
      <c r="H189">
        <f>IF(A189="","",BDP(A189&amp;" US Equity","GICS_SECTOR_NAME"))</f>
        <v/>
      </c>
    </row>
    <row r="190">
      <c r="A190">
        <f>'Factor Scores'!A190</f>
        <v/>
      </c>
      <c r="B190" s="10">
        <f>IF(A190="","",0.40*'Factor Scores'!C190+0.20*'Factor Scores'!E190+0.20*'Factor Scores'!G190+0.20*'Factor Scores'!H190)</f>
        <v/>
      </c>
      <c r="C190" s="12">
        <f>IF(B190="","",RANK(B190,$B$2:$B$2501,0))</f>
        <v/>
      </c>
      <c r="D190">
        <f>IF(C190="","",C190&lt;=25)</f>
        <v/>
      </c>
      <c r="F190">
        <f>IF(A190="","",IF(AND(D190=TRUE,E190=""),"BUY",IF(AND(D190=FALSE,E190&lt;&gt;""),"SELL",IF(AND(D190=TRUE,E190&lt;&gt;""),"HOLD",""))))</f>
        <v/>
      </c>
      <c r="G190" s="12">
        <f>IF(D190=TRUE,4,0)</f>
        <v/>
      </c>
      <c r="H190">
        <f>IF(A190="","",BDP(A190&amp;" US Equity","GICS_SECTOR_NAME"))</f>
        <v/>
      </c>
    </row>
    <row r="191">
      <c r="A191">
        <f>'Factor Scores'!A191</f>
        <v/>
      </c>
      <c r="B191" s="10">
        <f>IF(A191="","",0.40*'Factor Scores'!C191+0.20*'Factor Scores'!E191+0.20*'Factor Scores'!G191+0.20*'Factor Scores'!H191)</f>
        <v/>
      </c>
      <c r="C191" s="12">
        <f>IF(B191="","",RANK(B191,$B$2:$B$2501,0))</f>
        <v/>
      </c>
      <c r="D191">
        <f>IF(C191="","",C191&lt;=25)</f>
        <v/>
      </c>
      <c r="F191">
        <f>IF(A191="","",IF(AND(D191=TRUE,E191=""),"BUY",IF(AND(D191=FALSE,E191&lt;&gt;""),"SELL",IF(AND(D191=TRUE,E191&lt;&gt;""),"HOLD",""))))</f>
        <v/>
      </c>
      <c r="G191" s="12">
        <f>IF(D191=TRUE,4,0)</f>
        <v/>
      </c>
      <c r="H191">
        <f>IF(A191="","",BDP(A191&amp;" US Equity","GICS_SECTOR_NAME"))</f>
        <v/>
      </c>
    </row>
    <row r="192">
      <c r="A192">
        <f>'Factor Scores'!A192</f>
        <v/>
      </c>
      <c r="B192" s="10">
        <f>IF(A192="","",0.40*'Factor Scores'!C192+0.20*'Factor Scores'!E192+0.20*'Factor Scores'!G192+0.20*'Factor Scores'!H192)</f>
        <v/>
      </c>
      <c r="C192" s="12">
        <f>IF(B192="","",RANK(B192,$B$2:$B$2501,0))</f>
        <v/>
      </c>
      <c r="D192">
        <f>IF(C192="","",C192&lt;=25)</f>
        <v/>
      </c>
      <c r="F192">
        <f>IF(A192="","",IF(AND(D192=TRUE,E192=""),"BUY",IF(AND(D192=FALSE,E192&lt;&gt;""),"SELL",IF(AND(D192=TRUE,E192&lt;&gt;""),"HOLD",""))))</f>
        <v/>
      </c>
      <c r="G192" s="12">
        <f>IF(D192=TRUE,4,0)</f>
        <v/>
      </c>
      <c r="H192">
        <f>IF(A192="","",BDP(A192&amp;" US Equity","GICS_SECTOR_NAME"))</f>
        <v/>
      </c>
    </row>
    <row r="193">
      <c r="A193">
        <f>'Factor Scores'!A193</f>
        <v/>
      </c>
      <c r="B193" s="10">
        <f>IF(A193="","",0.40*'Factor Scores'!C193+0.20*'Factor Scores'!E193+0.20*'Factor Scores'!G193+0.20*'Factor Scores'!H193)</f>
        <v/>
      </c>
      <c r="C193" s="12">
        <f>IF(B193="","",RANK(B193,$B$2:$B$2501,0))</f>
        <v/>
      </c>
      <c r="D193">
        <f>IF(C193="","",C193&lt;=25)</f>
        <v/>
      </c>
      <c r="F193">
        <f>IF(A193="","",IF(AND(D193=TRUE,E193=""),"BUY",IF(AND(D193=FALSE,E193&lt;&gt;""),"SELL",IF(AND(D193=TRUE,E193&lt;&gt;""),"HOLD",""))))</f>
        <v/>
      </c>
      <c r="G193" s="12">
        <f>IF(D193=TRUE,4,0)</f>
        <v/>
      </c>
      <c r="H193">
        <f>IF(A193="","",BDP(A193&amp;" US Equity","GICS_SECTOR_NAME"))</f>
        <v/>
      </c>
    </row>
    <row r="194">
      <c r="A194">
        <f>'Factor Scores'!A194</f>
        <v/>
      </c>
      <c r="B194" s="10">
        <f>IF(A194="","",0.40*'Factor Scores'!C194+0.20*'Factor Scores'!E194+0.20*'Factor Scores'!G194+0.20*'Factor Scores'!H194)</f>
        <v/>
      </c>
      <c r="C194" s="12">
        <f>IF(B194="","",RANK(B194,$B$2:$B$2501,0))</f>
        <v/>
      </c>
      <c r="D194">
        <f>IF(C194="","",C194&lt;=25)</f>
        <v/>
      </c>
      <c r="F194">
        <f>IF(A194="","",IF(AND(D194=TRUE,E194=""),"BUY",IF(AND(D194=FALSE,E194&lt;&gt;""),"SELL",IF(AND(D194=TRUE,E194&lt;&gt;""),"HOLD",""))))</f>
        <v/>
      </c>
      <c r="G194" s="12">
        <f>IF(D194=TRUE,4,0)</f>
        <v/>
      </c>
      <c r="H194">
        <f>IF(A194="","",BDP(A194&amp;" US Equity","GICS_SECTOR_NAME"))</f>
        <v/>
      </c>
    </row>
    <row r="195">
      <c r="A195">
        <f>'Factor Scores'!A195</f>
        <v/>
      </c>
      <c r="B195" s="10">
        <f>IF(A195="","",0.40*'Factor Scores'!C195+0.20*'Factor Scores'!E195+0.20*'Factor Scores'!G195+0.20*'Factor Scores'!H195)</f>
        <v/>
      </c>
      <c r="C195" s="12">
        <f>IF(B195="","",RANK(B195,$B$2:$B$2501,0))</f>
        <v/>
      </c>
      <c r="D195">
        <f>IF(C195="","",C195&lt;=25)</f>
        <v/>
      </c>
      <c r="F195">
        <f>IF(A195="","",IF(AND(D195=TRUE,E195=""),"BUY",IF(AND(D195=FALSE,E195&lt;&gt;""),"SELL",IF(AND(D195=TRUE,E195&lt;&gt;""),"HOLD",""))))</f>
        <v/>
      </c>
      <c r="G195" s="12">
        <f>IF(D195=TRUE,4,0)</f>
        <v/>
      </c>
      <c r="H195">
        <f>IF(A195="","",BDP(A195&amp;" US Equity","GICS_SECTOR_NAME"))</f>
        <v/>
      </c>
    </row>
    <row r="196">
      <c r="A196">
        <f>'Factor Scores'!A196</f>
        <v/>
      </c>
      <c r="B196" s="10">
        <f>IF(A196="","",0.40*'Factor Scores'!C196+0.20*'Factor Scores'!E196+0.20*'Factor Scores'!G196+0.20*'Factor Scores'!H196)</f>
        <v/>
      </c>
      <c r="C196" s="12">
        <f>IF(B196="","",RANK(B196,$B$2:$B$2501,0))</f>
        <v/>
      </c>
      <c r="D196">
        <f>IF(C196="","",C196&lt;=25)</f>
        <v/>
      </c>
      <c r="F196">
        <f>IF(A196="","",IF(AND(D196=TRUE,E196=""),"BUY",IF(AND(D196=FALSE,E196&lt;&gt;""),"SELL",IF(AND(D196=TRUE,E196&lt;&gt;""),"HOLD",""))))</f>
        <v/>
      </c>
      <c r="G196" s="12">
        <f>IF(D196=TRUE,4,0)</f>
        <v/>
      </c>
      <c r="H196">
        <f>IF(A196="","",BDP(A196&amp;" US Equity","GICS_SECTOR_NAME"))</f>
        <v/>
      </c>
    </row>
    <row r="197">
      <c r="A197">
        <f>'Factor Scores'!A197</f>
        <v/>
      </c>
      <c r="B197" s="10">
        <f>IF(A197="","",0.40*'Factor Scores'!C197+0.20*'Factor Scores'!E197+0.20*'Factor Scores'!G197+0.20*'Factor Scores'!H197)</f>
        <v/>
      </c>
      <c r="C197" s="12">
        <f>IF(B197="","",RANK(B197,$B$2:$B$2501,0))</f>
        <v/>
      </c>
      <c r="D197">
        <f>IF(C197="","",C197&lt;=25)</f>
        <v/>
      </c>
      <c r="F197">
        <f>IF(A197="","",IF(AND(D197=TRUE,E197=""),"BUY",IF(AND(D197=FALSE,E197&lt;&gt;""),"SELL",IF(AND(D197=TRUE,E197&lt;&gt;""),"HOLD",""))))</f>
        <v/>
      </c>
      <c r="G197" s="12">
        <f>IF(D197=TRUE,4,0)</f>
        <v/>
      </c>
      <c r="H197">
        <f>IF(A197="","",BDP(A197&amp;" US Equity","GICS_SECTOR_NAME"))</f>
        <v/>
      </c>
    </row>
    <row r="198">
      <c r="A198">
        <f>'Factor Scores'!A198</f>
        <v/>
      </c>
      <c r="B198" s="10">
        <f>IF(A198="","",0.40*'Factor Scores'!C198+0.20*'Factor Scores'!E198+0.20*'Factor Scores'!G198+0.20*'Factor Scores'!H198)</f>
        <v/>
      </c>
      <c r="C198" s="12">
        <f>IF(B198="","",RANK(B198,$B$2:$B$2501,0))</f>
        <v/>
      </c>
      <c r="D198">
        <f>IF(C198="","",C198&lt;=25)</f>
        <v/>
      </c>
      <c r="F198">
        <f>IF(A198="","",IF(AND(D198=TRUE,E198=""),"BUY",IF(AND(D198=FALSE,E198&lt;&gt;""),"SELL",IF(AND(D198=TRUE,E198&lt;&gt;""),"HOLD",""))))</f>
        <v/>
      </c>
      <c r="G198" s="12">
        <f>IF(D198=TRUE,4,0)</f>
        <v/>
      </c>
      <c r="H198">
        <f>IF(A198="","",BDP(A198&amp;" US Equity","GICS_SECTOR_NAME"))</f>
        <v/>
      </c>
    </row>
    <row r="199">
      <c r="A199">
        <f>'Factor Scores'!A199</f>
        <v/>
      </c>
      <c r="B199" s="10">
        <f>IF(A199="","",0.40*'Factor Scores'!C199+0.20*'Factor Scores'!E199+0.20*'Factor Scores'!G199+0.20*'Factor Scores'!H199)</f>
        <v/>
      </c>
      <c r="C199" s="12">
        <f>IF(B199="","",RANK(B199,$B$2:$B$2501,0))</f>
        <v/>
      </c>
      <c r="D199">
        <f>IF(C199="","",C199&lt;=25)</f>
        <v/>
      </c>
      <c r="F199">
        <f>IF(A199="","",IF(AND(D199=TRUE,E199=""),"BUY",IF(AND(D199=FALSE,E199&lt;&gt;""),"SELL",IF(AND(D199=TRUE,E199&lt;&gt;""),"HOLD",""))))</f>
        <v/>
      </c>
      <c r="G199" s="12">
        <f>IF(D199=TRUE,4,0)</f>
        <v/>
      </c>
      <c r="H199">
        <f>IF(A199="","",BDP(A199&amp;" US Equity","GICS_SECTOR_NAME"))</f>
        <v/>
      </c>
    </row>
    <row r="200">
      <c r="A200">
        <f>'Factor Scores'!A200</f>
        <v/>
      </c>
      <c r="B200" s="10">
        <f>IF(A200="","",0.40*'Factor Scores'!C200+0.20*'Factor Scores'!E200+0.20*'Factor Scores'!G200+0.20*'Factor Scores'!H200)</f>
        <v/>
      </c>
      <c r="C200" s="12">
        <f>IF(B200="","",RANK(B200,$B$2:$B$2501,0))</f>
        <v/>
      </c>
      <c r="D200">
        <f>IF(C200="","",C200&lt;=25)</f>
        <v/>
      </c>
      <c r="F200">
        <f>IF(A200="","",IF(AND(D200=TRUE,E200=""),"BUY",IF(AND(D200=FALSE,E200&lt;&gt;""),"SELL",IF(AND(D200=TRUE,E200&lt;&gt;""),"HOLD",""))))</f>
        <v/>
      </c>
      <c r="G200" s="12">
        <f>IF(D200=TRUE,4,0)</f>
        <v/>
      </c>
      <c r="H200">
        <f>IF(A200="","",BDP(A200&amp;" US Equity","GICS_SECTOR_NAME"))</f>
        <v/>
      </c>
    </row>
    <row r="201">
      <c r="A201">
        <f>'Factor Scores'!A201</f>
        <v/>
      </c>
      <c r="B201" s="10">
        <f>IF(A201="","",0.40*'Factor Scores'!C201+0.20*'Factor Scores'!E201+0.20*'Factor Scores'!G201+0.20*'Factor Scores'!H201)</f>
        <v/>
      </c>
      <c r="C201" s="12">
        <f>IF(B201="","",RANK(B201,$B$2:$B$2501,0))</f>
        <v/>
      </c>
      <c r="D201">
        <f>IF(C201="","",C201&lt;=25)</f>
        <v/>
      </c>
      <c r="F201">
        <f>IF(A201="","",IF(AND(D201=TRUE,E201=""),"BUY",IF(AND(D201=FALSE,E201&lt;&gt;""),"SELL",IF(AND(D201=TRUE,E201&lt;&gt;""),"HOLD",""))))</f>
        <v/>
      </c>
      <c r="G201" s="12">
        <f>IF(D201=TRUE,4,0)</f>
        <v/>
      </c>
      <c r="H201">
        <f>IF(A201="","",BDP(A201&amp;" US Equity","GICS_SECTOR_NAME"))</f>
        <v/>
      </c>
    </row>
    <row r="202">
      <c r="A202">
        <f>'Factor Scores'!A202</f>
        <v/>
      </c>
      <c r="B202" s="10">
        <f>IF(A202="","",0.40*'Factor Scores'!C202+0.20*'Factor Scores'!E202+0.20*'Factor Scores'!G202+0.20*'Factor Scores'!H202)</f>
        <v/>
      </c>
      <c r="C202" s="12">
        <f>IF(B202="","",RANK(B202,$B$2:$B$2501,0))</f>
        <v/>
      </c>
      <c r="D202">
        <f>IF(C202="","",C202&lt;=25)</f>
        <v/>
      </c>
      <c r="F202">
        <f>IF(A202="","",IF(AND(D202=TRUE,E202=""),"BUY",IF(AND(D202=FALSE,E202&lt;&gt;""),"SELL",IF(AND(D202=TRUE,E202&lt;&gt;""),"HOLD",""))))</f>
        <v/>
      </c>
      <c r="G202" s="12">
        <f>IF(D202=TRUE,4,0)</f>
        <v/>
      </c>
      <c r="H202">
        <f>IF(A202="","",BDP(A202&amp;" US Equity","GICS_SECTOR_NAME"))</f>
        <v/>
      </c>
    </row>
    <row r="203">
      <c r="A203">
        <f>'Factor Scores'!A203</f>
        <v/>
      </c>
      <c r="B203" s="10">
        <f>IF(A203="","",0.40*'Factor Scores'!C203+0.20*'Factor Scores'!E203+0.20*'Factor Scores'!G203+0.20*'Factor Scores'!H203)</f>
        <v/>
      </c>
      <c r="C203" s="12">
        <f>IF(B203="","",RANK(B203,$B$2:$B$2501,0))</f>
        <v/>
      </c>
      <c r="D203">
        <f>IF(C203="","",C203&lt;=25)</f>
        <v/>
      </c>
      <c r="F203">
        <f>IF(A203="","",IF(AND(D203=TRUE,E203=""),"BUY",IF(AND(D203=FALSE,E203&lt;&gt;""),"SELL",IF(AND(D203=TRUE,E203&lt;&gt;""),"HOLD",""))))</f>
        <v/>
      </c>
      <c r="G203" s="12">
        <f>IF(D203=TRUE,4,0)</f>
        <v/>
      </c>
      <c r="H203">
        <f>IF(A203="","",BDP(A203&amp;" US Equity","GICS_SECTOR_NAME"))</f>
        <v/>
      </c>
    </row>
    <row r="204">
      <c r="A204">
        <f>'Factor Scores'!A204</f>
        <v/>
      </c>
      <c r="B204" s="10">
        <f>IF(A204="","",0.40*'Factor Scores'!C204+0.20*'Factor Scores'!E204+0.20*'Factor Scores'!G204+0.20*'Factor Scores'!H204)</f>
        <v/>
      </c>
      <c r="C204" s="12">
        <f>IF(B204="","",RANK(B204,$B$2:$B$2501,0))</f>
        <v/>
      </c>
      <c r="D204">
        <f>IF(C204="","",C204&lt;=25)</f>
        <v/>
      </c>
      <c r="F204">
        <f>IF(A204="","",IF(AND(D204=TRUE,E204=""),"BUY",IF(AND(D204=FALSE,E204&lt;&gt;""),"SELL",IF(AND(D204=TRUE,E204&lt;&gt;""),"HOLD",""))))</f>
        <v/>
      </c>
      <c r="G204" s="12">
        <f>IF(D204=TRUE,4,0)</f>
        <v/>
      </c>
      <c r="H204">
        <f>IF(A204="","",BDP(A204&amp;" US Equity","GICS_SECTOR_NAME"))</f>
        <v/>
      </c>
    </row>
    <row r="205">
      <c r="A205">
        <f>'Factor Scores'!A205</f>
        <v/>
      </c>
      <c r="B205" s="10">
        <f>IF(A205="","",0.40*'Factor Scores'!C205+0.20*'Factor Scores'!E205+0.20*'Factor Scores'!G205+0.20*'Factor Scores'!H205)</f>
        <v/>
      </c>
      <c r="C205" s="12">
        <f>IF(B205="","",RANK(B205,$B$2:$B$2501,0))</f>
        <v/>
      </c>
      <c r="D205">
        <f>IF(C205="","",C205&lt;=25)</f>
        <v/>
      </c>
      <c r="F205">
        <f>IF(A205="","",IF(AND(D205=TRUE,E205=""),"BUY",IF(AND(D205=FALSE,E205&lt;&gt;""),"SELL",IF(AND(D205=TRUE,E205&lt;&gt;""),"HOLD",""))))</f>
        <v/>
      </c>
      <c r="G205" s="12">
        <f>IF(D205=TRUE,4,0)</f>
        <v/>
      </c>
      <c r="H205">
        <f>IF(A205="","",BDP(A205&amp;" US Equity","GICS_SECTOR_NAME"))</f>
        <v/>
      </c>
    </row>
    <row r="206">
      <c r="A206">
        <f>'Factor Scores'!A206</f>
        <v/>
      </c>
      <c r="B206" s="10">
        <f>IF(A206="","",0.40*'Factor Scores'!C206+0.20*'Factor Scores'!E206+0.20*'Factor Scores'!G206+0.20*'Factor Scores'!H206)</f>
        <v/>
      </c>
      <c r="C206" s="12">
        <f>IF(B206="","",RANK(B206,$B$2:$B$2501,0))</f>
        <v/>
      </c>
      <c r="D206">
        <f>IF(C206="","",C206&lt;=25)</f>
        <v/>
      </c>
      <c r="F206">
        <f>IF(A206="","",IF(AND(D206=TRUE,E206=""),"BUY",IF(AND(D206=FALSE,E206&lt;&gt;""),"SELL",IF(AND(D206=TRUE,E206&lt;&gt;""),"HOLD",""))))</f>
        <v/>
      </c>
      <c r="G206" s="12">
        <f>IF(D206=TRUE,4,0)</f>
        <v/>
      </c>
      <c r="H206">
        <f>IF(A206="","",BDP(A206&amp;" US Equity","GICS_SECTOR_NAME"))</f>
        <v/>
      </c>
    </row>
    <row r="207">
      <c r="A207">
        <f>'Factor Scores'!A207</f>
        <v/>
      </c>
      <c r="B207" s="10">
        <f>IF(A207="","",0.40*'Factor Scores'!C207+0.20*'Factor Scores'!E207+0.20*'Factor Scores'!G207+0.20*'Factor Scores'!H207)</f>
        <v/>
      </c>
      <c r="C207" s="12">
        <f>IF(B207="","",RANK(B207,$B$2:$B$2501,0))</f>
        <v/>
      </c>
      <c r="D207">
        <f>IF(C207="","",C207&lt;=25)</f>
        <v/>
      </c>
      <c r="F207">
        <f>IF(A207="","",IF(AND(D207=TRUE,E207=""),"BUY",IF(AND(D207=FALSE,E207&lt;&gt;""),"SELL",IF(AND(D207=TRUE,E207&lt;&gt;""),"HOLD",""))))</f>
        <v/>
      </c>
      <c r="G207" s="12">
        <f>IF(D207=TRUE,4,0)</f>
        <v/>
      </c>
      <c r="H207">
        <f>IF(A207="","",BDP(A207&amp;" US Equity","GICS_SECTOR_NAME"))</f>
        <v/>
      </c>
    </row>
    <row r="208">
      <c r="A208">
        <f>'Factor Scores'!A208</f>
        <v/>
      </c>
      <c r="B208" s="10">
        <f>IF(A208="","",0.40*'Factor Scores'!C208+0.20*'Factor Scores'!E208+0.20*'Factor Scores'!G208+0.20*'Factor Scores'!H208)</f>
        <v/>
      </c>
      <c r="C208" s="12">
        <f>IF(B208="","",RANK(B208,$B$2:$B$2501,0))</f>
        <v/>
      </c>
      <c r="D208">
        <f>IF(C208="","",C208&lt;=25)</f>
        <v/>
      </c>
      <c r="F208">
        <f>IF(A208="","",IF(AND(D208=TRUE,E208=""),"BUY",IF(AND(D208=FALSE,E208&lt;&gt;""),"SELL",IF(AND(D208=TRUE,E208&lt;&gt;""),"HOLD",""))))</f>
        <v/>
      </c>
      <c r="G208" s="12">
        <f>IF(D208=TRUE,4,0)</f>
        <v/>
      </c>
      <c r="H208">
        <f>IF(A208="","",BDP(A208&amp;" US Equity","GICS_SECTOR_NAME"))</f>
        <v/>
      </c>
    </row>
    <row r="209">
      <c r="A209">
        <f>'Factor Scores'!A209</f>
        <v/>
      </c>
      <c r="B209" s="10">
        <f>IF(A209="","",0.40*'Factor Scores'!C209+0.20*'Factor Scores'!E209+0.20*'Factor Scores'!G209+0.20*'Factor Scores'!H209)</f>
        <v/>
      </c>
      <c r="C209" s="12">
        <f>IF(B209="","",RANK(B209,$B$2:$B$2501,0))</f>
        <v/>
      </c>
      <c r="D209">
        <f>IF(C209="","",C209&lt;=25)</f>
        <v/>
      </c>
      <c r="F209">
        <f>IF(A209="","",IF(AND(D209=TRUE,E209=""),"BUY",IF(AND(D209=FALSE,E209&lt;&gt;""),"SELL",IF(AND(D209=TRUE,E209&lt;&gt;""),"HOLD",""))))</f>
        <v/>
      </c>
      <c r="G209" s="12">
        <f>IF(D209=TRUE,4,0)</f>
        <v/>
      </c>
      <c r="H209">
        <f>IF(A209="","",BDP(A209&amp;" US Equity","GICS_SECTOR_NAME"))</f>
        <v/>
      </c>
    </row>
    <row r="210">
      <c r="A210">
        <f>'Factor Scores'!A210</f>
        <v/>
      </c>
      <c r="B210" s="10">
        <f>IF(A210="","",0.40*'Factor Scores'!C210+0.20*'Factor Scores'!E210+0.20*'Factor Scores'!G210+0.20*'Factor Scores'!H210)</f>
        <v/>
      </c>
      <c r="C210" s="12">
        <f>IF(B210="","",RANK(B210,$B$2:$B$2501,0))</f>
        <v/>
      </c>
      <c r="D210">
        <f>IF(C210="","",C210&lt;=25)</f>
        <v/>
      </c>
      <c r="F210">
        <f>IF(A210="","",IF(AND(D210=TRUE,E210=""),"BUY",IF(AND(D210=FALSE,E210&lt;&gt;""),"SELL",IF(AND(D210=TRUE,E210&lt;&gt;""),"HOLD",""))))</f>
        <v/>
      </c>
      <c r="G210" s="12">
        <f>IF(D210=TRUE,4,0)</f>
        <v/>
      </c>
      <c r="H210">
        <f>IF(A210="","",BDP(A210&amp;" US Equity","GICS_SECTOR_NAME"))</f>
        <v/>
      </c>
    </row>
    <row r="211">
      <c r="A211">
        <f>'Factor Scores'!A211</f>
        <v/>
      </c>
      <c r="B211" s="10">
        <f>IF(A211="","",0.40*'Factor Scores'!C211+0.20*'Factor Scores'!E211+0.20*'Factor Scores'!G211+0.20*'Factor Scores'!H211)</f>
        <v/>
      </c>
      <c r="C211" s="12">
        <f>IF(B211="","",RANK(B211,$B$2:$B$2501,0))</f>
        <v/>
      </c>
      <c r="D211">
        <f>IF(C211="","",C211&lt;=25)</f>
        <v/>
      </c>
      <c r="F211">
        <f>IF(A211="","",IF(AND(D211=TRUE,E211=""),"BUY",IF(AND(D211=FALSE,E211&lt;&gt;""),"SELL",IF(AND(D211=TRUE,E211&lt;&gt;""),"HOLD",""))))</f>
        <v/>
      </c>
      <c r="G211" s="12">
        <f>IF(D211=TRUE,4,0)</f>
        <v/>
      </c>
      <c r="H211">
        <f>IF(A211="","",BDP(A211&amp;" US Equity","GICS_SECTOR_NAME"))</f>
        <v/>
      </c>
    </row>
    <row r="212">
      <c r="A212">
        <f>'Factor Scores'!A212</f>
        <v/>
      </c>
      <c r="B212" s="10">
        <f>IF(A212="","",0.40*'Factor Scores'!C212+0.20*'Factor Scores'!E212+0.20*'Factor Scores'!G212+0.20*'Factor Scores'!H212)</f>
        <v/>
      </c>
      <c r="C212" s="12">
        <f>IF(B212="","",RANK(B212,$B$2:$B$2501,0))</f>
        <v/>
      </c>
      <c r="D212">
        <f>IF(C212="","",C212&lt;=25)</f>
        <v/>
      </c>
      <c r="F212">
        <f>IF(A212="","",IF(AND(D212=TRUE,E212=""),"BUY",IF(AND(D212=FALSE,E212&lt;&gt;""),"SELL",IF(AND(D212=TRUE,E212&lt;&gt;""),"HOLD",""))))</f>
        <v/>
      </c>
      <c r="G212" s="12">
        <f>IF(D212=TRUE,4,0)</f>
        <v/>
      </c>
      <c r="H212">
        <f>IF(A212="","",BDP(A212&amp;" US Equity","GICS_SECTOR_NAME"))</f>
        <v/>
      </c>
    </row>
    <row r="213">
      <c r="A213">
        <f>'Factor Scores'!A213</f>
        <v/>
      </c>
      <c r="B213" s="10">
        <f>IF(A213="","",0.40*'Factor Scores'!C213+0.20*'Factor Scores'!E213+0.20*'Factor Scores'!G213+0.20*'Factor Scores'!H213)</f>
        <v/>
      </c>
      <c r="C213" s="12">
        <f>IF(B213="","",RANK(B213,$B$2:$B$2501,0))</f>
        <v/>
      </c>
      <c r="D213">
        <f>IF(C213="","",C213&lt;=25)</f>
        <v/>
      </c>
      <c r="F213">
        <f>IF(A213="","",IF(AND(D213=TRUE,E213=""),"BUY",IF(AND(D213=FALSE,E213&lt;&gt;""),"SELL",IF(AND(D213=TRUE,E213&lt;&gt;""),"HOLD",""))))</f>
        <v/>
      </c>
      <c r="G213" s="12">
        <f>IF(D213=TRUE,4,0)</f>
        <v/>
      </c>
      <c r="H213">
        <f>IF(A213="","",BDP(A213&amp;" US Equity","GICS_SECTOR_NAME"))</f>
        <v/>
      </c>
    </row>
    <row r="214">
      <c r="A214">
        <f>'Factor Scores'!A214</f>
        <v/>
      </c>
      <c r="B214" s="10">
        <f>IF(A214="","",0.40*'Factor Scores'!C214+0.20*'Factor Scores'!E214+0.20*'Factor Scores'!G214+0.20*'Factor Scores'!H214)</f>
        <v/>
      </c>
      <c r="C214" s="12">
        <f>IF(B214="","",RANK(B214,$B$2:$B$2501,0))</f>
        <v/>
      </c>
      <c r="D214">
        <f>IF(C214="","",C214&lt;=25)</f>
        <v/>
      </c>
      <c r="F214">
        <f>IF(A214="","",IF(AND(D214=TRUE,E214=""),"BUY",IF(AND(D214=FALSE,E214&lt;&gt;""),"SELL",IF(AND(D214=TRUE,E214&lt;&gt;""),"HOLD",""))))</f>
        <v/>
      </c>
      <c r="G214" s="12">
        <f>IF(D214=TRUE,4,0)</f>
        <v/>
      </c>
      <c r="H214">
        <f>IF(A214="","",BDP(A214&amp;" US Equity","GICS_SECTOR_NAME"))</f>
        <v/>
      </c>
    </row>
    <row r="215">
      <c r="A215">
        <f>'Factor Scores'!A215</f>
        <v/>
      </c>
      <c r="B215" s="10">
        <f>IF(A215="","",0.40*'Factor Scores'!C215+0.20*'Factor Scores'!E215+0.20*'Factor Scores'!G215+0.20*'Factor Scores'!H215)</f>
        <v/>
      </c>
      <c r="C215" s="12">
        <f>IF(B215="","",RANK(B215,$B$2:$B$2501,0))</f>
        <v/>
      </c>
      <c r="D215">
        <f>IF(C215="","",C215&lt;=25)</f>
        <v/>
      </c>
      <c r="F215">
        <f>IF(A215="","",IF(AND(D215=TRUE,E215=""),"BUY",IF(AND(D215=FALSE,E215&lt;&gt;""),"SELL",IF(AND(D215=TRUE,E215&lt;&gt;""),"HOLD",""))))</f>
        <v/>
      </c>
      <c r="G215" s="12">
        <f>IF(D215=TRUE,4,0)</f>
        <v/>
      </c>
      <c r="H215">
        <f>IF(A215="","",BDP(A215&amp;" US Equity","GICS_SECTOR_NAME"))</f>
        <v/>
      </c>
    </row>
    <row r="216">
      <c r="A216">
        <f>'Factor Scores'!A216</f>
        <v/>
      </c>
      <c r="B216" s="10">
        <f>IF(A216="","",0.40*'Factor Scores'!C216+0.20*'Factor Scores'!E216+0.20*'Factor Scores'!G216+0.20*'Factor Scores'!H216)</f>
        <v/>
      </c>
      <c r="C216" s="12">
        <f>IF(B216="","",RANK(B216,$B$2:$B$2501,0))</f>
        <v/>
      </c>
      <c r="D216">
        <f>IF(C216="","",C216&lt;=25)</f>
        <v/>
      </c>
      <c r="F216">
        <f>IF(A216="","",IF(AND(D216=TRUE,E216=""),"BUY",IF(AND(D216=FALSE,E216&lt;&gt;""),"SELL",IF(AND(D216=TRUE,E216&lt;&gt;""),"HOLD",""))))</f>
        <v/>
      </c>
      <c r="G216" s="12">
        <f>IF(D216=TRUE,4,0)</f>
        <v/>
      </c>
      <c r="H216">
        <f>IF(A216="","",BDP(A216&amp;" US Equity","GICS_SECTOR_NAME"))</f>
        <v/>
      </c>
    </row>
    <row r="217">
      <c r="A217">
        <f>'Factor Scores'!A217</f>
        <v/>
      </c>
      <c r="B217" s="10">
        <f>IF(A217="","",0.40*'Factor Scores'!C217+0.20*'Factor Scores'!E217+0.20*'Factor Scores'!G217+0.20*'Factor Scores'!H217)</f>
        <v/>
      </c>
      <c r="C217" s="12">
        <f>IF(B217="","",RANK(B217,$B$2:$B$2501,0))</f>
        <v/>
      </c>
      <c r="D217">
        <f>IF(C217="","",C217&lt;=25)</f>
        <v/>
      </c>
      <c r="F217">
        <f>IF(A217="","",IF(AND(D217=TRUE,E217=""),"BUY",IF(AND(D217=FALSE,E217&lt;&gt;""),"SELL",IF(AND(D217=TRUE,E217&lt;&gt;""),"HOLD",""))))</f>
        <v/>
      </c>
      <c r="G217" s="12">
        <f>IF(D217=TRUE,4,0)</f>
        <v/>
      </c>
      <c r="H217">
        <f>IF(A217="","",BDP(A217&amp;" US Equity","GICS_SECTOR_NAME"))</f>
        <v/>
      </c>
    </row>
    <row r="218">
      <c r="A218">
        <f>'Factor Scores'!A218</f>
        <v/>
      </c>
      <c r="B218" s="10">
        <f>IF(A218="","",0.40*'Factor Scores'!C218+0.20*'Factor Scores'!E218+0.20*'Factor Scores'!G218+0.20*'Factor Scores'!H218)</f>
        <v/>
      </c>
      <c r="C218" s="12">
        <f>IF(B218="","",RANK(B218,$B$2:$B$2501,0))</f>
        <v/>
      </c>
      <c r="D218">
        <f>IF(C218="","",C218&lt;=25)</f>
        <v/>
      </c>
      <c r="F218">
        <f>IF(A218="","",IF(AND(D218=TRUE,E218=""),"BUY",IF(AND(D218=FALSE,E218&lt;&gt;""),"SELL",IF(AND(D218=TRUE,E218&lt;&gt;""),"HOLD",""))))</f>
        <v/>
      </c>
      <c r="G218" s="12">
        <f>IF(D218=TRUE,4,0)</f>
        <v/>
      </c>
      <c r="H218">
        <f>IF(A218="","",BDP(A218&amp;" US Equity","GICS_SECTOR_NAME"))</f>
        <v/>
      </c>
    </row>
    <row r="219">
      <c r="A219">
        <f>'Factor Scores'!A219</f>
        <v/>
      </c>
      <c r="B219" s="10">
        <f>IF(A219="","",0.40*'Factor Scores'!C219+0.20*'Factor Scores'!E219+0.20*'Factor Scores'!G219+0.20*'Factor Scores'!H219)</f>
        <v/>
      </c>
      <c r="C219" s="12">
        <f>IF(B219="","",RANK(B219,$B$2:$B$2501,0))</f>
        <v/>
      </c>
      <c r="D219">
        <f>IF(C219="","",C219&lt;=25)</f>
        <v/>
      </c>
      <c r="F219">
        <f>IF(A219="","",IF(AND(D219=TRUE,E219=""),"BUY",IF(AND(D219=FALSE,E219&lt;&gt;""),"SELL",IF(AND(D219=TRUE,E219&lt;&gt;""),"HOLD",""))))</f>
        <v/>
      </c>
      <c r="G219" s="12">
        <f>IF(D219=TRUE,4,0)</f>
        <v/>
      </c>
      <c r="H219">
        <f>IF(A219="","",BDP(A219&amp;" US Equity","GICS_SECTOR_NAME"))</f>
        <v/>
      </c>
    </row>
    <row r="220">
      <c r="A220">
        <f>'Factor Scores'!A220</f>
        <v/>
      </c>
      <c r="B220" s="10">
        <f>IF(A220="","",0.40*'Factor Scores'!C220+0.20*'Factor Scores'!E220+0.20*'Factor Scores'!G220+0.20*'Factor Scores'!H220)</f>
        <v/>
      </c>
      <c r="C220" s="12">
        <f>IF(B220="","",RANK(B220,$B$2:$B$2501,0))</f>
        <v/>
      </c>
      <c r="D220">
        <f>IF(C220="","",C220&lt;=25)</f>
        <v/>
      </c>
      <c r="F220">
        <f>IF(A220="","",IF(AND(D220=TRUE,E220=""),"BUY",IF(AND(D220=FALSE,E220&lt;&gt;""),"SELL",IF(AND(D220=TRUE,E220&lt;&gt;""),"HOLD",""))))</f>
        <v/>
      </c>
      <c r="G220" s="12">
        <f>IF(D220=TRUE,4,0)</f>
        <v/>
      </c>
      <c r="H220">
        <f>IF(A220="","",BDP(A220&amp;" US Equity","GICS_SECTOR_NAME"))</f>
        <v/>
      </c>
    </row>
    <row r="221">
      <c r="A221">
        <f>'Factor Scores'!A221</f>
        <v/>
      </c>
      <c r="B221" s="10">
        <f>IF(A221="","",0.40*'Factor Scores'!C221+0.20*'Factor Scores'!E221+0.20*'Factor Scores'!G221+0.20*'Factor Scores'!H221)</f>
        <v/>
      </c>
      <c r="C221" s="12">
        <f>IF(B221="","",RANK(B221,$B$2:$B$2501,0))</f>
        <v/>
      </c>
      <c r="D221">
        <f>IF(C221="","",C221&lt;=25)</f>
        <v/>
      </c>
      <c r="F221">
        <f>IF(A221="","",IF(AND(D221=TRUE,E221=""),"BUY",IF(AND(D221=FALSE,E221&lt;&gt;""),"SELL",IF(AND(D221=TRUE,E221&lt;&gt;""),"HOLD",""))))</f>
        <v/>
      </c>
      <c r="G221" s="12">
        <f>IF(D221=TRUE,4,0)</f>
        <v/>
      </c>
      <c r="H221">
        <f>IF(A221="","",BDP(A221&amp;" US Equity","GICS_SECTOR_NAME"))</f>
        <v/>
      </c>
    </row>
    <row r="222">
      <c r="A222">
        <f>'Factor Scores'!A222</f>
        <v/>
      </c>
      <c r="B222" s="10">
        <f>IF(A222="","",0.40*'Factor Scores'!C222+0.20*'Factor Scores'!E222+0.20*'Factor Scores'!G222+0.20*'Factor Scores'!H222)</f>
        <v/>
      </c>
      <c r="C222" s="12">
        <f>IF(B222="","",RANK(B222,$B$2:$B$2501,0))</f>
        <v/>
      </c>
      <c r="D222">
        <f>IF(C222="","",C222&lt;=25)</f>
        <v/>
      </c>
      <c r="F222">
        <f>IF(A222="","",IF(AND(D222=TRUE,E222=""),"BUY",IF(AND(D222=FALSE,E222&lt;&gt;""),"SELL",IF(AND(D222=TRUE,E222&lt;&gt;""),"HOLD",""))))</f>
        <v/>
      </c>
      <c r="G222" s="12">
        <f>IF(D222=TRUE,4,0)</f>
        <v/>
      </c>
      <c r="H222">
        <f>IF(A222="","",BDP(A222&amp;" US Equity","GICS_SECTOR_NAME"))</f>
        <v/>
      </c>
    </row>
    <row r="223">
      <c r="A223">
        <f>'Factor Scores'!A223</f>
        <v/>
      </c>
      <c r="B223" s="10">
        <f>IF(A223="","",0.40*'Factor Scores'!C223+0.20*'Factor Scores'!E223+0.20*'Factor Scores'!G223+0.20*'Factor Scores'!H223)</f>
        <v/>
      </c>
      <c r="C223" s="12">
        <f>IF(B223="","",RANK(B223,$B$2:$B$2501,0))</f>
        <v/>
      </c>
      <c r="D223">
        <f>IF(C223="","",C223&lt;=25)</f>
        <v/>
      </c>
      <c r="F223">
        <f>IF(A223="","",IF(AND(D223=TRUE,E223=""),"BUY",IF(AND(D223=FALSE,E223&lt;&gt;""),"SELL",IF(AND(D223=TRUE,E223&lt;&gt;""),"HOLD",""))))</f>
        <v/>
      </c>
      <c r="G223" s="12">
        <f>IF(D223=TRUE,4,0)</f>
        <v/>
      </c>
      <c r="H223">
        <f>IF(A223="","",BDP(A223&amp;" US Equity","GICS_SECTOR_NAME"))</f>
        <v/>
      </c>
    </row>
    <row r="224">
      <c r="A224">
        <f>'Factor Scores'!A224</f>
        <v/>
      </c>
      <c r="B224" s="10">
        <f>IF(A224="","",0.40*'Factor Scores'!C224+0.20*'Factor Scores'!E224+0.20*'Factor Scores'!G224+0.20*'Factor Scores'!H224)</f>
        <v/>
      </c>
      <c r="C224" s="12">
        <f>IF(B224="","",RANK(B224,$B$2:$B$2501,0))</f>
        <v/>
      </c>
      <c r="D224">
        <f>IF(C224="","",C224&lt;=25)</f>
        <v/>
      </c>
      <c r="F224">
        <f>IF(A224="","",IF(AND(D224=TRUE,E224=""),"BUY",IF(AND(D224=FALSE,E224&lt;&gt;""),"SELL",IF(AND(D224=TRUE,E224&lt;&gt;""),"HOLD",""))))</f>
        <v/>
      </c>
      <c r="G224" s="12">
        <f>IF(D224=TRUE,4,0)</f>
        <v/>
      </c>
      <c r="H224">
        <f>IF(A224="","",BDP(A224&amp;" US Equity","GICS_SECTOR_NAME"))</f>
        <v/>
      </c>
    </row>
    <row r="225">
      <c r="A225">
        <f>'Factor Scores'!A225</f>
        <v/>
      </c>
      <c r="B225" s="10">
        <f>IF(A225="","",0.40*'Factor Scores'!C225+0.20*'Factor Scores'!E225+0.20*'Factor Scores'!G225+0.20*'Factor Scores'!H225)</f>
        <v/>
      </c>
      <c r="C225" s="12">
        <f>IF(B225="","",RANK(B225,$B$2:$B$2501,0))</f>
        <v/>
      </c>
      <c r="D225">
        <f>IF(C225="","",C225&lt;=25)</f>
        <v/>
      </c>
      <c r="F225">
        <f>IF(A225="","",IF(AND(D225=TRUE,E225=""),"BUY",IF(AND(D225=FALSE,E225&lt;&gt;""),"SELL",IF(AND(D225=TRUE,E225&lt;&gt;""),"HOLD",""))))</f>
        <v/>
      </c>
      <c r="G225" s="12">
        <f>IF(D225=TRUE,4,0)</f>
        <v/>
      </c>
      <c r="H225">
        <f>IF(A225="","",BDP(A225&amp;" US Equity","GICS_SECTOR_NAME"))</f>
        <v/>
      </c>
    </row>
    <row r="226">
      <c r="A226">
        <f>'Factor Scores'!A226</f>
        <v/>
      </c>
      <c r="B226" s="10">
        <f>IF(A226="","",0.40*'Factor Scores'!C226+0.20*'Factor Scores'!E226+0.20*'Factor Scores'!G226+0.20*'Factor Scores'!H226)</f>
        <v/>
      </c>
      <c r="C226" s="12">
        <f>IF(B226="","",RANK(B226,$B$2:$B$2501,0))</f>
        <v/>
      </c>
      <c r="D226">
        <f>IF(C226="","",C226&lt;=25)</f>
        <v/>
      </c>
      <c r="F226">
        <f>IF(A226="","",IF(AND(D226=TRUE,E226=""),"BUY",IF(AND(D226=FALSE,E226&lt;&gt;""),"SELL",IF(AND(D226=TRUE,E226&lt;&gt;""),"HOLD",""))))</f>
        <v/>
      </c>
      <c r="G226" s="12">
        <f>IF(D226=TRUE,4,0)</f>
        <v/>
      </c>
      <c r="H226">
        <f>IF(A226="","",BDP(A226&amp;" US Equity","GICS_SECTOR_NAME"))</f>
        <v/>
      </c>
    </row>
    <row r="227">
      <c r="A227">
        <f>'Factor Scores'!A227</f>
        <v/>
      </c>
      <c r="B227" s="10">
        <f>IF(A227="","",0.40*'Factor Scores'!C227+0.20*'Factor Scores'!E227+0.20*'Factor Scores'!G227+0.20*'Factor Scores'!H227)</f>
        <v/>
      </c>
      <c r="C227" s="12">
        <f>IF(B227="","",RANK(B227,$B$2:$B$2501,0))</f>
        <v/>
      </c>
      <c r="D227">
        <f>IF(C227="","",C227&lt;=25)</f>
        <v/>
      </c>
      <c r="F227">
        <f>IF(A227="","",IF(AND(D227=TRUE,E227=""),"BUY",IF(AND(D227=FALSE,E227&lt;&gt;""),"SELL",IF(AND(D227=TRUE,E227&lt;&gt;""),"HOLD",""))))</f>
        <v/>
      </c>
      <c r="G227" s="12">
        <f>IF(D227=TRUE,4,0)</f>
        <v/>
      </c>
      <c r="H227">
        <f>IF(A227="","",BDP(A227&amp;" US Equity","GICS_SECTOR_NAME"))</f>
        <v/>
      </c>
    </row>
    <row r="228">
      <c r="A228">
        <f>'Factor Scores'!A228</f>
        <v/>
      </c>
      <c r="B228" s="10">
        <f>IF(A228="","",0.40*'Factor Scores'!C228+0.20*'Factor Scores'!E228+0.20*'Factor Scores'!G228+0.20*'Factor Scores'!H228)</f>
        <v/>
      </c>
      <c r="C228" s="12">
        <f>IF(B228="","",RANK(B228,$B$2:$B$2501,0))</f>
        <v/>
      </c>
      <c r="D228">
        <f>IF(C228="","",C228&lt;=25)</f>
        <v/>
      </c>
      <c r="F228">
        <f>IF(A228="","",IF(AND(D228=TRUE,E228=""),"BUY",IF(AND(D228=FALSE,E228&lt;&gt;""),"SELL",IF(AND(D228=TRUE,E228&lt;&gt;""),"HOLD",""))))</f>
        <v/>
      </c>
      <c r="G228" s="12">
        <f>IF(D228=TRUE,4,0)</f>
        <v/>
      </c>
      <c r="H228">
        <f>IF(A228="","",BDP(A228&amp;" US Equity","GICS_SECTOR_NAME"))</f>
        <v/>
      </c>
    </row>
    <row r="229">
      <c r="A229">
        <f>'Factor Scores'!A229</f>
        <v/>
      </c>
      <c r="B229" s="10">
        <f>IF(A229="","",0.40*'Factor Scores'!C229+0.20*'Factor Scores'!E229+0.20*'Factor Scores'!G229+0.20*'Factor Scores'!H229)</f>
        <v/>
      </c>
      <c r="C229" s="12">
        <f>IF(B229="","",RANK(B229,$B$2:$B$2501,0))</f>
        <v/>
      </c>
      <c r="D229">
        <f>IF(C229="","",C229&lt;=25)</f>
        <v/>
      </c>
      <c r="F229">
        <f>IF(A229="","",IF(AND(D229=TRUE,E229=""),"BUY",IF(AND(D229=FALSE,E229&lt;&gt;""),"SELL",IF(AND(D229=TRUE,E229&lt;&gt;""),"HOLD",""))))</f>
        <v/>
      </c>
      <c r="G229" s="12">
        <f>IF(D229=TRUE,4,0)</f>
        <v/>
      </c>
      <c r="H229">
        <f>IF(A229="","",BDP(A229&amp;" US Equity","GICS_SECTOR_NAME"))</f>
        <v/>
      </c>
    </row>
    <row r="230">
      <c r="A230">
        <f>'Factor Scores'!A230</f>
        <v/>
      </c>
      <c r="B230" s="10">
        <f>IF(A230="","",0.40*'Factor Scores'!C230+0.20*'Factor Scores'!E230+0.20*'Factor Scores'!G230+0.20*'Factor Scores'!H230)</f>
        <v/>
      </c>
      <c r="C230" s="12">
        <f>IF(B230="","",RANK(B230,$B$2:$B$2501,0))</f>
        <v/>
      </c>
      <c r="D230">
        <f>IF(C230="","",C230&lt;=25)</f>
        <v/>
      </c>
      <c r="F230">
        <f>IF(A230="","",IF(AND(D230=TRUE,E230=""),"BUY",IF(AND(D230=FALSE,E230&lt;&gt;""),"SELL",IF(AND(D230=TRUE,E230&lt;&gt;""),"HOLD",""))))</f>
        <v/>
      </c>
      <c r="G230" s="12">
        <f>IF(D230=TRUE,4,0)</f>
        <v/>
      </c>
      <c r="H230">
        <f>IF(A230="","",BDP(A230&amp;" US Equity","GICS_SECTOR_NAME"))</f>
        <v/>
      </c>
    </row>
    <row r="231">
      <c r="A231">
        <f>'Factor Scores'!A231</f>
        <v/>
      </c>
      <c r="B231" s="10">
        <f>IF(A231="","",0.40*'Factor Scores'!C231+0.20*'Factor Scores'!E231+0.20*'Factor Scores'!G231+0.20*'Factor Scores'!H231)</f>
        <v/>
      </c>
      <c r="C231" s="12">
        <f>IF(B231="","",RANK(B231,$B$2:$B$2501,0))</f>
        <v/>
      </c>
      <c r="D231">
        <f>IF(C231="","",C231&lt;=25)</f>
        <v/>
      </c>
      <c r="F231">
        <f>IF(A231="","",IF(AND(D231=TRUE,E231=""),"BUY",IF(AND(D231=FALSE,E231&lt;&gt;""),"SELL",IF(AND(D231=TRUE,E231&lt;&gt;""),"HOLD",""))))</f>
        <v/>
      </c>
      <c r="G231" s="12">
        <f>IF(D231=TRUE,4,0)</f>
        <v/>
      </c>
      <c r="H231">
        <f>IF(A231="","",BDP(A231&amp;" US Equity","GICS_SECTOR_NAME"))</f>
        <v/>
      </c>
    </row>
    <row r="232">
      <c r="A232">
        <f>'Factor Scores'!A232</f>
        <v/>
      </c>
      <c r="B232" s="10">
        <f>IF(A232="","",0.40*'Factor Scores'!C232+0.20*'Factor Scores'!E232+0.20*'Factor Scores'!G232+0.20*'Factor Scores'!H232)</f>
        <v/>
      </c>
      <c r="C232" s="12">
        <f>IF(B232="","",RANK(B232,$B$2:$B$2501,0))</f>
        <v/>
      </c>
      <c r="D232">
        <f>IF(C232="","",C232&lt;=25)</f>
        <v/>
      </c>
      <c r="F232">
        <f>IF(A232="","",IF(AND(D232=TRUE,E232=""),"BUY",IF(AND(D232=FALSE,E232&lt;&gt;""),"SELL",IF(AND(D232=TRUE,E232&lt;&gt;""),"HOLD",""))))</f>
        <v/>
      </c>
      <c r="G232" s="12">
        <f>IF(D232=TRUE,4,0)</f>
        <v/>
      </c>
      <c r="H232">
        <f>IF(A232="","",BDP(A232&amp;" US Equity","GICS_SECTOR_NAME"))</f>
        <v/>
      </c>
    </row>
    <row r="233">
      <c r="A233">
        <f>'Factor Scores'!A233</f>
        <v/>
      </c>
      <c r="B233" s="10">
        <f>IF(A233="","",0.40*'Factor Scores'!C233+0.20*'Factor Scores'!E233+0.20*'Factor Scores'!G233+0.20*'Factor Scores'!H233)</f>
        <v/>
      </c>
      <c r="C233" s="12">
        <f>IF(B233="","",RANK(B233,$B$2:$B$2501,0))</f>
        <v/>
      </c>
      <c r="D233">
        <f>IF(C233="","",C233&lt;=25)</f>
        <v/>
      </c>
      <c r="F233">
        <f>IF(A233="","",IF(AND(D233=TRUE,E233=""),"BUY",IF(AND(D233=FALSE,E233&lt;&gt;""),"SELL",IF(AND(D233=TRUE,E233&lt;&gt;""),"HOLD",""))))</f>
        <v/>
      </c>
      <c r="G233" s="12">
        <f>IF(D233=TRUE,4,0)</f>
        <v/>
      </c>
      <c r="H233">
        <f>IF(A233="","",BDP(A233&amp;" US Equity","GICS_SECTOR_NAME"))</f>
        <v/>
      </c>
    </row>
    <row r="234">
      <c r="A234">
        <f>'Factor Scores'!A234</f>
        <v/>
      </c>
      <c r="B234" s="10">
        <f>IF(A234="","",0.40*'Factor Scores'!C234+0.20*'Factor Scores'!E234+0.20*'Factor Scores'!G234+0.20*'Factor Scores'!H234)</f>
        <v/>
      </c>
      <c r="C234" s="12">
        <f>IF(B234="","",RANK(B234,$B$2:$B$2501,0))</f>
        <v/>
      </c>
      <c r="D234">
        <f>IF(C234="","",C234&lt;=25)</f>
        <v/>
      </c>
      <c r="F234">
        <f>IF(A234="","",IF(AND(D234=TRUE,E234=""),"BUY",IF(AND(D234=FALSE,E234&lt;&gt;""),"SELL",IF(AND(D234=TRUE,E234&lt;&gt;""),"HOLD",""))))</f>
        <v/>
      </c>
      <c r="G234" s="12">
        <f>IF(D234=TRUE,4,0)</f>
        <v/>
      </c>
      <c r="H234">
        <f>IF(A234="","",BDP(A234&amp;" US Equity","GICS_SECTOR_NAME"))</f>
        <v/>
      </c>
    </row>
    <row r="235">
      <c r="A235">
        <f>'Factor Scores'!A235</f>
        <v/>
      </c>
      <c r="B235" s="10">
        <f>IF(A235="","",0.40*'Factor Scores'!C235+0.20*'Factor Scores'!E235+0.20*'Factor Scores'!G235+0.20*'Factor Scores'!H235)</f>
        <v/>
      </c>
      <c r="C235" s="12">
        <f>IF(B235="","",RANK(B235,$B$2:$B$2501,0))</f>
        <v/>
      </c>
      <c r="D235">
        <f>IF(C235="","",C235&lt;=25)</f>
        <v/>
      </c>
      <c r="F235">
        <f>IF(A235="","",IF(AND(D235=TRUE,E235=""),"BUY",IF(AND(D235=FALSE,E235&lt;&gt;""),"SELL",IF(AND(D235=TRUE,E235&lt;&gt;""),"HOLD",""))))</f>
        <v/>
      </c>
      <c r="G235" s="12">
        <f>IF(D235=TRUE,4,0)</f>
        <v/>
      </c>
      <c r="H235">
        <f>IF(A235="","",BDP(A235&amp;" US Equity","GICS_SECTOR_NAME"))</f>
        <v/>
      </c>
    </row>
    <row r="236">
      <c r="A236">
        <f>'Factor Scores'!A236</f>
        <v/>
      </c>
      <c r="B236" s="10">
        <f>IF(A236="","",0.40*'Factor Scores'!C236+0.20*'Factor Scores'!E236+0.20*'Factor Scores'!G236+0.20*'Factor Scores'!H236)</f>
        <v/>
      </c>
      <c r="C236" s="12">
        <f>IF(B236="","",RANK(B236,$B$2:$B$2501,0))</f>
        <v/>
      </c>
      <c r="D236">
        <f>IF(C236="","",C236&lt;=25)</f>
        <v/>
      </c>
      <c r="F236">
        <f>IF(A236="","",IF(AND(D236=TRUE,E236=""),"BUY",IF(AND(D236=FALSE,E236&lt;&gt;""),"SELL",IF(AND(D236=TRUE,E236&lt;&gt;""),"HOLD",""))))</f>
        <v/>
      </c>
      <c r="G236" s="12">
        <f>IF(D236=TRUE,4,0)</f>
        <v/>
      </c>
      <c r="H236">
        <f>IF(A236="","",BDP(A236&amp;" US Equity","GICS_SECTOR_NAME"))</f>
        <v/>
      </c>
    </row>
    <row r="237">
      <c r="A237">
        <f>'Factor Scores'!A237</f>
        <v/>
      </c>
      <c r="B237" s="10">
        <f>IF(A237="","",0.40*'Factor Scores'!C237+0.20*'Factor Scores'!E237+0.20*'Factor Scores'!G237+0.20*'Factor Scores'!H237)</f>
        <v/>
      </c>
      <c r="C237" s="12">
        <f>IF(B237="","",RANK(B237,$B$2:$B$2501,0))</f>
        <v/>
      </c>
      <c r="D237">
        <f>IF(C237="","",C237&lt;=25)</f>
        <v/>
      </c>
      <c r="F237">
        <f>IF(A237="","",IF(AND(D237=TRUE,E237=""),"BUY",IF(AND(D237=FALSE,E237&lt;&gt;""),"SELL",IF(AND(D237=TRUE,E237&lt;&gt;""),"HOLD",""))))</f>
        <v/>
      </c>
      <c r="G237" s="12">
        <f>IF(D237=TRUE,4,0)</f>
        <v/>
      </c>
      <c r="H237">
        <f>IF(A237="","",BDP(A237&amp;" US Equity","GICS_SECTOR_NAME"))</f>
        <v/>
      </c>
    </row>
    <row r="238">
      <c r="A238">
        <f>'Factor Scores'!A238</f>
        <v/>
      </c>
      <c r="B238" s="10">
        <f>IF(A238="","",0.40*'Factor Scores'!C238+0.20*'Factor Scores'!E238+0.20*'Factor Scores'!G238+0.20*'Factor Scores'!H238)</f>
        <v/>
      </c>
      <c r="C238" s="12">
        <f>IF(B238="","",RANK(B238,$B$2:$B$2501,0))</f>
        <v/>
      </c>
      <c r="D238">
        <f>IF(C238="","",C238&lt;=25)</f>
        <v/>
      </c>
      <c r="F238">
        <f>IF(A238="","",IF(AND(D238=TRUE,E238=""),"BUY",IF(AND(D238=FALSE,E238&lt;&gt;""),"SELL",IF(AND(D238=TRUE,E238&lt;&gt;""),"HOLD",""))))</f>
        <v/>
      </c>
      <c r="G238" s="12">
        <f>IF(D238=TRUE,4,0)</f>
        <v/>
      </c>
      <c r="H238">
        <f>IF(A238="","",BDP(A238&amp;" US Equity","GICS_SECTOR_NAME"))</f>
        <v/>
      </c>
    </row>
    <row r="239">
      <c r="A239">
        <f>'Factor Scores'!A239</f>
        <v/>
      </c>
      <c r="B239" s="10">
        <f>IF(A239="","",0.40*'Factor Scores'!C239+0.20*'Factor Scores'!E239+0.20*'Factor Scores'!G239+0.20*'Factor Scores'!H239)</f>
        <v/>
      </c>
      <c r="C239" s="12">
        <f>IF(B239="","",RANK(B239,$B$2:$B$2501,0))</f>
        <v/>
      </c>
      <c r="D239">
        <f>IF(C239="","",C239&lt;=25)</f>
        <v/>
      </c>
      <c r="F239">
        <f>IF(A239="","",IF(AND(D239=TRUE,E239=""),"BUY",IF(AND(D239=FALSE,E239&lt;&gt;""),"SELL",IF(AND(D239=TRUE,E239&lt;&gt;""),"HOLD",""))))</f>
        <v/>
      </c>
      <c r="G239" s="12">
        <f>IF(D239=TRUE,4,0)</f>
        <v/>
      </c>
      <c r="H239">
        <f>IF(A239="","",BDP(A239&amp;" US Equity","GICS_SECTOR_NAME"))</f>
        <v/>
      </c>
    </row>
    <row r="240">
      <c r="A240">
        <f>'Factor Scores'!A240</f>
        <v/>
      </c>
      <c r="B240" s="10">
        <f>IF(A240="","",0.40*'Factor Scores'!C240+0.20*'Factor Scores'!E240+0.20*'Factor Scores'!G240+0.20*'Factor Scores'!H240)</f>
        <v/>
      </c>
      <c r="C240" s="12">
        <f>IF(B240="","",RANK(B240,$B$2:$B$2501,0))</f>
        <v/>
      </c>
      <c r="D240">
        <f>IF(C240="","",C240&lt;=25)</f>
        <v/>
      </c>
      <c r="F240">
        <f>IF(A240="","",IF(AND(D240=TRUE,E240=""),"BUY",IF(AND(D240=FALSE,E240&lt;&gt;""),"SELL",IF(AND(D240=TRUE,E240&lt;&gt;""),"HOLD",""))))</f>
        <v/>
      </c>
      <c r="G240" s="12">
        <f>IF(D240=TRUE,4,0)</f>
        <v/>
      </c>
      <c r="H240">
        <f>IF(A240="","",BDP(A240&amp;" US Equity","GICS_SECTOR_NAME"))</f>
        <v/>
      </c>
    </row>
    <row r="241">
      <c r="A241">
        <f>'Factor Scores'!A241</f>
        <v/>
      </c>
      <c r="B241" s="10">
        <f>IF(A241="","",0.40*'Factor Scores'!C241+0.20*'Factor Scores'!E241+0.20*'Factor Scores'!G241+0.20*'Factor Scores'!H241)</f>
        <v/>
      </c>
      <c r="C241" s="12">
        <f>IF(B241="","",RANK(B241,$B$2:$B$2501,0))</f>
        <v/>
      </c>
      <c r="D241">
        <f>IF(C241="","",C241&lt;=25)</f>
        <v/>
      </c>
      <c r="F241">
        <f>IF(A241="","",IF(AND(D241=TRUE,E241=""),"BUY",IF(AND(D241=FALSE,E241&lt;&gt;""),"SELL",IF(AND(D241=TRUE,E241&lt;&gt;""),"HOLD",""))))</f>
        <v/>
      </c>
      <c r="G241" s="12">
        <f>IF(D241=TRUE,4,0)</f>
        <v/>
      </c>
      <c r="H241">
        <f>IF(A241="","",BDP(A241&amp;" US Equity","GICS_SECTOR_NAME"))</f>
        <v/>
      </c>
    </row>
    <row r="242">
      <c r="A242">
        <f>'Factor Scores'!A242</f>
        <v/>
      </c>
      <c r="B242" s="10">
        <f>IF(A242="","",0.40*'Factor Scores'!C242+0.20*'Factor Scores'!E242+0.20*'Factor Scores'!G242+0.20*'Factor Scores'!H242)</f>
        <v/>
      </c>
      <c r="C242" s="12">
        <f>IF(B242="","",RANK(B242,$B$2:$B$2501,0))</f>
        <v/>
      </c>
      <c r="D242">
        <f>IF(C242="","",C242&lt;=25)</f>
        <v/>
      </c>
      <c r="F242">
        <f>IF(A242="","",IF(AND(D242=TRUE,E242=""),"BUY",IF(AND(D242=FALSE,E242&lt;&gt;""),"SELL",IF(AND(D242=TRUE,E242&lt;&gt;""),"HOLD",""))))</f>
        <v/>
      </c>
      <c r="G242" s="12">
        <f>IF(D242=TRUE,4,0)</f>
        <v/>
      </c>
      <c r="H242">
        <f>IF(A242="","",BDP(A242&amp;" US Equity","GICS_SECTOR_NAME"))</f>
        <v/>
      </c>
    </row>
    <row r="243">
      <c r="A243">
        <f>'Factor Scores'!A243</f>
        <v/>
      </c>
      <c r="B243" s="10">
        <f>IF(A243="","",0.40*'Factor Scores'!C243+0.20*'Factor Scores'!E243+0.20*'Factor Scores'!G243+0.20*'Factor Scores'!H243)</f>
        <v/>
      </c>
      <c r="C243" s="12">
        <f>IF(B243="","",RANK(B243,$B$2:$B$2501,0))</f>
        <v/>
      </c>
      <c r="D243">
        <f>IF(C243="","",C243&lt;=25)</f>
        <v/>
      </c>
      <c r="F243">
        <f>IF(A243="","",IF(AND(D243=TRUE,E243=""),"BUY",IF(AND(D243=FALSE,E243&lt;&gt;""),"SELL",IF(AND(D243=TRUE,E243&lt;&gt;""),"HOLD",""))))</f>
        <v/>
      </c>
      <c r="G243" s="12">
        <f>IF(D243=TRUE,4,0)</f>
        <v/>
      </c>
      <c r="H243">
        <f>IF(A243="","",BDP(A243&amp;" US Equity","GICS_SECTOR_NAME"))</f>
        <v/>
      </c>
    </row>
    <row r="244">
      <c r="A244">
        <f>'Factor Scores'!A244</f>
        <v/>
      </c>
      <c r="B244" s="10">
        <f>IF(A244="","",0.40*'Factor Scores'!C244+0.20*'Factor Scores'!E244+0.20*'Factor Scores'!G244+0.20*'Factor Scores'!H244)</f>
        <v/>
      </c>
      <c r="C244" s="12">
        <f>IF(B244="","",RANK(B244,$B$2:$B$2501,0))</f>
        <v/>
      </c>
      <c r="D244">
        <f>IF(C244="","",C244&lt;=25)</f>
        <v/>
      </c>
      <c r="F244">
        <f>IF(A244="","",IF(AND(D244=TRUE,E244=""),"BUY",IF(AND(D244=FALSE,E244&lt;&gt;""),"SELL",IF(AND(D244=TRUE,E244&lt;&gt;""),"HOLD",""))))</f>
        <v/>
      </c>
      <c r="G244" s="12">
        <f>IF(D244=TRUE,4,0)</f>
        <v/>
      </c>
      <c r="H244">
        <f>IF(A244="","",BDP(A244&amp;" US Equity","GICS_SECTOR_NAME"))</f>
        <v/>
      </c>
    </row>
    <row r="245">
      <c r="A245">
        <f>'Factor Scores'!A245</f>
        <v/>
      </c>
      <c r="B245" s="10">
        <f>IF(A245="","",0.40*'Factor Scores'!C245+0.20*'Factor Scores'!E245+0.20*'Factor Scores'!G245+0.20*'Factor Scores'!H245)</f>
        <v/>
      </c>
      <c r="C245" s="12">
        <f>IF(B245="","",RANK(B245,$B$2:$B$2501,0))</f>
        <v/>
      </c>
      <c r="D245">
        <f>IF(C245="","",C245&lt;=25)</f>
        <v/>
      </c>
      <c r="F245">
        <f>IF(A245="","",IF(AND(D245=TRUE,E245=""),"BUY",IF(AND(D245=FALSE,E245&lt;&gt;""),"SELL",IF(AND(D245=TRUE,E245&lt;&gt;""),"HOLD",""))))</f>
        <v/>
      </c>
      <c r="G245" s="12">
        <f>IF(D245=TRUE,4,0)</f>
        <v/>
      </c>
      <c r="H245">
        <f>IF(A245="","",BDP(A245&amp;" US Equity","GICS_SECTOR_NAME"))</f>
        <v/>
      </c>
    </row>
    <row r="246">
      <c r="A246">
        <f>'Factor Scores'!A246</f>
        <v/>
      </c>
      <c r="B246" s="10">
        <f>IF(A246="","",0.40*'Factor Scores'!C246+0.20*'Factor Scores'!E246+0.20*'Factor Scores'!G246+0.20*'Factor Scores'!H246)</f>
        <v/>
      </c>
      <c r="C246" s="12">
        <f>IF(B246="","",RANK(B246,$B$2:$B$2501,0))</f>
        <v/>
      </c>
      <c r="D246">
        <f>IF(C246="","",C246&lt;=25)</f>
        <v/>
      </c>
      <c r="F246">
        <f>IF(A246="","",IF(AND(D246=TRUE,E246=""),"BUY",IF(AND(D246=FALSE,E246&lt;&gt;""),"SELL",IF(AND(D246=TRUE,E246&lt;&gt;""),"HOLD",""))))</f>
        <v/>
      </c>
      <c r="G246" s="12">
        <f>IF(D246=TRUE,4,0)</f>
        <v/>
      </c>
      <c r="H246">
        <f>IF(A246="","",BDP(A246&amp;" US Equity","GICS_SECTOR_NAME"))</f>
        <v/>
      </c>
    </row>
    <row r="247">
      <c r="A247">
        <f>'Factor Scores'!A247</f>
        <v/>
      </c>
      <c r="B247" s="10">
        <f>IF(A247="","",0.40*'Factor Scores'!C247+0.20*'Factor Scores'!E247+0.20*'Factor Scores'!G247+0.20*'Factor Scores'!H247)</f>
        <v/>
      </c>
      <c r="C247" s="12">
        <f>IF(B247="","",RANK(B247,$B$2:$B$2501,0))</f>
        <v/>
      </c>
      <c r="D247">
        <f>IF(C247="","",C247&lt;=25)</f>
        <v/>
      </c>
      <c r="F247">
        <f>IF(A247="","",IF(AND(D247=TRUE,E247=""),"BUY",IF(AND(D247=FALSE,E247&lt;&gt;""),"SELL",IF(AND(D247=TRUE,E247&lt;&gt;""),"HOLD",""))))</f>
        <v/>
      </c>
      <c r="G247" s="12">
        <f>IF(D247=TRUE,4,0)</f>
        <v/>
      </c>
      <c r="H247">
        <f>IF(A247="","",BDP(A247&amp;" US Equity","GICS_SECTOR_NAME"))</f>
        <v/>
      </c>
    </row>
    <row r="248">
      <c r="A248">
        <f>'Factor Scores'!A248</f>
        <v/>
      </c>
      <c r="B248" s="10">
        <f>IF(A248="","",0.40*'Factor Scores'!C248+0.20*'Factor Scores'!E248+0.20*'Factor Scores'!G248+0.20*'Factor Scores'!H248)</f>
        <v/>
      </c>
      <c r="C248" s="12">
        <f>IF(B248="","",RANK(B248,$B$2:$B$2501,0))</f>
        <v/>
      </c>
      <c r="D248">
        <f>IF(C248="","",C248&lt;=25)</f>
        <v/>
      </c>
      <c r="F248">
        <f>IF(A248="","",IF(AND(D248=TRUE,E248=""),"BUY",IF(AND(D248=FALSE,E248&lt;&gt;""),"SELL",IF(AND(D248=TRUE,E248&lt;&gt;""),"HOLD",""))))</f>
        <v/>
      </c>
      <c r="G248" s="12">
        <f>IF(D248=TRUE,4,0)</f>
        <v/>
      </c>
      <c r="H248">
        <f>IF(A248="","",BDP(A248&amp;" US Equity","GICS_SECTOR_NAME"))</f>
        <v/>
      </c>
    </row>
    <row r="249">
      <c r="A249">
        <f>'Factor Scores'!A249</f>
        <v/>
      </c>
      <c r="B249" s="10">
        <f>IF(A249="","",0.40*'Factor Scores'!C249+0.20*'Factor Scores'!E249+0.20*'Factor Scores'!G249+0.20*'Factor Scores'!H249)</f>
        <v/>
      </c>
      <c r="C249" s="12">
        <f>IF(B249="","",RANK(B249,$B$2:$B$2501,0))</f>
        <v/>
      </c>
      <c r="D249">
        <f>IF(C249="","",C249&lt;=25)</f>
        <v/>
      </c>
      <c r="F249">
        <f>IF(A249="","",IF(AND(D249=TRUE,E249=""),"BUY",IF(AND(D249=FALSE,E249&lt;&gt;""),"SELL",IF(AND(D249=TRUE,E249&lt;&gt;""),"HOLD",""))))</f>
        <v/>
      </c>
      <c r="G249" s="12">
        <f>IF(D249=TRUE,4,0)</f>
        <v/>
      </c>
      <c r="H249">
        <f>IF(A249="","",BDP(A249&amp;" US Equity","GICS_SECTOR_NAME"))</f>
        <v/>
      </c>
    </row>
    <row r="250">
      <c r="A250">
        <f>'Factor Scores'!A250</f>
        <v/>
      </c>
      <c r="B250" s="10">
        <f>IF(A250="","",0.40*'Factor Scores'!C250+0.20*'Factor Scores'!E250+0.20*'Factor Scores'!G250+0.20*'Factor Scores'!H250)</f>
        <v/>
      </c>
      <c r="C250" s="12">
        <f>IF(B250="","",RANK(B250,$B$2:$B$2501,0))</f>
        <v/>
      </c>
      <c r="D250">
        <f>IF(C250="","",C250&lt;=25)</f>
        <v/>
      </c>
      <c r="F250">
        <f>IF(A250="","",IF(AND(D250=TRUE,E250=""),"BUY",IF(AND(D250=FALSE,E250&lt;&gt;""),"SELL",IF(AND(D250=TRUE,E250&lt;&gt;""),"HOLD",""))))</f>
        <v/>
      </c>
      <c r="G250" s="12">
        <f>IF(D250=TRUE,4,0)</f>
        <v/>
      </c>
      <c r="H250">
        <f>IF(A250="","",BDP(A250&amp;" US Equity","GICS_SECTOR_NAME"))</f>
        <v/>
      </c>
    </row>
    <row r="251">
      <c r="A251">
        <f>'Factor Scores'!A251</f>
        <v/>
      </c>
      <c r="B251" s="10">
        <f>IF(A251="","",0.40*'Factor Scores'!C251+0.20*'Factor Scores'!E251+0.20*'Factor Scores'!G251+0.20*'Factor Scores'!H251)</f>
        <v/>
      </c>
      <c r="C251" s="12">
        <f>IF(B251="","",RANK(B251,$B$2:$B$2501,0))</f>
        <v/>
      </c>
      <c r="D251">
        <f>IF(C251="","",C251&lt;=25)</f>
        <v/>
      </c>
      <c r="F251">
        <f>IF(A251="","",IF(AND(D251=TRUE,E251=""),"BUY",IF(AND(D251=FALSE,E251&lt;&gt;""),"SELL",IF(AND(D251=TRUE,E251&lt;&gt;""),"HOLD",""))))</f>
        <v/>
      </c>
      <c r="G251" s="12">
        <f>IF(D251=TRUE,4,0)</f>
        <v/>
      </c>
      <c r="H251">
        <f>IF(A251="","",BDP(A251&amp;" US Equity","GICS_SECTOR_NAME"))</f>
        <v/>
      </c>
    </row>
    <row r="252">
      <c r="A252">
        <f>'Factor Scores'!A252</f>
        <v/>
      </c>
      <c r="B252" s="10">
        <f>IF(A252="","",0.40*'Factor Scores'!C252+0.20*'Factor Scores'!E252+0.20*'Factor Scores'!G252+0.20*'Factor Scores'!H252)</f>
        <v/>
      </c>
      <c r="C252" s="12">
        <f>IF(B252="","",RANK(B252,$B$2:$B$2501,0))</f>
        <v/>
      </c>
      <c r="D252">
        <f>IF(C252="","",C252&lt;=25)</f>
        <v/>
      </c>
      <c r="F252">
        <f>IF(A252="","",IF(AND(D252=TRUE,E252=""),"BUY",IF(AND(D252=FALSE,E252&lt;&gt;""),"SELL",IF(AND(D252=TRUE,E252&lt;&gt;""),"HOLD",""))))</f>
        <v/>
      </c>
      <c r="G252" s="12">
        <f>IF(D252=TRUE,4,0)</f>
        <v/>
      </c>
      <c r="H252">
        <f>IF(A252="","",BDP(A252&amp;" US Equity","GICS_SECTOR_NAME"))</f>
        <v/>
      </c>
    </row>
    <row r="253">
      <c r="A253">
        <f>'Factor Scores'!A253</f>
        <v/>
      </c>
      <c r="B253" s="10">
        <f>IF(A253="","",0.40*'Factor Scores'!C253+0.20*'Factor Scores'!E253+0.20*'Factor Scores'!G253+0.20*'Factor Scores'!H253)</f>
        <v/>
      </c>
      <c r="C253" s="12">
        <f>IF(B253="","",RANK(B253,$B$2:$B$2501,0))</f>
        <v/>
      </c>
      <c r="D253">
        <f>IF(C253="","",C253&lt;=25)</f>
        <v/>
      </c>
      <c r="F253">
        <f>IF(A253="","",IF(AND(D253=TRUE,E253=""),"BUY",IF(AND(D253=FALSE,E253&lt;&gt;""),"SELL",IF(AND(D253=TRUE,E253&lt;&gt;""),"HOLD",""))))</f>
        <v/>
      </c>
      <c r="G253" s="12">
        <f>IF(D253=TRUE,4,0)</f>
        <v/>
      </c>
      <c r="H253">
        <f>IF(A253="","",BDP(A253&amp;" US Equity","GICS_SECTOR_NAME"))</f>
        <v/>
      </c>
    </row>
    <row r="254">
      <c r="A254">
        <f>'Factor Scores'!A254</f>
        <v/>
      </c>
      <c r="B254" s="10">
        <f>IF(A254="","",0.40*'Factor Scores'!C254+0.20*'Factor Scores'!E254+0.20*'Factor Scores'!G254+0.20*'Factor Scores'!H254)</f>
        <v/>
      </c>
      <c r="C254" s="12">
        <f>IF(B254="","",RANK(B254,$B$2:$B$2501,0))</f>
        <v/>
      </c>
      <c r="D254">
        <f>IF(C254="","",C254&lt;=25)</f>
        <v/>
      </c>
      <c r="F254">
        <f>IF(A254="","",IF(AND(D254=TRUE,E254=""),"BUY",IF(AND(D254=FALSE,E254&lt;&gt;""),"SELL",IF(AND(D254=TRUE,E254&lt;&gt;""),"HOLD",""))))</f>
        <v/>
      </c>
      <c r="G254" s="12">
        <f>IF(D254=TRUE,4,0)</f>
        <v/>
      </c>
      <c r="H254">
        <f>IF(A254="","",BDP(A254&amp;" US Equity","GICS_SECTOR_NAME"))</f>
        <v/>
      </c>
    </row>
    <row r="255">
      <c r="A255">
        <f>'Factor Scores'!A255</f>
        <v/>
      </c>
      <c r="B255" s="10">
        <f>IF(A255="","",0.40*'Factor Scores'!C255+0.20*'Factor Scores'!E255+0.20*'Factor Scores'!G255+0.20*'Factor Scores'!H255)</f>
        <v/>
      </c>
      <c r="C255" s="12">
        <f>IF(B255="","",RANK(B255,$B$2:$B$2501,0))</f>
        <v/>
      </c>
      <c r="D255">
        <f>IF(C255="","",C255&lt;=25)</f>
        <v/>
      </c>
      <c r="F255">
        <f>IF(A255="","",IF(AND(D255=TRUE,E255=""),"BUY",IF(AND(D255=FALSE,E255&lt;&gt;""),"SELL",IF(AND(D255=TRUE,E255&lt;&gt;""),"HOLD",""))))</f>
        <v/>
      </c>
      <c r="G255" s="12">
        <f>IF(D255=TRUE,4,0)</f>
        <v/>
      </c>
      <c r="H255">
        <f>IF(A255="","",BDP(A255&amp;" US Equity","GICS_SECTOR_NAME"))</f>
        <v/>
      </c>
    </row>
    <row r="256">
      <c r="A256">
        <f>'Factor Scores'!A256</f>
        <v/>
      </c>
      <c r="B256" s="10">
        <f>IF(A256="","",0.40*'Factor Scores'!C256+0.20*'Factor Scores'!E256+0.20*'Factor Scores'!G256+0.20*'Factor Scores'!H256)</f>
        <v/>
      </c>
      <c r="C256" s="12">
        <f>IF(B256="","",RANK(B256,$B$2:$B$2501,0))</f>
        <v/>
      </c>
      <c r="D256">
        <f>IF(C256="","",C256&lt;=25)</f>
        <v/>
      </c>
      <c r="F256">
        <f>IF(A256="","",IF(AND(D256=TRUE,E256=""),"BUY",IF(AND(D256=FALSE,E256&lt;&gt;""),"SELL",IF(AND(D256=TRUE,E256&lt;&gt;""),"HOLD",""))))</f>
        <v/>
      </c>
      <c r="G256" s="12">
        <f>IF(D256=TRUE,4,0)</f>
        <v/>
      </c>
      <c r="H256">
        <f>IF(A256="","",BDP(A256&amp;" US Equity","GICS_SECTOR_NAME"))</f>
        <v/>
      </c>
    </row>
    <row r="257">
      <c r="A257">
        <f>'Factor Scores'!A257</f>
        <v/>
      </c>
      <c r="B257" s="10">
        <f>IF(A257="","",0.40*'Factor Scores'!C257+0.20*'Factor Scores'!E257+0.20*'Factor Scores'!G257+0.20*'Factor Scores'!H257)</f>
        <v/>
      </c>
      <c r="C257" s="12">
        <f>IF(B257="","",RANK(B257,$B$2:$B$2501,0))</f>
        <v/>
      </c>
      <c r="D257">
        <f>IF(C257="","",C257&lt;=25)</f>
        <v/>
      </c>
      <c r="F257">
        <f>IF(A257="","",IF(AND(D257=TRUE,E257=""),"BUY",IF(AND(D257=FALSE,E257&lt;&gt;""),"SELL",IF(AND(D257=TRUE,E257&lt;&gt;""),"HOLD",""))))</f>
        <v/>
      </c>
      <c r="G257" s="12">
        <f>IF(D257=TRUE,4,0)</f>
        <v/>
      </c>
      <c r="H257">
        <f>IF(A257="","",BDP(A257&amp;" US Equity","GICS_SECTOR_NAME"))</f>
        <v/>
      </c>
    </row>
    <row r="258">
      <c r="A258">
        <f>'Factor Scores'!A258</f>
        <v/>
      </c>
      <c r="B258" s="10">
        <f>IF(A258="","",0.40*'Factor Scores'!C258+0.20*'Factor Scores'!E258+0.20*'Factor Scores'!G258+0.20*'Factor Scores'!H258)</f>
        <v/>
      </c>
      <c r="C258" s="12">
        <f>IF(B258="","",RANK(B258,$B$2:$B$2501,0))</f>
        <v/>
      </c>
      <c r="D258">
        <f>IF(C258="","",C258&lt;=25)</f>
        <v/>
      </c>
      <c r="F258">
        <f>IF(A258="","",IF(AND(D258=TRUE,E258=""),"BUY",IF(AND(D258=FALSE,E258&lt;&gt;""),"SELL",IF(AND(D258=TRUE,E258&lt;&gt;""),"HOLD",""))))</f>
        <v/>
      </c>
      <c r="G258" s="12">
        <f>IF(D258=TRUE,4,0)</f>
        <v/>
      </c>
      <c r="H258">
        <f>IF(A258="","",BDP(A258&amp;" US Equity","GICS_SECTOR_NAME"))</f>
        <v/>
      </c>
    </row>
    <row r="259">
      <c r="A259">
        <f>'Factor Scores'!A259</f>
        <v/>
      </c>
      <c r="B259" s="10">
        <f>IF(A259="","",0.40*'Factor Scores'!C259+0.20*'Factor Scores'!E259+0.20*'Factor Scores'!G259+0.20*'Factor Scores'!H259)</f>
        <v/>
      </c>
      <c r="C259" s="12">
        <f>IF(B259="","",RANK(B259,$B$2:$B$2501,0))</f>
        <v/>
      </c>
      <c r="D259">
        <f>IF(C259="","",C259&lt;=25)</f>
        <v/>
      </c>
      <c r="F259">
        <f>IF(A259="","",IF(AND(D259=TRUE,E259=""),"BUY",IF(AND(D259=FALSE,E259&lt;&gt;""),"SELL",IF(AND(D259=TRUE,E259&lt;&gt;""),"HOLD",""))))</f>
        <v/>
      </c>
      <c r="G259" s="12">
        <f>IF(D259=TRUE,4,0)</f>
        <v/>
      </c>
      <c r="H259">
        <f>IF(A259="","",BDP(A259&amp;" US Equity","GICS_SECTOR_NAME"))</f>
        <v/>
      </c>
    </row>
    <row r="260">
      <c r="A260">
        <f>'Factor Scores'!A260</f>
        <v/>
      </c>
      <c r="B260" s="10">
        <f>IF(A260="","",0.40*'Factor Scores'!C260+0.20*'Factor Scores'!E260+0.20*'Factor Scores'!G260+0.20*'Factor Scores'!H260)</f>
        <v/>
      </c>
      <c r="C260" s="12">
        <f>IF(B260="","",RANK(B260,$B$2:$B$2501,0))</f>
        <v/>
      </c>
      <c r="D260">
        <f>IF(C260="","",C260&lt;=25)</f>
        <v/>
      </c>
      <c r="F260">
        <f>IF(A260="","",IF(AND(D260=TRUE,E260=""),"BUY",IF(AND(D260=FALSE,E260&lt;&gt;""),"SELL",IF(AND(D260=TRUE,E260&lt;&gt;""),"HOLD",""))))</f>
        <v/>
      </c>
      <c r="G260" s="12">
        <f>IF(D260=TRUE,4,0)</f>
        <v/>
      </c>
      <c r="H260">
        <f>IF(A260="","",BDP(A260&amp;" US Equity","GICS_SECTOR_NAME"))</f>
        <v/>
      </c>
    </row>
    <row r="261">
      <c r="A261">
        <f>'Factor Scores'!A261</f>
        <v/>
      </c>
      <c r="B261" s="10">
        <f>IF(A261="","",0.40*'Factor Scores'!C261+0.20*'Factor Scores'!E261+0.20*'Factor Scores'!G261+0.20*'Factor Scores'!H261)</f>
        <v/>
      </c>
      <c r="C261" s="12">
        <f>IF(B261="","",RANK(B261,$B$2:$B$2501,0))</f>
        <v/>
      </c>
      <c r="D261">
        <f>IF(C261="","",C261&lt;=25)</f>
        <v/>
      </c>
      <c r="F261">
        <f>IF(A261="","",IF(AND(D261=TRUE,E261=""),"BUY",IF(AND(D261=FALSE,E261&lt;&gt;""),"SELL",IF(AND(D261=TRUE,E261&lt;&gt;""),"HOLD",""))))</f>
        <v/>
      </c>
      <c r="G261" s="12">
        <f>IF(D261=TRUE,4,0)</f>
        <v/>
      </c>
      <c r="H261">
        <f>IF(A261="","",BDP(A261&amp;" US Equity","GICS_SECTOR_NAME"))</f>
        <v/>
      </c>
    </row>
    <row r="262">
      <c r="A262">
        <f>'Factor Scores'!A262</f>
        <v/>
      </c>
      <c r="B262" s="10">
        <f>IF(A262="","",0.40*'Factor Scores'!C262+0.20*'Factor Scores'!E262+0.20*'Factor Scores'!G262+0.20*'Factor Scores'!H262)</f>
        <v/>
      </c>
      <c r="C262" s="12">
        <f>IF(B262="","",RANK(B262,$B$2:$B$2501,0))</f>
        <v/>
      </c>
      <c r="D262">
        <f>IF(C262="","",C262&lt;=25)</f>
        <v/>
      </c>
      <c r="F262">
        <f>IF(A262="","",IF(AND(D262=TRUE,E262=""),"BUY",IF(AND(D262=FALSE,E262&lt;&gt;""),"SELL",IF(AND(D262=TRUE,E262&lt;&gt;""),"HOLD",""))))</f>
        <v/>
      </c>
      <c r="G262" s="12">
        <f>IF(D262=TRUE,4,0)</f>
        <v/>
      </c>
      <c r="H262">
        <f>IF(A262="","",BDP(A262&amp;" US Equity","GICS_SECTOR_NAME"))</f>
        <v/>
      </c>
    </row>
    <row r="263">
      <c r="A263">
        <f>'Factor Scores'!A263</f>
        <v/>
      </c>
      <c r="B263" s="10">
        <f>IF(A263="","",0.40*'Factor Scores'!C263+0.20*'Factor Scores'!E263+0.20*'Factor Scores'!G263+0.20*'Factor Scores'!H263)</f>
        <v/>
      </c>
      <c r="C263" s="12">
        <f>IF(B263="","",RANK(B263,$B$2:$B$2501,0))</f>
        <v/>
      </c>
      <c r="D263">
        <f>IF(C263="","",C263&lt;=25)</f>
        <v/>
      </c>
      <c r="F263">
        <f>IF(A263="","",IF(AND(D263=TRUE,E263=""),"BUY",IF(AND(D263=FALSE,E263&lt;&gt;""),"SELL",IF(AND(D263=TRUE,E263&lt;&gt;""),"HOLD",""))))</f>
        <v/>
      </c>
      <c r="G263" s="12">
        <f>IF(D263=TRUE,4,0)</f>
        <v/>
      </c>
      <c r="H263">
        <f>IF(A263="","",BDP(A263&amp;" US Equity","GICS_SECTOR_NAME"))</f>
        <v/>
      </c>
    </row>
    <row r="264">
      <c r="A264">
        <f>'Factor Scores'!A264</f>
        <v/>
      </c>
      <c r="B264" s="10">
        <f>IF(A264="","",0.40*'Factor Scores'!C264+0.20*'Factor Scores'!E264+0.20*'Factor Scores'!G264+0.20*'Factor Scores'!H264)</f>
        <v/>
      </c>
      <c r="C264" s="12">
        <f>IF(B264="","",RANK(B264,$B$2:$B$2501,0))</f>
        <v/>
      </c>
      <c r="D264">
        <f>IF(C264="","",C264&lt;=25)</f>
        <v/>
      </c>
      <c r="F264">
        <f>IF(A264="","",IF(AND(D264=TRUE,E264=""),"BUY",IF(AND(D264=FALSE,E264&lt;&gt;""),"SELL",IF(AND(D264=TRUE,E264&lt;&gt;""),"HOLD",""))))</f>
        <v/>
      </c>
      <c r="G264" s="12">
        <f>IF(D264=TRUE,4,0)</f>
        <v/>
      </c>
      <c r="H264">
        <f>IF(A264="","",BDP(A264&amp;" US Equity","GICS_SECTOR_NAME"))</f>
        <v/>
      </c>
    </row>
    <row r="265">
      <c r="A265">
        <f>'Factor Scores'!A265</f>
        <v/>
      </c>
      <c r="B265" s="10">
        <f>IF(A265="","",0.40*'Factor Scores'!C265+0.20*'Factor Scores'!E265+0.20*'Factor Scores'!G265+0.20*'Factor Scores'!H265)</f>
        <v/>
      </c>
      <c r="C265" s="12">
        <f>IF(B265="","",RANK(B265,$B$2:$B$2501,0))</f>
        <v/>
      </c>
      <c r="D265">
        <f>IF(C265="","",C265&lt;=25)</f>
        <v/>
      </c>
      <c r="F265">
        <f>IF(A265="","",IF(AND(D265=TRUE,E265=""),"BUY",IF(AND(D265=FALSE,E265&lt;&gt;""),"SELL",IF(AND(D265=TRUE,E265&lt;&gt;""),"HOLD",""))))</f>
        <v/>
      </c>
      <c r="G265" s="12">
        <f>IF(D265=TRUE,4,0)</f>
        <v/>
      </c>
      <c r="H265">
        <f>IF(A265="","",BDP(A265&amp;" US Equity","GICS_SECTOR_NAME"))</f>
        <v/>
      </c>
    </row>
    <row r="266">
      <c r="A266">
        <f>'Factor Scores'!A266</f>
        <v/>
      </c>
      <c r="B266" s="10">
        <f>IF(A266="","",0.40*'Factor Scores'!C266+0.20*'Factor Scores'!E266+0.20*'Factor Scores'!G266+0.20*'Factor Scores'!H266)</f>
        <v/>
      </c>
      <c r="C266" s="12">
        <f>IF(B266="","",RANK(B266,$B$2:$B$2501,0))</f>
        <v/>
      </c>
      <c r="D266">
        <f>IF(C266="","",C266&lt;=25)</f>
        <v/>
      </c>
      <c r="F266">
        <f>IF(A266="","",IF(AND(D266=TRUE,E266=""),"BUY",IF(AND(D266=FALSE,E266&lt;&gt;""),"SELL",IF(AND(D266=TRUE,E266&lt;&gt;""),"HOLD",""))))</f>
        <v/>
      </c>
      <c r="G266" s="12">
        <f>IF(D266=TRUE,4,0)</f>
        <v/>
      </c>
      <c r="H266">
        <f>IF(A266="","",BDP(A266&amp;" US Equity","GICS_SECTOR_NAME"))</f>
        <v/>
      </c>
    </row>
    <row r="267">
      <c r="A267">
        <f>'Factor Scores'!A267</f>
        <v/>
      </c>
      <c r="B267" s="10">
        <f>IF(A267="","",0.40*'Factor Scores'!C267+0.20*'Factor Scores'!E267+0.20*'Factor Scores'!G267+0.20*'Factor Scores'!H267)</f>
        <v/>
      </c>
      <c r="C267" s="12">
        <f>IF(B267="","",RANK(B267,$B$2:$B$2501,0))</f>
        <v/>
      </c>
      <c r="D267">
        <f>IF(C267="","",C267&lt;=25)</f>
        <v/>
      </c>
      <c r="F267">
        <f>IF(A267="","",IF(AND(D267=TRUE,E267=""),"BUY",IF(AND(D267=FALSE,E267&lt;&gt;""),"SELL",IF(AND(D267=TRUE,E267&lt;&gt;""),"HOLD",""))))</f>
        <v/>
      </c>
      <c r="G267" s="12">
        <f>IF(D267=TRUE,4,0)</f>
        <v/>
      </c>
      <c r="H267">
        <f>IF(A267="","",BDP(A267&amp;" US Equity","GICS_SECTOR_NAME"))</f>
        <v/>
      </c>
    </row>
    <row r="268">
      <c r="A268">
        <f>'Factor Scores'!A268</f>
        <v/>
      </c>
      <c r="B268" s="10">
        <f>IF(A268="","",0.40*'Factor Scores'!C268+0.20*'Factor Scores'!E268+0.20*'Factor Scores'!G268+0.20*'Factor Scores'!H268)</f>
        <v/>
      </c>
      <c r="C268" s="12">
        <f>IF(B268="","",RANK(B268,$B$2:$B$2501,0))</f>
        <v/>
      </c>
      <c r="D268">
        <f>IF(C268="","",C268&lt;=25)</f>
        <v/>
      </c>
      <c r="F268">
        <f>IF(A268="","",IF(AND(D268=TRUE,E268=""),"BUY",IF(AND(D268=FALSE,E268&lt;&gt;""),"SELL",IF(AND(D268=TRUE,E268&lt;&gt;""),"HOLD",""))))</f>
        <v/>
      </c>
      <c r="G268" s="12">
        <f>IF(D268=TRUE,4,0)</f>
        <v/>
      </c>
      <c r="H268">
        <f>IF(A268="","",BDP(A268&amp;" US Equity","GICS_SECTOR_NAME"))</f>
        <v/>
      </c>
    </row>
    <row r="269">
      <c r="A269">
        <f>'Factor Scores'!A269</f>
        <v/>
      </c>
      <c r="B269" s="10">
        <f>IF(A269="","",0.40*'Factor Scores'!C269+0.20*'Factor Scores'!E269+0.20*'Factor Scores'!G269+0.20*'Factor Scores'!H269)</f>
        <v/>
      </c>
      <c r="C269" s="12">
        <f>IF(B269="","",RANK(B269,$B$2:$B$2501,0))</f>
        <v/>
      </c>
      <c r="D269">
        <f>IF(C269="","",C269&lt;=25)</f>
        <v/>
      </c>
      <c r="F269">
        <f>IF(A269="","",IF(AND(D269=TRUE,E269=""),"BUY",IF(AND(D269=FALSE,E269&lt;&gt;""),"SELL",IF(AND(D269=TRUE,E269&lt;&gt;""),"HOLD",""))))</f>
        <v/>
      </c>
      <c r="G269" s="12">
        <f>IF(D269=TRUE,4,0)</f>
        <v/>
      </c>
      <c r="H269">
        <f>IF(A269="","",BDP(A269&amp;" US Equity","GICS_SECTOR_NAME"))</f>
        <v/>
      </c>
    </row>
    <row r="270">
      <c r="A270">
        <f>'Factor Scores'!A270</f>
        <v/>
      </c>
      <c r="B270" s="10">
        <f>IF(A270="","",0.40*'Factor Scores'!C270+0.20*'Factor Scores'!E270+0.20*'Factor Scores'!G270+0.20*'Factor Scores'!H270)</f>
        <v/>
      </c>
      <c r="C270" s="12">
        <f>IF(B270="","",RANK(B270,$B$2:$B$2501,0))</f>
        <v/>
      </c>
      <c r="D270">
        <f>IF(C270="","",C270&lt;=25)</f>
        <v/>
      </c>
      <c r="F270">
        <f>IF(A270="","",IF(AND(D270=TRUE,E270=""),"BUY",IF(AND(D270=FALSE,E270&lt;&gt;""),"SELL",IF(AND(D270=TRUE,E270&lt;&gt;""),"HOLD",""))))</f>
        <v/>
      </c>
      <c r="G270" s="12">
        <f>IF(D270=TRUE,4,0)</f>
        <v/>
      </c>
      <c r="H270">
        <f>IF(A270="","",BDP(A270&amp;" US Equity","GICS_SECTOR_NAME"))</f>
        <v/>
      </c>
    </row>
    <row r="271">
      <c r="A271">
        <f>'Factor Scores'!A271</f>
        <v/>
      </c>
      <c r="B271" s="10">
        <f>IF(A271="","",0.40*'Factor Scores'!C271+0.20*'Factor Scores'!E271+0.20*'Factor Scores'!G271+0.20*'Factor Scores'!H271)</f>
        <v/>
      </c>
      <c r="C271" s="12">
        <f>IF(B271="","",RANK(B271,$B$2:$B$2501,0))</f>
        <v/>
      </c>
      <c r="D271">
        <f>IF(C271="","",C271&lt;=25)</f>
        <v/>
      </c>
      <c r="F271">
        <f>IF(A271="","",IF(AND(D271=TRUE,E271=""),"BUY",IF(AND(D271=FALSE,E271&lt;&gt;""),"SELL",IF(AND(D271=TRUE,E271&lt;&gt;""),"HOLD",""))))</f>
        <v/>
      </c>
      <c r="G271" s="12">
        <f>IF(D271=TRUE,4,0)</f>
        <v/>
      </c>
      <c r="H271">
        <f>IF(A271="","",BDP(A271&amp;" US Equity","GICS_SECTOR_NAME"))</f>
        <v/>
      </c>
    </row>
    <row r="272">
      <c r="A272">
        <f>'Factor Scores'!A272</f>
        <v/>
      </c>
      <c r="B272" s="10">
        <f>IF(A272="","",0.40*'Factor Scores'!C272+0.20*'Factor Scores'!E272+0.20*'Factor Scores'!G272+0.20*'Factor Scores'!H272)</f>
        <v/>
      </c>
      <c r="C272" s="12">
        <f>IF(B272="","",RANK(B272,$B$2:$B$2501,0))</f>
        <v/>
      </c>
      <c r="D272">
        <f>IF(C272="","",C272&lt;=25)</f>
        <v/>
      </c>
      <c r="F272">
        <f>IF(A272="","",IF(AND(D272=TRUE,E272=""),"BUY",IF(AND(D272=FALSE,E272&lt;&gt;""),"SELL",IF(AND(D272=TRUE,E272&lt;&gt;""),"HOLD",""))))</f>
        <v/>
      </c>
      <c r="G272" s="12">
        <f>IF(D272=TRUE,4,0)</f>
        <v/>
      </c>
      <c r="H272">
        <f>IF(A272="","",BDP(A272&amp;" US Equity","GICS_SECTOR_NAME"))</f>
        <v/>
      </c>
    </row>
    <row r="273">
      <c r="A273">
        <f>'Factor Scores'!A273</f>
        <v/>
      </c>
      <c r="B273" s="10">
        <f>IF(A273="","",0.40*'Factor Scores'!C273+0.20*'Factor Scores'!E273+0.20*'Factor Scores'!G273+0.20*'Factor Scores'!H273)</f>
        <v/>
      </c>
      <c r="C273" s="12">
        <f>IF(B273="","",RANK(B273,$B$2:$B$2501,0))</f>
        <v/>
      </c>
      <c r="D273">
        <f>IF(C273="","",C273&lt;=25)</f>
        <v/>
      </c>
      <c r="F273">
        <f>IF(A273="","",IF(AND(D273=TRUE,E273=""),"BUY",IF(AND(D273=FALSE,E273&lt;&gt;""),"SELL",IF(AND(D273=TRUE,E273&lt;&gt;""),"HOLD",""))))</f>
        <v/>
      </c>
      <c r="G273" s="12">
        <f>IF(D273=TRUE,4,0)</f>
        <v/>
      </c>
      <c r="H273">
        <f>IF(A273="","",BDP(A273&amp;" US Equity","GICS_SECTOR_NAME"))</f>
        <v/>
      </c>
    </row>
    <row r="274">
      <c r="A274">
        <f>'Factor Scores'!A274</f>
        <v/>
      </c>
      <c r="B274" s="10">
        <f>IF(A274="","",0.40*'Factor Scores'!C274+0.20*'Factor Scores'!E274+0.20*'Factor Scores'!G274+0.20*'Factor Scores'!H274)</f>
        <v/>
      </c>
      <c r="C274" s="12">
        <f>IF(B274="","",RANK(B274,$B$2:$B$2501,0))</f>
        <v/>
      </c>
      <c r="D274">
        <f>IF(C274="","",C274&lt;=25)</f>
        <v/>
      </c>
      <c r="F274">
        <f>IF(A274="","",IF(AND(D274=TRUE,E274=""),"BUY",IF(AND(D274=FALSE,E274&lt;&gt;""),"SELL",IF(AND(D274=TRUE,E274&lt;&gt;""),"HOLD",""))))</f>
        <v/>
      </c>
      <c r="G274" s="12">
        <f>IF(D274=TRUE,4,0)</f>
        <v/>
      </c>
      <c r="H274">
        <f>IF(A274="","",BDP(A274&amp;" US Equity","GICS_SECTOR_NAME"))</f>
        <v/>
      </c>
    </row>
    <row r="275">
      <c r="A275">
        <f>'Factor Scores'!A275</f>
        <v/>
      </c>
      <c r="B275" s="10">
        <f>IF(A275="","",0.40*'Factor Scores'!C275+0.20*'Factor Scores'!E275+0.20*'Factor Scores'!G275+0.20*'Factor Scores'!H275)</f>
        <v/>
      </c>
      <c r="C275" s="12">
        <f>IF(B275="","",RANK(B275,$B$2:$B$2501,0))</f>
        <v/>
      </c>
      <c r="D275">
        <f>IF(C275="","",C275&lt;=25)</f>
        <v/>
      </c>
      <c r="F275">
        <f>IF(A275="","",IF(AND(D275=TRUE,E275=""),"BUY",IF(AND(D275=FALSE,E275&lt;&gt;""),"SELL",IF(AND(D275=TRUE,E275&lt;&gt;""),"HOLD",""))))</f>
        <v/>
      </c>
      <c r="G275" s="12">
        <f>IF(D275=TRUE,4,0)</f>
        <v/>
      </c>
      <c r="H275">
        <f>IF(A275="","",BDP(A275&amp;" US Equity","GICS_SECTOR_NAME"))</f>
        <v/>
      </c>
    </row>
    <row r="276">
      <c r="A276">
        <f>'Factor Scores'!A276</f>
        <v/>
      </c>
      <c r="B276" s="10">
        <f>IF(A276="","",0.40*'Factor Scores'!C276+0.20*'Factor Scores'!E276+0.20*'Factor Scores'!G276+0.20*'Factor Scores'!H276)</f>
        <v/>
      </c>
      <c r="C276" s="12">
        <f>IF(B276="","",RANK(B276,$B$2:$B$2501,0))</f>
        <v/>
      </c>
      <c r="D276">
        <f>IF(C276="","",C276&lt;=25)</f>
        <v/>
      </c>
      <c r="F276">
        <f>IF(A276="","",IF(AND(D276=TRUE,E276=""),"BUY",IF(AND(D276=FALSE,E276&lt;&gt;""),"SELL",IF(AND(D276=TRUE,E276&lt;&gt;""),"HOLD",""))))</f>
        <v/>
      </c>
      <c r="G276" s="12">
        <f>IF(D276=TRUE,4,0)</f>
        <v/>
      </c>
      <c r="H276">
        <f>IF(A276="","",BDP(A276&amp;" US Equity","GICS_SECTOR_NAME"))</f>
        <v/>
      </c>
    </row>
    <row r="277">
      <c r="A277">
        <f>'Factor Scores'!A277</f>
        <v/>
      </c>
      <c r="B277" s="10">
        <f>IF(A277="","",0.40*'Factor Scores'!C277+0.20*'Factor Scores'!E277+0.20*'Factor Scores'!G277+0.20*'Factor Scores'!H277)</f>
        <v/>
      </c>
      <c r="C277" s="12">
        <f>IF(B277="","",RANK(B277,$B$2:$B$2501,0))</f>
        <v/>
      </c>
      <c r="D277">
        <f>IF(C277="","",C277&lt;=25)</f>
        <v/>
      </c>
      <c r="F277">
        <f>IF(A277="","",IF(AND(D277=TRUE,E277=""),"BUY",IF(AND(D277=FALSE,E277&lt;&gt;""),"SELL",IF(AND(D277=TRUE,E277&lt;&gt;""),"HOLD",""))))</f>
        <v/>
      </c>
      <c r="G277" s="12">
        <f>IF(D277=TRUE,4,0)</f>
        <v/>
      </c>
      <c r="H277">
        <f>IF(A277="","",BDP(A277&amp;" US Equity","GICS_SECTOR_NAME"))</f>
        <v/>
      </c>
    </row>
    <row r="278">
      <c r="A278">
        <f>'Factor Scores'!A278</f>
        <v/>
      </c>
      <c r="B278" s="10">
        <f>IF(A278="","",0.40*'Factor Scores'!C278+0.20*'Factor Scores'!E278+0.20*'Factor Scores'!G278+0.20*'Factor Scores'!H278)</f>
        <v/>
      </c>
      <c r="C278" s="12">
        <f>IF(B278="","",RANK(B278,$B$2:$B$2501,0))</f>
        <v/>
      </c>
      <c r="D278">
        <f>IF(C278="","",C278&lt;=25)</f>
        <v/>
      </c>
      <c r="F278">
        <f>IF(A278="","",IF(AND(D278=TRUE,E278=""),"BUY",IF(AND(D278=FALSE,E278&lt;&gt;""),"SELL",IF(AND(D278=TRUE,E278&lt;&gt;""),"HOLD",""))))</f>
        <v/>
      </c>
      <c r="G278" s="12">
        <f>IF(D278=TRUE,4,0)</f>
        <v/>
      </c>
      <c r="H278">
        <f>IF(A278="","",BDP(A278&amp;" US Equity","GICS_SECTOR_NAME"))</f>
        <v/>
      </c>
    </row>
    <row r="279">
      <c r="A279">
        <f>'Factor Scores'!A279</f>
        <v/>
      </c>
      <c r="B279" s="10">
        <f>IF(A279="","",0.40*'Factor Scores'!C279+0.20*'Factor Scores'!E279+0.20*'Factor Scores'!G279+0.20*'Factor Scores'!H279)</f>
        <v/>
      </c>
      <c r="C279" s="12">
        <f>IF(B279="","",RANK(B279,$B$2:$B$2501,0))</f>
        <v/>
      </c>
      <c r="D279">
        <f>IF(C279="","",C279&lt;=25)</f>
        <v/>
      </c>
      <c r="F279">
        <f>IF(A279="","",IF(AND(D279=TRUE,E279=""),"BUY",IF(AND(D279=FALSE,E279&lt;&gt;""),"SELL",IF(AND(D279=TRUE,E279&lt;&gt;""),"HOLD",""))))</f>
        <v/>
      </c>
      <c r="G279" s="12">
        <f>IF(D279=TRUE,4,0)</f>
        <v/>
      </c>
      <c r="H279">
        <f>IF(A279="","",BDP(A279&amp;" US Equity","GICS_SECTOR_NAME"))</f>
        <v/>
      </c>
    </row>
    <row r="280">
      <c r="A280">
        <f>'Factor Scores'!A280</f>
        <v/>
      </c>
      <c r="B280" s="10">
        <f>IF(A280="","",0.40*'Factor Scores'!C280+0.20*'Factor Scores'!E280+0.20*'Factor Scores'!G280+0.20*'Factor Scores'!H280)</f>
        <v/>
      </c>
      <c r="C280" s="12">
        <f>IF(B280="","",RANK(B280,$B$2:$B$2501,0))</f>
        <v/>
      </c>
      <c r="D280">
        <f>IF(C280="","",C280&lt;=25)</f>
        <v/>
      </c>
      <c r="F280">
        <f>IF(A280="","",IF(AND(D280=TRUE,E280=""),"BUY",IF(AND(D280=FALSE,E280&lt;&gt;""),"SELL",IF(AND(D280=TRUE,E280&lt;&gt;""),"HOLD",""))))</f>
        <v/>
      </c>
      <c r="G280" s="12">
        <f>IF(D280=TRUE,4,0)</f>
        <v/>
      </c>
      <c r="H280">
        <f>IF(A280="","",BDP(A280&amp;" US Equity","GICS_SECTOR_NAME"))</f>
        <v/>
      </c>
    </row>
    <row r="281">
      <c r="A281">
        <f>'Factor Scores'!A281</f>
        <v/>
      </c>
      <c r="B281" s="10">
        <f>IF(A281="","",0.40*'Factor Scores'!C281+0.20*'Factor Scores'!E281+0.20*'Factor Scores'!G281+0.20*'Factor Scores'!H281)</f>
        <v/>
      </c>
      <c r="C281" s="12">
        <f>IF(B281="","",RANK(B281,$B$2:$B$2501,0))</f>
        <v/>
      </c>
      <c r="D281">
        <f>IF(C281="","",C281&lt;=25)</f>
        <v/>
      </c>
      <c r="F281">
        <f>IF(A281="","",IF(AND(D281=TRUE,E281=""),"BUY",IF(AND(D281=FALSE,E281&lt;&gt;""),"SELL",IF(AND(D281=TRUE,E281&lt;&gt;""),"HOLD",""))))</f>
        <v/>
      </c>
      <c r="G281" s="12">
        <f>IF(D281=TRUE,4,0)</f>
        <v/>
      </c>
      <c r="H281">
        <f>IF(A281="","",BDP(A281&amp;" US Equity","GICS_SECTOR_NAME"))</f>
        <v/>
      </c>
    </row>
    <row r="282">
      <c r="A282">
        <f>'Factor Scores'!A282</f>
        <v/>
      </c>
      <c r="B282" s="10">
        <f>IF(A282="","",0.40*'Factor Scores'!C282+0.20*'Factor Scores'!E282+0.20*'Factor Scores'!G282+0.20*'Factor Scores'!H282)</f>
        <v/>
      </c>
      <c r="C282" s="12">
        <f>IF(B282="","",RANK(B282,$B$2:$B$2501,0))</f>
        <v/>
      </c>
      <c r="D282">
        <f>IF(C282="","",C282&lt;=25)</f>
        <v/>
      </c>
      <c r="F282">
        <f>IF(A282="","",IF(AND(D282=TRUE,E282=""),"BUY",IF(AND(D282=FALSE,E282&lt;&gt;""),"SELL",IF(AND(D282=TRUE,E282&lt;&gt;""),"HOLD",""))))</f>
        <v/>
      </c>
      <c r="G282" s="12">
        <f>IF(D282=TRUE,4,0)</f>
        <v/>
      </c>
      <c r="H282">
        <f>IF(A282="","",BDP(A282&amp;" US Equity","GICS_SECTOR_NAME"))</f>
        <v/>
      </c>
    </row>
    <row r="283">
      <c r="A283">
        <f>'Factor Scores'!A283</f>
        <v/>
      </c>
      <c r="B283" s="10">
        <f>IF(A283="","",0.40*'Factor Scores'!C283+0.20*'Factor Scores'!E283+0.20*'Factor Scores'!G283+0.20*'Factor Scores'!H283)</f>
        <v/>
      </c>
      <c r="C283" s="12">
        <f>IF(B283="","",RANK(B283,$B$2:$B$2501,0))</f>
        <v/>
      </c>
      <c r="D283">
        <f>IF(C283="","",C283&lt;=25)</f>
        <v/>
      </c>
      <c r="F283">
        <f>IF(A283="","",IF(AND(D283=TRUE,E283=""),"BUY",IF(AND(D283=FALSE,E283&lt;&gt;""),"SELL",IF(AND(D283=TRUE,E283&lt;&gt;""),"HOLD",""))))</f>
        <v/>
      </c>
      <c r="G283" s="12">
        <f>IF(D283=TRUE,4,0)</f>
        <v/>
      </c>
      <c r="H283">
        <f>IF(A283="","",BDP(A283&amp;" US Equity","GICS_SECTOR_NAME"))</f>
        <v/>
      </c>
    </row>
    <row r="284">
      <c r="A284">
        <f>'Factor Scores'!A284</f>
        <v/>
      </c>
      <c r="B284" s="10">
        <f>IF(A284="","",0.40*'Factor Scores'!C284+0.20*'Factor Scores'!E284+0.20*'Factor Scores'!G284+0.20*'Factor Scores'!H284)</f>
        <v/>
      </c>
      <c r="C284" s="12">
        <f>IF(B284="","",RANK(B284,$B$2:$B$2501,0))</f>
        <v/>
      </c>
      <c r="D284">
        <f>IF(C284="","",C284&lt;=25)</f>
        <v/>
      </c>
      <c r="F284">
        <f>IF(A284="","",IF(AND(D284=TRUE,E284=""),"BUY",IF(AND(D284=FALSE,E284&lt;&gt;""),"SELL",IF(AND(D284=TRUE,E284&lt;&gt;""),"HOLD",""))))</f>
        <v/>
      </c>
      <c r="G284" s="12">
        <f>IF(D284=TRUE,4,0)</f>
        <v/>
      </c>
      <c r="H284">
        <f>IF(A284="","",BDP(A284&amp;" US Equity","GICS_SECTOR_NAME"))</f>
        <v/>
      </c>
    </row>
    <row r="285">
      <c r="A285">
        <f>'Factor Scores'!A285</f>
        <v/>
      </c>
      <c r="B285" s="10">
        <f>IF(A285="","",0.40*'Factor Scores'!C285+0.20*'Factor Scores'!E285+0.20*'Factor Scores'!G285+0.20*'Factor Scores'!H285)</f>
        <v/>
      </c>
      <c r="C285" s="12">
        <f>IF(B285="","",RANK(B285,$B$2:$B$2501,0))</f>
        <v/>
      </c>
      <c r="D285">
        <f>IF(C285="","",C285&lt;=25)</f>
        <v/>
      </c>
      <c r="F285">
        <f>IF(A285="","",IF(AND(D285=TRUE,E285=""),"BUY",IF(AND(D285=FALSE,E285&lt;&gt;""),"SELL",IF(AND(D285=TRUE,E285&lt;&gt;""),"HOLD",""))))</f>
        <v/>
      </c>
      <c r="G285" s="12">
        <f>IF(D285=TRUE,4,0)</f>
        <v/>
      </c>
      <c r="H285">
        <f>IF(A285="","",BDP(A285&amp;" US Equity","GICS_SECTOR_NAME"))</f>
        <v/>
      </c>
    </row>
    <row r="286">
      <c r="A286">
        <f>'Factor Scores'!A286</f>
        <v/>
      </c>
      <c r="B286" s="10">
        <f>IF(A286="","",0.40*'Factor Scores'!C286+0.20*'Factor Scores'!E286+0.20*'Factor Scores'!G286+0.20*'Factor Scores'!H286)</f>
        <v/>
      </c>
      <c r="C286" s="12">
        <f>IF(B286="","",RANK(B286,$B$2:$B$2501,0))</f>
        <v/>
      </c>
      <c r="D286">
        <f>IF(C286="","",C286&lt;=25)</f>
        <v/>
      </c>
      <c r="F286">
        <f>IF(A286="","",IF(AND(D286=TRUE,E286=""),"BUY",IF(AND(D286=FALSE,E286&lt;&gt;""),"SELL",IF(AND(D286=TRUE,E286&lt;&gt;""),"HOLD",""))))</f>
        <v/>
      </c>
      <c r="G286" s="12">
        <f>IF(D286=TRUE,4,0)</f>
        <v/>
      </c>
      <c r="H286">
        <f>IF(A286="","",BDP(A286&amp;" US Equity","GICS_SECTOR_NAME"))</f>
        <v/>
      </c>
    </row>
    <row r="287">
      <c r="A287">
        <f>'Factor Scores'!A287</f>
        <v/>
      </c>
      <c r="B287" s="10">
        <f>IF(A287="","",0.40*'Factor Scores'!C287+0.20*'Factor Scores'!E287+0.20*'Factor Scores'!G287+0.20*'Factor Scores'!H287)</f>
        <v/>
      </c>
      <c r="C287" s="12">
        <f>IF(B287="","",RANK(B287,$B$2:$B$2501,0))</f>
        <v/>
      </c>
      <c r="D287">
        <f>IF(C287="","",C287&lt;=25)</f>
        <v/>
      </c>
      <c r="F287">
        <f>IF(A287="","",IF(AND(D287=TRUE,E287=""),"BUY",IF(AND(D287=FALSE,E287&lt;&gt;""),"SELL",IF(AND(D287=TRUE,E287&lt;&gt;""),"HOLD",""))))</f>
        <v/>
      </c>
      <c r="G287" s="12">
        <f>IF(D287=TRUE,4,0)</f>
        <v/>
      </c>
      <c r="H287">
        <f>IF(A287="","",BDP(A287&amp;" US Equity","GICS_SECTOR_NAME"))</f>
        <v/>
      </c>
    </row>
    <row r="288">
      <c r="A288">
        <f>'Factor Scores'!A288</f>
        <v/>
      </c>
      <c r="B288" s="10">
        <f>IF(A288="","",0.40*'Factor Scores'!C288+0.20*'Factor Scores'!E288+0.20*'Factor Scores'!G288+0.20*'Factor Scores'!H288)</f>
        <v/>
      </c>
      <c r="C288" s="12">
        <f>IF(B288="","",RANK(B288,$B$2:$B$2501,0))</f>
        <v/>
      </c>
      <c r="D288">
        <f>IF(C288="","",C288&lt;=25)</f>
        <v/>
      </c>
      <c r="F288">
        <f>IF(A288="","",IF(AND(D288=TRUE,E288=""),"BUY",IF(AND(D288=FALSE,E288&lt;&gt;""),"SELL",IF(AND(D288=TRUE,E288&lt;&gt;""),"HOLD",""))))</f>
        <v/>
      </c>
      <c r="G288" s="12">
        <f>IF(D288=TRUE,4,0)</f>
        <v/>
      </c>
      <c r="H288">
        <f>IF(A288="","",BDP(A288&amp;" US Equity","GICS_SECTOR_NAME"))</f>
        <v/>
      </c>
    </row>
    <row r="289">
      <c r="A289">
        <f>'Factor Scores'!A289</f>
        <v/>
      </c>
      <c r="B289" s="10">
        <f>IF(A289="","",0.40*'Factor Scores'!C289+0.20*'Factor Scores'!E289+0.20*'Factor Scores'!G289+0.20*'Factor Scores'!H289)</f>
        <v/>
      </c>
      <c r="C289" s="12">
        <f>IF(B289="","",RANK(B289,$B$2:$B$2501,0))</f>
        <v/>
      </c>
      <c r="D289">
        <f>IF(C289="","",C289&lt;=25)</f>
        <v/>
      </c>
      <c r="F289">
        <f>IF(A289="","",IF(AND(D289=TRUE,E289=""),"BUY",IF(AND(D289=FALSE,E289&lt;&gt;""),"SELL",IF(AND(D289=TRUE,E289&lt;&gt;""),"HOLD",""))))</f>
        <v/>
      </c>
      <c r="G289" s="12">
        <f>IF(D289=TRUE,4,0)</f>
        <v/>
      </c>
      <c r="H289">
        <f>IF(A289="","",BDP(A289&amp;" US Equity","GICS_SECTOR_NAME"))</f>
        <v/>
      </c>
    </row>
    <row r="290">
      <c r="A290">
        <f>'Factor Scores'!A290</f>
        <v/>
      </c>
      <c r="B290" s="10">
        <f>IF(A290="","",0.40*'Factor Scores'!C290+0.20*'Factor Scores'!E290+0.20*'Factor Scores'!G290+0.20*'Factor Scores'!H290)</f>
        <v/>
      </c>
      <c r="C290" s="12">
        <f>IF(B290="","",RANK(B290,$B$2:$B$2501,0))</f>
        <v/>
      </c>
      <c r="D290">
        <f>IF(C290="","",C290&lt;=25)</f>
        <v/>
      </c>
      <c r="F290">
        <f>IF(A290="","",IF(AND(D290=TRUE,E290=""),"BUY",IF(AND(D290=FALSE,E290&lt;&gt;""),"SELL",IF(AND(D290=TRUE,E290&lt;&gt;""),"HOLD",""))))</f>
        <v/>
      </c>
      <c r="G290" s="12">
        <f>IF(D290=TRUE,4,0)</f>
        <v/>
      </c>
      <c r="H290">
        <f>IF(A290="","",BDP(A290&amp;" US Equity","GICS_SECTOR_NAME"))</f>
        <v/>
      </c>
    </row>
    <row r="291">
      <c r="A291">
        <f>'Factor Scores'!A291</f>
        <v/>
      </c>
      <c r="B291" s="10">
        <f>IF(A291="","",0.40*'Factor Scores'!C291+0.20*'Factor Scores'!E291+0.20*'Factor Scores'!G291+0.20*'Factor Scores'!H291)</f>
        <v/>
      </c>
      <c r="C291" s="12">
        <f>IF(B291="","",RANK(B291,$B$2:$B$2501,0))</f>
        <v/>
      </c>
      <c r="D291">
        <f>IF(C291="","",C291&lt;=25)</f>
        <v/>
      </c>
      <c r="F291">
        <f>IF(A291="","",IF(AND(D291=TRUE,E291=""),"BUY",IF(AND(D291=FALSE,E291&lt;&gt;""),"SELL",IF(AND(D291=TRUE,E291&lt;&gt;""),"HOLD",""))))</f>
        <v/>
      </c>
      <c r="G291" s="12">
        <f>IF(D291=TRUE,4,0)</f>
        <v/>
      </c>
      <c r="H291">
        <f>IF(A291="","",BDP(A291&amp;" US Equity","GICS_SECTOR_NAME"))</f>
        <v/>
      </c>
    </row>
    <row r="292">
      <c r="A292">
        <f>'Factor Scores'!A292</f>
        <v/>
      </c>
      <c r="B292" s="10">
        <f>IF(A292="","",0.40*'Factor Scores'!C292+0.20*'Factor Scores'!E292+0.20*'Factor Scores'!G292+0.20*'Factor Scores'!H292)</f>
        <v/>
      </c>
      <c r="C292" s="12">
        <f>IF(B292="","",RANK(B292,$B$2:$B$2501,0))</f>
        <v/>
      </c>
      <c r="D292">
        <f>IF(C292="","",C292&lt;=25)</f>
        <v/>
      </c>
      <c r="F292">
        <f>IF(A292="","",IF(AND(D292=TRUE,E292=""),"BUY",IF(AND(D292=FALSE,E292&lt;&gt;""),"SELL",IF(AND(D292=TRUE,E292&lt;&gt;""),"HOLD",""))))</f>
        <v/>
      </c>
      <c r="G292" s="12">
        <f>IF(D292=TRUE,4,0)</f>
        <v/>
      </c>
      <c r="H292">
        <f>IF(A292="","",BDP(A292&amp;" US Equity","GICS_SECTOR_NAME"))</f>
        <v/>
      </c>
    </row>
    <row r="293">
      <c r="A293">
        <f>'Factor Scores'!A293</f>
        <v/>
      </c>
      <c r="B293" s="10">
        <f>IF(A293="","",0.40*'Factor Scores'!C293+0.20*'Factor Scores'!E293+0.20*'Factor Scores'!G293+0.20*'Factor Scores'!H293)</f>
        <v/>
      </c>
      <c r="C293" s="12">
        <f>IF(B293="","",RANK(B293,$B$2:$B$2501,0))</f>
        <v/>
      </c>
      <c r="D293">
        <f>IF(C293="","",C293&lt;=25)</f>
        <v/>
      </c>
      <c r="F293">
        <f>IF(A293="","",IF(AND(D293=TRUE,E293=""),"BUY",IF(AND(D293=FALSE,E293&lt;&gt;""),"SELL",IF(AND(D293=TRUE,E293&lt;&gt;""),"HOLD",""))))</f>
        <v/>
      </c>
      <c r="G293" s="12">
        <f>IF(D293=TRUE,4,0)</f>
        <v/>
      </c>
      <c r="H293">
        <f>IF(A293="","",BDP(A293&amp;" US Equity","GICS_SECTOR_NAME"))</f>
        <v/>
      </c>
    </row>
    <row r="294">
      <c r="A294">
        <f>'Factor Scores'!A294</f>
        <v/>
      </c>
      <c r="B294" s="10">
        <f>IF(A294="","",0.40*'Factor Scores'!C294+0.20*'Factor Scores'!E294+0.20*'Factor Scores'!G294+0.20*'Factor Scores'!H294)</f>
        <v/>
      </c>
      <c r="C294" s="12">
        <f>IF(B294="","",RANK(B294,$B$2:$B$2501,0))</f>
        <v/>
      </c>
      <c r="D294">
        <f>IF(C294="","",C294&lt;=25)</f>
        <v/>
      </c>
      <c r="F294">
        <f>IF(A294="","",IF(AND(D294=TRUE,E294=""),"BUY",IF(AND(D294=FALSE,E294&lt;&gt;""),"SELL",IF(AND(D294=TRUE,E294&lt;&gt;""),"HOLD",""))))</f>
        <v/>
      </c>
      <c r="G294" s="12">
        <f>IF(D294=TRUE,4,0)</f>
        <v/>
      </c>
      <c r="H294">
        <f>IF(A294="","",BDP(A294&amp;" US Equity","GICS_SECTOR_NAME"))</f>
        <v/>
      </c>
    </row>
    <row r="295">
      <c r="A295">
        <f>'Factor Scores'!A295</f>
        <v/>
      </c>
      <c r="B295" s="10">
        <f>IF(A295="","",0.40*'Factor Scores'!C295+0.20*'Factor Scores'!E295+0.20*'Factor Scores'!G295+0.20*'Factor Scores'!H295)</f>
        <v/>
      </c>
      <c r="C295" s="12">
        <f>IF(B295="","",RANK(B295,$B$2:$B$2501,0))</f>
        <v/>
      </c>
      <c r="D295">
        <f>IF(C295="","",C295&lt;=25)</f>
        <v/>
      </c>
      <c r="F295">
        <f>IF(A295="","",IF(AND(D295=TRUE,E295=""),"BUY",IF(AND(D295=FALSE,E295&lt;&gt;""),"SELL",IF(AND(D295=TRUE,E295&lt;&gt;""),"HOLD",""))))</f>
        <v/>
      </c>
      <c r="G295" s="12">
        <f>IF(D295=TRUE,4,0)</f>
        <v/>
      </c>
      <c r="H295">
        <f>IF(A295="","",BDP(A295&amp;" US Equity","GICS_SECTOR_NAME"))</f>
        <v/>
      </c>
    </row>
    <row r="296">
      <c r="A296">
        <f>'Factor Scores'!A296</f>
        <v/>
      </c>
      <c r="B296" s="10">
        <f>IF(A296="","",0.40*'Factor Scores'!C296+0.20*'Factor Scores'!E296+0.20*'Factor Scores'!G296+0.20*'Factor Scores'!H296)</f>
        <v/>
      </c>
      <c r="C296" s="12">
        <f>IF(B296="","",RANK(B296,$B$2:$B$2501,0))</f>
        <v/>
      </c>
      <c r="D296">
        <f>IF(C296="","",C296&lt;=25)</f>
        <v/>
      </c>
      <c r="F296">
        <f>IF(A296="","",IF(AND(D296=TRUE,E296=""),"BUY",IF(AND(D296=FALSE,E296&lt;&gt;""),"SELL",IF(AND(D296=TRUE,E296&lt;&gt;""),"HOLD",""))))</f>
        <v/>
      </c>
      <c r="G296" s="12">
        <f>IF(D296=TRUE,4,0)</f>
        <v/>
      </c>
      <c r="H296">
        <f>IF(A296="","",BDP(A296&amp;" US Equity","GICS_SECTOR_NAME"))</f>
        <v/>
      </c>
    </row>
    <row r="297">
      <c r="A297">
        <f>'Factor Scores'!A297</f>
        <v/>
      </c>
      <c r="B297" s="10">
        <f>IF(A297="","",0.40*'Factor Scores'!C297+0.20*'Factor Scores'!E297+0.20*'Factor Scores'!G297+0.20*'Factor Scores'!H297)</f>
        <v/>
      </c>
      <c r="C297" s="12">
        <f>IF(B297="","",RANK(B297,$B$2:$B$2501,0))</f>
        <v/>
      </c>
      <c r="D297">
        <f>IF(C297="","",C297&lt;=25)</f>
        <v/>
      </c>
      <c r="F297">
        <f>IF(A297="","",IF(AND(D297=TRUE,E297=""),"BUY",IF(AND(D297=FALSE,E297&lt;&gt;""),"SELL",IF(AND(D297=TRUE,E297&lt;&gt;""),"HOLD",""))))</f>
        <v/>
      </c>
      <c r="G297" s="12">
        <f>IF(D297=TRUE,4,0)</f>
        <v/>
      </c>
      <c r="H297">
        <f>IF(A297="","",BDP(A297&amp;" US Equity","GICS_SECTOR_NAME"))</f>
        <v/>
      </c>
    </row>
    <row r="298">
      <c r="A298">
        <f>'Factor Scores'!A298</f>
        <v/>
      </c>
      <c r="B298" s="10">
        <f>IF(A298="","",0.40*'Factor Scores'!C298+0.20*'Factor Scores'!E298+0.20*'Factor Scores'!G298+0.20*'Factor Scores'!H298)</f>
        <v/>
      </c>
      <c r="C298" s="12">
        <f>IF(B298="","",RANK(B298,$B$2:$B$2501,0))</f>
        <v/>
      </c>
      <c r="D298">
        <f>IF(C298="","",C298&lt;=25)</f>
        <v/>
      </c>
      <c r="F298">
        <f>IF(A298="","",IF(AND(D298=TRUE,E298=""),"BUY",IF(AND(D298=FALSE,E298&lt;&gt;""),"SELL",IF(AND(D298=TRUE,E298&lt;&gt;""),"HOLD",""))))</f>
        <v/>
      </c>
      <c r="G298" s="12">
        <f>IF(D298=TRUE,4,0)</f>
        <v/>
      </c>
      <c r="H298">
        <f>IF(A298="","",BDP(A298&amp;" US Equity","GICS_SECTOR_NAME"))</f>
        <v/>
      </c>
    </row>
    <row r="299">
      <c r="A299">
        <f>'Factor Scores'!A299</f>
        <v/>
      </c>
      <c r="B299" s="10">
        <f>IF(A299="","",0.40*'Factor Scores'!C299+0.20*'Factor Scores'!E299+0.20*'Factor Scores'!G299+0.20*'Factor Scores'!H299)</f>
        <v/>
      </c>
      <c r="C299" s="12">
        <f>IF(B299="","",RANK(B299,$B$2:$B$2501,0))</f>
        <v/>
      </c>
      <c r="D299">
        <f>IF(C299="","",C299&lt;=25)</f>
        <v/>
      </c>
      <c r="F299">
        <f>IF(A299="","",IF(AND(D299=TRUE,E299=""),"BUY",IF(AND(D299=FALSE,E299&lt;&gt;""),"SELL",IF(AND(D299=TRUE,E299&lt;&gt;""),"HOLD",""))))</f>
        <v/>
      </c>
      <c r="G299" s="12">
        <f>IF(D299=TRUE,4,0)</f>
        <v/>
      </c>
      <c r="H299">
        <f>IF(A299="","",BDP(A299&amp;" US Equity","GICS_SECTOR_NAME"))</f>
        <v/>
      </c>
    </row>
    <row r="300">
      <c r="A300">
        <f>'Factor Scores'!A300</f>
        <v/>
      </c>
      <c r="B300" s="10">
        <f>IF(A300="","",0.40*'Factor Scores'!C300+0.20*'Factor Scores'!E300+0.20*'Factor Scores'!G300+0.20*'Factor Scores'!H300)</f>
        <v/>
      </c>
      <c r="C300" s="12">
        <f>IF(B300="","",RANK(B300,$B$2:$B$2501,0))</f>
        <v/>
      </c>
      <c r="D300">
        <f>IF(C300="","",C300&lt;=25)</f>
        <v/>
      </c>
      <c r="F300">
        <f>IF(A300="","",IF(AND(D300=TRUE,E300=""),"BUY",IF(AND(D300=FALSE,E300&lt;&gt;""),"SELL",IF(AND(D300=TRUE,E300&lt;&gt;""),"HOLD",""))))</f>
        <v/>
      </c>
      <c r="G300" s="12">
        <f>IF(D300=TRUE,4,0)</f>
        <v/>
      </c>
      <c r="H300">
        <f>IF(A300="","",BDP(A300&amp;" US Equity","GICS_SECTOR_NAME"))</f>
        <v/>
      </c>
    </row>
    <row r="301">
      <c r="A301">
        <f>'Factor Scores'!A301</f>
        <v/>
      </c>
      <c r="B301" s="10">
        <f>IF(A301="","",0.40*'Factor Scores'!C301+0.20*'Factor Scores'!E301+0.20*'Factor Scores'!G301+0.20*'Factor Scores'!H301)</f>
        <v/>
      </c>
      <c r="C301" s="12">
        <f>IF(B301="","",RANK(B301,$B$2:$B$2501,0))</f>
        <v/>
      </c>
      <c r="D301">
        <f>IF(C301="","",C301&lt;=25)</f>
        <v/>
      </c>
      <c r="F301">
        <f>IF(A301="","",IF(AND(D301=TRUE,E301=""),"BUY",IF(AND(D301=FALSE,E301&lt;&gt;""),"SELL",IF(AND(D301=TRUE,E301&lt;&gt;""),"HOLD",""))))</f>
        <v/>
      </c>
      <c r="G301" s="12">
        <f>IF(D301=TRUE,4,0)</f>
        <v/>
      </c>
      <c r="H301">
        <f>IF(A301="","",BDP(A301&amp;" US Equity","GICS_SECTOR_NAME"))</f>
        <v/>
      </c>
    </row>
    <row r="302">
      <c r="A302">
        <f>'Factor Scores'!A302</f>
        <v/>
      </c>
      <c r="B302" s="10">
        <f>IF(A302="","",0.40*'Factor Scores'!C302+0.20*'Factor Scores'!E302+0.20*'Factor Scores'!G302+0.20*'Factor Scores'!H302)</f>
        <v/>
      </c>
      <c r="C302" s="12">
        <f>IF(B302="","",RANK(B302,$B$2:$B$2501,0))</f>
        <v/>
      </c>
      <c r="D302">
        <f>IF(C302="","",C302&lt;=25)</f>
        <v/>
      </c>
      <c r="F302">
        <f>IF(A302="","",IF(AND(D302=TRUE,E302=""),"BUY",IF(AND(D302=FALSE,E302&lt;&gt;""),"SELL",IF(AND(D302=TRUE,E302&lt;&gt;""),"HOLD",""))))</f>
        <v/>
      </c>
      <c r="G302" s="12">
        <f>IF(D302=TRUE,4,0)</f>
        <v/>
      </c>
      <c r="H302">
        <f>IF(A302="","",BDP(A302&amp;" US Equity","GICS_SECTOR_NAME"))</f>
        <v/>
      </c>
    </row>
    <row r="303">
      <c r="A303">
        <f>'Factor Scores'!A303</f>
        <v/>
      </c>
      <c r="B303" s="10">
        <f>IF(A303="","",0.40*'Factor Scores'!C303+0.20*'Factor Scores'!E303+0.20*'Factor Scores'!G303+0.20*'Factor Scores'!H303)</f>
        <v/>
      </c>
      <c r="C303" s="12">
        <f>IF(B303="","",RANK(B303,$B$2:$B$2501,0))</f>
        <v/>
      </c>
      <c r="D303">
        <f>IF(C303="","",C303&lt;=25)</f>
        <v/>
      </c>
      <c r="F303">
        <f>IF(A303="","",IF(AND(D303=TRUE,E303=""),"BUY",IF(AND(D303=FALSE,E303&lt;&gt;""),"SELL",IF(AND(D303=TRUE,E303&lt;&gt;""),"HOLD",""))))</f>
        <v/>
      </c>
      <c r="G303" s="12">
        <f>IF(D303=TRUE,4,0)</f>
        <v/>
      </c>
      <c r="H303">
        <f>IF(A303="","",BDP(A303&amp;" US Equity","GICS_SECTOR_NAME"))</f>
        <v/>
      </c>
    </row>
    <row r="304">
      <c r="A304">
        <f>'Factor Scores'!A304</f>
        <v/>
      </c>
      <c r="B304" s="10">
        <f>IF(A304="","",0.40*'Factor Scores'!C304+0.20*'Factor Scores'!E304+0.20*'Factor Scores'!G304+0.20*'Factor Scores'!H304)</f>
        <v/>
      </c>
      <c r="C304" s="12">
        <f>IF(B304="","",RANK(B304,$B$2:$B$2501,0))</f>
        <v/>
      </c>
      <c r="D304">
        <f>IF(C304="","",C304&lt;=25)</f>
        <v/>
      </c>
      <c r="F304">
        <f>IF(A304="","",IF(AND(D304=TRUE,E304=""),"BUY",IF(AND(D304=FALSE,E304&lt;&gt;""),"SELL",IF(AND(D304=TRUE,E304&lt;&gt;""),"HOLD",""))))</f>
        <v/>
      </c>
      <c r="G304" s="12">
        <f>IF(D304=TRUE,4,0)</f>
        <v/>
      </c>
      <c r="H304">
        <f>IF(A304="","",BDP(A304&amp;" US Equity","GICS_SECTOR_NAME"))</f>
        <v/>
      </c>
    </row>
    <row r="305">
      <c r="A305">
        <f>'Factor Scores'!A305</f>
        <v/>
      </c>
      <c r="B305" s="10">
        <f>IF(A305="","",0.40*'Factor Scores'!C305+0.20*'Factor Scores'!E305+0.20*'Factor Scores'!G305+0.20*'Factor Scores'!H305)</f>
        <v/>
      </c>
      <c r="C305" s="12">
        <f>IF(B305="","",RANK(B305,$B$2:$B$2501,0))</f>
        <v/>
      </c>
      <c r="D305">
        <f>IF(C305="","",C305&lt;=25)</f>
        <v/>
      </c>
      <c r="F305">
        <f>IF(A305="","",IF(AND(D305=TRUE,E305=""),"BUY",IF(AND(D305=FALSE,E305&lt;&gt;""),"SELL",IF(AND(D305=TRUE,E305&lt;&gt;""),"HOLD",""))))</f>
        <v/>
      </c>
      <c r="G305" s="12">
        <f>IF(D305=TRUE,4,0)</f>
        <v/>
      </c>
      <c r="H305">
        <f>IF(A305="","",BDP(A305&amp;" US Equity","GICS_SECTOR_NAME"))</f>
        <v/>
      </c>
    </row>
    <row r="306">
      <c r="A306">
        <f>'Factor Scores'!A306</f>
        <v/>
      </c>
      <c r="B306" s="10">
        <f>IF(A306="","",0.40*'Factor Scores'!C306+0.20*'Factor Scores'!E306+0.20*'Factor Scores'!G306+0.20*'Factor Scores'!H306)</f>
        <v/>
      </c>
      <c r="C306" s="12">
        <f>IF(B306="","",RANK(B306,$B$2:$B$2501,0))</f>
        <v/>
      </c>
      <c r="D306">
        <f>IF(C306="","",C306&lt;=25)</f>
        <v/>
      </c>
      <c r="F306">
        <f>IF(A306="","",IF(AND(D306=TRUE,E306=""),"BUY",IF(AND(D306=FALSE,E306&lt;&gt;""),"SELL",IF(AND(D306=TRUE,E306&lt;&gt;""),"HOLD",""))))</f>
        <v/>
      </c>
      <c r="G306" s="12">
        <f>IF(D306=TRUE,4,0)</f>
        <v/>
      </c>
      <c r="H306">
        <f>IF(A306="","",BDP(A306&amp;" US Equity","GICS_SECTOR_NAME"))</f>
        <v/>
      </c>
    </row>
    <row r="307">
      <c r="A307">
        <f>'Factor Scores'!A307</f>
        <v/>
      </c>
      <c r="B307" s="10">
        <f>IF(A307="","",0.40*'Factor Scores'!C307+0.20*'Factor Scores'!E307+0.20*'Factor Scores'!G307+0.20*'Factor Scores'!H307)</f>
        <v/>
      </c>
      <c r="C307" s="12">
        <f>IF(B307="","",RANK(B307,$B$2:$B$2501,0))</f>
        <v/>
      </c>
      <c r="D307">
        <f>IF(C307="","",C307&lt;=25)</f>
        <v/>
      </c>
      <c r="F307">
        <f>IF(A307="","",IF(AND(D307=TRUE,E307=""),"BUY",IF(AND(D307=FALSE,E307&lt;&gt;""),"SELL",IF(AND(D307=TRUE,E307&lt;&gt;""),"HOLD",""))))</f>
        <v/>
      </c>
      <c r="G307" s="12">
        <f>IF(D307=TRUE,4,0)</f>
        <v/>
      </c>
      <c r="H307">
        <f>IF(A307="","",BDP(A307&amp;" US Equity","GICS_SECTOR_NAME"))</f>
        <v/>
      </c>
    </row>
    <row r="308">
      <c r="A308">
        <f>'Factor Scores'!A308</f>
        <v/>
      </c>
      <c r="B308" s="10">
        <f>IF(A308="","",0.40*'Factor Scores'!C308+0.20*'Factor Scores'!E308+0.20*'Factor Scores'!G308+0.20*'Factor Scores'!H308)</f>
        <v/>
      </c>
      <c r="C308" s="12">
        <f>IF(B308="","",RANK(B308,$B$2:$B$2501,0))</f>
        <v/>
      </c>
      <c r="D308">
        <f>IF(C308="","",C308&lt;=25)</f>
        <v/>
      </c>
      <c r="F308">
        <f>IF(A308="","",IF(AND(D308=TRUE,E308=""),"BUY",IF(AND(D308=FALSE,E308&lt;&gt;""),"SELL",IF(AND(D308=TRUE,E308&lt;&gt;""),"HOLD",""))))</f>
        <v/>
      </c>
      <c r="G308" s="12">
        <f>IF(D308=TRUE,4,0)</f>
        <v/>
      </c>
      <c r="H308">
        <f>IF(A308="","",BDP(A308&amp;" US Equity","GICS_SECTOR_NAME"))</f>
        <v/>
      </c>
    </row>
    <row r="309">
      <c r="A309">
        <f>'Factor Scores'!A309</f>
        <v/>
      </c>
      <c r="B309" s="10">
        <f>IF(A309="","",0.40*'Factor Scores'!C309+0.20*'Factor Scores'!E309+0.20*'Factor Scores'!G309+0.20*'Factor Scores'!H309)</f>
        <v/>
      </c>
      <c r="C309" s="12">
        <f>IF(B309="","",RANK(B309,$B$2:$B$2501,0))</f>
        <v/>
      </c>
      <c r="D309">
        <f>IF(C309="","",C309&lt;=25)</f>
        <v/>
      </c>
      <c r="F309">
        <f>IF(A309="","",IF(AND(D309=TRUE,E309=""),"BUY",IF(AND(D309=FALSE,E309&lt;&gt;""),"SELL",IF(AND(D309=TRUE,E309&lt;&gt;""),"HOLD",""))))</f>
        <v/>
      </c>
      <c r="G309" s="12">
        <f>IF(D309=TRUE,4,0)</f>
        <v/>
      </c>
      <c r="H309">
        <f>IF(A309="","",BDP(A309&amp;" US Equity","GICS_SECTOR_NAME"))</f>
        <v/>
      </c>
    </row>
    <row r="310">
      <c r="A310">
        <f>'Factor Scores'!A310</f>
        <v/>
      </c>
      <c r="B310" s="10">
        <f>IF(A310="","",0.40*'Factor Scores'!C310+0.20*'Factor Scores'!E310+0.20*'Factor Scores'!G310+0.20*'Factor Scores'!H310)</f>
        <v/>
      </c>
      <c r="C310" s="12">
        <f>IF(B310="","",RANK(B310,$B$2:$B$2501,0))</f>
        <v/>
      </c>
      <c r="D310">
        <f>IF(C310="","",C310&lt;=25)</f>
        <v/>
      </c>
      <c r="F310">
        <f>IF(A310="","",IF(AND(D310=TRUE,E310=""),"BUY",IF(AND(D310=FALSE,E310&lt;&gt;""),"SELL",IF(AND(D310=TRUE,E310&lt;&gt;""),"HOLD",""))))</f>
        <v/>
      </c>
      <c r="G310" s="12">
        <f>IF(D310=TRUE,4,0)</f>
        <v/>
      </c>
      <c r="H310">
        <f>IF(A310="","",BDP(A310&amp;" US Equity","GICS_SECTOR_NAME"))</f>
        <v/>
      </c>
    </row>
    <row r="311">
      <c r="A311">
        <f>'Factor Scores'!A311</f>
        <v/>
      </c>
      <c r="B311" s="10">
        <f>IF(A311="","",0.40*'Factor Scores'!C311+0.20*'Factor Scores'!E311+0.20*'Factor Scores'!G311+0.20*'Factor Scores'!H311)</f>
        <v/>
      </c>
      <c r="C311" s="12">
        <f>IF(B311="","",RANK(B311,$B$2:$B$2501,0))</f>
        <v/>
      </c>
      <c r="D311">
        <f>IF(C311="","",C311&lt;=25)</f>
        <v/>
      </c>
      <c r="F311">
        <f>IF(A311="","",IF(AND(D311=TRUE,E311=""),"BUY",IF(AND(D311=FALSE,E311&lt;&gt;""),"SELL",IF(AND(D311=TRUE,E311&lt;&gt;""),"HOLD",""))))</f>
        <v/>
      </c>
      <c r="G311" s="12">
        <f>IF(D311=TRUE,4,0)</f>
        <v/>
      </c>
      <c r="H311">
        <f>IF(A311="","",BDP(A311&amp;" US Equity","GICS_SECTOR_NAME"))</f>
        <v/>
      </c>
    </row>
    <row r="312">
      <c r="A312">
        <f>'Factor Scores'!A312</f>
        <v/>
      </c>
      <c r="B312" s="10">
        <f>IF(A312="","",0.40*'Factor Scores'!C312+0.20*'Factor Scores'!E312+0.20*'Factor Scores'!G312+0.20*'Factor Scores'!H312)</f>
        <v/>
      </c>
      <c r="C312" s="12">
        <f>IF(B312="","",RANK(B312,$B$2:$B$2501,0))</f>
        <v/>
      </c>
      <c r="D312">
        <f>IF(C312="","",C312&lt;=25)</f>
        <v/>
      </c>
      <c r="F312">
        <f>IF(A312="","",IF(AND(D312=TRUE,E312=""),"BUY",IF(AND(D312=FALSE,E312&lt;&gt;""),"SELL",IF(AND(D312=TRUE,E312&lt;&gt;""),"HOLD",""))))</f>
        <v/>
      </c>
      <c r="G312" s="12">
        <f>IF(D312=TRUE,4,0)</f>
        <v/>
      </c>
      <c r="H312">
        <f>IF(A312="","",BDP(A312&amp;" US Equity","GICS_SECTOR_NAME"))</f>
        <v/>
      </c>
    </row>
    <row r="313">
      <c r="A313">
        <f>'Factor Scores'!A313</f>
        <v/>
      </c>
      <c r="B313" s="10">
        <f>IF(A313="","",0.40*'Factor Scores'!C313+0.20*'Factor Scores'!E313+0.20*'Factor Scores'!G313+0.20*'Factor Scores'!H313)</f>
        <v/>
      </c>
      <c r="C313" s="12">
        <f>IF(B313="","",RANK(B313,$B$2:$B$2501,0))</f>
        <v/>
      </c>
      <c r="D313">
        <f>IF(C313="","",C313&lt;=25)</f>
        <v/>
      </c>
      <c r="F313">
        <f>IF(A313="","",IF(AND(D313=TRUE,E313=""),"BUY",IF(AND(D313=FALSE,E313&lt;&gt;""),"SELL",IF(AND(D313=TRUE,E313&lt;&gt;""),"HOLD",""))))</f>
        <v/>
      </c>
      <c r="G313" s="12">
        <f>IF(D313=TRUE,4,0)</f>
        <v/>
      </c>
      <c r="H313">
        <f>IF(A313="","",BDP(A313&amp;" US Equity","GICS_SECTOR_NAME"))</f>
        <v/>
      </c>
    </row>
    <row r="314">
      <c r="A314">
        <f>'Factor Scores'!A314</f>
        <v/>
      </c>
      <c r="B314" s="10">
        <f>IF(A314="","",0.40*'Factor Scores'!C314+0.20*'Factor Scores'!E314+0.20*'Factor Scores'!G314+0.20*'Factor Scores'!H314)</f>
        <v/>
      </c>
      <c r="C314" s="12">
        <f>IF(B314="","",RANK(B314,$B$2:$B$2501,0))</f>
        <v/>
      </c>
      <c r="D314">
        <f>IF(C314="","",C314&lt;=25)</f>
        <v/>
      </c>
      <c r="F314">
        <f>IF(A314="","",IF(AND(D314=TRUE,E314=""),"BUY",IF(AND(D314=FALSE,E314&lt;&gt;""),"SELL",IF(AND(D314=TRUE,E314&lt;&gt;""),"HOLD",""))))</f>
        <v/>
      </c>
      <c r="G314" s="12">
        <f>IF(D314=TRUE,4,0)</f>
        <v/>
      </c>
      <c r="H314">
        <f>IF(A314="","",BDP(A314&amp;" US Equity","GICS_SECTOR_NAME"))</f>
        <v/>
      </c>
    </row>
    <row r="315">
      <c r="A315">
        <f>'Factor Scores'!A315</f>
        <v/>
      </c>
      <c r="B315" s="10">
        <f>IF(A315="","",0.40*'Factor Scores'!C315+0.20*'Factor Scores'!E315+0.20*'Factor Scores'!G315+0.20*'Factor Scores'!H315)</f>
        <v/>
      </c>
      <c r="C315" s="12">
        <f>IF(B315="","",RANK(B315,$B$2:$B$2501,0))</f>
        <v/>
      </c>
      <c r="D315">
        <f>IF(C315="","",C315&lt;=25)</f>
        <v/>
      </c>
      <c r="F315">
        <f>IF(A315="","",IF(AND(D315=TRUE,E315=""),"BUY",IF(AND(D315=FALSE,E315&lt;&gt;""),"SELL",IF(AND(D315=TRUE,E315&lt;&gt;""),"HOLD",""))))</f>
        <v/>
      </c>
      <c r="G315" s="12">
        <f>IF(D315=TRUE,4,0)</f>
        <v/>
      </c>
      <c r="H315">
        <f>IF(A315="","",BDP(A315&amp;" US Equity","GICS_SECTOR_NAME"))</f>
        <v/>
      </c>
    </row>
    <row r="316">
      <c r="A316">
        <f>'Factor Scores'!A316</f>
        <v/>
      </c>
      <c r="B316" s="10">
        <f>IF(A316="","",0.40*'Factor Scores'!C316+0.20*'Factor Scores'!E316+0.20*'Factor Scores'!G316+0.20*'Factor Scores'!H316)</f>
        <v/>
      </c>
      <c r="C316" s="12">
        <f>IF(B316="","",RANK(B316,$B$2:$B$2501,0))</f>
        <v/>
      </c>
      <c r="D316">
        <f>IF(C316="","",C316&lt;=25)</f>
        <v/>
      </c>
      <c r="F316">
        <f>IF(A316="","",IF(AND(D316=TRUE,E316=""),"BUY",IF(AND(D316=FALSE,E316&lt;&gt;""),"SELL",IF(AND(D316=TRUE,E316&lt;&gt;""),"HOLD",""))))</f>
        <v/>
      </c>
      <c r="G316" s="12">
        <f>IF(D316=TRUE,4,0)</f>
        <v/>
      </c>
      <c r="H316">
        <f>IF(A316="","",BDP(A316&amp;" US Equity","GICS_SECTOR_NAME"))</f>
        <v/>
      </c>
    </row>
    <row r="317">
      <c r="A317">
        <f>'Factor Scores'!A317</f>
        <v/>
      </c>
      <c r="B317" s="10">
        <f>IF(A317="","",0.40*'Factor Scores'!C317+0.20*'Factor Scores'!E317+0.20*'Factor Scores'!G317+0.20*'Factor Scores'!H317)</f>
        <v/>
      </c>
      <c r="C317" s="12">
        <f>IF(B317="","",RANK(B317,$B$2:$B$2501,0))</f>
        <v/>
      </c>
      <c r="D317">
        <f>IF(C317="","",C317&lt;=25)</f>
        <v/>
      </c>
      <c r="F317">
        <f>IF(A317="","",IF(AND(D317=TRUE,E317=""),"BUY",IF(AND(D317=FALSE,E317&lt;&gt;""),"SELL",IF(AND(D317=TRUE,E317&lt;&gt;""),"HOLD",""))))</f>
        <v/>
      </c>
      <c r="G317" s="12">
        <f>IF(D317=TRUE,4,0)</f>
        <v/>
      </c>
      <c r="H317">
        <f>IF(A317="","",BDP(A317&amp;" US Equity","GICS_SECTOR_NAME"))</f>
        <v/>
      </c>
    </row>
    <row r="318">
      <c r="A318">
        <f>'Factor Scores'!A318</f>
        <v/>
      </c>
      <c r="B318" s="10">
        <f>IF(A318="","",0.40*'Factor Scores'!C318+0.20*'Factor Scores'!E318+0.20*'Factor Scores'!G318+0.20*'Factor Scores'!H318)</f>
        <v/>
      </c>
      <c r="C318" s="12">
        <f>IF(B318="","",RANK(B318,$B$2:$B$2501,0))</f>
        <v/>
      </c>
      <c r="D318">
        <f>IF(C318="","",C318&lt;=25)</f>
        <v/>
      </c>
      <c r="F318">
        <f>IF(A318="","",IF(AND(D318=TRUE,E318=""),"BUY",IF(AND(D318=FALSE,E318&lt;&gt;""),"SELL",IF(AND(D318=TRUE,E318&lt;&gt;""),"HOLD",""))))</f>
        <v/>
      </c>
      <c r="G318" s="12">
        <f>IF(D318=TRUE,4,0)</f>
        <v/>
      </c>
      <c r="H318">
        <f>IF(A318="","",BDP(A318&amp;" US Equity","GICS_SECTOR_NAME"))</f>
        <v/>
      </c>
    </row>
    <row r="319">
      <c r="A319">
        <f>'Factor Scores'!A319</f>
        <v/>
      </c>
      <c r="B319" s="10">
        <f>IF(A319="","",0.40*'Factor Scores'!C319+0.20*'Factor Scores'!E319+0.20*'Factor Scores'!G319+0.20*'Factor Scores'!H319)</f>
        <v/>
      </c>
      <c r="C319" s="12">
        <f>IF(B319="","",RANK(B319,$B$2:$B$2501,0))</f>
        <v/>
      </c>
      <c r="D319">
        <f>IF(C319="","",C319&lt;=25)</f>
        <v/>
      </c>
      <c r="F319">
        <f>IF(A319="","",IF(AND(D319=TRUE,E319=""),"BUY",IF(AND(D319=FALSE,E319&lt;&gt;""),"SELL",IF(AND(D319=TRUE,E319&lt;&gt;""),"HOLD",""))))</f>
        <v/>
      </c>
      <c r="G319" s="12">
        <f>IF(D319=TRUE,4,0)</f>
        <v/>
      </c>
      <c r="H319">
        <f>IF(A319="","",BDP(A319&amp;" US Equity","GICS_SECTOR_NAME"))</f>
        <v/>
      </c>
    </row>
    <row r="320">
      <c r="A320">
        <f>'Factor Scores'!A320</f>
        <v/>
      </c>
      <c r="B320" s="10">
        <f>IF(A320="","",0.40*'Factor Scores'!C320+0.20*'Factor Scores'!E320+0.20*'Factor Scores'!G320+0.20*'Factor Scores'!H320)</f>
        <v/>
      </c>
      <c r="C320" s="12">
        <f>IF(B320="","",RANK(B320,$B$2:$B$2501,0))</f>
        <v/>
      </c>
      <c r="D320">
        <f>IF(C320="","",C320&lt;=25)</f>
        <v/>
      </c>
      <c r="F320">
        <f>IF(A320="","",IF(AND(D320=TRUE,E320=""),"BUY",IF(AND(D320=FALSE,E320&lt;&gt;""),"SELL",IF(AND(D320=TRUE,E320&lt;&gt;""),"HOLD",""))))</f>
        <v/>
      </c>
      <c r="G320" s="12">
        <f>IF(D320=TRUE,4,0)</f>
        <v/>
      </c>
      <c r="H320">
        <f>IF(A320="","",BDP(A320&amp;" US Equity","GICS_SECTOR_NAME"))</f>
        <v/>
      </c>
    </row>
    <row r="321">
      <c r="A321">
        <f>'Factor Scores'!A321</f>
        <v/>
      </c>
      <c r="B321" s="10">
        <f>IF(A321="","",0.40*'Factor Scores'!C321+0.20*'Factor Scores'!E321+0.20*'Factor Scores'!G321+0.20*'Factor Scores'!H321)</f>
        <v/>
      </c>
      <c r="C321" s="12">
        <f>IF(B321="","",RANK(B321,$B$2:$B$2501,0))</f>
        <v/>
      </c>
      <c r="D321">
        <f>IF(C321="","",C321&lt;=25)</f>
        <v/>
      </c>
      <c r="F321">
        <f>IF(A321="","",IF(AND(D321=TRUE,E321=""),"BUY",IF(AND(D321=FALSE,E321&lt;&gt;""),"SELL",IF(AND(D321=TRUE,E321&lt;&gt;""),"HOLD",""))))</f>
        <v/>
      </c>
      <c r="G321" s="12">
        <f>IF(D321=TRUE,4,0)</f>
        <v/>
      </c>
      <c r="H321">
        <f>IF(A321="","",BDP(A321&amp;" US Equity","GICS_SECTOR_NAME"))</f>
        <v/>
      </c>
    </row>
    <row r="322">
      <c r="A322">
        <f>'Factor Scores'!A322</f>
        <v/>
      </c>
      <c r="B322" s="10">
        <f>IF(A322="","",0.40*'Factor Scores'!C322+0.20*'Factor Scores'!E322+0.20*'Factor Scores'!G322+0.20*'Factor Scores'!H322)</f>
        <v/>
      </c>
      <c r="C322" s="12">
        <f>IF(B322="","",RANK(B322,$B$2:$B$2501,0))</f>
        <v/>
      </c>
      <c r="D322">
        <f>IF(C322="","",C322&lt;=25)</f>
        <v/>
      </c>
      <c r="F322">
        <f>IF(A322="","",IF(AND(D322=TRUE,E322=""),"BUY",IF(AND(D322=FALSE,E322&lt;&gt;""),"SELL",IF(AND(D322=TRUE,E322&lt;&gt;""),"HOLD",""))))</f>
        <v/>
      </c>
      <c r="G322" s="12">
        <f>IF(D322=TRUE,4,0)</f>
        <v/>
      </c>
      <c r="H322">
        <f>IF(A322="","",BDP(A322&amp;" US Equity","GICS_SECTOR_NAME"))</f>
        <v/>
      </c>
    </row>
    <row r="323">
      <c r="A323">
        <f>'Factor Scores'!A323</f>
        <v/>
      </c>
      <c r="B323" s="10">
        <f>IF(A323="","",0.40*'Factor Scores'!C323+0.20*'Factor Scores'!E323+0.20*'Factor Scores'!G323+0.20*'Factor Scores'!H323)</f>
        <v/>
      </c>
      <c r="C323" s="12">
        <f>IF(B323="","",RANK(B323,$B$2:$B$2501,0))</f>
        <v/>
      </c>
      <c r="D323">
        <f>IF(C323="","",C323&lt;=25)</f>
        <v/>
      </c>
      <c r="F323">
        <f>IF(A323="","",IF(AND(D323=TRUE,E323=""),"BUY",IF(AND(D323=FALSE,E323&lt;&gt;""),"SELL",IF(AND(D323=TRUE,E323&lt;&gt;""),"HOLD",""))))</f>
        <v/>
      </c>
      <c r="G323" s="12">
        <f>IF(D323=TRUE,4,0)</f>
        <v/>
      </c>
      <c r="H323">
        <f>IF(A323="","",BDP(A323&amp;" US Equity","GICS_SECTOR_NAME"))</f>
        <v/>
      </c>
    </row>
    <row r="324">
      <c r="A324">
        <f>'Factor Scores'!A324</f>
        <v/>
      </c>
      <c r="B324" s="10">
        <f>IF(A324="","",0.40*'Factor Scores'!C324+0.20*'Factor Scores'!E324+0.20*'Factor Scores'!G324+0.20*'Factor Scores'!H324)</f>
        <v/>
      </c>
      <c r="C324" s="12">
        <f>IF(B324="","",RANK(B324,$B$2:$B$2501,0))</f>
        <v/>
      </c>
      <c r="D324">
        <f>IF(C324="","",C324&lt;=25)</f>
        <v/>
      </c>
      <c r="F324">
        <f>IF(A324="","",IF(AND(D324=TRUE,E324=""),"BUY",IF(AND(D324=FALSE,E324&lt;&gt;""),"SELL",IF(AND(D324=TRUE,E324&lt;&gt;""),"HOLD",""))))</f>
        <v/>
      </c>
      <c r="G324" s="12">
        <f>IF(D324=TRUE,4,0)</f>
        <v/>
      </c>
      <c r="H324">
        <f>IF(A324="","",BDP(A324&amp;" US Equity","GICS_SECTOR_NAME"))</f>
        <v/>
      </c>
    </row>
    <row r="325">
      <c r="A325">
        <f>'Factor Scores'!A325</f>
        <v/>
      </c>
      <c r="B325" s="10">
        <f>IF(A325="","",0.40*'Factor Scores'!C325+0.20*'Factor Scores'!E325+0.20*'Factor Scores'!G325+0.20*'Factor Scores'!H325)</f>
        <v/>
      </c>
      <c r="C325" s="12">
        <f>IF(B325="","",RANK(B325,$B$2:$B$2501,0))</f>
        <v/>
      </c>
      <c r="D325">
        <f>IF(C325="","",C325&lt;=25)</f>
        <v/>
      </c>
      <c r="F325">
        <f>IF(A325="","",IF(AND(D325=TRUE,E325=""),"BUY",IF(AND(D325=FALSE,E325&lt;&gt;""),"SELL",IF(AND(D325=TRUE,E325&lt;&gt;""),"HOLD",""))))</f>
        <v/>
      </c>
      <c r="G325" s="12">
        <f>IF(D325=TRUE,4,0)</f>
        <v/>
      </c>
      <c r="H325">
        <f>IF(A325="","",BDP(A325&amp;" US Equity","GICS_SECTOR_NAME"))</f>
        <v/>
      </c>
    </row>
    <row r="326">
      <c r="A326">
        <f>'Factor Scores'!A326</f>
        <v/>
      </c>
      <c r="B326" s="10">
        <f>IF(A326="","",0.40*'Factor Scores'!C326+0.20*'Factor Scores'!E326+0.20*'Factor Scores'!G326+0.20*'Factor Scores'!H326)</f>
        <v/>
      </c>
      <c r="C326" s="12">
        <f>IF(B326="","",RANK(B326,$B$2:$B$2501,0))</f>
        <v/>
      </c>
      <c r="D326">
        <f>IF(C326="","",C326&lt;=25)</f>
        <v/>
      </c>
      <c r="F326">
        <f>IF(A326="","",IF(AND(D326=TRUE,E326=""),"BUY",IF(AND(D326=FALSE,E326&lt;&gt;""),"SELL",IF(AND(D326=TRUE,E326&lt;&gt;""),"HOLD",""))))</f>
        <v/>
      </c>
      <c r="G326" s="12">
        <f>IF(D326=TRUE,4,0)</f>
        <v/>
      </c>
      <c r="H326">
        <f>IF(A326="","",BDP(A326&amp;" US Equity","GICS_SECTOR_NAME"))</f>
        <v/>
      </c>
    </row>
    <row r="327">
      <c r="A327">
        <f>'Factor Scores'!A327</f>
        <v/>
      </c>
      <c r="B327" s="10">
        <f>IF(A327="","",0.40*'Factor Scores'!C327+0.20*'Factor Scores'!E327+0.20*'Factor Scores'!G327+0.20*'Factor Scores'!H327)</f>
        <v/>
      </c>
      <c r="C327" s="12">
        <f>IF(B327="","",RANK(B327,$B$2:$B$2501,0))</f>
        <v/>
      </c>
      <c r="D327">
        <f>IF(C327="","",C327&lt;=25)</f>
        <v/>
      </c>
      <c r="F327">
        <f>IF(A327="","",IF(AND(D327=TRUE,E327=""),"BUY",IF(AND(D327=FALSE,E327&lt;&gt;""),"SELL",IF(AND(D327=TRUE,E327&lt;&gt;""),"HOLD",""))))</f>
        <v/>
      </c>
      <c r="G327" s="12">
        <f>IF(D327=TRUE,4,0)</f>
        <v/>
      </c>
      <c r="H327">
        <f>IF(A327="","",BDP(A327&amp;" US Equity","GICS_SECTOR_NAME"))</f>
        <v/>
      </c>
    </row>
    <row r="328">
      <c r="A328">
        <f>'Factor Scores'!A328</f>
        <v/>
      </c>
      <c r="B328" s="10">
        <f>IF(A328="","",0.40*'Factor Scores'!C328+0.20*'Factor Scores'!E328+0.20*'Factor Scores'!G328+0.20*'Factor Scores'!H328)</f>
        <v/>
      </c>
      <c r="C328" s="12">
        <f>IF(B328="","",RANK(B328,$B$2:$B$2501,0))</f>
        <v/>
      </c>
      <c r="D328">
        <f>IF(C328="","",C328&lt;=25)</f>
        <v/>
      </c>
      <c r="F328">
        <f>IF(A328="","",IF(AND(D328=TRUE,E328=""),"BUY",IF(AND(D328=FALSE,E328&lt;&gt;""),"SELL",IF(AND(D328=TRUE,E328&lt;&gt;""),"HOLD",""))))</f>
        <v/>
      </c>
      <c r="G328" s="12">
        <f>IF(D328=TRUE,4,0)</f>
        <v/>
      </c>
      <c r="H328">
        <f>IF(A328="","",BDP(A328&amp;" US Equity","GICS_SECTOR_NAME"))</f>
        <v/>
      </c>
    </row>
    <row r="329">
      <c r="A329">
        <f>'Factor Scores'!A329</f>
        <v/>
      </c>
      <c r="B329" s="10">
        <f>IF(A329="","",0.40*'Factor Scores'!C329+0.20*'Factor Scores'!E329+0.20*'Factor Scores'!G329+0.20*'Factor Scores'!H329)</f>
        <v/>
      </c>
      <c r="C329" s="12">
        <f>IF(B329="","",RANK(B329,$B$2:$B$2501,0))</f>
        <v/>
      </c>
      <c r="D329">
        <f>IF(C329="","",C329&lt;=25)</f>
        <v/>
      </c>
      <c r="F329">
        <f>IF(A329="","",IF(AND(D329=TRUE,E329=""),"BUY",IF(AND(D329=FALSE,E329&lt;&gt;""),"SELL",IF(AND(D329=TRUE,E329&lt;&gt;""),"HOLD",""))))</f>
        <v/>
      </c>
      <c r="G329" s="12">
        <f>IF(D329=TRUE,4,0)</f>
        <v/>
      </c>
      <c r="H329">
        <f>IF(A329="","",BDP(A329&amp;" US Equity","GICS_SECTOR_NAME"))</f>
        <v/>
      </c>
    </row>
    <row r="330">
      <c r="A330">
        <f>'Factor Scores'!A330</f>
        <v/>
      </c>
      <c r="B330" s="10">
        <f>IF(A330="","",0.40*'Factor Scores'!C330+0.20*'Factor Scores'!E330+0.20*'Factor Scores'!G330+0.20*'Factor Scores'!H330)</f>
        <v/>
      </c>
      <c r="C330" s="12">
        <f>IF(B330="","",RANK(B330,$B$2:$B$2501,0))</f>
        <v/>
      </c>
      <c r="D330">
        <f>IF(C330="","",C330&lt;=25)</f>
        <v/>
      </c>
      <c r="F330">
        <f>IF(A330="","",IF(AND(D330=TRUE,E330=""),"BUY",IF(AND(D330=FALSE,E330&lt;&gt;""),"SELL",IF(AND(D330=TRUE,E330&lt;&gt;""),"HOLD",""))))</f>
        <v/>
      </c>
      <c r="G330" s="12">
        <f>IF(D330=TRUE,4,0)</f>
        <v/>
      </c>
      <c r="H330">
        <f>IF(A330="","",BDP(A330&amp;" US Equity","GICS_SECTOR_NAME"))</f>
        <v/>
      </c>
    </row>
    <row r="331">
      <c r="A331">
        <f>'Factor Scores'!A331</f>
        <v/>
      </c>
      <c r="B331" s="10">
        <f>IF(A331="","",0.40*'Factor Scores'!C331+0.20*'Factor Scores'!E331+0.20*'Factor Scores'!G331+0.20*'Factor Scores'!H331)</f>
        <v/>
      </c>
      <c r="C331" s="12">
        <f>IF(B331="","",RANK(B331,$B$2:$B$2501,0))</f>
        <v/>
      </c>
      <c r="D331">
        <f>IF(C331="","",C331&lt;=25)</f>
        <v/>
      </c>
      <c r="F331">
        <f>IF(A331="","",IF(AND(D331=TRUE,E331=""),"BUY",IF(AND(D331=FALSE,E331&lt;&gt;""),"SELL",IF(AND(D331=TRUE,E331&lt;&gt;""),"HOLD",""))))</f>
        <v/>
      </c>
      <c r="G331" s="12">
        <f>IF(D331=TRUE,4,0)</f>
        <v/>
      </c>
      <c r="H331">
        <f>IF(A331="","",BDP(A331&amp;" US Equity","GICS_SECTOR_NAME"))</f>
        <v/>
      </c>
    </row>
    <row r="332">
      <c r="A332">
        <f>'Factor Scores'!A332</f>
        <v/>
      </c>
      <c r="B332" s="10">
        <f>IF(A332="","",0.40*'Factor Scores'!C332+0.20*'Factor Scores'!E332+0.20*'Factor Scores'!G332+0.20*'Factor Scores'!H332)</f>
        <v/>
      </c>
      <c r="C332" s="12">
        <f>IF(B332="","",RANK(B332,$B$2:$B$2501,0))</f>
        <v/>
      </c>
      <c r="D332">
        <f>IF(C332="","",C332&lt;=25)</f>
        <v/>
      </c>
      <c r="F332">
        <f>IF(A332="","",IF(AND(D332=TRUE,E332=""),"BUY",IF(AND(D332=FALSE,E332&lt;&gt;""),"SELL",IF(AND(D332=TRUE,E332&lt;&gt;""),"HOLD",""))))</f>
        <v/>
      </c>
      <c r="G332" s="12">
        <f>IF(D332=TRUE,4,0)</f>
        <v/>
      </c>
      <c r="H332">
        <f>IF(A332="","",BDP(A332&amp;" US Equity","GICS_SECTOR_NAME"))</f>
        <v/>
      </c>
    </row>
    <row r="333">
      <c r="A333">
        <f>'Factor Scores'!A333</f>
        <v/>
      </c>
      <c r="B333" s="10">
        <f>IF(A333="","",0.40*'Factor Scores'!C333+0.20*'Factor Scores'!E333+0.20*'Factor Scores'!G333+0.20*'Factor Scores'!H333)</f>
        <v/>
      </c>
      <c r="C333" s="12">
        <f>IF(B333="","",RANK(B333,$B$2:$B$2501,0))</f>
        <v/>
      </c>
      <c r="D333">
        <f>IF(C333="","",C333&lt;=25)</f>
        <v/>
      </c>
      <c r="F333">
        <f>IF(A333="","",IF(AND(D333=TRUE,E333=""),"BUY",IF(AND(D333=FALSE,E333&lt;&gt;""),"SELL",IF(AND(D333=TRUE,E333&lt;&gt;""),"HOLD",""))))</f>
        <v/>
      </c>
      <c r="G333" s="12">
        <f>IF(D333=TRUE,4,0)</f>
        <v/>
      </c>
      <c r="H333">
        <f>IF(A333="","",BDP(A333&amp;" US Equity","GICS_SECTOR_NAME"))</f>
        <v/>
      </c>
    </row>
    <row r="334">
      <c r="A334">
        <f>'Factor Scores'!A334</f>
        <v/>
      </c>
      <c r="B334" s="10">
        <f>IF(A334="","",0.40*'Factor Scores'!C334+0.20*'Factor Scores'!E334+0.20*'Factor Scores'!G334+0.20*'Factor Scores'!H334)</f>
        <v/>
      </c>
      <c r="C334" s="12">
        <f>IF(B334="","",RANK(B334,$B$2:$B$2501,0))</f>
        <v/>
      </c>
      <c r="D334">
        <f>IF(C334="","",C334&lt;=25)</f>
        <v/>
      </c>
      <c r="F334">
        <f>IF(A334="","",IF(AND(D334=TRUE,E334=""),"BUY",IF(AND(D334=FALSE,E334&lt;&gt;""),"SELL",IF(AND(D334=TRUE,E334&lt;&gt;""),"HOLD",""))))</f>
        <v/>
      </c>
      <c r="G334" s="12">
        <f>IF(D334=TRUE,4,0)</f>
        <v/>
      </c>
      <c r="H334">
        <f>IF(A334="","",BDP(A334&amp;" US Equity","GICS_SECTOR_NAME"))</f>
        <v/>
      </c>
    </row>
    <row r="335">
      <c r="A335">
        <f>'Factor Scores'!A335</f>
        <v/>
      </c>
      <c r="B335" s="10">
        <f>IF(A335="","",0.40*'Factor Scores'!C335+0.20*'Factor Scores'!E335+0.20*'Factor Scores'!G335+0.20*'Factor Scores'!H335)</f>
        <v/>
      </c>
      <c r="C335" s="12">
        <f>IF(B335="","",RANK(B335,$B$2:$B$2501,0))</f>
        <v/>
      </c>
      <c r="D335">
        <f>IF(C335="","",C335&lt;=25)</f>
        <v/>
      </c>
      <c r="F335">
        <f>IF(A335="","",IF(AND(D335=TRUE,E335=""),"BUY",IF(AND(D335=FALSE,E335&lt;&gt;""),"SELL",IF(AND(D335=TRUE,E335&lt;&gt;""),"HOLD",""))))</f>
        <v/>
      </c>
      <c r="G335" s="12">
        <f>IF(D335=TRUE,4,0)</f>
        <v/>
      </c>
      <c r="H335">
        <f>IF(A335="","",BDP(A335&amp;" US Equity","GICS_SECTOR_NAME"))</f>
        <v/>
      </c>
    </row>
    <row r="336">
      <c r="A336">
        <f>'Factor Scores'!A336</f>
        <v/>
      </c>
      <c r="B336" s="10">
        <f>IF(A336="","",0.40*'Factor Scores'!C336+0.20*'Factor Scores'!E336+0.20*'Factor Scores'!G336+0.20*'Factor Scores'!H336)</f>
        <v/>
      </c>
      <c r="C336" s="12">
        <f>IF(B336="","",RANK(B336,$B$2:$B$2501,0))</f>
        <v/>
      </c>
      <c r="D336">
        <f>IF(C336="","",C336&lt;=25)</f>
        <v/>
      </c>
      <c r="F336">
        <f>IF(A336="","",IF(AND(D336=TRUE,E336=""),"BUY",IF(AND(D336=FALSE,E336&lt;&gt;""),"SELL",IF(AND(D336=TRUE,E336&lt;&gt;""),"HOLD",""))))</f>
        <v/>
      </c>
      <c r="G336" s="12">
        <f>IF(D336=TRUE,4,0)</f>
        <v/>
      </c>
      <c r="H336">
        <f>IF(A336="","",BDP(A336&amp;" US Equity","GICS_SECTOR_NAME"))</f>
        <v/>
      </c>
    </row>
    <row r="337">
      <c r="A337">
        <f>'Factor Scores'!A337</f>
        <v/>
      </c>
      <c r="B337" s="10">
        <f>IF(A337="","",0.40*'Factor Scores'!C337+0.20*'Factor Scores'!E337+0.20*'Factor Scores'!G337+0.20*'Factor Scores'!H337)</f>
        <v/>
      </c>
      <c r="C337" s="12">
        <f>IF(B337="","",RANK(B337,$B$2:$B$2501,0))</f>
        <v/>
      </c>
      <c r="D337">
        <f>IF(C337="","",C337&lt;=25)</f>
        <v/>
      </c>
      <c r="F337">
        <f>IF(A337="","",IF(AND(D337=TRUE,E337=""),"BUY",IF(AND(D337=FALSE,E337&lt;&gt;""),"SELL",IF(AND(D337=TRUE,E337&lt;&gt;""),"HOLD",""))))</f>
        <v/>
      </c>
      <c r="G337" s="12">
        <f>IF(D337=TRUE,4,0)</f>
        <v/>
      </c>
      <c r="H337">
        <f>IF(A337="","",BDP(A337&amp;" US Equity","GICS_SECTOR_NAME"))</f>
        <v/>
      </c>
    </row>
    <row r="338">
      <c r="A338">
        <f>'Factor Scores'!A338</f>
        <v/>
      </c>
      <c r="B338" s="10">
        <f>IF(A338="","",0.40*'Factor Scores'!C338+0.20*'Factor Scores'!E338+0.20*'Factor Scores'!G338+0.20*'Factor Scores'!H338)</f>
        <v/>
      </c>
      <c r="C338" s="12">
        <f>IF(B338="","",RANK(B338,$B$2:$B$2501,0))</f>
        <v/>
      </c>
      <c r="D338">
        <f>IF(C338="","",C338&lt;=25)</f>
        <v/>
      </c>
      <c r="F338">
        <f>IF(A338="","",IF(AND(D338=TRUE,E338=""),"BUY",IF(AND(D338=FALSE,E338&lt;&gt;""),"SELL",IF(AND(D338=TRUE,E338&lt;&gt;""),"HOLD",""))))</f>
        <v/>
      </c>
      <c r="G338" s="12">
        <f>IF(D338=TRUE,4,0)</f>
        <v/>
      </c>
      <c r="H338">
        <f>IF(A338="","",BDP(A338&amp;" US Equity","GICS_SECTOR_NAME"))</f>
        <v/>
      </c>
    </row>
    <row r="339">
      <c r="A339">
        <f>'Factor Scores'!A339</f>
        <v/>
      </c>
      <c r="B339" s="10">
        <f>IF(A339="","",0.40*'Factor Scores'!C339+0.20*'Factor Scores'!E339+0.20*'Factor Scores'!G339+0.20*'Factor Scores'!H339)</f>
        <v/>
      </c>
      <c r="C339" s="12">
        <f>IF(B339="","",RANK(B339,$B$2:$B$2501,0))</f>
        <v/>
      </c>
      <c r="D339">
        <f>IF(C339="","",C339&lt;=25)</f>
        <v/>
      </c>
      <c r="F339">
        <f>IF(A339="","",IF(AND(D339=TRUE,E339=""),"BUY",IF(AND(D339=FALSE,E339&lt;&gt;""),"SELL",IF(AND(D339=TRUE,E339&lt;&gt;""),"HOLD",""))))</f>
        <v/>
      </c>
      <c r="G339" s="12">
        <f>IF(D339=TRUE,4,0)</f>
        <v/>
      </c>
      <c r="H339">
        <f>IF(A339="","",BDP(A339&amp;" US Equity","GICS_SECTOR_NAME"))</f>
        <v/>
      </c>
    </row>
    <row r="340">
      <c r="A340">
        <f>'Factor Scores'!A340</f>
        <v/>
      </c>
      <c r="B340" s="10">
        <f>IF(A340="","",0.40*'Factor Scores'!C340+0.20*'Factor Scores'!E340+0.20*'Factor Scores'!G340+0.20*'Factor Scores'!H340)</f>
        <v/>
      </c>
      <c r="C340" s="12">
        <f>IF(B340="","",RANK(B340,$B$2:$B$2501,0))</f>
        <v/>
      </c>
      <c r="D340">
        <f>IF(C340="","",C340&lt;=25)</f>
        <v/>
      </c>
      <c r="F340">
        <f>IF(A340="","",IF(AND(D340=TRUE,E340=""),"BUY",IF(AND(D340=FALSE,E340&lt;&gt;""),"SELL",IF(AND(D340=TRUE,E340&lt;&gt;""),"HOLD",""))))</f>
        <v/>
      </c>
      <c r="G340" s="12">
        <f>IF(D340=TRUE,4,0)</f>
        <v/>
      </c>
      <c r="H340">
        <f>IF(A340="","",BDP(A340&amp;" US Equity","GICS_SECTOR_NAME"))</f>
        <v/>
      </c>
    </row>
    <row r="341">
      <c r="A341">
        <f>'Factor Scores'!A341</f>
        <v/>
      </c>
      <c r="B341" s="10">
        <f>IF(A341="","",0.40*'Factor Scores'!C341+0.20*'Factor Scores'!E341+0.20*'Factor Scores'!G341+0.20*'Factor Scores'!H341)</f>
        <v/>
      </c>
      <c r="C341" s="12">
        <f>IF(B341="","",RANK(B341,$B$2:$B$2501,0))</f>
        <v/>
      </c>
      <c r="D341">
        <f>IF(C341="","",C341&lt;=25)</f>
        <v/>
      </c>
      <c r="F341">
        <f>IF(A341="","",IF(AND(D341=TRUE,E341=""),"BUY",IF(AND(D341=FALSE,E341&lt;&gt;""),"SELL",IF(AND(D341=TRUE,E341&lt;&gt;""),"HOLD",""))))</f>
        <v/>
      </c>
      <c r="G341" s="12">
        <f>IF(D341=TRUE,4,0)</f>
        <v/>
      </c>
      <c r="H341">
        <f>IF(A341="","",BDP(A341&amp;" US Equity","GICS_SECTOR_NAME"))</f>
        <v/>
      </c>
    </row>
    <row r="342">
      <c r="A342">
        <f>'Factor Scores'!A342</f>
        <v/>
      </c>
      <c r="B342" s="10">
        <f>IF(A342="","",0.40*'Factor Scores'!C342+0.20*'Factor Scores'!E342+0.20*'Factor Scores'!G342+0.20*'Factor Scores'!H342)</f>
        <v/>
      </c>
      <c r="C342" s="12">
        <f>IF(B342="","",RANK(B342,$B$2:$B$2501,0))</f>
        <v/>
      </c>
      <c r="D342">
        <f>IF(C342="","",C342&lt;=25)</f>
        <v/>
      </c>
      <c r="F342">
        <f>IF(A342="","",IF(AND(D342=TRUE,E342=""),"BUY",IF(AND(D342=FALSE,E342&lt;&gt;""),"SELL",IF(AND(D342=TRUE,E342&lt;&gt;""),"HOLD",""))))</f>
        <v/>
      </c>
      <c r="G342" s="12">
        <f>IF(D342=TRUE,4,0)</f>
        <v/>
      </c>
      <c r="H342">
        <f>IF(A342="","",BDP(A342&amp;" US Equity","GICS_SECTOR_NAME"))</f>
        <v/>
      </c>
    </row>
    <row r="343">
      <c r="A343">
        <f>'Factor Scores'!A343</f>
        <v/>
      </c>
      <c r="B343" s="10">
        <f>IF(A343="","",0.40*'Factor Scores'!C343+0.20*'Factor Scores'!E343+0.20*'Factor Scores'!G343+0.20*'Factor Scores'!H343)</f>
        <v/>
      </c>
      <c r="C343" s="12">
        <f>IF(B343="","",RANK(B343,$B$2:$B$2501,0))</f>
        <v/>
      </c>
      <c r="D343">
        <f>IF(C343="","",C343&lt;=25)</f>
        <v/>
      </c>
      <c r="F343">
        <f>IF(A343="","",IF(AND(D343=TRUE,E343=""),"BUY",IF(AND(D343=FALSE,E343&lt;&gt;""),"SELL",IF(AND(D343=TRUE,E343&lt;&gt;""),"HOLD",""))))</f>
        <v/>
      </c>
      <c r="G343" s="12">
        <f>IF(D343=TRUE,4,0)</f>
        <v/>
      </c>
      <c r="H343">
        <f>IF(A343="","",BDP(A343&amp;" US Equity","GICS_SECTOR_NAME"))</f>
        <v/>
      </c>
    </row>
    <row r="344">
      <c r="A344">
        <f>'Factor Scores'!A344</f>
        <v/>
      </c>
      <c r="B344" s="10">
        <f>IF(A344="","",0.40*'Factor Scores'!C344+0.20*'Factor Scores'!E344+0.20*'Factor Scores'!G344+0.20*'Factor Scores'!H344)</f>
        <v/>
      </c>
      <c r="C344" s="12">
        <f>IF(B344="","",RANK(B344,$B$2:$B$2501,0))</f>
        <v/>
      </c>
      <c r="D344">
        <f>IF(C344="","",C344&lt;=25)</f>
        <v/>
      </c>
      <c r="F344">
        <f>IF(A344="","",IF(AND(D344=TRUE,E344=""),"BUY",IF(AND(D344=FALSE,E344&lt;&gt;""),"SELL",IF(AND(D344=TRUE,E344&lt;&gt;""),"HOLD",""))))</f>
        <v/>
      </c>
      <c r="G344" s="12">
        <f>IF(D344=TRUE,4,0)</f>
        <v/>
      </c>
      <c r="H344">
        <f>IF(A344="","",BDP(A344&amp;" US Equity","GICS_SECTOR_NAME"))</f>
        <v/>
      </c>
    </row>
    <row r="345">
      <c r="A345">
        <f>'Factor Scores'!A345</f>
        <v/>
      </c>
      <c r="B345" s="10">
        <f>IF(A345="","",0.40*'Factor Scores'!C345+0.20*'Factor Scores'!E345+0.20*'Factor Scores'!G345+0.20*'Factor Scores'!H345)</f>
        <v/>
      </c>
      <c r="C345" s="12">
        <f>IF(B345="","",RANK(B345,$B$2:$B$2501,0))</f>
        <v/>
      </c>
      <c r="D345">
        <f>IF(C345="","",C345&lt;=25)</f>
        <v/>
      </c>
      <c r="F345">
        <f>IF(A345="","",IF(AND(D345=TRUE,E345=""),"BUY",IF(AND(D345=FALSE,E345&lt;&gt;""),"SELL",IF(AND(D345=TRUE,E345&lt;&gt;""),"HOLD",""))))</f>
        <v/>
      </c>
      <c r="G345" s="12">
        <f>IF(D345=TRUE,4,0)</f>
        <v/>
      </c>
      <c r="H345">
        <f>IF(A345="","",BDP(A345&amp;" US Equity","GICS_SECTOR_NAME"))</f>
        <v/>
      </c>
    </row>
    <row r="346">
      <c r="A346">
        <f>'Factor Scores'!A346</f>
        <v/>
      </c>
      <c r="B346" s="10">
        <f>IF(A346="","",0.40*'Factor Scores'!C346+0.20*'Factor Scores'!E346+0.20*'Factor Scores'!G346+0.20*'Factor Scores'!H346)</f>
        <v/>
      </c>
      <c r="C346" s="12">
        <f>IF(B346="","",RANK(B346,$B$2:$B$2501,0))</f>
        <v/>
      </c>
      <c r="D346">
        <f>IF(C346="","",C346&lt;=25)</f>
        <v/>
      </c>
      <c r="F346">
        <f>IF(A346="","",IF(AND(D346=TRUE,E346=""),"BUY",IF(AND(D346=FALSE,E346&lt;&gt;""),"SELL",IF(AND(D346=TRUE,E346&lt;&gt;""),"HOLD",""))))</f>
        <v/>
      </c>
      <c r="G346" s="12">
        <f>IF(D346=TRUE,4,0)</f>
        <v/>
      </c>
      <c r="H346">
        <f>IF(A346="","",BDP(A346&amp;" US Equity","GICS_SECTOR_NAME"))</f>
        <v/>
      </c>
    </row>
    <row r="347">
      <c r="A347">
        <f>'Factor Scores'!A347</f>
        <v/>
      </c>
      <c r="B347" s="10">
        <f>IF(A347="","",0.40*'Factor Scores'!C347+0.20*'Factor Scores'!E347+0.20*'Factor Scores'!G347+0.20*'Factor Scores'!H347)</f>
        <v/>
      </c>
      <c r="C347" s="12">
        <f>IF(B347="","",RANK(B347,$B$2:$B$2501,0))</f>
        <v/>
      </c>
      <c r="D347">
        <f>IF(C347="","",C347&lt;=25)</f>
        <v/>
      </c>
      <c r="F347">
        <f>IF(A347="","",IF(AND(D347=TRUE,E347=""),"BUY",IF(AND(D347=FALSE,E347&lt;&gt;""),"SELL",IF(AND(D347=TRUE,E347&lt;&gt;""),"HOLD",""))))</f>
        <v/>
      </c>
      <c r="G347" s="12">
        <f>IF(D347=TRUE,4,0)</f>
        <v/>
      </c>
      <c r="H347">
        <f>IF(A347="","",BDP(A347&amp;" US Equity","GICS_SECTOR_NAME"))</f>
        <v/>
      </c>
    </row>
    <row r="348">
      <c r="A348">
        <f>'Factor Scores'!A348</f>
        <v/>
      </c>
      <c r="B348" s="10">
        <f>IF(A348="","",0.40*'Factor Scores'!C348+0.20*'Factor Scores'!E348+0.20*'Factor Scores'!G348+0.20*'Factor Scores'!H348)</f>
        <v/>
      </c>
      <c r="C348" s="12">
        <f>IF(B348="","",RANK(B348,$B$2:$B$2501,0))</f>
        <v/>
      </c>
      <c r="D348">
        <f>IF(C348="","",C348&lt;=25)</f>
        <v/>
      </c>
      <c r="F348">
        <f>IF(A348="","",IF(AND(D348=TRUE,E348=""),"BUY",IF(AND(D348=FALSE,E348&lt;&gt;""),"SELL",IF(AND(D348=TRUE,E348&lt;&gt;""),"HOLD",""))))</f>
        <v/>
      </c>
      <c r="G348" s="12">
        <f>IF(D348=TRUE,4,0)</f>
        <v/>
      </c>
      <c r="H348">
        <f>IF(A348="","",BDP(A348&amp;" US Equity","GICS_SECTOR_NAME"))</f>
        <v/>
      </c>
    </row>
    <row r="349">
      <c r="A349">
        <f>'Factor Scores'!A349</f>
        <v/>
      </c>
      <c r="B349" s="10">
        <f>IF(A349="","",0.40*'Factor Scores'!C349+0.20*'Factor Scores'!E349+0.20*'Factor Scores'!G349+0.20*'Factor Scores'!H349)</f>
        <v/>
      </c>
      <c r="C349" s="12">
        <f>IF(B349="","",RANK(B349,$B$2:$B$2501,0))</f>
        <v/>
      </c>
      <c r="D349">
        <f>IF(C349="","",C349&lt;=25)</f>
        <v/>
      </c>
      <c r="F349">
        <f>IF(A349="","",IF(AND(D349=TRUE,E349=""),"BUY",IF(AND(D349=FALSE,E349&lt;&gt;""),"SELL",IF(AND(D349=TRUE,E349&lt;&gt;""),"HOLD",""))))</f>
        <v/>
      </c>
      <c r="G349" s="12">
        <f>IF(D349=TRUE,4,0)</f>
        <v/>
      </c>
      <c r="H349">
        <f>IF(A349="","",BDP(A349&amp;" US Equity","GICS_SECTOR_NAME"))</f>
        <v/>
      </c>
    </row>
    <row r="350">
      <c r="A350">
        <f>'Factor Scores'!A350</f>
        <v/>
      </c>
      <c r="B350" s="10">
        <f>IF(A350="","",0.40*'Factor Scores'!C350+0.20*'Factor Scores'!E350+0.20*'Factor Scores'!G350+0.20*'Factor Scores'!H350)</f>
        <v/>
      </c>
      <c r="C350" s="12">
        <f>IF(B350="","",RANK(B350,$B$2:$B$2501,0))</f>
        <v/>
      </c>
      <c r="D350">
        <f>IF(C350="","",C350&lt;=25)</f>
        <v/>
      </c>
      <c r="F350">
        <f>IF(A350="","",IF(AND(D350=TRUE,E350=""),"BUY",IF(AND(D350=FALSE,E350&lt;&gt;""),"SELL",IF(AND(D350=TRUE,E350&lt;&gt;""),"HOLD",""))))</f>
        <v/>
      </c>
      <c r="G350" s="12">
        <f>IF(D350=TRUE,4,0)</f>
        <v/>
      </c>
      <c r="H350">
        <f>IF(A350="","",BDP(A350&amp;" US Equity","GICS_SECTOR_NAME"))</f>
        <v/>
      </c>
    </row>
    <row r="351">
      <c r="A351">
        <f>'Factor Scores'!A351</f>
        <v/>
      </c>
      <c r="B351" s="10">
        <f>IF(A351="","",0.40*'Factor Scores'!C351+0.20*'Factor Scores'!E351+0.20*'Factor Scores'!G351+0.20*'Factor Scores'!H351)</f>
        <v/>
      </c>
      <c r="C351" s="12">
        <f>IF(B351="","",RANK(B351,$B$2:$B$2501,0))</f>
        <v/>
      </c>
      <c r="D351">
        <f>IF(C351="","",C351&lt;=25)</f>
        <v/>
      </c>
      <c r="F351">
        <f>IF(A351="","",IF(AND(D351=TRUE,E351=""),"BUY",IF(AND(D351=FALSE,E351&lt;&gt;""),"SELL",IF(AND(D351=TRUE,E351&lt;&gt;""),"HOLD",""))))</f>
        <v/>
      </c>
      <c r="G351" s="12">
        <f>IF(D351=TRUE,4,0)</f>
        <v/>
      </c>
      <c r="H351">
        <f>IF(A351="","",BDP(A351&amp;" US Equity","GICS_SECTOR_NAME"))</f>
        <v/>
      </c>
    </row>
    <row r="352">
      <c r="A352">
        <f>'Factor Scores'!A352</f>
        <v/>
      </c>
      <c r="B352" s="10">
        <f>IF(A352="","",0.40*'Factor Scores'!C352+0.20*'Factor Scores'!E352+0.20*'Factor Scores'!G352+0.20*'Factor Scores'!H352)</f>
        <v/>
      </c>
      <c r="C352" s="12">
        <f>IF(B352="","",RANK(B352,$B$2:$B$2501,0))</f>
        <v/>
      </c>
      <c r="D352">
        <f>IF(C352="","",C352&lt;=25)</f>
        <v/>
      </c>
      <c r="F352">
        <f>IF(A352="","",IF(AND(D352=TRUE,E352=""),"BUY",IF(AND(D352=FALSE,E352&lt;&gt;""),"SELL",IF(AND(D352=TRUE,E352&lt;&gt;""),"HOLD",""))))</f>
        <v/>
      </c>
      <c r="G352" s="12">
        <f>IF(D352=TRUE,4,0)</f>
        <v/>
      </c>
      <c r="H352">
        <f>IF(A352="","",BDP(A352&amp;" US Equity","GICS_SECTOR_NAME"))</f>
        <v/>
      </c>
    </row>
    <row r="353">
      <c r="A353">
        <f>'Factor Scores'!A353</f>
        <v/>
      </c>
      <c r="B353" s="10">
        <f>IF(A353="","",0.40*'Factor Scores'!C353+0.20*'Factor Scores'!E353+0.20*'Factor Scores'!G353+0.20*'Factor Scores'!H353)</f>
        <v/>
      </c>
      <c r="C353" s="12">
        <f>IF(B353="","",RANK(B353,$B$2:$B$2501,0))</f>
        <v/>
      </c>
      <c r="D353">
        <f>IF(C353="","",C353&lt;=25)</f>
        <v/>
      </c>
      <c r="F353">
        <f>IF(A353="","",IF(AND(D353=TRUE,E353=""),"BUY",IF(AND(D353=FALSE,E353&lt;&gt;""),"SELL",IF(AND(D353=TRUE,E353&lt;&gt;""),"HOLD",""))))</f>
        <v/>
      </c>
      <c r="G353" s="12">
        <f>IF(D353=TRUE,4,0)</f>
        <v/>
      </c>
      <c r="H353">
        <f>IF(A353="","",BDP(A353&amp;" US Equity","GICS_SECTOR_NAME"))</f>
        <v/>
      </c>
    </row>
    <row r="354">
      <c r="A354">
        <f>'Factor Scores'!A354</f>
        <v/>
      </c>
      <c r="B354" s="10">
        <f>IF(A354="","",0.40*'Factor Scores'!C354+0.20*'Factor Scores'!E354+0.20*'Factor Scores'!G354+0.20*'Factor Scores'!H354)</f>
        <v/>
      </c>
      <c r="C354" s="12">
        <f>IF(B354="","",RANK(B354,$B$2:$B$2501,0))</f>
        <v/>
      </c>
      <c r="D354">
        <f>IF(C354="","",C354&lt;=25)</f>
        <v/>
      </c>
      <c r="F354">
        <f>IF(A354="","",IF(AND(D354=TRUE,E354=""),"BUY",IF(AND(D354=FALSE,E354&lt;&gt;""),"SELL",IF(AND(D354=TRUE,E354&lt;&gt;""),"HOLD",""))))</f>
        <v/>
      </c>
      <c r="G354" s="12">
        <f>IF(D354=TRUE,4,0)</f>
        <v/>
      </c>
      <c r="H354">
        <f>IF(A354="","",BDP(A354&amp;" US Equity","GICS_SECTOR_NAME"))</f>
        <v/>
      </c>
    </row>
    <row r="355">
      <c r="A355">
        <f>'Factor Scores'!A355</f>
        <v/>
      </c>
      <c r="B355" s="10">
        <f>IF(A355="","",0.40*'Factor Scores'!C355+0.20*'Factor Scores'!E355+0.20*'Factor Scores'!G355+0.20*'Factor Scores'!H355)</f>
        <v/>
      </c>
      <c r="C355" s="12">
        <f>IF(B355="","",RANK(B355,$B$2:$B$2501,0))</f>
        <v/>
      </c>
      <c r="D355">
        <f>IF(C355="","",C355&lt;=25)</f>
        <v/>
      </c>
      <c r="F355">
        <f>IF(A355="","",IF(AND(D355=TRUE,E355=""),"BUY",IF(AND(D355=FALSE,E355&lt;&gt;""),"SELL",IF(AND(D355=TRUE,E355&lt;&gt;""),"HOLD",""))))</f>
        <v/>
      </c>
      <c r="G355" s="12">
        <f>IF(D355=TRUE,4,0)</f>
        <v/>
      </c>
      <c r="H355">
        <f>IF(A355="","",BDP(A355&amp;" US Equity","GICS_SECTOR_NAME"))</f>
        <v/>
      </c>
    </row>
    <row r="356">
      <c r="A356">
        <f>'Factor Scores'!A356</f>
        <v/>
      </c>
      <c r="B356" s="10">
        <f>IF(A356="","",0.40*'Factor Scores'!C356+0.20*'Factor Scores'!E356+0.20*'Factor Scores'!G356+0.20*'Factor Scores'!H356)</f>
        <v/>
      </c>
      <c r="C356" s="12">
        <f>IF(B356="","",RANK(B356,$B$2:$B$2501,0))</f>
        <v/>
      </c>
      <c r="D356">
        <f>IF(C356="","",C356&lt;=25)</f>
        <v/>
      </c>
      <c r="F356">
        <f>IF(A356="","",IF(AND(D356=TRUE,E356=""),"BUY",IF(AND(D356=FALSE,E356&lt;&gt;""),"SELL",IF(AND(D356=TRUE,E356&lt;&gt;""),"HOLD",""))))</f>
        <v/>
      </c>
      <c r="G356" s="12">
        <f>IF(D356=TRUE,4,0)</f>
        <v/>
      </c>
      <c r="H356">
        <f>IF(A356="","",BDP(A356&amp;" US Equity","GICS_SECTOR_NAME"))</f>
        <v/>
      </c>
    </row>
    <row r="357">
      <c r="A357">
        <f>'Factor Scores'!A357</f>
        <v/>
      </c>
      <c r="B357" s="10">
        <f>IF(A357="","",0.40*'Factor Scores'!C357+0.20*'Factor Scores'!E357+0.20*'Factor Scores'!G357+0.20*'Factor Scores'!H357)</f>
        <v/>
      </c>
      <c r="C357" s="12">
        <f>IF(B357="","",RANK(B357,$B$2:$B$2501,0))</f>
        <v/>
      </c>
      <c r="D357">
        <f>IF(C357="","",C357&lt;=25)</f>
        <v/>
      </c>
      <c r="F357">
        <f>IF(A357="","",IF(AND(D357=TRUE,E357=""),"BUY",IF(AND(D357=FALSE,E357&lt;&gt;""),"SELL",IF(AND(D357=TRUE,E357&lt;&gt;""),"HOLD",""))))</f>
        <v/>
      </c>
      <c r="G357" s="12">
        <f>IF(D357=TRUE,4,0)</f>
        <v/>
      </c>
      <c r="H357">
        <f>IF(A357="","",BDP(A357&amp;" US Equity","GICS_SECTOR_NAME"))</f>
        <v/>
      </c>
    </row>
    <row r="358">
      <c r="A358">
        <f>'Factor Scores'!A358</f>
        <v/>
      </c>
      <c r="B358" s="10">
        <f>IF(A358="","",0.40*'Factor Scores'!C358+0.20*'Factor Scores'!E358+0.20*'Factor Scores'!G358+0.20*'Factor Scores'!H358)</f>
        <v/>
      </c>
      <c r="C358" s="12">
        <f>IF(B358="","",RANK(B358,$B$2:$B$2501,0))</f>
        <v/>
      </c>
      <c r="D358">
        <f>IF(C358="","",C358&lt;=25)</f>
        <v/>
      </c>
      <c r="F358">
        <f>IF(A358="","",IF(AND(D358=TRUE,E358=""),"BUY",IF(AND(D358=FALSE,E358&lt;&gt;""),"SELL",IF(AND(D358=TRUE,E358&lt;&gt;""),"HOLD",""))))</f>
        <v/>
      </c>
      <c r="G358" s="12">
        <f>IF(D358=TRUE,4,0)</f>
        <v/>
      </c>
      <c r="H358">
        <f>IF(A358="","",BDP(A358&amp;" US Equity","GICS_SECTOR_NAME"))</f>
        <v/>
      </c>
    </row>
    <row r="359">
      <c r="A359">
        <f>'Factor Scores'!A359</f>
        <v/>
      </c>
      <c r="B359" s="10">
        <f>IF(A359="","",0.40*'Factor Scores'!C359+0.20*'Factor Scores'!E359+0.20*'Factor Scores'!G359+0.20*'Factor Scores'!H359)</f>
        <v/>
      </c>
      <c r="C359" s="12">
        <f>IF(B359="","",RANK(B359,$B$2:$B$2501,0))</f>
        <v/>
      </c>
      <c r="D359">
        <f>IF(C359="","",C359&lt;=25)</f>
        <v/>
      </c>
      <c r="F359">
        <f>IF(A359="","",IF(AND(D359=TRUE,E359=""),"BUY",IF(AND(D359=FALSE,E359&lt;&gt;""),"SELL",IF(AND(D359=TRUE,E359&lt;&gt;""),"HOLD",""))))</f>
        <v/>
      </c>
      <c r="G359" s="12">
        <f>IF(D359=TRUE,4,0)</f>
        <v/>
      </c>
      <c r="H359">
        <f>IF(A359="","",BDP(A359&amp;" US Equity","GICS_SECTOR_NAME"))</f>
        <v/>
      </c>
    </row>
    <row r="360">
      <c r="A360">
        <f>'Factor Scores'!A360</f>
        <v/>
      </c>
      <c r="B360" s="10">
        <f>IF(A360="","",0.40*'Factor Scores'!C360+0.20*'Factor Scores'!E360+0.20*'Factor Scores'!G360+0.20*'Factor Scores'!H360)</f>
        <v/>
      </c>
      <c r="C360" s="12">
        <f>IF(B360="","",RANK(B360,$B$2:$B$2501,0))</f>
        <v/>
      </c>
      <c r="D360">
        <f>IF(C360="","",C360&lt;=25)</f>
        <v/>
      </c>
      <c r="F360">
        <f>IF(A360="","",IF(AND(D360=TRUE,E360=""),"BUY",IF(AND(D360=FALSE,E360&lt;&gt;""),"SELL",IF(AND(D360=TRUE,E360&lt;&gt;""),"HOLD",""))))</f>
        <v/>
      </c>
      <c r="G360" s="12">
        <f>IF(D360=TRUE,4,0)</f>
        <v/>
      </c>
      <c r="H360">
        <f>IF(A360="","",BDP(A360&amp;" US Equity","GICS_SECTOR_NAME"))</f>
        <v/>
      </c>
    </row>
    <row r="361">
      <c r="A361">
        <f>'Factor Scores'!A361</f>
        <v/>
      </c>
      <c r="B361" s="10">
        <f>IF(A361="","",0.40*'Factor Scores'!C361+0.20*'Factor Scores'!E361+0.20*'Factor Scores'!G361+0.20*'Factor Scores'!H361)</f>
        <v/>
      </c>
      <c r="C361" s="12">
        <f>IF(B361="","",RANK(B361,$B$2:$B$2501,0))</f>
        <v/>
      </c>
      <c r="D361">
        <f>IF(C361="","",C361&lt;=25)</f>
        <v/>
      </c>
      <c r="F361">
        <f>IF(A361="","",IF(AND(D361=TRUE,E361=""),"BUY",IF(AND(D361=FALSE,E361&lt;&gt;""),"SELL",IF(AND(D361=TRUE,E361&lt;&gt;""),"HOLD",""))))</f>
        <v/>
      </c>
      <c r="G361" s="12">
        <f>IF(D361=TRUE,4,0)</f>
        <v/>
      </c>
      <c r="H361">
        <f>IF(A361="","",BDP(A361&amp;" US Equity","GICS_SECTOR_NAME"))</f>
        <v/>
      </c>
    </row>
    <row r="362">
      <c r="A362">
        <f>'Factor Scores'!A362</f>
        <v/>
      </c>
      <c r="B362" s="10">
        <f>IF(A362="","",0.40*'Factor Scores'!C362+0.20*'Factor Scores'!E362+0.20*'Factor Scores'!G362+0.20*'Factor Scores'!H362)</f>
        <v/>
      </c>
      <c r="C362" s="12">
        <f>IF(B362="","",RANK(B362,$B$2:$B$2501,0))</f>
        <v/>
      </c>
      <c r="D362">
        <f>IF(C362="","",C362&lt;=25)</f>
        <v/>
      </c>
      <c r="F362">
        <f>IF(A362="","",IF(AND(D362=TRUE,E362=""),"BUY",IF(AND(D362=FALSE,E362&lt;&gt;""),"SELL",IF(AND(D362=TRUE,E362&lt;&gt;""),"HOLD",""))))</f>
        <v/>
      </c>
      <c r="G362" s="12">
        <f>IF(D362=TRUE,4,0)</f>
        <v/>
      </c>
      <c r="H362">
        <f>IF(A362="","",BDP(A362&amp;" US Equity","GICS_SECTOR_NAME"))</f>
        <v/>
      </c>
    </row>
    <row r="363">
      <c r="A363">
        <f>'Factor Scores'!A363</f>
        <v/>
      </c>
      <c r="B363" s="10">
        <f>IF(A363="","",0.40*'Factor Scores'!C363+0.20*'Factor Scores'!E363+0.20*'Factor Scores'!G363+0.20*'Factor Scores'!H363)</f>
        <v/>
      </c>
      <c r="C363" s="12">
        <f>IF(B363="","",RANK(B363,$B$2:$B$2501,0))</f>
        <v/>
      </c>
      <c r="D363">
        <f>IF(C363="","",C363&lt;=25)</f>
        <v/>
      </c>
      <c r="F363">
        <f>IF(A363="","",IF(AND(D363=TRUE,E363=""),"BUY",IF(AND(D363=FALSE,E363&lt;&gt;""),"SELL",IF(AND(D363=TRUE,E363&lt;&gt;""),"HOLD",""))))</f>
        <v/>
      </c>
      <c r="G363" s="12">
        <f>IF(D363=TRUE,4,0)</f>
        <v/>
      </c>
      <c r="H363">
        <f>IF(A363="","",BDP(A363&amp;" US Equity","GICS_SECTOR_NAME"))</f>
        <v/>
      </c>
    </row>
    <row r="364">
      <c r="A364">
        <f>'Factor Scores'!A364</f>
        <v/>
      </c>
      <c r="B364" s="10">
        <f>IF(A364="","",0.40*'Factor Scores'!C364+0.20*'Factor Scores'!E364+0.20*'Factor Scores'!G364+0.20*'Factor Scores'!H364)</f>
        <v/>
      </c>
      <c r="C364" s="12">
        <f>IF(B364="","",RANK(B364,$B$2:$B$2501,0))</f>
        <v/>
      </c>
      <c r="D364">
        <f>IF(C364="","",C364&lt;=25)</f>
        <v/>
      </c>
      <c r="F364">
        <f>IF(A364="","",IF(AND(D364=TRUE,E364=""),"BUY",IF(AND(D364=FALSE,E364&lt;&gt;""),"SELL",IF(AND(D364=TRUE,E364&lt;&gt;""),"HOLD",""))))</f>
        <v/>
      </c>
      <c r="G364" s="12">
        <f>IF(D364=TRUE,4,0)</f>
        <v/>
      </c>
      <c r="H364">
        <f>IF(A364="","",BDP(A364&amp;" US Equity","GICS_SECTOR_NAME"))</f>
        <v/>
      </c>
    </row>
    <row r="365">
      <c r="A365">
        <f>'Factor Scores'!A365</f>
        <v/>
      </c>
      <c r="B365" s="10">
        <f>IF(A365="","",0.40*'Factor Scores'!C365+0.20*'Factor Scores'!E365+0.20*'Factor Scores'!G365+0.20*'Factor Scores'!H365)</f>
        <v/>
      </c>
      <c r="C365" s="12">
        <f>IF(B365="","",RANK(B365,$B$2:$B$2501,0))</f>
        <v/>
      </c>
      <c r="D365">
        <f>IF(C365="","",C365&lt;=25)</f>
        <v/>
      </c>
      <c r="F365">
        <f>IF(A365="","",IF(AND(D365=TRUE,E365=""),"BUY",IF(AND(D365=FALSE,E365&lt;&gt;""),"SELL",IF(AND(D365=TRUE,E365&lt;&gt;""),"HOLD",""))))</f>
        <v/>
      </c>
      <c r="G365" s="12">
        <f>IF(D365=TRUE,4,0)</f>
        <v/>
      </c>
      <c r="H365">
        <f>IF(A365="","",BDP(A365&amp;" US Equity","GICS_SECTOR_NAME"))</f>
        <v/>
      </c>
    </row>
    <row r="366">
      <c r="A366">
        <f>'Factor Scores'!A366</f>
        <v/>
      </c>
      <c r="B366" s="10">
        <f>IF(A366="","",0.40*'Factor Scores'!C366+0.20*'Factor Scores'!E366+0.20*'Factor Scores'!G366+0.20*'Factor Scores'!H366)</f>
        <v/>
      </c>
      <c r="C366" s="12">
        <f>IF(B366="","",RANK(B366,$B$2:$B$2501,0))</f>
        <v/>
      </c>
      <c r="D366">
        <f>IF(C366="","",C366&lt;=25)</f>
        <v/>
      </c>
      <c r="F366">
        <f>IF(A366="","",IF(AND(D366=TRUE,E366=""),"BUY",IF(AND(D366=FALSE,E366&lt;&gt;""),"SELL",IF(AND(D366=TRUE,E366&lt;&gt;""),"HOLD",""))))</f>
        <v/>
      </c>
      <c r="G366" s="12">
        <f>IF(D366=TRUE,4,0)</f>
        <v/>
      </c>
      <c r="H366">
        <f>IF(A366="","",BDP(A366&amp;" US Equity","GICS_SECTOR_NAME"))</f>
        <v/>
      </c>
    </row>
    <row r="367">
      <c r="A367">
        <f>'Factor Scores'!A367</f>
        <v/>
      </c>
      <c r="B367" s="10">
        <f>IF(A367="","",0.40*'Factor Scores'!C367+0.20*'Factor Scores'!E367+0.20*'Factor Scores'!G367+0.20*'Factor Scores'!H367)</f>
        <v/>
      </c>
      <c r="C367" s="12">
        <f>IF(B367="","",RANK(B367,$B$2:$B$2501,0))</f>
        <v/>
      </c>
      <c r="D367">
        <f>IF(C367="","",C367&lt;=25)</f>
        <v/>
      </c>
      <c r="F367">
        <f>IF(A367="","",IF(AND(D367=TRUE,E367=""),"BUY",IF(AND(D367=FALSE,E367&lt;&gt;""),"SELL",IF(AND(D367=TRUE,E367&lt;&gt;""),"HOLD",""))))</f>
        <v/>
      </c>
      <c r="G367" s="12">
        <f>IF(D367=TRUE,4,0)</f>
        <v/>
      </c>
      <c r="H367">
        <f>IF(A367="","",BDP(A367&amp;" US Equity","GICS_SECTOR_NAME"))</f>
        <v/>
      </c>
    </row>
    <row r="368">
      <c r="A368">
        <f>'Factor Scores'!A368</f>
        <v/>
      </c>
      <c r="B368" s="10">
        <f>IF(A368="","",0.40*'Factor Scores'!C368+0.20*'Factor Scores'!E368+0.20*'Factor Scores'!G368+0.20*'Factor Scores'!H368)</f>
        <v/>
      </c>
      <c r="C368" s="12">
        <f>IF(B368="","",RANK(B368,$B$2:$B$2501,0))</f>
        <v/>
      </c>
      <c r="D368">
        <f>IF(C368="","",C368&lt;=25)</f>
        <v/>
      </c>
      <c r="F368">
        <f>IF(A368="","",IF(AND(D368=TRUE,E368=""),"BUY",IF(AND(D368=FALSE,E368&lt;&gt;""),"SELL",IF(AND(D368=TRUE,E368&lt;&gt;""),"HOLD",""))))</f>
        <v/>
      </c>
      <c r="G368" s="12">
        <f>IF(D368=TRUE,4,0)</f>
        <v/>
      </c>
      <c r="H368">
        <f>IF(A368="","",BDP(A368&amp;" US Equity","GICS_SECTOR_NAME"))</f>
        <v/>
      </c>
    </row>
    <row r="369">
      <c r="A369">
        <f>'Factor Scores'!A369</f>
        <v/>
      </c>
      <c r="B369" s="10">
        <f>IF(A369="","",0.40*'Factor Scores'!C369+0.20*'Factor Scores'!E369+0.20*'Factor Scores'!G369+0.20*'Factor Scores'!H369)</f>
        <v/>
      </c>
      <c r="C369" s="12">
        <f>IF(B369="","",RANK(B369,$B$2:$B$2501,0))</f>
        <v/>
      </c>
      <c r="D369">
        <f>IF(C369="","",C369&lt;=25)</f>
        <v/>
      </c>
      <c r="F369">
        <f>IF(A369="","",IF(AND(D369=TRUE,E369=""),"BUY",IF(AND(D369=FALSE,E369&lt;&gt;""),"SELL",IF(AND(D369=TRUE,E369&lt;&gt;""),"HOLD",""))))</f>
        <v/>
      </c>
      <c r="G369" s="12">
        <f>IF(D369=TRUE,4,0)</f>
        <v/>
      </c>
      <c r="H369">
        <f>IF(A369="","",BDP(A369&amp;" US Equity","GICS_SECTOR_NAME"))</f>
        <v/>
      </c>
    </row>
    <row r="370">
      <c r="A370">
        <f>'Factor Scores'!A370</f>
        <v/>
      </c>
      <c r="B370" s="10">
        <f>IF(A370="","",0.40*'Factor Scores'!C370+0.20*'Factor Scores'!E370+0.20*'Factor Scores'!G370+0.20*'Factor Scores'!H370)</f>
        <v/>
      </c>
      <c r="C370" s="12">
        <f>IF(B370="","",RANK(B370,$B$2:$B$2501,0))</f>
        <v/>
      </c>
      <c r="D370">
        <f>IF(C370="","",C370&lt;=25)</f>
        <v/>
      </c>
      <c r="F370">
        <f>IF(A370="","",IF(AND(D370=TRUE,E370=""),"BUY",IF(AND(D370=FALSE,E370&lt;&gt;""),"SELL",IF(AND(D370=TRUE,E370&lt;&gt;""),"HOLD",""))))</f>
        <v/>
      </c>
      <c r="G370" s="12">
        <f>IF(D370=TRUE,4,0)</f>
        <v/>
      </c>
      <c r="H370">
        <f>IF(A370="","",BDP(A370&amp;" US Equity","GICS_SECTOR_NAME"))</f>
        <v/>
      </c>
    </row>
    <row r="371">
      <c r="A371">
        <f>'Factor Scores'!A371</f>
        <v/>
      </c>
      <c r="B371" s="10">
        <f>IF(A371="","",0.40*'Factor Scores'!C371+0.20*'Factor Scores'!E371+0.20*'Factor Scores'!G371+0.20*'Factor Scores'!H371)</f>
        <v/>
      </c>
      <c r="C371" s="12">
        <f>IF(B371="","",RANK(B371,$B$2:$B$2501,0))</f>
        <v/>
      </c>
      <c r="D371">
        <f>IF(C371="","",C371&lt;=25)</f>
        <v/>
      </c>
      <c r="F371">
        <f>IF(A371="","",IF(AND(D371=TRUE,E371=""),"BUY",IF(AND(D371=FALSE,E371&lt;&gt;""),"SELL",IF(AND(D371=TRUE,E371&lt;&gt;""),"HOLD",""))))</f>
        <v/>
      </c>
      <c r="G371" s="12">
        <f>IF(D371=TRUE,4,0)</f>
        <v/>
      </c>
      <c r="H371">
        <f>IF(A371="","",BDP(A371&amp;" US Equity","GICS_SECTOR_NAME"))</f>
        <v/>
      </c>
    </row>
    <row r="372">
      <c r="A372">
        <f>'Factor Scores'!A372</f>
        <v/>
      </c>
      <c r="B372" s="10">
        <f>IF(A372="","",0.40*'Factor Scores'!C372+0.20*'Factor Scores'!E372+0.20*'Factor Scores'!G372+0.20*'Factor Scores'!H372)</f>
        <v/>
      </c>
      <c r="C372" s="12">
        <f>IF(B372="","",RANK(B372,$B$2:$B$2501,0))</f>
        <v/>
      </c>
      <c r="D372">
        <f>IF(C372="","",C372&lt;=25)</f>
        <v/>
      </c>
      <c r="F372">
        <f>IF(A372="","",IF(AND(D372=TRUE,E372=""),"BUY",IF(AND(D372=FALSE,E372&lt;&gt;""),"SELL",IF(AND(D372=TRUE,E372&lt;&gt;""),"HOLD",""))))</f>
        <v/>
      </c>
      <c r="G372" s="12">
        <f>IF(D372=TRUE,4,0)</f>
        <v/>
      </c>
      <c r="H372">
        <f>IF(A372="","",BDP(A372&amp;" US Equity","GICS_SECTOR_NAME"))</f>
        <v/>
      </c>
    </row>
    <row r="373">
      <c r="A373">
        <f>'Factor Scores'!A373</f>
        <v/>
      </c>
      <c r="B373" s="10">
        <f>IF(A373="","",0.40*'Factor Scores'!C373+0.20*'Factor Scores'!E373+0.20*'Factor Scores'!G373+0.20*'Factor Scores'!H373)</f>
        <v/>
      </c>
      <c r="C373" s="12">
        <f>IF(B373="","",RANK(B373,$B$2:$B$2501,0))</f>
        <v/>
      </c>
      <c r="D373">
        <f>IF(C373="","",C373&lt;=25)</f>
        <v/>
      </c>
      <c r="F373">
        <f>IF(A373="","",IF(AND(D373=TRUE,E373=""),"BUY",IF(AND(D373=FALSE,E373&lt;&gt;""),"SELL",IF(AND(D373=TRUE,E373&lt;&gt;""),"HOLD",""))))</f>
        <v/>
      </c>
      <c r="G373" s="12">
        <f>IF(D373=TRUE,4,0)</f>
        <v/>
      </c>
      <c r="H373">
        <f>IF(A373="","",BDP(A373&amp;" US Equity","GICS_SECTOR_NAME"))</f>
        <v/>
      </c>
    </row>
    <row r="374">
      <c r="A374">
        <f>'Factor Scores'!A374</f>
        <v/>
      </c>
      <c r="B374" s="10">
        <f>IF(A374="","",0.40*'Factor Scores'!C374+0.20*'Factor Scores'!E374+0.20*'Factor Scores'!G374+0.20*'Factor Scores'!H374)</f>
        <v/>
      </c>
      <c r="C374" s="12">
        <f>IF(B374="","",RANK(B374,$B$2:$B$2501,0))</f>
        <v/>
      </c>
      <c r="D374">
        <f>IF(C374="","",C374&lt;=25)</f>
        <v/>
      </c>
      <c r="F374">
        <f>IF(A374="","",IF(AND(D374=TRUE,E374=""),"BUY",IF(AND(D374=FALSE,E374&lt;&gt;""),"SELL",IF(AND(D374=TRUE,E374&lt;&gt;""),"HOLD",""))))</f>
        <v/>
      </c>
      <c r="G374" s="12">
        <f>IF(D374=TRUE,4,0)</f>
        <v/>
      </c>
      <c r="H374">
        <f>IF(A374="","",BDP(A374&amp;" US Equity","GICS_SECTOR_NAME"))</f>
        <v/>
      </c>
    </row>
    <row r="375">
      <c r="A375">
        <f>'Factor Scores'!A375</f>
        <v/>
      </c>
      <c r="B375" s="10">
        <f>IF(A375="","",0.40*'Factor Scores'!C375+0.20*'Factor Scores'!E375+0.20*'Factor Scores'!G375+0.20*'Factor Scores'!H375)</f>
        <v/>
      </c>
      <c r="C375" s="12">
        <f>IF(B375="","",RANK(B375,$B$2:$B$2501,0))</f>
        <v/>
      </c>
      <c r="D375">
        <f>IF(C375="","",C375&lt;=25)</f>
        <v/>
      </c>
      <c r="F375">
        <f>IF(A375="","",IF(AND(D375=TRUE,E375=""),"BUY",IF(AND(D375=FALSE,E375&lt;&gt;""),"SELL",IF(AND(D375=TRUE,E375&lt;&gt;""),"HOLD",""))))</f>
        <v/>
      </c>
      <c r="G375" s="12">
        <f>IF(D375=TRUE,4,0)</f>
        <v/>
      </c>
      <c r="H375">
        <f>IF(A375="","",BDP(A375&amp;" US Equity","GICS_SECTOR_NAME"))</f>
        <v/>
      </c>
    </row>
    <row r="376">
      <c r="A376">
        <f>'Factor Scores'!A376</f>
        <v/>
      </c>
      <c r="B376" s="10">
        <f>IF(A376="","",0.40*'Factor Scores'!C376+0.20*'Factor Scores'!E376+0.20*'Factor Scores'!G376+0.20*'Factor Scores'!H376)</f>
        <v/>
      </c>
      <c r="C376" s="12">
        <f>IF(B376="","",RANK(B376,$B$2:$B$2501,0))</f>
        <v/>
      </c>
      <c r="D376">
        <f>IF(C376="","",C376&lt;=25)</f>
        <v/>
      </c>
      <c r="F376">
        <f>IF(A376="","",IF(AND(D376=TRUE,E376=""),"BUY",IF(AND(D376=FALSE,E376&lt;&gt;""),"SELL",IF(AND(D376=TRUE,E376&lt;&gt;""),"HOLD",""))))</f>
        <v/>
      </c>
      <c r="G376" s="12">
        <f>IF(D376=TRUE,4,0)</f>
        <v/>
      </c>
      <c r="H376">
        <f>IF(A376="","",BDP(A376&amp;" US Equity","GICS_SECTOR_NAME"))</f>
        <v/>
      </c>
    </row>
    <row r="377">
      <c r="A377">
        <f>'Factor Scores'!A377</f>
        <v/>
      </c>
      <c r="B377" s="10">
        <f>IF(A377="","",0.40*'Factor Scores'!C377+0.20*'Factor Scores'!E377+0.20*'Factor Scores'!G377+0.20*'Factor Scores'!H377)</f>
        <v/>
      </c>
      <c r="C377" s="12">
        <f>IF(B377="","",RANK(B377,$B$2:$B$2501,0))</f>
        <v/>
      </c>
      <c r="D377">
        <f>IF(C377="","",C377&lt;=25)</f>
        <v/>
      </c>
      <c r="F377">
        <f>IF(A377="","",IF(AND(D377=TRUE,E377=""),"BUY",IF(AND(D377=FALSE,E377&lt;&gt;""),"SELL",IF(AND(D377=TRUE,E377&lt;&gt;""),"HOLD",""))))</f>
        <v/>
      </c>
      <c r="G377" s="12">
        <f>IF(D377=TRUE,4,0)</f>
        <v/>
      </c>
      <c r="H377">
        <f>IF(A377="","",BDP(A377&amp;" US Equity","GICS_SECTOR_NAME"))</f>
        <v/>
      </c>
    </row>
    <row r="378">
      <c r="A378">
        <f>'Factor Scores'!A378</f>
        <v/>
      </c>
      <c r="B378" s="10">
        <f>IF(A378="","",0.40*'Factor Scores'!C378+0.20*'Factor Scores'!E378+0.20*'Factor Scores'!G378+0.20*'Factor Scores'!H378)</f>
        <v/>
      </c>
      <c r="C378" s="12">
        <f>IF(B378="","",RANK(B378,$B$2:$B$2501,0))</f>
        <v/>
      </c>
      <c r="D378">
        <f>IF(C378="","",C378&lt;=25)</f>
        <v/>
      </c>
      <c r="F378">
        <f>IF(A378="","",IF(AND(D378=TRUE,E378=""),"BUY",IF(AND(D378=FALSE,E378&lt;&gt;""),"SELL",IF(AND(D378=TRUE,E378&lt;&gt;""),"HOLD",""))))</f>
        <v/>
      </c>
      <c r="G378" s="12">
        <f>IF(D378=TRUE,4,0)</f>
        <v/>
      </c>
      <c r="H378">
        <f>IF(A378="","",BDP(A378&amp;" US Equity","GICS_SECTOR_NAME"))</f>
        <v/>
      </c>
    </row>
    <row r="379">
      <c r="A379">
        <f>'Factor Scores'!A379</f>
        <v/>
      </c>
      <c r="B379" s="10">
        <f>IF(A379="","",0.40*'Factor Scores'!C379+0.20*'Factor Scores'!E379+0.20*'Factor Scores'!G379+0.20*'Factor Scores'!H379)</f>
        <v/>
      </c>
      <c r="C379" s="12">
        <f>IF(B379="","",RANK(B379,$B$2:$B$2501,0))</f>
        <v/>
      </c>
      <c r="D379">
        <f>IF(C379="","",C379&lt;=25)</f>
        <v/>
      </c>
      <c r="F379">
        <f>IF(A379="","",IF(AND(D379=TRUE,E379=""),"BUY",IF(AND(D379=FALSE,E379&lt;&gt;""),"SELL",IF(AND(D379=TRUE,E379&lt;&gt;""),"HOLD",""))))</f>
        <v/>
      </c>
      <c r="G379" s="12">
        <f>IF(D379=TRUE,4,0)</f>
        <v/>
      </c>
      <c r="H379">
        <f>IF(A379="","",BDP(A379&amp;" US Equity","GICS_SECTOR_NAME"))</f>
        <v/>
      </c>
    </row>
    <row r="380">
      <c r="A380">
        <f>'Factor Scores'!A380</f>
        <v/>
      </c>
      <c r="B380" s="10">
        <f>IF(A380="","",0.40*'Factor Scores'!C380+0.20*'Factor Scores'!E380+0.20*'Factor Scores'!G380+0.20*'Factor Scores'!H380)</f>
        <v/>
      </c>
      <c r="C380" s="12">
        <f>IF(B380="","",RANK(B380,$B$2:$B$2501,0))</f>
        <v/>
      </c>
      <c r="D380">
        <f>IF(C380="","",C380&lt;=25)</f>
        <v/>
      </c>
      <c r="F380">
        <f>IF(A380="","",IF(AND(D380=TRUE,E380=""),"BUY",IF(AND(D380=FALSE,E380&lt;&gt;""),"SELL",IF(AND(D380=TRUE,E380&lt;&gt;""),"HOLD",""))))</f>
        <v/>
      </c>
      <c r="G380" s="12">
        <f>IF(D380=TRUE,4,0)</f>
        <v/>
      </c>
      <c r="H380">
        <f>IF(A380="","",BDP(A380&amp;" US Equity","GICS_SECTOR_NAME"))</f>
        <v/>
      </c>
    </row>
    <row r="381">
      <c r="A381">
        <f>'Factor Scores'!A381</f>
        <v/>
      </c>
      <c r="B381" s="10">
        <f>IF(A381="","",0.40*'Factor Scores'!C381+0.20*'Factor Scores'!E381+0.20*'Factor Scores'!G381+0.20*'Factor Scores'!H381)</f>
        <v/>
      </c>
      <c r="C381" s="12">
        <f>IF(B381="","",RANK(B381,$B$2:$B$2501,0))</f>
        <v/>
      </c>
      <c r="D381">
        <f>IF(C381="","",C381&lt;=25)</f>
        <v/>
      </c>
      <c r="F381">
        <f>IF(A381="","",IF(AND(D381=TRUE,E381=""),"BUY",IF(AND(D381=FALSE,E381&lt;&gt;""),"SELL",IF(AND(D381=TRUE,E381&lt;&gt;""),"HOLD",""))))</f>
        <v/>
      </c>
      <c r="G381" s="12">
        <f>IF(D381=TRUE,4,0)</f>
        <v/>
      </c>
      <c r="H381">
        <f>IF(A381="","",BDP(A381&amp;" US Equity","GICS_SECTOR_NAME"))</f>
        <v/>
      </c>
    </row>
    <row r="382">
      <c r="A382">
        <f>'Factor Scores'!A382</f>
        <v/>
      </c>
      <c r="B382" s="10">
        <f>IF(A382="","",0.40*'Factor Scores'!C382+0.20*'Factor Scores'!E382+0.20*'Factor Scores'!G382+0.20*'Factor Scores'!H382)</f>
        <v/>
      </c>
      <c r="C382" s="12">
        <f>IF(B382="","",RANK(B382,$B$2:$B$2501,0))</f>
        <v/>
      </c>
      <c r="D382">
        <f>IF(C382="","",C382&lt;=25)</f>
        <v/>
      </c>
      <c r="F382">
        <f>IF(A382="","",IF(AND(D382=TRUE,E382=""),"BUY",IF(AND(D382=FALSE,E382&lt;&gt;""),"SELL",IF(AND(D382=TRUE,E382&lt;&gt;""),"HOLD",""))))</f>
        <v/>
      </c>
      <c r="G382" s="12">
        <f>IF(D382=TRUE,4,0)</f>
        <v/>
      </c>
      <c r="H382">
        <f>IF(A382="","",BDP(A382&amp;" US Equity","GICS_SECTOR_NAME"))</f>
        <v/>
      </c>
    </row>
    <row r="383">
      <c r="A383">
        <f>'Factor Scores'!A383</f>
        <v/>
      </c>
      <c r="B383" s="10">
        <f>IF(A383="","",0.40*'Factor Scores'!C383+0.20*'Factor Scores'!E383+0.20*'Factor Scores'!G383+0.20*'Factor Scores'!H383)</f>
        <v/>
      </c>
      <c r="C383" s="12">
        <f>IF(B383="","",RANK(B383,$B$2:$B$2501,0))</f>
        <v/>
      </c>
      <c r="D383">
        <f>IF(C383="","",C383&lt;=25)</f>
        <v/>
      </c>
      <c r="F383">
        <f>IF(A383="","",IF(AND(D383=TRUE,E383=""),"BUY",IF(AND(D383=FALSE,E383&lt;&gt;""),"SELL",IF(AND(D383=TRUE,E383&lt;&gt;""),"HOLD",""))))</f>
        <v/>
      </c>
      <c r="G383" s="12">
        <f>IF(D383=TRUE,4,0)</f>
        <v/>
      </c>
      <c r="H383">
        <f>IF(A383="","",BDP(A383&amp;" US Equity","GICS_SECTOR_NAME"))</f>
        <v/>
      </c>
    </row>
    <row r="384">
      <c r="A384">
        <f>'Factor Scores'!A384</f>
        <v/>
      </c>
      <c r="B384" s="10">
        <f>IF(A384="","",0.40*'Factor Scores'!C384+0.20*'Factor Scores'!E384+0.20*'Factor Scores'!G384+0.20*'Factor Scores'!H384)</f>
        <v/>
      </c>
      <c r="C384" s="12">
        <f>IF(B384="","",RANK(B384,$B$2:$B$2501,0))</f>
        <v/>
      </c>
      <c r="D384">
        <f>IF(C384="","",C384&lt;=25)</f>
        <v/>
      </c>
      <c r="F384">
        <f>IF(A384="","",IF(AND(D384=TRUE,E384=""),"BUY",IF(AND(D384=FALSE,E384&lt;&gt;""),"SELL",IF(AND(D384=TRUE,E384&lt;&gt;""),"HOLD",""))))</f>
        <v/>
      </c>
      <c r="G384" s="12">
        <f>IF(D384=TRUE,4,0)</f>
        <v/>
      </c>
      <c r="H384">
        <f>IF(A384="","",BDP(A384&amp;" US Equity","GICS_SECTOR_NAME"))</f>
        <v/>
      </c>
    </row>
    <row r="385">
      <c r="A385">
        <f>'Factor Scores'!A385</f>
        <v/>
      </c>
      <c r="B385" s="10">
        <f>IF(A385="","",0.40*'Factor Scores'!C385+0.20*'Factor Scores'!E385+0.20*'Factor Scores'!G385+0.20*'Factor Scores'!H385)</f>
        <v/>
      </c>
      <c r="C385" s="12">
        <f>IF(B385="","",RANK(B385,$B$2:$B$2501,0))</f>
        <v/>
      </c>
      <c r="D385">
        <f>IF(C385="","",C385&lt;=25)</f>
        <v/>
      </c>
      <c r="F385">
        <f>IF(A385="","",IF(AND(D385=TRUE,E385=""),"BUY",IF(AND(D385=FALSE,E385&lt;&gt;""),"SELL",IF(AND(D385=TRUE,E385&lt;&gt;""),"HOLD",""))))</f>
        <v/>
      </c>
      <c r="G385" s="12">
        <f>IF(D385=TRUE,4,0)</f>
        <v/>
      </c>
      <c r="H385">
        <f>IF(A385="","",BDP(A385&amp;" US Equity","GICS_SECTOR_NAME"))</f>
        <v/>
      </c>
    </row>
    <row r="386">
      <c r="A386">
        <f>'Factor Scores'!A386</f>
        <v/>
      </c>
      <c r="B386" s="10">
        <f>IF(A386="","",0.40*'Factor Scores'!C386+0.20*'Factor Scores'!E386+0.20*'Factor Scores'!G386+0.20*'Factor Scores'!H386)</f>
        <v/>
      </c>
      <c r="C386" s="12">
        <f>IF(B386="","",RANK(B386,$B$2:$B$2501,0))</f>
        <v/>
      </c>
      <c r="D386">
        <f>IF(C386="","",C386&lt;=25)</f>
        <v/>
      </c>
      <c r="F386">
        <f>IF(A386="","",IF(AND(D386=TRUE,E386=""),"BUY",IF(AND(D386=FALSE,E386&lt;&gt;""),"SELL",IF(AND(D386=TRUE,E386&lt;&gt;""),"HOLD",""))))</f>
        <v/>
      </c>
      <c r="G386" s="12">
        <f>IF(D386=TRUE,4,0)</f>
        <v/>
      </c>
      <c r="H386">
        <f>IF(A386="","",BDP(A386&amp;" US Equity","GICS_SECTOR_NAME"))</f>
        <v/>
      </c>
    </row>
    <row r="387">
      <c r="A387">
        <f>'Factor Scores'!A387</f>
        <v/>
      </c>
      <c r="B387" s="10">
        <f>IF(A387="","",0.40*'Factor Scores'!C387+0.20*'Factor Scores'!E387+0.20*'Factor Scores'!G387+0.20*'Factor Scores'!H387)</f>
        <v/>
      </c>
      <c r="C387" s="12">
        <f>IF(B387="","",RANK(B387,$B$2:$B$2501,0))</f>
        <v/>
      </c>
      <c r="D387">
        <f>IF(C387="","",C387&lt;=25)</f>
        <v/>
      </c>
      <c r="F387">
        <f>IF(A387="","",IF(AND(D387=TRUE,E387=""),"BUY",IF(AND(D387=FALSE,E387&lt;&gt;""),"SELL",IF(AND(D387=TRUE,E387&lt;&gt;""),"HOLD",""))))</f>
        <v/>
      </c>
      <c r="G387" s="12">
        <f>IF(D387=TRUE,4,0)</f>
        <v/>
      </c>
      <c r="H387">
        <f>IF(A387="","",BDP(A387&amp;" US Equity","GICS_SECTOR_NAME"))</f>
        <v/>
      </c>
    </row>
    <row r="388">
      <c r="A388">
        <f>'Factor Scores'!A388</f>
        <v/>
      </c>
      <c r="B388" s="10">
        <f>IF(A388="","",0.40*'Factor Scores'!C388+0.20*'Factor Scores'!E388+0.20*'Factor Scores'!G388+0.20*'Factor Scores'!H388)</f>
        <v/>
      </c>
      <c r="C388" s="12">
        <f>IF(B388="","",RANK(B388,$B$2:$B$2501,0))</f>
        <v/>
      </c>
      <c r="D388">
        <f>IF(C388="","",C388&lt;=25)</f>
        <v/>
      </c>
      <c r="F388">
        <f>IF(A388="","",IF(AND(D388=TRUE,E388=""),"BUY",IF(AND(D388=FALSE,E388&lt;&gt;""),"SELL",IF(AND(D388=TRUE,E388&lt;&gt;""),"HOLD",""))))</f>
        <v/>
      </c>
      <c r="G388" s="12">
        <f>IF(D388=TRUE,4,0)</f>
        <v/>
      </c>
      <c r="H388">
        <f>IF(A388="","",BDP(A388&amp;" US Equity","GICS_SECTOR_NAME"))</f>
        <v/>
      </c>
    </row>
    <row r="389">
      <c r="A389">
        <f>'Factor Scores'!A389</f>
        <v/>
      </c>
      <c r="B389" s="10">
        <f>IF(A389="","",0.40*'Factor Scores'!C389+0.20*'Factor Scores'!E389+0.20*'Factor Scores'!G389+0.20*'Factor Scores'!H389)</f>
        <v/>
      </c>
      <c r="C389" s="12">
        <f>IF(B389="","",RANK(B389,$B$2:$B$2501,0))</f>
        <v/>
      </c>
      <c r="D389">
        <f>IF(C389="","",C389&lt;=25)</f>
        <v/>
      </c>
      <c r="F389">
        <f>IF(A389="","",IF(AND(D389=TRUE,E389=""),"BUY",IF(AND(D389=FALSE,E389&lt;&gt;""),"SELL",IF(AND(D389=TRUE,E389&lt;&gt;""),"HOLD",""))))</f>
        <v/>
      </c>
      <c r="G389" s="12">
        <f>IF(D389=TRUE,4,0)</f>
        <v/>
      </c>
      <c r="H389">
        <f>IF(A389="","",BDP(A389&amp;" US Equity","GICS_SECTOR_NAME"))</f>
        <v/>
      </c>
    </row>
    <row r="390">
      <c r="A390">
        <f>'Factor Scores'!A390</f>
        <v/>
      </c>
      <c r="B390" s="10">
        <f>IF(A390="","",0.40*'Factor Scores'!C390+0.20*'Factor Scores'!E390+0.20*'Factor Scores'!G390+0.20*'Factor Scores'!H390)</f>
        <v/>
      </c>
      <c r="C390" s="12">
        <f>IF(B390="","",RANK(B390,$B$2:$B$2501,0))</f>
        <v/>
      </c>
      <c r="D390">
        <f>IF(C390="","",C390&lt;=25)</f>
        <v/>
      </c>
      <c r="F390">
        <f>IF(A390="","",IF(AND(D390=TRUE,E390=""),"BUY",IF(AND(D390=FALSE,E390&lt;&gt;""),"SELL",IF(AND(D390=TRUE,E390&lt;&gt;""),"HOLD",""))))</f>
        <v/>
      </c>
      <c r="G390" s="12">
        <f>IF(D390=TRUE,4,0)</f>
        <v/>
      </c>
      <c r="H390">
        <f>IF(A390="","",BDP(A390&amp;" US Equity","GICS_SECTOR_NAME"))</f>
        <v/>
      </c>
    </row>
    <row r="391">
      <c r="A391">
        <f>'Factor Scores'!A391</f>
        <v/>
      </c>
      <c r="B391" s="10">
        <f>IF(A391="","",0.40*'Factor Scores'!C391+0.20*'Factor Scores'!E391+0.20*'Factor Scores'!G391+0.20*'Factor Scores'!H391)</f>
        <v/>
      </c>
      <c r="C391" s="12">
        <f>IF(B391="","",RANK(B391,$B$2:$B$2501,0))</f>
        <v/>
      </c>
      <c r="D391">
        <f>IF(C391="","",C391&lt;=25)</f>
        <v/>
      </c>
      <c r="F391">
        <f>IF(A391="","",IF(AND(D391=TRUE,E391=""),"BUY",IF(AND(D391=FALSE,E391&lt;&gt;""),"SELL",IF(AND(D391=TRUE,E391&lt;&gt;""),"HOLD",""))))</f>
        <v/>
      </c>
      <c r="G391" s="12">
        <f>IF(D391=TRUE,4,0)</f>
        <v/>
      </c>
      <c r="H391">
        <f>IF(A391="","",BDP(A391&amp;" US Equity","GICS_SECTOR_NAME"))</f>
        <v/>
      </c>
    </row>
    <row r="392">
      <c r="A392">
        <f>'Factor Scores'!A392</f>
        <v/>
      </c>
      <c r="B392" s="10">
        <f>IF(A392="","",0.40*'Factor Scores'!C392+0.20*'Factor Scores'!E392+0.20*'Factor Scores'!G392+0.20*'Factor Scores'!H392)</f>
        <v/>
      </c>
      <c r="C392" s="12">
        <f>IF(B392="","",RANK(B392,$B$2:$B$2501,0))</f>
        <v/>
      </c>
      <c r="D392">
        <f>IF(C392="","",C392&lt;=25)</f>
        <v/>
      </c>
      <c r="F392">
        <f>IF(A392="","",IF(AND(D392=TRUE,E392=""),"BUY",IF(AND(D392=FALSE,E392&lt;&gt;""),"SELL",IF(AND(D392=TRUE,E392&lt;&gt;""),"HOLD",""))))</f>
        <v/>
      </c>
      <c r="G392" s="12">
        <f>IF(D392=TRUE,4,0)</f>
        <v/>
      </c>
      <c r="H392">
        <f>IF(A392="","",BDP(A392&amp;" US Equity","GICS_SECTOR_NAME"))</f>
        <v/>
      </c>
    </row>
    <row r="393">
      <c r="A393">
        <f>'Factor Scores'!A393</f>
        <v/>
      </c>
      <c r="B393" s="10">
        <f>IF(A393="","",0.40*'Factor Scores'!C393+0.20*'Factor Scores'!E393+0.20*'Factor Scores'!G393+0.20*'Factor Scores'!H393)</f>
        <v/>
      </c>
      <c r="C393" s="12">
        <f>IF(B393="","",RANK(B393,$B$2:$B$2501,0))</f>
        <v/>
      </c>
      <c r="D393">
        <f>IF(C393="","",C393&lt;=25)</f>
        <v/>
      </c>
      <c r="F393">
        <f>IF(A393="","",IF(AND(D393=TRUE,E393=""),"BUY",IF(AND(D393=FALSE,E393&lt;&gt;""),"SELL",IF(AND(D393=TRUE,E393&lt;&gt;""),"HOLD",""))))</f>
        <v/>
      </c>
      <c r="G393" s="12">
        <f>IF(D393=TRUE,4,0)</f>
        <v/>
      </c>
      <c r="H393">
        <f>IF(A393="","",BDP(A393&amp;" US Equity","GICS_SECTOR_NAME"))</f>
        <v/>
      </c>
    </row>
    <row r="394">
      <c r="A394">
        <f>'Factor Scores'!A394</f>
        <v/>
      </c>
      <c r="B394" s="10">
        <f>IF(A394="","",0.40*'Factor Scores'!C394+0.20*'Factor Scores'!E394+0.20*'Factor Scores'!G394+0.20*'Factor Scores'!H394)</f>
        <v/>
      </c>
      <c r="C394" s="12">
        <f>IF(B394="","",RANK(B394,$B$2:$B$2501,0))</f>
        <v/>
      </c>
      <c r="D394">
        <f>IF(C394="","",C394&lt;=25)</f>
        <v/>
      </c>
      <c r="F394">
        <f>IF(A394="","",IF(AND(D394=TRUE,E394=""),"BUY",IF(AND(D394=FALSE,E394&lt;&gt;""),"SELL",IF(AND(D394=TRUE,E394&lt;&gt;""),"HOLD",""))))</f>
        <v/>
      </c>
      <c r="G394" s="12">
        <f>IF(D394=TRUE,4,0)</f>
        <v/>
      </c>
      <c r="H394">
        <f>IF(A394="","",BDP(A394&amp;" US Equity","GICS_SECTOR_NAME"))</f>
        <v/>
      </c>
    </row>
    <row r="395">
      <c r="A395">
        <f>'Factor Scores'!A395</f>
        <v/>
      </c>
      <c r="B395" s="10">
        <f>IF(A395="","",0.40*'Factor Scores'!C395+0.20*'Factor Scores'!E395+0.20*'Factor Scores'!G395+0.20*'Factor Scores'!H395)</f>
        <v/>
      </c>
      <c r="C395" s="12">
        <f>IF(B395="","",RANK(B395,$B$2:$B$2501,0))</f>
        <v/>
      </c>
      <c r="D395">
        <f>IF(C395="","",C395&lt;=25)</f>
        <v/>
      </c>
      <c r="F395">
        <f>IF(A395="","",IF(AND(D395=TRUE,E395=""),"BUY",IF(AND(D395=FALSE,E395&lt;&gt;""),"SELL",IF(AND(D395=TRUE,E395&lt;&gt;""),"HOLD",""))))</f>
        <v/>
      </c>
      <c r="G395" s="12">
        <f>IF(D395=TRUE,4,0)</f>
        <v/>
      </c>
      <c r="H395">
        <f>IF(A395="","",BDP(A395&amp;" US Equity","GICS_SECTOR_NAME"))</f>
        <v/>
      </c>
    </row>
    <row r="396">
      <c r="A396">
        <f>'Factor Scores'!A396</f>
        <v/>
      </c>
      <c r="B396" s="10">
        <f>IF(A396="","",0.40*'Factor Scores'!C396+0.20*'Factor Scores'!E396+0.20*'Factor Scores'!G396+0.20*'Factor Scores'!H396)</f>
        <v/>
      </c>
      <c r="C396" s="12">
        <f>IF(B396="","",RANK(B396,$B$2:$B$2501,0))</f>
        <v/>
      </c>
      <c r="D396">
        <f>IF(C396="","",C396&lt;=25)</f>
        <v/>
      </c>
      <c r="F396">
        <f>IF(A396="","",IF(AND(D396=TRUE,E396=""),"BUY",IF(AND(D396=FALSE,E396&lt;&gt;""),"SELL",IF(AND(D396=TRUE,E396&lt;&gt;""),"HOLD",""))))</f>
        <v/>
      </c>
      <c r="G396" s="12">
        <f>IF(D396=TRUE,4,0)</f>
        <v/>
      </c>
      <c r="H396">
        <f>IF(A396="","",BDP(A396&amp;" US Equity","GICS_SECTOR_NAME"))</f>
        <v/>
      </c>
    </row>
    <row r="397">
      <c r="A397">
        <f>'Factor Scores'!A397</f>
        <v/>
      </c>
      <c r="B397" s="10">
        <f>IF(A397="","",0.40*'Factor Scores'!C397+0.20*'Factor Scores'!E397+0.20*'Factor Scores'!G397+0.20*'Factor Scores'!H397)</f>
        <v/>
      </c>
      <c r="C397" s="12">
        <f>IF(B397="","",RANK(B397,$B$2:$B$2501,0))</f>
        <v/>
      </c>
      <c r="D397">
        <f>IF(C397="","",C397&lt;=25)</f>
        <v/>
      </c>
      <c r="F397">
        <f>IF(A397="","",IF(AND(D397=TRUE,E397=""),"BUY",IF(AND(D397=FALSE,E397&lt;&gt;""),"SELL",IF(AND(D397=TRUE,E397&lt;&gt;""),"HOLD",""))))</f>
        <v/>
      </c>
      <c r="G397" s="12">
        <f>IF(D397=TRUE,4,0)</f>
        <v/>
      </c>
      <c r="H397">
        <f>IF(A397="","",BDP(A397&amp;" US Equity","GICS_SECTOR_NAME"))</f>
        <v/>
      </c>
    </row>
    <row r="398">
      <c r="A398">
        <f>'Factor Scores'!A398</f>
        <v/>
      </c>
      <c r="B398" s="10">
        <f>IF(A398="","",0.40*'Factor Scores'!C398+0.20*'Factor Scores'!E398+0.20*'Factor Scores'!G398+0.20*'Factor Scores'!H398)</f>
        <v/>
      </c>
      <c r="C398" s="12">
        <f>IF(B398="","",RANK(B398,$B$2:$B$2501,0))</f>
        <v/>
      </c>
      <c r="D398">
        <f>IF(C398="","",C398&lt;=25)</f>
        <v/>
      </c>
      <c r="F398">
        <f>IF(A398="","",IF(AND(D398=TRUE,E398=""),"BUY",IF(AND(D398=FALSE,E398&lt;&gt;""),"SELL",IF(AND(D398=TRUE,E398&lt;&gt;""),"HOLD",""))))</f>
        <v/>
      </c>
      <c r="G398" s="12">
        <f>IF(D398=TRUE,4,0)</f>
        <v/>
      </c>
      <c r="H398">
        <f>IF(A398="","",BDP(A398&amp;" US Equity","GICS_SECTOR_NAME"))</f>
        <v/>
      </c>
    </row>
    <row r="399">
      <c r="A399">
        <f>'Factor Scores'!A399</f>
        <v/>
      </c>
      <c r="B399" s="10">
        <f>IF(A399="","",0.40*'Factor Scores'!C399+0.20*'Factor Scores'!E399+0.20*'Factor Scores'!G399+0.20*'Factor Scores'!H399)</f>
        <v/>
      </c>
      <c r="C399" s="12">
        <f>IF(B399="","",RANK(B399,$B$2:$B$2501,0))</f>
        <v/>
      </c>
      <c r="D399">
        <f>IF(C399="","",C399&lt;=25)</f>
        <v/>
      </c>
      <c r="F399">
        <f>IF(A399="","",IF(AND(D399=TRUE,E399=""),"BUY",IF(AND(D399=FALSE,E399&lt;&gt;""),"SELL",IF(AND(D399=TRUE,E399&lt;&gt;""),"HOLD",""))))</f>
        <v/>
      </c>
      <c r="G399" s="12">
        <f>IF(D399=TRUE,4,0)</f>
        <v/>
      </c>
      <c r="H399">
        <f>IF(A399="","",BDP(A399&amp;" US Equity","GICS_SECTOR_NAME"))</f>
        <v/>
      </c>
    </row>
    <row r="400">
      <c r="A400">
        <f>'Factor Scores'!A400</f>
        <v/>
      </c>
      <c r="B400" s="10">
        <f>IF(A400="","",0.40*'Factor Scores'!C400+0.20*'Factor Scores'!E400+0.20*'Factor Scores'!G400+0.20*'Factor Scores'!H400)</f>
        <v/>
      </c>
      <c r="C400" s="12">
        <f>IF(B400="","",RANK(B400,$B$2:$B$2501,0))</f>
        <v/>
      </c>
      <c r="D400">
        <f>IF(C400="","",C400&lt;=25)</f>
        <v/>
      </c>
      <c r="F400">
        <f>IF(A400="","",IF(AND(D400=TRUE,E400=""),"BUY",IF(AND(D400=FALSE,E400&lt;&gt;""),"SELL",IF(AND(D400=TRUE,E400&lt;&gt;""),"HOLD",""))))</f>
        <v/>
      </c>
      <c r="G400" s="12">
        <f>IF(D400=TRUE,4,0)</f>
        <v/>
      </c>
      <c r="H400">
        <f>IF(A400="","",BDP(A400&amp;" US Equity","GICS_SECTOR_NAME"))</f>
        <v/>
      </c>
    </row>
    <row r="401">
      <c r="A401">
        <f>'Factor Scores'!A401</f>
        <v/>
      </c>
      <c r="B401" s="10">
        <f>IF(A401="","",0.40*'Factor Scores'!C401+0.20*'Factor Scores'!E401+0.20*'Factor Scores'!G401+0.20*'Factor Scores'!H401)</f>
        <v/>
      </c>
      <c r="C401" s="12">
        <f>IF(B401="","",RANK(B401,$B$2:$B$2501,0))</f>
        <v/>
      </c>
      <c r="D401">
        <f>IF(C401="","",C401&lt;=25)</f>
        <v/>
      </c>
      <c r="F401">
        <f>IF(A401="","",IF(AND(D401=TRUE,E401=""),"BUY",IF(AND(D401=FALSE,E401&lt;&gt;""),"SELL",IF(AND(D401=TRUE,E401&lt;&gt;""),"HOLD",""))))</f>
        <v/>
      </c>
      <c r="G401" s="12">
        <f>IF(D401=TRUE,4,0)</f>
        <v/>
      </c>
      <c r="H401">
        <f>IF(A401="","",BDP(A401&amp;" US Equity","GICS_SECTOR_NAME"))</f>
        <v/>
      </c>
    </row>
    <row r="402">
      <c r="A402">
        <f>'Factor Scores'!A402</f>
        <v/>
      </c>
      <c r="B402" s="10">
        <f>IF(A402="","",0.40*'Factor Scores'!C402+0.20*'Factor Scores'!E402+0.20*'Factor Scores'!G402+0.20*'Factor Scores'!H402)</f>
        <v/>
      </c>
      <c r="C402" s="12">
        <f>IF(B402="","",RANK(B402,$B$2:$B$2501,0))</f>
        <v/>
      </c>
      <c r="D402">
        <f>IF(C402="","",C402&lt;=25)</f>
        <v/>
      </c>
      <c r="F402">
        <f>IF(A402="","",IF(AND(D402=TRUE,E402=""),"BUY",IF(AND(D402=FALSE,E402&lt;&gt;""),"SELL",IF(AND(D402=TRUE,E402&lt;&gt;""),"HOLD",""))))</f>
        <v/>
      </c>
      <c r="G402" s="12">
        <f>IF(D402=TRUE,4,0)</f>
        <v/>
      </c>
      <c r="H402">
        <f>IF(A402="","",BDP(A402&amp;" US Equity","GICS_SECTOR_NAME"))</f>
        <v/>
      </c>
    </row>
    <row r="403">
      <c r="A403">
        <f>'Factor Scores'!A403</f>
        <v/>
      </c>
      <c r="B403" s="10">
        <f>IF(A403="","",0.40*'Factor Scores'!C403+0.20*'Factor Scores'!E403+0.20*'Factor Scores'!G403+0.20*'Factor Scores'!H403)</f>
        <v/>
      </c>
      <c r="C403" s="12">
        <f>IF(B403="","",RANK(B403,$B$2:$B$2501,0))</f>
        <v/>
      </c>
      <c r="D403">
        <f>IF(C403="","",C403&lt;=25)</f>
        <v/>
      </c>
      <c r="F403">
        <f>IF(A403="","",IF(AND(D403=TRUE,E403=""),"BUY",IF(AND(D403=FALSE,E403&lt;&gt;""),"SELL",IF(AND(D403=TRUE,E403&lt;&gt;""),"HOLD",""))))</f>
        <v/>
      </c>
      <c r="G403" s="12">
        <f>IF(D403=TRUE,4,0)</f>
        <v/>
      </c>
      <c r="H403">
        <f>IF(A403="","",BDP(A403&amp;" US Equity","GICS_SECTOR_NAME"))</f>
        <v/>
      </c>
    </row>
    <row r="404">
      <c r="A404">
        <f>'Factor Scores'!A404</f>
        <v/>
      </c>
      <c r="B404" s="10">
        <f>IF(A404="","",0.40*'Factor Scores'!C404+0.20*'Factor Scores'!E404+0.20*'Factor Scores'!G404+0.20*'Factor Scores'!H404)</f>
        <v/>
      </c>
      <c r="C404" s="12">
        <f>IF(B404="","",RANK(B404,$B$2:$B$2501,0))</f>
        <v/>
      </c>
      <c r="D404">
        <f>IF(C404="","",C404&lt;=25)</f>
        <v/>
      </c>
      <c r="F404">
        <f>IF(A404="","",IF(AND(D404=TRUE,E404=""),"BUY",IF(AND(D404=FALSE,E404&lt;&gt;""),"SELL",IF(AND(D404=TRUE,E404&lt;&gt;""),"HOLD",""))))</f>
        <v/>
      </c>
      <c r="G404" s="12">
        <f>IF(D404=TRUE,4,0)</f>
        <v/>
      </c>
      <c r="H404">
        <f>IF(A404="","",BDP(A404&amp;" US Equity","GICS_SECTOR_NAME"))</f>
        <v/>
      </c>
    </row>
    <row r="405">
      <c r="A405">
        <f>'Factor Scores'!A405</f>
        <v/>
      </c>
      <c r="B405" s="10">
        <f>IF(A405="","",0.40*'Factor Scores'!C405+0.20*'Factor Scores'!E405+0.20*'Factor Scores'!G405+0.20*'Factor Scores'!H405)</f>
        <v/>
      </c>
      <c r="C405" s="12">
        <f>IF(B405="","",RANK(B405,$B$2:$B$2501,0))</f>
        <v/>
      </c>
      <c r="D405">
        <f>IF(C405="","",C405&lt;=25)</f>
        <v/>
      </c>
      <c r="F405">
        <f>IF(A405="","",IF(AND(D405=TRUE,E405=""),"BUY",IF(AND(D405=FALSE,E405&lt;&gt;""),"SELL",IF(AND(D405=TRUE,E405&lt;&gt;""),"HOLD",""))))</f>
        <v/>
      </c>
      <c r="G405" s="12">
        <f>IF(D405=TRUE,4,0)</f>
        <v/>
      </c>
      <c r="H405">
        <f>IF(A405="","",BDP(A405&amp;" US Equity","GICS_SECTOR_NAME"))</f>
        <v/>
      </c>
    </row>
    <row r="406">
      <c r="A406">
        <f>'Factor Scores'!A406</f>
        <v/>
      </c>
      <c r="B406" s="10">
        <f>IF(A406="","",0.40*'Factor Scores'!C406+0.20*'Factor Scores'!E406+0.20*'Factor Scores'!G406+0.20*'Factor Scores'!H406)</f>
        <v/>
      </c>
      <c r="C406" s="12">
        <f>IF(B406="","",RANK(B406,$B$2:$B$2501,0))</f>
        <v/>
      </c>
      <c r="D406">
        <f>IF(C406="","",C406&lt;=25)</f>
        <v/>
      </c>
      <c r="F406">
        <f>IF(A406="","",IF(AND(D406=TRUE,E406=""),"BUY",IF(AND(D406=FALSE,E406&lt;&gt;""),"SELL",IF(AND(D406=TRUE,E406&lt;&gt;""),"HOLD",""))))</f>
        <v/>
      </c>
      <c r="G406" s="12">
        <f>IF(D406=TRUE,4,0)</f>
        <v/>
      </c>
      <c r="H406">
        <f>IF(A406="","",BDP(A406&amp;" US Equity","GICS_SECTOR_NAME"))</f>
        <v/>
      </c>
    </row>
    <row r="407">
      <c r="A407">
        <f>'Factor Scores'!A407</f>
        <v/>
      </c>
      <c r="B407" s="10">
        <f>IF(A407="","",0.40*'Factor Scores'!C407+0.20*'Factor Scores'!E407+0.20*'Factor Scores'!G407+0.20*'Factor Scores'!H407)</f>
        <v/>
      </c>
      <c r="C407" s="12">
        <f>IF(B407="","",RANK(B407,$B$2:$B$2501,0))</f>
        <v/>
      </c>
      <c r="D407">
        <f>IF(C407="","",C407&lt;=25)</f>
        <v/>
      </c>
      <c r="F407">
        <f>IF(A407="","",IF(AND(D407=TRUE,E407=""),"BUY",IF(AND(D407=FALSE,E407&lt;&gt;""),"SELL",IF(AND(D407=TRUE,E407&lt;&gt;""),"HOLD",""))))</f>
        <v/>
      </c>
      <c r="G407" s="12">
        <f>IF(D407=TRUE,4,0)</f>
        <v/>
      </c>
      <c r="H407">
        <f>IF(A407="","",BDP(A407&amp;" US Equity","GICS_SECTOR_NAME"))</f>
        <v/>
      </c>
    </row>
    <row r="408">
      <c r="A408">
        <f>'Factor Scores'!A408</f>
        <v/>
      </c>
      <c r="B408" s="10">
        <f>IF(A408="","",0.40*'Factor Scores'!C408+0.20*'Factor Scores'!E408+0.20*'Factor Scores'!G408+0.20*'Factor Scores'!H408)</f>
        <v/>
      </c>
      <c r="C408" s="12">
        <f>IF(B408="","",RANK(B408,$B$2:$B$2501,0))</f>
        <v/>
      </c>
      <c r="D408">
        <f>IF(C408="","",C408&lt;=25)</f>
        <v/>
      </c>
      <c r="F408">
        <f>IF(A408="","",IF(AND(D408=TRUE,E408=""),"BUY",IF(AND(D408=FALSE,E408&lt;&gt;""),"SELL",IF(AND(D408=TRUE,E408&lt;&gt;""),"HOLD",""))))</f>
        <v/>
      </c>
      <c r="G408" s="12">
        <f>IF(D408=TRUE,4,0)</f>
        <v/>
      </c>
      <c r="H408">
        <f>IF(A408="","",BDP(A408&amp;" US Equity","GICS_SECTOR_NAME"))</f>
        <v/>
      </c>
    </row>
    <row r="409">
      <c r="A409">
        <f>'Factor Scores'!A409</f>
        <v/>
      </c>
      <c r="B409" s="10">
        <f>IF(A409="","",0.40*'Factor Scores'!C409+0.20*'Factor Scores'!E409+0.20*'Factor Scores'!G409+0.20*'Factor Scores'!H409)</f>
        <v/>
      </c>
      <c r="C409" s="12">
        <f>IF(B409="","",RANK(B409,$B$2:$B$2501,0))</f>
        <v/>
      </c>
      <c r="D409">
        <f>IF(C409="","",C409&lt;=25)</f>
        <v/>
      </c>
      <c r="F409">
        <f>IF(A409="","",IF(AND(D409=TRUE,E409=""),"BUY",IF(AND(D409=FALSE,E409&lt;&gt;""),"SELL",IF(AND(D409=TRUE,E409&lt;&gt;""),"HOLD",""))))</f>
        <v/>
      </c>
      <c r="G409" s="12">
        <f>IF(D409=TRUE,4,0)</f>
        <v/>
      </c>
      <c r="H409">
        <f>IF(A409="","",BDP(A409&amp;" US Equity","GICS_SECTOR_NAME"))</f>
        <v/>
      </c>
    </row>
    <row r="410">
      <c r="A410">
        <f>'Factor Scores'!A410</f>
        <v/>
      </c>
      <c r="B410" s="10">
        <f>IF(A410="","",0.40*'Factor Scores'!C410+0.20*'Factor Scores'!E410+0.20*'Factor Scores'!G410+0.20*'Factor Scores'!H410)</f>
        <v/>
      </c>
      <c r="C410" s="12">
        <f>IF(B410="","",RANK(B410,$B$2:$B$2501,0))</f>
        <v/>
      </c>
      <c r="D410">
        <f>IF(C410="","",C410&lt;=25)</f>
        <v/>
      </c>
      <c r="F410">
        <f>IF(A410="","",IF(AND(D410=TRUE,E410=""),"BUY",IF(AND(D410=FALSE,E410&lt;&gt;""),"SELL",IF(AND(D410=TRUE,E410&lt;&gt;""),"HOLD",""))))</f>
        <v/>
      </c>
      <c r="G410" s="12">
        <f>IF(D410=TRUE,4,0)</f>
        <v/>
      </c>
      <c r="H410">
        <f>IF(A410="","",BDP(A410&amp;" US Equity","GICS_SECTOR_NAME"))</f>
        <v/>
      </c>
    </row>
    <row r="411">
      <c r="A411">
        <f>'Factor Scores'!A411</f>
        <v/>
      </c>
      <c r="B411" s="10">
        <f>IF(A411="","",0.40*'Factor Scores'!C411+0.20*'Factor Scores'!E411+0.20*'Factor Scores'!G411+0.20*'Factor Scores'!H411)</f>
        <v/>
      </c>
      <c r="C411" s="12">
        <f>IF(B411="","",RANK(B411,$B$2:$B$2501,0))</f>
        <v/>
      </c>
      <c r="D411">
        <f>IF(C411="","",C411&lt;=25)</f>
        <v/>
      </c>
      <c r="F411">
        <f>IF(A411="","",IF(AND(D411=TRUE,E411=""),"BUY",IF(AND(D411=FALSE,E411&lt;&gt;""),"SELL",IF(AND(D411=TRUE,E411&lt;&gt;""),"HOLD",""))))</f>
        <v/>
      </c>
      <c r="G411" s="12">
        <f>IF(D411=TRUE,4,0)</f>
        <v/>
      </c>
      <c r="H411">
        <f>IF(A411="","",BDP(A411&amp;" US Equity","GICS_SECTOR_NAME"))</f>
        <v/>
      </c>
    </row>
    <row r="412">
      <c r="A412">
        <f>'Factor Scores'!A412</f>
        <v/>
      </c>
      <c r="B412" s="10">
        <f>IF(A412="","",0.40*'Factor Scores'!C412+0.20*'Factor Scores'!E412+0.20*'Factor Scores'!G412+0.20*'Factor Scores'!H412)</f>
        <v/>
      </c>
      <c r="C412" s="12">
        <f>IF(B412="","",RANK(B412,$B$2:$B$2501,0))</f>
        <v/>
      </c>
      <c r="D412">
        <f>IF(C412="","",C412&lt;=25)</f>
        <v/>
      </c>
      <c r="F412">
        <f>IF(A412="","",IF(AND(D412=TRUE,E412=""),"BUY",IF(AND(D412=FALSE,E412&lt;&gt;""),"SELL",IF(AND(D412=TRUE,E412&lt;&gt;""),"HOLD",""))))</f>
        <v/>
      </c>
      <c r="G412" s="12">
        <f>IF(D412=TRUE,4,0)</f>
        <v/>
      </c>
      <c r="H412">
        <f>IF(A412="","",BDP(A412&amp;" US Equity","GICS_SECTOR_NAME"))</f>
        <v/>
      </c>
    </row>
    <row r="413">
      <c r="A413">
        <f>'Factor Scores'!A413</f>
        <v/>
      </c>
      <c r="B413" s="10">
        <f>IF(A413="","",0.40*'Factor Scores'!C413+0.20*'Factor Scores'!E413+0.20*'Factor Scores'!G413+0.20*'Factor Scores'!H413)</f>
        <v/>
      </c>
      <c r="C413" s="12">
        <f>IF(B413="","",RANK(B413,$B$2:$B$2501,0))</f>
        <v/>
      </c>
      <c r="D413">
        <f>IF(C413="","",C413&lt;=25)</f>
        <v/>
      </c>
      <c r="F413">
        <f>IF(A413="","",IF(AND(D413=TRUE,E413=""),"BUY",IF(AND(D413=FALSE,E413&lt;&gt;""),"SELL",IF(AND(D413=TRUE,E413&lt;&gt;""),"HOLD",""))))</f>
        <v/>
      </c>
      <c r="G413" s="12">
        <f>IF(D413=TRUE,4,0)</f>
        <v/>
      </c>
      <c r="H413">
        <f>IF(A413="","",BDP(A413&amp;" US Equity","GICS_SECTOR_NAME"))</f>
        <v/>
      </c>
    </row>
    <row r="414">
      <c r="A414">
        <f>'Factor Scores'!A414</f>
        <v/>
      </c>
      <c r="B414" s="10">
        <f>IF(A414="","",0.40*'Factor Scores'!C414+0.20*'Factor Scores'!E414+0.20*'Factor Scores'!G414+0.20*'Factor Scores'!H414)</f>
        <v/>
      </c>
      <c r="C414" s="12">
        <f>IF(B414="","",RANK(B414,$B$2:$B$2501,0))</f>
        <v/>
      </c>
      <c r="D414">
        <f>IF(C414="","",C414&lt;=25)</f>
        <v/>
      </c>
      <c r="F414">
        <f>IF(A414="","",IF(AND(D414=TRUE,E414=""),"BUY",IF(AND(D414=FALSE,E414&lt;&gt;""),"SELL",IF(AND(D414=TRUE,E414&lt;&gt;""),"HOLD",""))))</f>
        <v/>
      </c>
      <c r="G414" s="12">
        <f>IF(D414=TRUE,4,0)</f>
        <v/>
      </c>
      <c r="H414">
        <f>IF(A414="","",BDP(A414&amp;" US Equity","GICS_SECTOR_NAME"))</f>
        <v/>
      </c>
    </row>
    <row r="415">
      <c r="A415">
        <f>'Factor Scores'!A415</f>
        <v/>
      </c>
      <c r="B415" s="10">
        <f>IF(A415="","",0.40*'Factor Scores'!C415+0.20*'Factor Scores'!E415+0.20*'Factor Scores'!G415+0.20*'Factor Scores'!H415)</f>
        <v/>
      </c>
      <c r="C415" s="12">
        <f>IF(B415="","",RANK(B415,$B$2:$B$2501,0))</f>
        <v/>
      </c>
      <c r="D415">
        <f>IF(C415="","",C415&lt;=25)</f>
        <v/>
      </c>
      <c r="F415">
        <f>IF(A415="","",IF(AND(D415=TRUE,E415=""),"BUY",IF(AND(D415=FALSE,E415&lt;&gt;""),"SELL",IF(AND(D415=TRUE,E415&lt;&gt;""),"HOLD",""))))</f>
        <v/>
      </c>
      <c r="G415" s="12">
        <f>IF(D415=TRUE,4,0)</f>
        <v/>
      </c>
      <c r="H415">
        <f>IF(A415="","",BDP(A415&amp;" US Equity","GICS_SECTOR_NAME"))</f>
        <v/>
      </c>
    </row>
    <row r="416">
      <c r="A416">
        <f>'Factor Scores'!A416</f>
        <v/>
      </c>
      <c r="B416" s="10">
        <f>IF(A416="","",0.40*'Factor Scores'!C416+0.20*'Factor Scores'!E416+0.20*'Factor Scores'!G416+0.20*'Factor Scores'!H416)</f>
        <v/>
      </c>
      <c r="C416" s="12">
        <f>IF(B416="","",RANK(B416,$B$2:$B$2501,0))</f>
        <v/>
      </c>
      <c r="D416">
        <f>IF(C416="","",C416&lt;=25)</f>
        <v/>
      </c>
      <c r="F416">
        <f>IF(A416="","",IF(AND(D416=TRUE,E416=""),"BUY",IF(AND(D416=FALSE,E416&lt;&gt;""),"SELL",IF(AND(D416=TRUE,E416&lt;&gt;""),"HOLD",""))))</f>
        <v/>
      </c>
      <c r="G416" s="12">
        <f>IF(D416=TRUE,4,0)</f>
        <v/>
      </c>
      <c r="H416">
        <f>IF(A416="","",BDP(A416&amp;" US Equity","GICS_SECTOR_NAME"))</f>
        <v/>
      </c>
    </row>
    <row r="417">
      <c r="A417">
        <f>'Factor Scores'!A417</f>
        <v/>
      </c>
      <c r="B417" s="10">
        <f>IF(A417="","",0.40*'Factor Scores'!C417+0.20*'Factor Scores'!E417+0.20*'Factor Scores'!G417+0.20*'Factor Scores'!H417)</f>
        <v/>
      </c>
      <c r="C417" s="12">
        <f>IF(B417="","",RANK(B417,$B$2:$B$2501,0))</f>
        <v/>
      </c>
      <c r="D417">
        <f>IF(C417="","",C417&lt;=25)</f>
        <v/>
      </c>
      <c r="F417">
        <f>IF(A417="","",IF(AND(D417=TRUE,E417=""),"BUY",IF(AND(D417=FALSE,E417&lt;&gt;""),"SELL",IF(AND(D417=TRUE,E417&lt;&gt;""),"HOLD",""))))</f>
        <v/>
      </c>
      <c r="G417" s="12">
        <f>IF(D417=TRUE,4,0)</f>
        <v/>
      </c>
      <c r="H417">
        <f>IF(A417="","",BDP(A417&amp;" US Equity","GICS_SECTOR_NAME"))</f>
        <v/>
      </c>
    </row>
    <row r="418">
      <c r="A418">
        <f>'Factor Scores'!A418</f>
        <v/>
      </c>
      <c r="B418" s="10">
        <f>IF(A418="","",0.40*'Factor Scores'!C418+0.20*'Factor Scores'!E418+0.20*'Factor Scores'!G418+0.20*'Factor Scores'!H418)</f>
        <v/>
      </c>
      <c r="C418" s="12">
        <f>IF(B418="","",RANK(B418,$B$2:$B$2501,0))</f>
        <v/>
      </c>
      <c r="D418">
        <f>IF(C418="","",C418&lt;=25)</f>
        <v/>
      </c>
      <c r="F418">
        <f>IF(A418="","",IF(AND(D418=TRUE,E418=""),"BUY",IF(AND(D418=FALSE,E418&lt;&gt;""),"SELL",IF(AND(D418=TRUE,E418&lt;&gt;""),"HOLD",""))))</f>
        <v/>
      </c>
      <c r="G418" s="12">
        <f>IF(D418=TRUE,4,0)</f>
        <v/>
      </c>
      <c r="H418">
        <f>IF(A418="","",BDP(A418&amp;" US Equity","GICS_SECTOR_NAME"))</f>
        <v/>
      </c>
    </row>
    <row r="419">
      <c r="A419">
        <f>'Factor Scores'!A419</f>
        <v/>
      </c>
      <c r="B419" s="10">
        <f>IF(A419="","",0.40*'Factor Scores'!C419+0.20*'Factor Scores'!E419+0.20*'Factor Scores'!G419+0.20*'Factor Scores'!H419)</f>
        <v/>
      </c>
      <c r="C419" s="12">
        <f>IF(B419="","",RANK(B419,$B$2:$B$2501,0))</f>
        <v/>
      </c>
      <c r="D419">
        <f>IF(C419="","",C419&lt;=25)</f>
        <v/>
      </c>
      <c r="F419">
        <f>IF(A419="","",IF(AND(D419=TRUE,E419=""),"BUY",IF(AND(D419=FALSE,E419&lt;&gt;""),"SELL",IF(AND(D419=TRUE,E419&lt;&gt;""),"HOLD",""))))</f>
        <v/>
      </c>
      <c r="G419" s="12">
        <f>IF(D419=TRUE,4,0)</f>
        <v/>
      </c>
      <c r="H419">
        <f>IF(A419="","",BDP(A419&amp;" US Equity","GICS_SECTOR_NAME"))</f>
        <v/>
      </c>
    </row>
    <row r="420">
      <c r="A420">
        <f>'Factor Scores'!A420</f>
        <v/>
      </c>
      <c r="B420" s="10">
        <f>IF(A420="","",0.40*'Factor Scores'!C420+0.20*'Factor Scores'!E420+0.20*'Factor Scores'!G420+0.20*'Factor Scores'!H420)</f>
        <v/>
      </c>
      <c r="C420" s="12">
        <f>IF(B420="","",RANK(B420,$B$2:$B$2501,0))</f>
        <v/>
      </c>
      <c r="D420">
        <f>IF(C420="","",C420&lt;=25)</f>
        <v/>
      </c>
      <c r="F420">
        <f>IF(A420="","",IF(AND(D420=TRUE,E420=""),"BUY",IF(AND(D420=FALSE,E420&lt;&gt;""),"SELL",IF(AND(D420=TRUE,E420&lt;&gt;""),"HOLD",""))))</f>
        <v/>
      </c>
      <c r="G420" s="12">
        <f>IF(D420=TRUE,4,0)</f>
        <v/>
      </c>
      <c r="H420">
        <f>IF(A420="","",BDP(A420&amp;" US Equity","GICS_SECTOR_NAME"))</f>
        <v/>
      </c>
    </row>
    <row r="421">
      <c r="A421">
        <f>'Factor Scores'!A421</f>
        <v/>
      </c>
      <c r="B421" s="10">
        <f>IF(A421="","",0.40*'Factor Scores'!C421+0.20*'Factor Scores'!E421+0.20*'Factor Scores'!G421+0.20*'Factor Scores'!H421)</f>
        <v/>
      </c>
      <c r="C421" s="12">
        <f>IF(B421="","",RANK(B421,$B$2:$B$2501,0))</f>
        <v/>
      </c>
      <c r="D421">
        <f>IF(C421="","",C421&lt;=25)</f>
        <v/>
      </c>
      <c r="F421">
        <f>IF(A421="","",IF(AND(D421=TRUE,E421=""),"BUY",IF(AND(D421=FALSE,E421&lt;&gt;""),"SELL",IF(AND(D421=TRUE,E421&lt;&gt;""),"HOLD",""))))</f>
        <v/>
      </c>
      <c r="G421" s="12">
        <f>IF(D421=TRUE,4,0)</f>
        <v/>
      </c>
      <c r="H421">
        <f>IF(A421="","",BDP(A421&amp;" US Equity","GICS_SECTOR_NAME"))</f>
        <v/>
      </c>
    </row>
    <row r="422">
      <c r="A422">
        <f>'Factor Scores'!A422</f>
        <v/>
      </c>
      <c r="B422" s="10">
        <f>IF(A422="","",0.40*'Factor Scores'!C422+0.20*'Factor Scores'!E422+0.20*'Factor Scores'!G422+0.20*'Factor Scores'!H422)</f>
        <v/>
      </c>
      <c r="C422" s="12">
        <f>IF(B422="","",RANK(B422,$B$2:$B$2501,0))</f>
        <v/>
      </c>
      <c r="D422">
        <f>IF(C422="","",C422&lt;=25)</f>
        <v/>
      </c>
      <c r="F422">
        <f>IF(A422="","",IF(AND(D422=TRUE,E422=""),"BUY",IF(AND(D422=FALSE,E422&lt;&gt;""),"SELL",IF(AND(D422=TRUE,E422&lt;&gt;""),"HOLD",""))))</f>
        <v/>
      </c>
      <c r="G422" s="12">
        <f>IF(D422=TRUE,4,0)</f>
        <v/>
      </c>
      <c r="H422">
        <f>IF(A422="","",BDP(A422&amp;" US Equity","GICS_SECTOR_NAME"))</f>
        <v/>
      </c>
    </row>
    <row r="423">
      <c r="A423">
        <f>'Factor Scores'!A423</f>
        <v/>
      </c>
      <c r="B423" s="10">
        <f>IF(A423="","",0.40*'Factor Scores'!C423+0.20*'Factor Scores'!E423+0.20*'Factor Scores'!G423+0.20*'Factor Scores'!H423)</f>
        <v/>
      </c>
      <c r="C423" s="12">
        <f>IF(B423="","",RANK(B423,$B$2:$B$2501,0))</f>
        <v/>
      </c>
      <c r="D423">
        <f>IF(C423="","",C423&lt;=25)</f>
        <v/>
      </c>
      <c r="F423">
        <f>IF(A423="","",IF(AND(D423=TRUE,E423=""),"BUY",IF(AND(D423=FALSE,E423&lt;&gt;""),"SELL",IF(AND(D423=TRUE,E423&lt;&gt;""),"HOLD",""))))</f>
        <v/>
      </c>
      <c r="G423" s="12">
        <f>IF(D423=TRUE,4,0)</f>
        <v/>
      </c>
      <c r="H423">
        <f>IF(A423="","",BDP(A423&amp;" US Equity","GICS_SECTOR_NAME"))</f>
        <v/>
      </c>
    </row>
    <row r="424">
      <c r="A424">
        <f>'Factor Scores'!A424</f>
        <v/>
      </c>
      <c r="B424" s="10">
        <f>IF(A424="","",0.40*'Factor Scores'!C424+0.20*'Factor Scores'!E424+0.20*'Factor Scores'!G424+0.20*'Factor Scores'!H424)</f>
        <v/>
      </c>
      <c r="C424" s="12">
        <f>IF(B424="","",RANK(B424,$B$2:$B$2501,0))</f>
        <v/>
      </c>
      <c r="D424">
        <f>IF(C424="","",C424&lt;=25)</f>
        <v/>
      </c>
      <c r="F424">
        <f>IF(A424="","",IF(AND(D424=TRUE,E424=""),"BUY",IF(AND(D424=FALSE,E424&lt;&gt;""),"SELL",IF(AND(D424=TRUE,E424&lt;&gt;""),"HOLD",""))))</f>
        <v/>
      </c>
      <c r="G424" s="12">
        <f>IF(D424=TRUE,4,0)</f>
        <v/>
      </c>
      <c r="H424">
        <f>IF(A424="","",BDP(A424&amp;" US Equity","GICS_SECTOR_NAME"))</f>
        <v/>
      </c>
    </row>
    <row r="425">
      <c r="A425">
        <f>'Factor Scores'!A425</f>
        <v/>
      </c>
      <c r="B425" s="10">
        <f>IF(A425="","",0.40*'Factor Scores'!C425+0.20*'Factor Scores'!E425+0.20*'Factor Scores'!G425+0.20*'Factor Scores'!H425)</f>
        <v/>
      </c>
      <c r="C425" s="12">
        <f>IF(B425="","",RANK(B425,$B$2:$B$2501,0))</f>
        <v/>
      </c>
      <c r="D425">
        <f>IF(C425="","",C425&lt;=25)</f>
        <v/>
      </c>
      <c r="F425">
        <f>IF(A425="","",IF(AND(D425=TRUE,E425=""),"BUY",IF(AND(D425=FALSE,E425&lt;&gt;""),"SELL",IF(AND(D425=TRUE,E425&lt;&gt;""),"HOLD",""))))</f>
        <v/>
      </c>
      <c r="G425" s="12">
        <f>IF(D425=TRUE,4,0)</f>
        <v/>
      </c>
      <c r="H425">
        <f>IF(A425="","",BDP(A425&amp;" US Equity","GICS_SECTOR_NAME"))</f>
        <v/>
      </c>
    </row>
    <row r="426">
      <c r="A426">
        <f>'Factor Scores'!A426</f>
        <v/>
      </c>
      <c r="B426" s="10">
        <f>IF(A426="","",0.40*'Factor Scores'!C426+0.20*'Factor Scores'!E426+0.20*'Factor Scores'!G426+0.20*'Factor Scores'!H426)</f>
        <v/>
      </c>
      <c r="C426" s="12">
        <f>IF(B426="","",RANK(B426,$B$2:$B$2501,0))</f>
        <v/>
      </c>
      <c r="D426">
        <f>IF(C426="","",C426&lt;=25)</f>
        <v/>
      </c>
      <c r="F426">
        <f>IF(A426="","",IF(AND(D426=TRUE,E426=""),"BUY",IF(AND(D426=FALSE,E426&lt;&gt;""),"SELL",IF(AND(D426=TRUE,E426&lt;&gt;""),"HOLD",""))))</f>
        <v/>
      </c>
      <c r="G426" s="12">
        <f>IF(D426=TRUE,4,0)</f>
        <v/>
      </c>
      <c r="H426">
        <f>IF(A426="","",BDP(A426&amp;" US Equity","GICS_SECTOR_NAME"))</f>
        <v/>
      </c>
    </row>
    <row r="427">
      <c r="A427">
        <f>'Factor Scores'!A427</f>
        <v/>
      </c>
      <c r="B427" s="10">
        <f>IF(A427="","",0.40*'Factor Scores'!C427+0.20*'Factor Scores'!E427+0.20*'Factor Scores'!G427+0.20*'Factor Scores'!H427)</f>
        <v/>
      </c>
      <c r="C427" s="12">
        <f>IF(B427="","",RANK(B427,$B$2:$B$2501,0))</f>
        <v/>
      </c>
      <c r="D427">
        <f>IF(C427="","",C427&lt;=25)</f>
        <v/>
      </c>
      <c r="F427">
        <f>IF(A427="","",IF(AND(D427=TRUE,E427=""),"BUY",IF(AND(D427=FALSE,E427&lt;&gt;""),"SELL",IF(AND(D427=TRUE,E427&lt;&gt;""),"HOLD",""))))</f>
        <v/>
      </c>
      <c r="G427" s="12">
        <f>IF(D427=TRUE,4,0)</f>
        <v/>
      </c>
      <c r="H427">
        <f>IF(A427="","",BDP(A427&amp;" US Equity","GICS_SECTOR_NAME"))</f>
        <v/>
      </c>
    </row>
    <row r="428">
      <c r="A428">
        <f>'Factor Scores'!A428</f>
        <v/>
      </c>
      <c r="B428" s="10">
        <f>IF(A428="","",0.40*'Factor Scores'!C428+0.20*'Factor Scores'!E428+0.20*'Factor Scores'!G428+0.20*'Factor Scores'!H428)</f>
        <v/>
      </c>
      <c r="C428" s="12">
        <f>IF(B428="","",RANK(B428,$B$2:$B$2501,0))</f>
        <v/>
      </c>
      <c r="D428">
        <f>IF(C428="","",C428&lt;=25)</f>
        <v/>
      </c>
      <c r="F428">
        <f>IF(A428="","",IF(AND(D428=TRUE,E428=""),"BUY",IF(AND(D428=FALSE,E428&lt;&gt;""),"SELL",IF(AND(D428=TRUE,E428&lt;&gt;""),"HOLD",""))))</f>
        <v/>
      </c>
      <c r="G428" s="12">
        <f>IF(D428=TRUE,4,0)</f>
        <v/>
      </c>
      <c r="H428">
        <f>IF(A428="","",BDP(A428&amp;" US Equity","GICS_SECTOR_NAME"))</f>
        <v/>
      </c>
    </row>
    <row r="429">
      <c r="A429">
        <f>'Factor Scores'!A429</f>
        <v/>
      </c>
      <c r="B429" s="10">
        <f>IF(A429="","",0.40*'Factor Scores'!C429+0.20*'Factor Scores'!E429+0.20*'Factor Scores'!G429+0.20*'Factor Scores'!H429)</f>
        <v/>
      </c>
      <c r="C429" s="12">
        <f>IF(B429="","",RANK(B429,$B$2:$B$2501,0))</f>
        <v/>
      </c>
      <c r="D429">
        <f>IF(C429="","",C429&lt;=25)</f>
        <v/>
      </c>
      <c r="F429">
        <f>IF(A429="","",IF(AND(D429=TRUE,E429=""),"BUY",IF(AND(D429=FALSE,E429&lt;&gt;""),"SELL",IF(AND(D429=TRUE,E429&lt;&gt;""),"HOLD",""))))</f>
        <v/>
      </c>
      <c r="G429" s="12">
        <f>IF(D429=TRUE,4,0)</f>
        <v/>
      </c>
      <c r="H429">
        <f>IF(A429="","",BDP(A429&amp;" US Equity","GICS_SECTOR_NAME"))</f>
        <v/>
      </c>
    </row>
    <row r="430">
      <c r="A430">
        <f>'Factor Scores'!A430</f>
        <v/>
      </c>
      <c r="B430" s="10">
        <f>IF(A430="","",0.40*'Factor Scores'!C430+0.20*'Factor Scores'!E430+0.20*'Factor Scores'!G430+0.20*'Factor Scores'!H430)</f>
        <v/>
      </c>
      <c r="C430" s="12">
        <f>IF(B430="","",RANK(B430,$B$2:$B$2501,0))</f>
        <v/>
      </c>
      <c r="D430">
        <f>IF(C430="","",C430&lt;=25)</f>
        <v/>
      </c>
      <c r="F430">
        <f>IF(A430="","",IF(AND(D430=TRUE,E430=""),"BUY",IF(AND(D430=FALSE,E430&lt;&gt;""),"SELL",IF(AND(D430=TRUE,E430&lt;&gt;""),"HOLD",""))))</f>
        <v/>
      </c>
      <c r="G430" s="12">
        <f>IF(D430=TRUE,4,0)</f>
        <v/>
      </c>
      <c r="H430">
        <f>IF(A430="","",BDP(A430&amp;" US Equity","GICS_SECTOR_NAME"))</f>
        <v/>
      </c>
    </row>
    <row r="431">
      <c r="A431">
        <f>'Factor Scores'!A431</f>
        <v/>
      </c>
      <c r="B431" s="10">
        <f>IF(A431="","",0.40*'Factor Scores'!C431+0.20*'Factor Scores'!E431+0.20*'Factor Scores'!G431+0.20*'Factor Scores'!H431)</f>
        <v/>
      </c>
      <c r="C431" s="12">
        <f>IF(B431="","",RANK(B431,$B$2:$B$2501,0))</f>
        <v/>
      </c>
      <c r="D431">
        <f>IF(C431="","",C431&lt;=25)</f>
        <v/>
      </c>
      <c r="F431">
        <f>IF(A431="","",IF(AND(D431=TRUE,E431=""),"BUY",IF(AND(D431=FALSE,E431&lt;&gt;""),"SELL",IF(AND(D431=TRUE,E431&lt;&gt;""),"HOLD",""))))</f>
        <v/>
      </c>
      <c r="G431" s="12">
        <f>IF(D431=TRUE,4,0)</f>
        <v/>
      </c>
      <c r="H431">
        <f>IF(A431="","",BDP(A431&amp;" US Equity","GICS_SECTOR_NAME"))</f>
        <v/>
      </c>
    </row>
    <row r="432">
      <c r="A432">
        <f>'Factor Scores'!A432</f>
        <v/>
      </c>
      <c r="B432" s="10">
        <f>IF(A432="","",0.40*'Factor Scores'!C432+0.20*'Factor Scores'!E432+0.20*'Factor Scores'!G432+0.20*'Factor Scores'!H432)</f>
        <v/>
      </c>
      <c r="C432" s="12">
        <f>IF(B432="","",RANK(B432,$B$2:$B$2501,0))</f>
        <v/>
      </c>
      <c r="D432">
        <f>IF(C432="","",C432&lt;=25)</f>
        <v/>
      </c>
      <c r="F432">
        <f>IF(A432="","",IF(AND(D432=TRUE,E432=""),"BUY",IF(AND(D432=FALSE,E432&lt;&gt;""),"SELL",IF(AND(D432=TRUE,E432&lt;&gt;""),"HOLD",""))))</f>
        <v/>
      </c>
      <c r="G432" s="12">
        <f>IF(D432=TRUE,4,0)</f>
        <v/>
      </c>
      <c r="H432">
        <f>IF(A432="","",BDP(A432&amp;" US Equity","GICS_SECTOR_NAME"))</f>
        <v/>
      </c>
    </row>
    <row r="433">
      <c r="A433">
        <f>'Factor Scores'!A433</f>
        <v/>
      </c>
      <c r="B433" s="10">
        <f>IF(A433="","",0.40*'Factor Scores'!C433+0.20*'Factor Scores'!E433+0.20*'Factor Scores'!G433+0.20*'Factor Scores'!H433)</f>
        <v/>
      </c>
      <c r="C433" s="12">
        <f>IF(B433="","",RANK(B433,$B$2:$B$2501,0))</f>
        <v/>
      </c>
      <c r="D433">
        <f>IF(C433="","",C433&lt;=25)</f>
        <v/>
      </c>
      <c r="F433">
        <f>IF(A433="","",IF(AND(D433=TRUE,E433=""),"BUY",IF(AND(D433=FALSE,E433&lt;&gt;""),"SELL",IF(AND(D433=TRUE,E433&lt;&gt;""),"HOLD",""))))</f>
        <v/>
      </c>
      <c r="G433" s="12">
        <f>IF(D433=TRUE,4,0)</f>
        <v/>
      </c>
      <c r="H433">
        <f>IF(A433="","",BDP(A433&amp;" US Equity","GICS_SECTOR_NAME"))</f>
        <v/>
      </c>
    </row>
    <row r="434">
      <c r="A434">
        <f>'Factor Scores'!A434</f>
        <v/>
      </c>
      <c r="B434" s="10">
        <f>IF(A434="","",0.40*'Factor Scores'!C434+0.20*'Factor Scores'!E434+0.20*'Factor Scores'!G434+0.20*'Factor Scores'!H434)</f>
        <v/>
      </c>
      <c r="C434" s="12">
        <f>IF(B434="","",RANK(B434,$B$2:$B$2501,0))</f>
        <v/>
      </c>
      <c r="D434">
        <f>IF(C434="","",C434&lt;=25)</f>
        <v/>
      </c>
      <c r="F434">
        <f>IF(A434="","",IF(AND(D434=TRUE,E434=""),"BUY",IF(AND(D434=FALSE,E434&lt;&gt;""),"SELL",IF(AND(D434=TRUE,E434&lt;&gt;""),"HOLD",""))))</f>
        <v/>
      </c>
      <c r="G434" s="12">
        <f>IF(D434=TRUE,4,0)</f>
        <v/>
      </c>
      <c r="H434">
        <f>IF(A434="","",BDP(A434&amp;" US Equity","GICS_SECTOR_NAME"))</f>
        <v/>
      </c>
    </row>
    <row r="435">
      <c r="A435">
        <f>'Factor Scores'!A435</f>
        <v/>
      </c>
      <c r="B435" s="10">
        <f>IF(A435="","",0.40*'Factor Scores'!C435+0.20*'Factor Scores'!E435+0.20*'Factor Scores'!G435+0.20*'Factor Scores'!H435)</f>
        <v/>
      </c>
      <c r="C435" s="12">
        <f>IF(B435="","",RANK(B435,$B$2:$B$2501,0))</f>
        <v/>
      </c>
      <c r="D435">
        <f>IF(C435="","",C435&lt;=25)</f>
        <v/>
      </c>
      <c r="F435">
        <f>IF(A435="","",IF(AND(D435=TRUE,E435=""),"BUY",IF(AND(D435=FALSE,E435&lt;&gt;""),"SELL",IF(AND(D435=TRUE,E435&lt;&gt;""),"HOLD",""))))</f>
        <v/>
      </c>
      <c r="G435" s="12">
        <f>IF(D435=TRUE,4,0)</f>
        <v/>
      </c>
      <c r="H435">
        <f>IF(A435="","",BDP(A435&amp;" US Equity","GICS_SECTOR_NAME"))</f>
        <v/>
      </c>
    </row>
    <row r="436">
      <c r="A436">
        <f>'Factor Scores'!A436</f>
        <v/>
      </c>
      <c r="B436" s="10">
        <f>IF(A436="","",0.40*'Factor Scores'!C436+0.20*'Factor Scores'!E436+0.20*'Factor Scores'!G436+0.20*'Factor Scores'!H436)</f>
        <v/>
      </c>
      <c r="C436" s="12">
        <f>IF(B436="","",RANK(B436,$B$2:$B$2501,0))</f>
        <v/>
      </c>
      <c r="D436">
        <f>IF(C436="","",C436&lt;=25)</f>
        <v/>
      </c>
      <c r="F436">
        <f>IF(A436="","",IF(AND(D436=TRUE,E436=""),"BUY",IF(AND(D436=FALSE,E436&lt;&gt;""),"SELL",IF(AND(D436=TRUE,E436&lt;&gt;""),"HOLD",""))))</f>
        <v/>
      </c>
      <c r="G436" s="12">
        <f>IF(D436=TRUE,4,0)</f>
        <v/>
      </c>
      <c r="H436">
        <f>IF(A436="","",BDP(A436&amp;" US Equity","GICS_SECTOR_NAME"))</f>
        <v/>
      </c>
    </row>
    <row r="437">
      <c r="A437">
        <f>'Factor Scores'!A437</f>
        <v/>
      </c>
      <c r="B437" s="10">
        <f>IF(A437="","",0.40*'Factor Scores'!C437+0.20*'Factor Scores'!E437+0.20*'Factor Scores'!G437+0.20*'Factor Scores'!H437)</f>
        <v/>
      </c>
      <c r="C437" s="12">
        <f>IF(B437="","",RANK(B437,$B$2:$B$2501,0))</f>
        <v/>
      </c>
      <c r="D437">
        <f>IF(C437="","",C437&lt;=25)</f>
        <v/>
      </c>
      <c r="F437">
        <f>IF(A437="","",IF(AND(D437=TRUE,E437=""),"BUY",IF(AND(D437=FALSE,E437&lt;&gt;""),"SELL",IF(AND(D437=TRUE,E437&lt;&gt;""),"HOLD",""))))</f>
        <v/>
      </c>
      <c r="G437" s="12">
        <f>IF(D437=TRUE,4,0)</f>
        <v/>
      </c>
      <c r="H437">
        <f>IF(A437="","",BDP(A437&amp;" US Equity","GICS_SECTOR_NAME"))</f>
        <v/>
      </c>
    </row>
    <row r="438">
      <c r="A438">
        <f>'Factor Scores'!A438</f>
        <v/>
      </c>
      <c r="B438" s="10">
        <f>IF(A438="","",0.40*'Factor Scores'!C438+0.20*'Factor Scores'!E438+0.20*'Factor Scores'!G438+0.20*'Factor Scores'!H438)</f>
        <v/>
      </c>
      <c r="C438" s="12">
        <f>IF(B438="","",RANK(B438,$B$2:$B$2501,0))</f>
        <v/>
      </c>
      <c r="D438">
        <f>IF(C438="","",C438&lt;=25)</f>
        <v/>
      </c>
      <c r="F438">
        <f>IF(A438="","",IF(AND(D438=TRUE,E438=""),"BUY",IF(AND(D438=FALSE,E438&lt;&gt;""),"SELL",IF(AND(D438=TRUE,E438&lt;&gt;""),"HOLD",""))))</f>
        <v/>
      </c>
      <c r="G438" s="12">
        <f>IF(D438=TRUE,4,0)</f>
        <v/>
      </c>
      <c r="H438">
        <f>IF(A438="","",BDP(A438&amp;" US Equity","GICS_SECTOR_NAME"))</f>
        <v/>
      </c>
    </row>
    <row r="439">
      <c r="A439">
        <f>'Factor Scores'!A439</f>
        <v/>
      </c>
      <c r="B439" s="10">
        <f>IF(A439="","",0.40*'Factor Scores'!C439+0.20*'Factor Scores'!E439+0.20*'Factor Scores'!G439+0.20*'Factor Scores'!H439)</f>
        <v/>
      </c>
      <c r="C439" s="12">
        <f>IF(B439="","",RANK(B439,$B$2:$B$2501,0))</f>
        <v/>
      </c>
      <c r="D439">
        <f>IF(C439="","",C439&lt;=25)</f>
        <v/>
      </c>
      <c r="F439">
        <f>IF(A439="","",IF(AND(D439=TRUE,E439=""),"BUY",IF(AND(D439=FALSE,E439&lt;&gt;""),"SELL",IF(AND(D439=TRUE,E439&lt;&gt;""),"HOLD",""))))</f>
        <v/>
      </c>
      <c r="G439" s="12">
        <f>IF(D439=TRUE,4,0)</f>
        <v/>
      </c>
      <c r="H439">
        <f>IF(A439="","",BDP(A439&amp;" US Equity","GICS_SECTOR_NAME"))</f>
        <v/>
      </c>
    </row>
    <row r="440">
      <c r="A440">
        <f>'Factor Scores'!A440</f>
        <v/>
      </c>
      <c r="B440" s="10">
        <f>IF(A440="","",0.40*'Factor Scores'!C440+0.20*'Factor Scores'!E440+0.20*'Factor Scores'!G440+0.20*'Factor Scores'!H440)</f>
        <v/>
      </c>
      <c r="C440" s="12">
        <f>IF(B440="","",RANK(B440,$B$2:$B$2501,0))</f>
        <v/>
      </c>
      <c r="D440">
        <f>IF(C440="","",C440&lt;=25)</f>
        <v/>
      </c>
      <c r="F440">
        <f>IF(A440="","",IF(AND(D440=TRUE,E440=""),"BUY",IF(AND(D440=FALSE,E440&lt;&gt;""),"SELL",IF(AND(D440=TRUE,E440&lt;&gt;""),"HOLD",""))))</f>
        <v/>
      </c>
      <c r="G440" s="12">
        <f>IF(D440=TRUE,4,0)</f>
        <v/>
      </c>
      <c r="H440">
        <f>IF(A440="","",BDP(A440&amp;" US Equity","GICS_SECTOR_NAME"))</f>
        <v/>
      </c>
    </row>
    <row r="441">
      <c r="A441">
        <f>'Factor Scores'!A441</f>
        <v/>
      </c>
      <c r="B441" s="10">
        <f>IF(A441="","",0.40*'Factor Scores'!C441+0.20*'Factor Scores'!E441+0.20*'Factor Scores'!G441+0.20*'Factor Scores'!H441)</f>
        <v/>
      </c>
      <c r="C441" s="12">
        <f>IF(B441="","",RANK(B441,$B$2:$B$2501,0))</f>
        <v/>
      </c>
      <c r="D441">
        <f>IF(C441="","",C441&lt;=25)</f>
        <v/>
      </c>
      <c r="F441">
        <f>IF(A441="","",IF(AND(D441=TRUE,E441=""),"BUY",IF(AND(D441=FALSE,E441&lt;&gt;""),"SELL",IF(AND(D441=TRUE,E441&lt;&gt;""),"HOLD",""))))</f>
        <v/>
      </c>
      <c r="G441" s="12">
        <f>IF(D441=TRUE,4,0)</f>
        <v/>
      </c>
      <c r="H441">
        <f>IF(A441="","",BDP(A441&amp;" US Equity","GICS_SECTOR_NAME"))</f>
        <v/>
      </c>
    </row>
    <row r="442">
      <c r="A442">
        <f>'Factor Scores'!A442</f>
        <v/>
      </c>
      <c r="B442" s="10">
        <f>IF(A442="","",0.40*'Factor Scores'!C442+0.20*'Factor Scores'!E442+0.20*'Factor Scores'!G442+0.20*'Factor Scores'!H442)</f>
        <v/>
      </c>
      <c r="C442" s="12">
        <f>IF(B442="","",RANK(B442,$B$2:$B$2501,0))</f>
        <v/>
      </c>
      <c r="D442">
        <f>IF(C442="","",C442&lt;=25)</f>
        <v/>
      </c>
      <c r="F442">
        <f>IF(A442="","",IF(AND(D442=TRUE,E442=""),"BUY",IF(AND(D442=FALSE,E442&lt;&gt;""),"SELL",IF(AND(D442=TRUE,E442&lt;&gt;""),"HOLD",""))))</f>
        <v/>
      </c>
      <c r="G442" s="12">
        <f>IF(D442=TRUE,4,0)</f>
        <v/>
      </c>
      <c r="H442">
        <f>IF(A442="","",BDP(A442&amp;" US Equity","GICS_SECTOR_NAME"))</f>
        <v/>
      </c>
    </row>
    <row r="443">
      <c r="A443">
        <f>'Factor Scores'!A443</f>
        <v/>
      </c>
      <c r="B443" s="10">
        <f>IF(A443="","",0.40*'Factor Scores'!C443+0.20*'Factor Scores'!E443+0.20*'Factor Scores'!G443+0.20*'Factor Scores'!H443)</f>
        <v/>
      </c>
      <c r="C443" s="12">
        <f>IF(B443="","",RANK(B443,$B$2:$B$2501,0))</f>
        <v/>
      </c>
      <c r="D443">
        <f>IF(C443="","",C443&lt;=25)</f>
        <v/>
      </c>
      <c r="F443">
        <f>IF(A443="","",IF(AND(D443=TRUE,E443=""),"BUY",IF(AND(D443=FALSE,E443&lt;&gt;""),"SELL",IF(AND(D443=TRUE,E443&lt;&gt;""),"HOLD",""))))</f>
        <v/>
      </c>
      <c r="G443" s="12">
        <f>IF(D443=TRUE,4,0)</f>
        <v/>
      </c>
      <c r="H443">
        <f>IF(A443="","",BDP(A443&amp;" US Equity","GICS_SECTOR_NAME"))</f>
        <v/>
      </c>
    </row>
    <row r="444">
      <c r="A444">
        <f>'Factor Scores'!A444</f>
        <v/>
      </c>
      <c r="B444" s="10">
        <f>IF(A444="","",0.40*'Factor Scores'!C444+0.20*'Factor Scores'!E444+0.20*'Factor Scores'!G444+0.20*'Factor Scores'!H444)</f>
        <v/>
      </c>
      <c r="C444" s="12">
        <f>IF(B444="","",RANK(B444,$B$2:$B$2501,0))</f>
        <v/>
      </c>
      <c r="D444">
        <f>IF(C444="","",C444&lt;=25)</f>
        <v/>
      </c>
      <c r="F444">
        <f>IF(A444="","",IF(AND(D444=TRUE,E444=""),"BUY",IF(AND(D444=FALSE,E444&lt;&gt;""),"SELL",IF(AND(D444=TRUE,E444&lt;&gt;""),"HOLD",""))))</f>
        <v/>
      </c>
      <c r="G444" s="12">
        <f>IF(D444=TRUE,4,0)</f>
        <v/>
      </c>
      <c r="H444">
        <f>IF(A444="","",BDP(A444&amp;" US Equity","GICS_SECTOR_NAME"))</f>
        <v/>
      </c>
    </row>
    <row r="445">
      <c r="A445">
        <f>'Factor Scores'!A445</f>
        <v/>
      </c>
      <c r="B445" s="10">
        <f>IF(A445="","",0.40*'Factor Scores'!C445+0.20*'Factor Scores'!E445+0.20*'Factor Scores'!G445+0.20*'Factor Scores'!H445)</f>
        <v/>
      </c>
      <c r="C445" s="12">
        <f>IF(B445="","",RANK(B445,$B$2:$B$2501,0))</f>
        <v/>
      </c>
      <c r="D445">
        <f>IF(C445="","",C445&lt;=25)</f>
        <v/>
      </c>
      <c r="F445">
        <f>IF(A445="","",IF(AND(D445=TRUE,E445=""),"BUY",IF(AND(D445=FALSE,E445&lt;&gt;""),"SELL",IF(AND(D445=TRUE,E445&lt;&gt;""),"HOLD",""))))</f>
        <v/>
      </c>
      <c r="G445" s="12">
        <f>IF(D445=TRUE,4,0)</f>
        <v/>
      </c>
      <c r="H445">
        <f>IF(A445="","",BDP(A445&amp;" US Equity","GICS_SECTOR_NAME"))</f>
        <v/>
      </c>
    </row>
    <row r="446">
      <c r="A446">
        <f>'Factor Scores'!A446</f>
        <v/>
      </c>
      <c r="B446" s="10">
        <f>IF(A446="","",0.40*'Factor Scores'!C446+0.20*'Factor Scores'!E446+0.20*'Factor Scores'!G446+0.20*'Factor Scores'!H446)</f>
        <v/>
      </c>
      <c r="C446" s="12">
        <f>IF(B446="","",RANK(B446,$B$2:$B$2501,0))</f>
        <v/>
      </c>
      <c r="D446">
        <f>IF(C446="","",C446&lt;=25)</f>
        <v/>
      </c>
      <c r="F446">
        <f>IF(A446="","",IF(AND(D446=TRUE,E446=""),"BUY",IF(AND(D446=FALSE,E446&lt;&gt;""),"SELL",IF(AND(D446=TRUE,E446&lt;&gt;""),"HOLD",""))))</f>
        <v/>
      </c>
      <c r="G446" s="12">
        <f>IF(D446=TRUE,4,0)</f>
        <v/>
      </c>
      <c r="H446">
        <f>IF(A446="","",BDP(A446&amp;" US Equity","GICS_SECTOR_NAME"))</f>
        <v/>
      </c>
    </row>
    <row r="447">
      <c r="A447">
        <f>'Factor Scores'!A447</f>
        <v/>
      </c>
      <c r="B447" s="10">
        <f>IF(A447="","",0.40*'Factor Scores'!C447+0.20*'Factor Scores'!E447+0.20*'Factor Scores'!G447+0.20*'Factor Scores'!H447)</f>
        <v/>
      </c>
      <c r="C447" s="12">
        <f>IF(B447="","",RANK(B447,$B$2:$B$2501,0))</f>
        <v/>
      </c>
      <c r="D447">
        <f>IF(C447="","",C447&lt;=25)</f>
        <v/>
      </c>
      <c r="F447">
        <f>IF(A447="","",IF(AND(D447=TRUE,E447=""),"BUY",IF(AND(D447=FALSE,E447&lt;&gt;""),"SELL",IF(AND(D447=TRUE,E447&lt;&gt;""),"HOLD",""))))</f>
        <v/>
      </c>
      <c r="G447" s="12">
        <f>IF(D447=TRUE,4,0)</f>
        <v/>
      </c>
      <c r="H447">
        <f>IF(A447="","",BDP(A447&amp;" US Equity","GICS_SECTOR_NAME"))</f>
        <v/>
      </c>
    </row>
    <row r="448">
      <c r="A448">
        <f>'Factor Scores'!A448</f>
        <v/>
      </c>
      <c r="B448" s="10">
        <f>IF(A448="","",0.40*'Factor Scores'!C448+0.20*'Factor Scores'!E448+0.20*'Factor Scores'!G448+0.20*'Factor Scores'!H448)</f>
        <v/>
      </c>
      <c r="C448" s="12">
        <f>IF(B448="","",RANK(B448,$B$2:$B$2501,0))</f>
        <v/>
      </c>
      <c r="D448">
        <f>IF(C448="","",C448&lt;=25)</f>
        <v/>
      </c>
      <c r="F448">
        <f>IF(A448="","",IF(AND(D448=TRUE,E448=""),"BUY",IF(AND(D448=FALSE,E448&lt;&gt;""),"SELL",IF(AND(D448=TRUE,E448&lt;&gt;""),"HOLD",""))))</f>
        <v/>
      </c>
      <c r="G448" s="12">
        <f>IF(D448=TRUE,4,0)</f>
        <v/>
      </c>
      <c r="H448">
        <f>IF(A448="","",BDP(A448&amp;" US Equity","GICS_SECTOR_NAME"))</f>
        <v/>
      </c>
    </row>
    <row r="449">
      <c r="A449">
        <f>'Factor Scores'!A449</f>
        <v/>
      </c>
      <c r="B449" s="10">
        <f>IF(A449="","",0.40*'Factor Scores'!C449+0.20*'Factor Scores'!E449+0.20*'Factor Scores'!G449+0.20*'Factor Scores'!H449)</f>
        <v/>
      </c>
      <c r="C449" s="12">
        <f>IF(B449="","",RANK(B449,$B$2:$B$2501,0))</f>
        <v/>
      </c>
      <c r="D449">
        <f>IF(C449="","",C449&lt;=25)</f>
        <v/>
      </c>
      <c r="F449">
        <f>IF(A449="","",IF(AND(D449=TRUE,E449=""),"BUY",IF(AND(D449=FALSE,E449&lt;&gt;""),"SELL",IF(AND(D449=TRUE,E449&lt;&gt;""),"HOLD",""))))</f>
        <v/>
      </c>
      <c r="G449" s="12">
        <f>IF(D449=TRUE,4,0)</f>
        <v/>
      </c>
      <c r="H449">
        <f>IF(A449="","",BDP(A449&amp;" US Equity","GICS_SECTOR_NAME"))</f>
        <v/>
      </c>
    </row>
    <row r="450">
      <c r="A450">
        <f>'Factor Scores'!A450</f>
        <v/>
      </c>
      <c r="B450" s="10">
        <f>IF(A450="","",0.40*'Factor Scores'!C450+0.20*'Factor Scores'!E450+0.20*'Factor Scores'!G450+0.20*'Factor Scores'!H450)</f>
        <v/>
      </c>
      <c r="C450" s="12">
        <f>IF(B450="","",RANK(B450,$B$2:$B$2501,0))</f>
        <v/>
      </c>
      <c r="D450">
        <f>IF(C450="","",C450&lt;=25)</f>
        <v/>
      </c>
      <c r="F450">
        <f>IF(A450="","",IF(AND(D450=TRUE,E450=""),"BUY",IF(AND(D450=FALSE,E450&lt;&gt;""),"SELL",IF(AND(D450=TRUE,E450&lt;&gt;""),"HOLD",""))))</f>
        <v/>
      </c>
      <c r="G450" s="12">
        <f>IF(D450=TRUE,4,0)</f>
        <v/>
      </c>
      <c r="H450">
        <f>IF(A450="","",BDP(A450&amp;" US Equity","GICS_SECTOR_NAME"))</f>
        <v/>
      </c>
    </row>
    <row r="451">
      <c r="A451">
        <f>'Factor Scores'!A451</f>
        <v/>
      </c>
      <c r="B451" s="10">
        <f>IF(A451="","",0.40*'Factor Scores'!C451+0.20*'Factor Scores'!E451+0.20*'Factor Scores'!G451+0.20*'Factor Scores'!H451)</f>
        <v/>
      </c>
      <c r="C451" s="12">
        <f>IF(B451="","",RANK(B451,$B$2:$B$2501,0))</f>
        <v/>
      </c>
      <c r="D451">
        <f>IF(C451="","",C451&lt;=25)</f>
        <v/>
      </c>
      <c r="F451">
        <f>IF(A451="","",IF(AND(D451=TRUE,E451=""),"BUY",IF(AND(D451=FALSE,E451&lt;&gt;""),"SELL",IF(AND(D451=TRUE,E451&lt;&gt;""),"HOLD",""))))</f>
        <v/>
      </c>
      <c r="G451" s="12">
        <f>IF(D451=TRUE,4,0)</f>
        <v/>
      </c>
      <c r="H451">
        <f>IF(A451="","",BDP(A451&amp;" US Equity","GICS_SECTOR_NAME"))</f>
        <v/>
      </c>
    </row>
    <row r="452">
      <c r="A452">
        <f>'Factor Scores'!A452</f>
        <v/>
      </c>
      <c r="B452" s="10">
        <f>IF(A452="","",0.40*'Factor Scores'!C452+0.20*'Factor Scores'!E452+0.20*'Factor Scores'!G452+0.20*'Factor Scores'!H452)</f>
        <v/>
      </c>
      <c r="C452" s="12">
        <f>IF(B452="","",RANK(B452,$B$2:$B$2501,0))</f>
        <v/>
      </c>
      <c r="D452">
        <f>IF(C452="","",C452&lt;=25)</f>
        <v/>
      </c>
      <c r="F452">
        <f>IF(A452="","",IF(AND(D452=TRUE,E452=""),"BUY",IF(AND(D452=FALSE,E452&lt;&gt;""),"SELL",IF(AND(D452=TRUE,E452&lt;&gt;""),"HOLD",""))))</f>
        <v/>
      </c>
      <c r="G452" s="12">
        <f>IF(D452=TRUE,4,0)</f>
        <v/>
      </c>
      <c r="H452">
        <f>IF(A452="","",BDP(A452&amp;" US Equity","GICS_SECTOR_NAME"))</f>
        <v/>
      </c>
    </row>
    <row r="453">
      <c r="A453">
        <f>'Factor Scores'!A453</f>
        <v/>
      </c>
      <c r="B453" s="10">
        <f>IF(A453="","",0.40*'Factor Scores'!C453+0.20*'Factor Scores'!E453+0.20*'Factor Scores'!G453+0.20*'Factor Scores'!H453)</f>
        <v/>
      </c>
      <c r="C453" s="12">
        <f>IF(B453="","",RANK(B453,$B$2:$B$2501,0))</f>
        <v/>
      </c>
      <c r="D453">
        <f>IF(C453="","",C453&lt;=25)</f>
        <v/>
      </c>
      <c r="F453">
        <f>IF(A453="","",IF(AND(D453=TRUE,E453=""),"BUY",IF(AND(D453=FALSE,E453&lt;&gt;""),"SELL",IF(AND(D453=TRUE,E453&lt;&gt;""),"HOLD",""))))</f>
        <v/>
      </c>
      <c r="G453" s="12">
        <f>IF(D453=TRUE,4,0)</f>
        <v/>
      </c>
      <c r="H453">
        <f>IF(A453="","",BDP(A453&amp;" US Equity","GICS_SECTOR_NAME"))</f>
        <v/>
      </c>
    </row>
    <row r="454">
      <c r="A454">
        <f>'Factor Scores'!A454</f>
        <v/>
      </c>
      <c r="B454" s="10">
        <f>IF(A454="","",0.40*'Factor Scores'!C454+0.20*'Factor Scores'!E454+0.20*'Factor Scores'!G454+0.20*'Factor Scores'!H454)</f>
        <v/>
      </c>
      <c r="C454" s="12">
        <f>IF(B454="","",RANK(B454,$B$2:$B$2501,0))</f>
        <v/>
      </c>
      <c r="D454">
        <f>IF(C454="","",C454&lt;=25)</f>
        <v/>
      </c>
      <c r="F454">
        <f>IF(A454="","",IF(AND(D454=TRUE,E454=""),"BUY",IF(AND(D454=FALSE,E454&lt;&gt;""),"SELL",IF(AND(D454=TRUE,E454&lt;&gt;""),"HOLD",""))))</f>
        <v/>
      </c>
      <c r="G454" s="12">
        <f>IF(D454=TRUE,4,0)</f>
        <v/>
      </c>
      <c r="H454">
        <f>IF(A454="","",BDP(A454&amp;" US Equity","GICS_SECTOR_NAME"))</f>
        <v/>
      </c>
    </row>
    <row r="455">
      <c r="A455">
        <f>'Factor Scores'!A455</f>
        <v/>
      </c>
      <c r="B455" s="10">
        <f>IF(A455="","",0.40*'Factor Scores'!C455+0.20*'Factor Scores'!E455+0.20*'Factor Scores'!G455+0.20*'Factor Scores'!H455)</f>
        <v/>
      </c>
      <c r="C455" s="12">
        <f>IF(B455="","",RANK(B455,$B$2:$B$2501,0))</f>
        <v/>
      </c>
      <c r="D455">
        <f>IF(C455="","",C455&lt;=25)</f>
        <v/>
      </c>
      <c r="F455">
        <f>IF(A455="","",IF(AND(D455=TRUE,E455=""),"BUY",IF(AND(D455=FALSE,E455&lt;&gt;""),"SELL",IF(AND(D455=TRUE,E455&lt;&gt;""),"HOLD",""))))</f>
        <v/>
      </c>
      <c r="G455" s="12">
        <f>IF(D455=TRUE,4,0)</f>
        <v/>
      </c>
      <c r="H455">
        <f>IF(A455="","",BDP(A455&amp;" US Equity","GICS_SECTOR_NAME"))</f>
        <v/>
      </c>
    </row>
    <row r="456">
      <c r="A456">
        <f>'Factor Scores'!A456</f>
        <v/>
      </c>
      <c r="B456" s="10">
        <f>IF(A456="","",0.40*'Factor Scores'!C456+0.20*'Factor Scores'!E456+0.20*'Factor Scores'!G456+0.20*'Factor Scores'!H456)</f>
        <v/>
      </c>
      <c r="C456" s="12">
        <f>IF(B456="","",RANK(B456,$B$2:$B$2501,0))</f>
        <v/>
      </c>
      <c r="D456">
        <f>IF(C456="","",C456&lt;=25)</f>
        <v/>
      </c>
      <c r="F456">
        <f>IF(A456="","",IF(AND(D456=TRUE,E456=""),"BUY",IF(AND(D456=FALSE,E456&lt;&gt;""),"SELL",IF(AND(D456=TRUE,E456&lt;&gt;""),"HOLD",""))))</f>
        <v/>
      </c>
      <c r="G456" s="12">
        <f>IF(D456=TRUE,4,0)</f>
        <v/>
      </c>
      <c r="H456">
        <f>IF(A456="","",BDP(A456&amp;" US Equity","GICS_SECTOR_NAME"))</f>
        <v/>
      </c>
    </row>
    <row r="457">
      <c r="A457">
        <f>'Factor Scores'!A457</f>
        <v/>
      </c>
      <c r="B457" s="10">
        <f>IF(A457="","",0.40*'Factor Scores'!C457+0.20*'Factor Scores'!E457+0.20*'Factor Scores'!G457+0.20*'Factor Scores'!H457)</f>
        <v/>
      </c>
      <c r="C457" s="12">
        <f>IF(B457="","",RANK(B457,$B$2:$B$2501,0))</f>
        <v/>
      </c>
      <c r="D457">
        <f>IF(C457="","",C457&lt;=25)</f>
        <v/>
      </c>
      <c r="F457">
        <f>IF(A457="","",IF(AND(D457=TRUE,E457=""),"BUY",IF(AND(D457=FALSE,E457&lt;&gt;""),"SELL",IF(AND(D457=TRUE,E457&lt;&gt;""),"HOLD",""))))</f>
        <v/>
      </c>
      <c r="G457" s="12">
        <f>IF(D457=TRUE,4,0)</f>
        <v/>
      </c>
      <c r="H457">
        <f>IF(A457="","",BDP(A457&amp;" US Equity","GICS_SECTOR_NAME"))</f>
        <v/>
      </c>
    </row>
    <row r="458">
      <c r="A458">
        <f>'Factor Scores'!A458</f>
        <v/>
      </c>
      <c r="B458" s="10">
        <f>IF(A458="","",0.40*'Factor Scores'!C458+0.20*'Factor Scores'!E458+0.20*'Factor Scores'!G458+0.20*'Factor Scores'!H458)</f>
        <v/>
      </c>
      <c r="C458" s="12">
        <f>IF(B458="","",RANK(B458,$B$2:$B$2501,0))</f>
        <v/>
      </c>
      <c r="D458">
        <f>IF(C458="","",C458&lt;=25)</f>
        <v/>
      </c>
      <c r="F458">
        <f>IF(A458="","",IF(AND(D458=TRUE,E458=""),"BUY",IF(AND(D458=FALSE,E458&lt;&gt;""),"SELL",IF(AND(D458=TRUE,E458&lt;&gt;""),"HOLD",""))))</f>
        <v/>
      </c>
      <c r="G458" s="12">
        <f>IF(D458=TRUE,4,0)</f>
        <v/>
      </c>
      <c r="H458">
        <f>IF(A458="","",BDP(A458&amp;" US Equity","GICS_SECTOR_NAME"))</f>
        <v/>
      </c>
    </row>
    <row r="459">
      <c r="A459">
        <f>'Factor Scores'!A459</f>
        <v/>
      </c>
      <c r="B459" s="10">
        <f>IF(A459="","",0.40*'Factor Scores'!C459+0.20*'Factor Scores'!E459+0.20*'Factor Scores'!G459+0.20*'Factor Scores'!H459)</f>
        <v/>
      </c>
      <c r="C459" s="12">
        <f>IF(B459="","",RANK(B459,$B$2:$B$2501,0))</f>
        <v/>
      </c>
      <c r="D459">
        <f>IF(C459="","",C459&lt;=25)</f>
        <v/>
      </c>
      <c r="F459">
        <f>IF(A459="","",IF(AND(D459=TRUE,E459=""),"BUY",IF(AND(D459=FALSE,E459&lt;&gt;""),"SELL",IF(AND(D459=TRUE,E459&lt;&gt;""),"HOLD",""))))</f>
        <v/>
      </c>
      <c r="G459" s="12">
        <f>IF(D459=TRUE,4,0)</f>
        <v/>
      </c>
      <c r="H459">
        <f>IF(A459="","",BDP(A459&amp;" US Equity","GICS_SECTOR_NAME"))</f>
        <v/>
      </c>
    </row>
    <row r="460">
      <c r="A460">
        <f>'Factor Scores'!A460</f>
        <v/>
      </c>
      <c r="B460" s="10">
        <f>IF(A460="","",0.40*'Factor Scores'!C460+0.20*'Factor Scores'!E460+0.20*'Factor Scores'!G460+0.20*'Factor Scores'!H460)</f>
        <v/>
      </c>
      <c r="C460" s="12">
        <f>IF(B460="","",RANK(B460,$B$2:$B$2501,0))</f>
        <v/>
      </c>
      <c r="D460">
        <f>IF(C460="","",C460&lt;=25)</f>
        <v/>
      </c>
      <c r="F460">
        <f>IF(A460="","",IF(AND(D460=TRUE,E460=""),"BUY",IF(AND(D460=FALSE,E460&lt;&gt;""),"SELL",IF(AND(D460=TRUE,E460&lt;&gt;""),"HOLD",""))))</f>
        <v/>
      </c>
      <c r="G460" s="12">
        <f>IF(D460=TRUE,4,0)</f>
        <v/>
      </c>
      <c r="H460">
        <f>IF(A460="","",BDP(A460&amp;" US Equity","GICS_SECTOR_NAME"))</f>
        <v/>
      </c>
    </row>
    <row r="461">
      <c r="A461">
        <f>'Factor Scores'!A461</f>
        <v/>
      </c>
      <c r="B461" s="10">
        <f>IF(A461="","",0.40*'Factor Scores'!C461+0.20*'Factor Scores'!E461+0.20*'Factor Scores'!G461+0.20*'Factor Scores'!H461)</f>
        <v/>
      </c>
      <c r="C461" s="12">
        <f>IF(B461="","",RANK(B461,$B$2:$B$2501,0))</f>
        <v/>
      </c>
      <c r="D461">
        <f>IF(C461="","",C461&lt;=25)</f>
        <v/>
      </c>
      <c r="F461">
        <f>IF(A461="","",IF(AND(D461=TRUE,E461=""),"BUY",IF(AND(D461=FALSE,E461&lt;&gt;""),"SELL",IF(AND(D461=TRUE,E461&lt;&gt;""),"HOLD",""))))</f>
        <v/>
      </c>
      <c r="G461" s="12">
        <f>IF(D461=TRUE,4,0)</f>
        <v/>
      </c>
      <c r="H461">
        <f>IF(A461="","",BDP(A461&amp;" US Equity","GICS_SECTOR_NAME"))</f>
        <v/>
      </c>
    </row>
    <row r="462">
      <c r="A462">
        <f>'Factor Scores'!A462</f>
        <v/>
      </c>
      <c r="B462" s="10">
        <f>IF(A462="","",0.40*'Factor Scores'!C462+0.20*'Factor Scores'!E462+0.20*'Factor Scores'!G462+0.20*'Factor Scores'!H462)</f>
        <v/>
      </c>
      <c r="C462" s="12">
        <f>IF(B462="","",RANK(B462,$B$2:$B$2501,0))</f>
        <v/>
      </c>
      <c r="D462">
        <f>IF(C462="","",C462&lt;=25)</f>
        <v/>
      </c>
      <c r="F462">
        <f>IF(A462="","",IF(AND(D462=TRUE,E462=""),"BUY",IF(AND(D462=FALSE,E462&lt;&gt;""),"SELL",IF(AND(D462=TRUE,E462&lt;&gt;""),"HOLD",""))))</f>
        <v/>
      </c>
      <c r="G462" s="12">
        <f>IF(D462=TRUE,4,0)</f>
        <v/>
      </c>
      <c r="H462">
        <f>IF(A462="","",BDP(A462&amp;" US Equity","GICS_SECTOR_NAME"))</f>
        <v/>
      </c>
    </row>
    <row r="463">
      <c r="A463">
        <f>'Factor Scores'!A463</f>
        <v/>
      </c>
      <c r="B463" s="10">
        <f>IF(A463="","",0.40*'Factor Scores'!C463+0.20*'Factor Scores'!E463+0.20*'Factor Scores'!G463+0.20*'Factor Scores'!H463)</f>
        <v/>
      </c>
      <c r="C463" s="12">
        <f>IF(B463="","",RANK(B463,$B$2:$B$2501,0))</f>
        <v/>
      </c>
      <c r="D463">
        <f>IF(C463="","",C463&lt;=25)</f>
        <v/>
      </c>
      <c r="F463">
        <f>IF(A463="","",IF(AND(D463=TRUE,E463=""),"BUY",IF(AND(D463=FALSE,E463&lt;&gt;""),"SELL",IF(AND(D463=TRUE,E463&lt;&gt;""),"HOLD",""))))</f>
        <v/>
      </c>
      <c r="G463" s="12">
        <f>IF(D463=TRUE,4,0)</f>
        <v/>
      </c>
      <c r="H463">
        <f>IF(A463="","",BDP(A463&amp;" US Equity","GICS_SECTOR_NAME"))</f>
        <v/>
      </c>
    </row>
    <row r="464">
      <c r="A464">
        <f>'Factor Scores'!A464</f>
        <v/>
      </c>
      <c r="B464" s="10">
        <f>IF(A464="","",0.40*'Factor Scores'!C464+0.20*'Factor Scores'!E464+0.20*'Factor Scores'!G464+0.20*'Factor Scores'!H464)</f>
        <v/>
      </c>
      <c r="C464" s="12">
        <f>IF(B464="","",RANK(B464,$B$2:$B$2501,0))</f>
        <v/>
      </c>
      <c r="D464">
        <f>IF(C464="","",C464&lt;=25)</f>
        <v/>
      </c>
      <c r="F464">
        <f>IF(A464="","",IF(AND(D464=TRUE,E464=""),"BUY",IF(AND(D464=FALSE,E464&lt;&gt;""),"SELL",IF(AND(D464=TRUE,E464&lt;&gt;""),"HOLD",""))))</f>
        <v/>
      </c>
      <c r="G464" s="12">
        <f>IF(D464=TRUE,4,0)</f>
        <v/>
      </c>
      <c r="H464">
        <f>IF(A464="","",BDP(A464&amp;" US Equity","GICS_SECTOR_NAME"))</f>
        <v/>
      </c>
    </row>
    <row r="465">
      <c r="A465">
        <f>'Factor Scores'!A465</f>
        <v/>
      </c>
      <c r="B465" s="10">
        <f>IF(A465="","",0.40*'Factor Scores'!C465+0.20*'Factor Scores'!E465+0.20*'Factor Scores'!G465+0.20*'Factor Scores'!H465)</f>
        <v/>
      </c>
      <c r="C465" s="12">
        <f>IF(B465="","",RANK(B465,$B$2:$B$2501,0))</f>
        <v/>
      </c>
      <c r="D465">
        <f>IF(C465="","",C465&lt;=25)</f>
        <v/>
      </c>
      <c r="F465">
        <f>IF(A465="","",IF(AND(D465=TRUE,E465=""),"BUY",IF(AND(D465=FALSE,E465&lt;&gt;""),"SELL",IF(AND(D465=TRUE,E465&lt;&gt;""),"HOLD",""))))</f>
        <v/>
      </c>
      <c r="G465" s="12">
        <f>IF(D465=TRUE,4,0)</f>
        <v/>
      </c>
      <c r="H465">
        <f>IF(A465="","",BDP(A465&amp;" US Equity","GICS_SECTOR_NAME"))</f>
        <v/>
      </c>
    </row>
    <row r="466">
      <c r="A466">
        <f>'Factor Scores'!A466</f>
        <v/>
      </c>
      <c r="B466" s="10">
        <f>IF(A466="","",0.40*'Factor Scores'!C466+0.20*'Factor Scores'!E466+0.20*'Factor Scores'!G466+0.20*'Factor Scores'!H466)</f>
        <v/>
      </c>
      <c r="C466" s="12">
        <f>IF(B466="","",RANK(B466,$B$2:$B$2501,0))</f>
        <v/>
      </c>
      <c r="D466">
        <f>IF(C466="","",C466&lt;=25)</f>
        <v/>
      </c>
      <c r="F466">
        <f>IF(A466="","",IF(AND(D466=TRUE,E466=""),"BUY",IF(AND(D466=FALSE,E466&lt;&gt;""),"SELL",IF(AND(D466=TRUE,E466&lt;&gt;""),"HOLD",""))))</f>
        <v/>
      </c>
      <c r="G466" s="12">
        <f>IF(D466=TRUE,4,0)</f>
        <v/>
      </c>
      <c r="H466">
        <f>IF(A466="","",BDP(A466&amp;" US Equity","GICS_SECTOR_NAME"))</f>
        <v/>
      </c>
    </row>
    <row r="467">
      <c r="A467">
        <f>'Factor Scores'!A467</f>
        <v/>
      </c>
      <c r="B467" s="10">
        <f>IF(A467="","",0.40*'Factor Scores'!C467+0.20*'Factor Scores'!E467+0.20*'Factor Scores'!G467+0.20*'Factor Scores'!H467)</f>
        <v/>
      </c>
      <c r="C467" s="12">
        <f>IF(B467="","",RANK(B467,$B$2:$B$2501,0))</f>
        <v/>
      </c>
      <c r="D467">
        <f>IF(C467="","",C467&lt;=25)</f>
        <v/>
      </c>
      <c r="F467">
        <f>IF(A467="","",IF(AND(D467=TRUE,E467=""),"BUY",IF(AND(D467=FALSE,E467&lt;&gt;""),"SELL",IF(AND(D467=TRUE,E467&lt;&gt;""),"HOLD",""))))</f>
        <v/>
      </c>
      <c r="G467" s="12">
        <f>IF(D467=TRUE,4,0)</f>
        <v/>
      </c>
      <c r="H467">
        <f>IF(A467="","",BDP(A467&amp;" US Equity","GICS_SECTOR_NAME"))</f>
        <v/>
      </c>
    </row>
    <row r="468">
      <c r="A468">
        <f>'Factor Scores'!A468</f>
        <v/>
      </c>
      <c r="B468" s="10">
        <f>IF(A468="","",0.40*'Factor Scores'!C468+0.20*'Factor Scores'!E468+0.20*'Factor Scores'!G468+0.20*'Factor Scores'!H468)</f>
        <v/>
      </c>
      <c r="C468" s="12">
        <f>IF(B468="","",RANK(B468,$B$2:$B$2501,0))</f>
        <v/>
      </c>
      <c r="D468">
        <f>IF(C468="","",C468&lt;=25)</f>
        <v/>
      </c>
      <c r="F468">
        <f>IF(A468="","",IF(AND(D468=TRUE,E468=""),"BUY",IF(AND(D468=FALSE,E468&lt;&gt;""),"SELL",IF(AND(D468=TRUE,E468&lt;&gt;""),"HOLD",""))))</f>
        <v/>
      </c>
      <c r="G468" s="12">
        <f>IF(D468=TRUE,4,0)</f>
        <v/>
      </c>
      <c r="H468">
        <f>IF(A468="","",BDP(A468&amp;" US Equity","GICS_SECTOR_NAME"))</f>
        <v/>
      </c>
    </row>
    <row r="469">
      <c r="A469">
        <f>'Factor Scores'!A469</f>
        <v/>
      </c>
      <c r="B469" s="10">
        <f>IF(A469="","",0.40*'Factor Scores'!C469+0.20*'Factor Scores'!E469+0.20*'Factor Scores'!G469+0.20*'Factor Scores'!H469)</f>
        <v/>
      </c>
      <c r="C469" s="12">
        <f>IF(B469="","",RANK(B469,$B$2:$B$2501,0))</f>
        <v/>
      </c>
      <c r="D469">
        <f>IF(C469="","",C469&lt;=25)</f>
        <v/>
      </c>
      <c r="F469">
        <f>IF(A469="","",IF(AND(D469=TRUE,E469=""),"BUY",IF(AND(D469=FALSE,E469&lt;&gt;""),"SELL",IF(AND(D469=TRUE,E469&lt;&gt;""),"HOLD",""))))</f>
        <v/>
      </c>
      <c r="G469" s="12">
        <f>IF(D469=TRUE,4,0)</f>
        <v/>
      </c>
      <c r="H469">
        <f>IF(A469="","",BDP(A469&amp;" US Equity","GICS_SECTOR_NAME"))</f>
        <v/>
      </c>
    </row>
    <row r="470">
      <c r="A470">
        <f>'Factor Scores'!A470</f>
        <v/>
      </c>
      <c r="B470" s="10">
        <f>IF(A470="","",0.40*'Factor Scores'!C470+0.20*'Factor Scores'!E470+0.20*'Factor Scores'!G470+0.20*'Factor Scores'!H470)</f>
        <v/>
      </c>
      <c r="C470" s="12">
        <f>IF(B470="","",RANK(B470,$B$2:$B$2501,0))</f>
        <v/>
      </c>
      <c r="D470">
        <f>IF(C470="","",C470&lt;=25)</f>
        <v/>
      </c>
      <c r="F470">
        <f>IF(A470="","",IF(AND(D470=TRUE,E470=""),"BUY",IF(AND(D470=FALSE,E470&lt;&gt;""),"SELL",IF(AND(D470=TRUE,E470&lt;&gt;""),"HOLD",""))))</f>
        <v/>
      </c>
      <c r="G470" s="12">
        <f>IF(D470=TRUE,4,0)</f>
        <v/>
      </c>
      <c r="H470">
        <f>IF(A470="","",BDP(A470&amp;" US Equity","GICS_SECTOR_NAME"))</f>
        <v/>
      </c>
    </row>
    <row r="471">
      <c r="A471">
        <f>'Factor Scores'!A471</f>
        <v/>
      </c>
      <c r="B471" s="10">
        <f>IF(A471="","",0.40*'Factor Scores'!C471+0.20*'Factor Scores'!E471+0.20*'Factor Scores'!G471+0.20*'Factor Scores'!H471)</f>
        <v/>
      </c>
      <c r="C471" s="12">
        <f>IF(B471="","",RANK(B471,$B$2:$B$2501,0))</f>
        <v/>
      </c>
      <c r="D471">
        <f>IF(C471="","",C471&lt;=25)</f>
        <v/>
      </c>
      <c r="F471">
        <f>IF(A471="","",IF(AND(D471=TRUE,E471=""),"BUY",IF(AND(D471=FALSE,E471&lt;&gt;""),"SELL",IF(AND(D471=TRUE,E471&lt;&gt;""),"HOLD",""))))</f>
        <v/>
      </c>
      <c r="G471" s="12">
        <f>IF(D471=TRUE,4,0)</f>
        <v/>
      </c>
      <c r="H471">
        <f>IF(A471="","",BDP(A471&amp;" US Equity","GICS_SECTOR_NAME"))</f>
        <v/>
      </c>
    </row>
    <row r="472">
      <c r="A472">
        <f>'Factor Scores'!A472</f>
        <v/>
      </c>
      <c r="B472" s="10">
        <f>IF(A472="","",0.40*'Factor Scores'!C472+0.20*'Factor Scores'!E472+0.20*'Factor Scores'!G472+0.20*'Factor Scores'!H472)</f>
        <v/>
      </c>
      <c r="C472" s="12">
        <f>IF(B472="","",RANK(B472,$B$2:$B$2501,0))</f>
        <v/>
      </c>
      <c r="D472">
        <f>IF(C472="","",C472&lt;=25)</f>
        <v/>
      </c>
      <c r="F472">
        <f>IF(A472="","",IF(AND(D472=TRUE,E472=""),"BUY",IF(AND(D472=FALSE,E472&lt;&gt;""),"SELL",IF(AND(D472=TRUE,E472&lt;&gt;""),"HOLD",""))))</f>
        <v/>
      </c>
      <c r="G472" s="12">
        <f>IF(D472=TRUE,4,0)</f>
        <v/>
      </c>
      <c r="H472">
        <f>IF(A472="","",BDP(A472&amp;" US Equity","GICS_SECTOR_NAME"))</f>
        <v/>
      </c>
    </row>
    <row r="473">
      <c r="A473">
        <f>'Factor Scores'!A473</f>
        <v/>
      </c>
      <c r="B473" s="10">
        <f>IF(A473="","",0.40*'Factor Scores'!C473+0.20*'Factor Scores'!E473+0.20*'Factor Scores'!G473+0.20*'Factor Scores'!H473)</f>
        <v/>
      </c>
      <c r="C473" s="12">
        <f>IF(B473="","",RANK(B473,$B$2:$B$2501,0))</f>
        <v/>
      </c>
      <c r="D473">
        <f>IF(C473="","",C473&lt;=25)</f>
        <v/>
      </c>
      <c r="F473">
        <f>IF(A473="","",IF(AND(D473=TRUE,E473=""),"BUY",IF(AND(D473=FALSE,E473&lt;&gt;""),"SELL",IF(AND(D473=TRUE,E473&lt;&gt;""),"HOLD",""))))</f>
        <v/>
      </c>
      <c r="G473" s="12">
        <f>IF(D473=TRUE,4,0)</f>
        <v/>
      </c>
      <c r="H473">
        <f>IF(A473="","",BDP(A473&amp;" US Equity","GICS_SECTOR_NAME"))</f>
        <v/>
      </c>
    </row>
    <row r="474">
      <c r="A474">
        <f>'Factor Scores'!A474</f>
        <v/>
      </c>
      <c r="B474" s="10">
        <f>IF(A474="","",0.40*'Factor Scores'!C474+0.20*'Factor Scores'!E474+0.20*'Factor Scores'!G474+0.20*'Factor Scores'!H474)</f>
        <v/>
      </c>
      <c r="C474" s="12">
        <f>IF(B474="","",RANK(B474,$B$2:$B$2501,0))</f>
        <v/>
      </c>
      <c r="D474">
        <f>IF(C474="","",C474&lt;=25)</f>
        <v/>
      </c>
      <c r="F474">
        <f>IF(A474="","",IF(AND(D474=TRUE,E474=""),"BUY",IF(AND(D474=FALSE,E474&lt;&gt;""),"SELL",IF(AND(D474=TRUE,E474&lt;&gt;""),"HOLD",""))))</f>
        <v/>
      </c>
      <c r="G474" s="12">
        <f>IF(D474=TRUE,4,0)</f>
        <v/>
      </c>
      <c r="H474">
        <f>IF(A474="","",BDP(A474&amp;" US Equity","GICS_SECTOR_NAME"))</f>
        <v/>
      </c>
    </row>
    <row r="475">
      <c r="A475">
        <f>'Factor Scores'!A475</f>
        <v/>
      </c>
      <c r="B475" s="10">
        <f>IF(A475="","",0.40*'Factor Scores'!C475+0.20*'Factor Scores'!E475+0.20*'Factor Scores'!G475+0.20*'Factor Scores'!H475)</f>
        <v/>
      </c>
      <c r="C475" s="12">
        <f>IF(B475="","",RANK(B475,$B$2:$B$2501,0))</f>
        <v/>
      </c>
      <c r="D475">
        <f>IF(C475="","",C475&lt;=25)</f>
        <v/>
      </c>
      <c r="F475">
        <f>IF(A475="","",IF(AND(D475=TRUE,E475=""),"BUY",IF(AND(D475=FALSE,E475&lt;&gt;""),"SELL",IF(AND(D475=TRUE,E475&lt;&gt;""),"HOLD",""))))</f>
        <v/>
      </c>
      <c r="G475" s="12">
        <f>IF(D475=TRUE,4,0)</f>
        <v/>
      </c>
      <c r="H475">
        <f>IF(A475="","",BDP(A475&amp;" US Equity","GICS_SECTOR_NAME"))</f>
        <v/>
      </c>
    </row>
    <row r="476">
      <c r="A476">
        <f>'Factor Scores'!A476</f>
        <v/>
      </c>
      <c r="B476" s="10">
        <f>IF(A476="","",0.40*'Factor Scores'!C476+0.20*'Factor Scores'!E476+0.20*'Factor Scores'!G476+0.20*'Factor Scores'!H476)</f>
        <v/>
      </c>
      <c r="C476" s="12">
        <f>IF(B476="","",RANK(B476,$B$2:$B$2501,0))</f>
        <v/>
      </c>
      <c r="D476">
        <f>IF(C476="","",C476&lt;=25)</f>
        <v/>
      </c>
      <c r="F476">
        <f>IF(A476="","",IF(AND(D476=TRUE,E476=""),"BUY",IF(AND(D476=FALSE,E476&lt;&gt;""),"SELL",IF(AND(D476=TRUE,E476&lt;&gt;""),"HOLD",""))))</f>
        <v/>
      </c>
      <c r="G476" s="12">
        <f>IF(D476=TRUE,4,0)</f>
        <v/>
      </c>
      <c r="H476">
        <f>IF(A476="","",BDP(A476&amp;" US Equity","GICS_SECTOR_NAME"))</f>
        <v/>
      </c>
    </row>
    <row r="477">
      <c r="A477">
        <f>'Factor Scores'!A477</f>
        <v/>
      </c>
      <c r="B477" s="10">
        <f>IF(A477="","",0.40*'Factor Scores'!C477+0.20*'Factor Scores'!E477+0.20*'Factor Scores'!G477+0.20*'Factor Scores'!H477)</f>
        <v/>
      </c>
      <c r="C477" s="12">
        <f>IF(B477="","",RANK(B477,$B$2:$B$2501,0))</f>
        <v/>
      </c>
      <c r="D477">
        <f>IF(C477="","",C477&lt;=25)</f>
        <v/>
      </c>
      <c r="F477">
        <f>IF(A477="","",IF(AND(D477=TRUE,E477=""),"BUY",IF(AND(D477=FALSE,E477&lt;&gt;""),"SELL",IF(AND(D477=TRUE,E477&lt;&gt;""),"HOLD",""))))</f>
        <v/>
      </c>
      <c r="G477" s="12">
        <f>IF(D477=TRUE,4,0)</f>
        <v/>
      </c>
      <c r="H477">
        <f>IF(A477="","",BDP(A477&amp;" US Equity","GICS_SECTOR_NAME"))</f>
        <v/>
      </c>
    </row>
    <row r="478">
      <c r="A478">
        <f>'Factor Scores'!A478</f>
        <v/>
      </c>
      <c r="B478" s="10">
        <f>IF(A478="","",0.40*'Factor Scores'!C478+0.20*'Factor Scores'!E478+0.20*'Factor Scores'!G478+0.20*'Factor Scores'!H478)</f>
        <v/>
      </c>
      <c r="C478" s="12">
        <f>IF(B478="","",RANK(B478,$B$2:$B$2501,0))</f>
        <v/>
      </c>
      <c r="D478">
        <f>IF(C478="","",C478&lt;=25)</f>
        <v/>
      </c>
      <c r="F478">
        <f>IF(A478="","",IF(AND(D478=TRUE,E478=""),"BUY",IF(AND(D478=FALSE,E478&lt;&gt;""),"SELL",IF(AND(D478=TRUE,E478&lt;&gt;""),"HOLD",""))))</f>
        <v/>
      </c>
      <c r="G478" s="12">
        <f>IF(D478=TRUE,4,0)</f>
        <v/>
      </c>
      <c r="H478">
        <f>IF(A478="","",BDP(A478&amp;" US Equity","GICS_SECTOR_NAME"))</f>
        <v/>
      </c>
    </row>
    <row r="479">
      <c r="A479">
        <f>'Factor Scores'!A479</f>
        <v/>
      </c>
      <c r="B479" s="10">
        <f>IF(A479="","",0.40*'Factor Scores'!C479+0.20*'Factor Scores'!E479+0.20*'Factor Scores'!G479+0.20*'Factor Scores'!H479)</f>
        <v/>
      </c>
      <c r="C479" s="12">
        <f>IF(B479="","",RANK(B479,$B$2:$B$2501,0))</f>
        <v/>
      </c>
      <c r="D479">
        <f>IF(C479="","",C479&lt;=25)</f>
        <v/>
      </c>
      <c r="F479">
        <f>IF(A479="","",IF(AND(D479=TRUE,E479=""),"BUY",IF(AND(D479=FALSE,E479&lt;&gt;""),"SELL",IF(AND(D479=TRUE,E479&lt;&gt;""),"HOLD",""))))</f>
        <v/>
      </c>
      <c r="G479" s="12">
        <f>IF(D479=TRUE,4,0)</f>
        <v/>
      </c>
      <c r="H479">
        <f>IF(A479="","",BDP(A479&amp;" US Equity","GICS_SECTOR_NAME"))</f>
        <v/>
      </c>
    </row>
    <row r="480">
      <c r="A480">
        <f>'Factor Scores'!A480</f>
        <v/>
      </c>
      <c r="B480" s="10">
        <f>IF(A480="","",0.40*'Factor Scores'!C480+0.20*'Factor Scores'!E480+0.20*'Factor Scores'!G480+0.20*'Factor Scores'!H480)</f>
        <v/>
      </c>
      <c r="C480" s="12">
        <f>IF(B480="","",RANK(B480,$B$2:$B$2501,0))</f>
        <v/>
      </c>
      <c r="D480">
        <f>IF(C480="","",C480&lt;=25)</f>
        <v/>
      </c>
      <c r="F480">
        <f>IF(A480="","",IF(AND(D480=TRUE,E480=""),"BUY",IF(AND(D480=FALSE,E480&lt;&gt;""),"SELL",IF(AND(D480=TRUE,E480&lt;&gt;""),"HOLD",""))))</f>
        <v/>
      </c>
      <c r="G480" s="12">
        <f>IF(D480=TRUE,4,0)</f>
        <v/>
      </c>
      <c r="H480">
        <f>IF(A480="","",BDP(A480&amp;" US Equity","GICS_SECTOR_NAME"))</f>
        <v/>
      </c>
    </row>
    <row r="481">
      <c r="A481">
        <f>'Factor Scores'!A481</f>
        <v/>
      </c>
      <c r="B481" s="10">
        <f>IF(A481="","",0.40*'Factor Scores'!C481+0.20*'Factor Scores'!E481+0.20*'Factor Scores'!G481+0.20*'Factor Scores'!H481)</f>
        <v/>
      </c>
      <c r="C481" s="12">
        <f>IF(B481="","",RANK(B481,$B$2:$B$2501,0))</f>
        <v/>
      </c>
      <c r="D481">
        <f>IF(C481="","",C481&lt;=25)</f>
        <v/>
      </c>
      <c r="F481">
        <f>IF(A481="","",IF(AND(D481=TRUE,E481=""),"BUY",IF(AND(D481=FALSE,E481&lt;&gt;""),"SELL",IF(AND(D481=TRUE,E481&lt;&gt;""),"HOLD",""))))</f>
        <v/>
      </c>
      <c r="G481" s="12">
        <f>IF(D481=TRUE,4,0)</f>
        <v/>
      </c>
      <c r="H481">
        <f>IF(A481="","",BDP(A481&amp;" US Equity","GICS_SECTOR_NAME"))</f>
        <v/>
      </c>
    </row>
    <row r="482">
      <c r="A482">
        <f>'Factor Scores'!A482</f>
        <v/>
      </c>
      <c r="B482" s="10">
        <f>IF(A482="","",0.40*'Factor Scores'!C482+0.20*'Factor Scores'!E482+0.20*'Factor Scores'!G482+0.20*'Factor Scores'!H482)</f>
        <v/>
      </c>
      <c r="C482" s="12">
        <f>IF(B482="","",RANK(B482,$B$2:$B$2501,0))</f>
        <v/>
      </c>
      <c r="D482">
        <f>IF(C482="","",C482&lt;=25)</f>
        <v/>
      </c>
      <c r="F482">
        <f>IF(A482="","",IF(AND(D482=TRUE,E482=""),"BUY",IF(AND(D482=FALSE,E482&lt;&gt;""),"SELL",IF(AND(D482=TRUE,E482&lt;&gt;""),"HOLD",""))))</f>
        <v/>
      </c>
      <c r="G482" s="12">
        <f>IF(D482=TRUE,4,0)</f>
        <v/>
      </c>
      <c r="H482">
        <f>IF(A482="","",BDP(A482&amp;" US Equity","GICS_SECTOR_NAME"))</f>
        <v/>
      </c>
    </row>
    <row r="483">
      <c r="A483">
        <f>'Factor Scores'!A483</f>
        <v/>
      </c>
      <c r="B483" s="10">
        <f>IF(A483="","",0.40*'Factor Scores'!C483+0.20*'Factor Scores'!E483+0.20*'Factor Scores'!G483+0.20*'Factor Scores'!H483)</f>
        <v/>
      </c>
      <c r="C483" s="12">
        <f>IF(B483="","",RANK(B483,$B$2:$B$2501,0))</f>
        <v/>
      </c>
      <c r="D483">
        <f>IF(C483="","",C483&lt;=25)</f>
        <v/>
      </c>
      <c r="F483">
        <f>IF(A483="","",IF(AND(D483=TRUE,E483=""),"BUY",IF(AND(D483=FALSE,E483&lt;&gt;""),"SELL",IF(AND(D483=TRUE,E483&lt;&gt;""),"HOLD",""))))</f>
        <v/>
      </c>
      <c r="G483" s="12">
        <f>IF(D483=TRUE,4,0)</f>
        <v/>
      </c>
      <c r="H483">
        <f>IF(A483="","",BDP(A483&amp;" US Equity","GICS_SECTOR_NAME"))</f>
        <v/>
      </c>
    </row>
    <row r="484">
      <c r="A484">
        <f>'Factor Scores'!A484</f>
        <v/>
      </c>
      <c r="B484" s="10">
        <f>IF(A484="","",0.40*'Factor Scores'!C484+0.20*'Factor Scores'!E484+0.20*'Factor Scores'!G484+0.20*'Factor Scores'!H484)</f>
        <v/>
      </c>
      <c r="C484" s="12">
        <f>IF(B484="","",RANK(B484,$B$2:$B$2501,0))</f>
        <v/>
      </c>
      <c r="D484">
        <f>IF(C484="","",C484&lt;=25)</f>
        <v/>
      </c>
      <c r="F484">
        <f>IF(A484="","",IF(AND(D484=TRUE,E484=""),"BUY",IF(AND(D484=FALSE,E484&lt;&gt;""),"SELL",IF(AND(D484=TRUE,E484&lt;&gt;""),"HOLD",""))))</f>
        <v/>
      </c>
      <c r="G484" s="12">
        <f>IF(D484=TRUE,4,0)</f>
        <v/>
      </c>
      <c r="H484">
        <f>IF(A484="","",BDP(A484&amp;" US Equity","GICS_SECTOR_NAME"))</f>
        <v/>
      </c>
    </row>
    <row r="485">
      <c r="A485">
        <f>'Factor Scores'!A485</f>
        <v/>
      </c>
      <c r="B485" s="10">
        <f>IF(A485="","",0.40*'Factor Scores'!C485+0.20*'Factor Scores'!E485+0.20*'Factor Scores'!G485+0.20*'Factor Scores'!H485)</f>
        <v/>
      </c>
      <c r="C485" s="12">
        <f>IF(B485="","",RANK(B485,$B$2:$B$2501,0))</f>
        <v/>
      </c>
      <c r="D485">
        <f>IF(C485="","",C485&lt;=25)</f>
        <v/>
      </c>
      <c r="F485">
        <f>IF(A485="","",IF(AND(D485=TRUE,E485=""),"BUY",IF(AND(D485=FALSE,E485&lt;&gt;""),"SELL",IF(AND(D485=TRUE,E485&lt;&gt;""),"HOLD",""))))</f>
        <v/>
      </c>
      <c r="G485" s="12">
        <f>IF(D485=TRUE,4,0)</f>
        <v/>
      </c>
      <c r="H485">
        <f>IF(A485="","",BDP(A485&amp;" US Equity","GICS_SECTOR_NAME"))</f>
        <v/>
      </c>
    </row>
    <row r="486">
      <c r="A486">
        <f>'Factor Scores'!A486</f>
        <v/>
      </c>
      <c r="B486" s="10">
        <f>IF(A486="","",0.40*'Factor Scores'!C486+0.20*'Factor Scores'!E486+0.20*'Factor Scores'!G486+0.20*'Factor Scores'!H486)</f>
        <v/>
      </c>
      <c r="C486" s="12">
        <f>IF(B486="","",RANK(B486,$B$2:$B$2501,0))</f>
        <v/>
      </c>
      <c r="D486">
        <f>IF(C486="","",C486&lt;=25)</f>
        <v/>
      </c>
      <c r="F486">
        <f>IF(A486="","",IF(AND(D486=TRUE,E486=""),"BUY",IF(AND(D486=FALSE,E486&lt;&gt;""),"SELL",IF(AND(D486=TRUE,E486&lt;&gt;""),"HOLD",""))))</f>
        <v/>
      </c>
      <c r="G486" s="12">
        <f>IF(D486=TRUE,4,0)</f>
        <v/>
      </c>
      <c r="H486">
        <f>IF(A486="","",BDP(A486&amp;" US Equity","GICS_SECTOR_NAME"))</f>
        <v/>
      </c>
    </row>
    <row r="487">
      <c r="A487">
        <f>'Factor Scores'!A487</f>
        <v/>
      </c>
      <c r="B487" s="10">
        <f>IF(A487="","",0.40*'Factor Scores'!C487+0.20*'Factor Scores'!E487+0.20*'Factor Scores'!G487+0.20*'Factor Scores'!H487)</f>
        <v/>
      </c>
      <c r="C487" s="12">
        <f>IF(B487="","",RANK(B487,$B$2:$B$2501,0))</f>
        <v/>
      </c>
      <c r="D487">
        <f>IF(C487="","",C487&lt;=25)</f>
        <v/>
      </c>
      <c r="F487">
        <f>IF(A487="","",IF(AND(D487=TRUE,E487=""),"BUY",IF(AND(D487=FALSE,E487&lt;&gt;""),"SELL",IF(AND(D487=TRUE,E487&lt;&gt;""),"HOLD",""))))</f>
        <v/>
      </c>
      <c r="G487" s="12">
        <f>IF(D487=TRUE,4,0)</f>
        <v/>
      </c>
      <c r="H487">
        <f>IF(A487="","",BDP(A487&amp;" US Equity","GICS_SECTOR_NAME"))</f>
        <v/>
      </c>
    </row>
    <row r="488">
      <c r="A488">
        <f>'Factor Scores'!A488</f>
        <v/>
      </c>
      <c r="B488" s="10">
        <f>IF(A488="","",0.40*'Factor Scores'!C488+0.20*'Factor Scores'!E488+0.20*'Factor Scores'!G488+0.20*'Factor Scores'!H488)</f>
        <v/>
      </c>
      <c r="C488" s="12">
        <f>IF(B488="","",RANK(B488,$B$2:$B$2501,0))</f>
        <v/>
      </c>
      <c r="D488">
        <f>IF(C488="","",C488&lt;=25)</f>
        <v/>
      </c>
      <c r="F488">
        <f>IF(A488="","",IF(AND(D488=TRUE,E488=""),"BUY",IF(AND(D488=FALSE,E488&lt;&gt;""),"SELL",IF(AND(D488=TRUE,E488&lt;&gt;""),"HOLD",""))))</f>
        <v/>
      </c>
      <c r="G488" s="12">
        <f>IF(D488=TRUE,4,0)</f>
        <v/>
      </c>
      <c r="H488">
        <f>IF(A488="","",BDP(A488&amp;" US Equity","GICS_SECTOR_NAME"))</f>
        <v/>
      </c>
    </row>
    <row r="489">
      <c r="A489">
        <f>'Factor Scores'!A489</f>
        <v/>
      </c>
      <c r="B489" s="10">
        <f>IF(A489="","",0.40*'Factor Scores'!C489+0.20*'Factor Scores'!E489+0.20*'Factor Scores'!G489+0.20*'Factor Scores'!H489)</f>
        <v/>
      </c>
      <c r="C489" s="12">
        <f>IF(B489="","",RANK(B489,$B$2:$B$2501,0))</f>
        <v/>
      </c>
      <c r="D489">
        <f>IF(C489="","",C489&lt;=25)</f>
        <v/>
      </c>
      <c r="F489">
        <f>IF(A489="","",IF(AND(D489=TRUE,E489=""),"BUY",IF(AND(D489=FALSE,E489&lt;&gt;""),"SELL",IF(AND(D489=TRUE,E489&lt;&gt;""),"HOLD",""))))</f>
        <v/>
      </c>
      <c r="G489" s="12">
        <f>IF(D489=TRUE,4,0)</f>
        <v/>
      </c>
      <c r="H489">
        <f>IF(A489="","",BDP(A489&amp;" US Equity","GICS_SECTOR_NAME"))</f>
        <v/>
      </c>
    </row>
    <row r="490">
      <c r="A490">
        <f>'Factor Scores'!A490</f>
        <v/>
      </c>
      <c r="B490" s="10">
        <f>IF(A490="","",0.40*'Factor Scores'!C490+0.20*'Factor Scores'!E490+0.20*'Factor Scores'!G490+0.20*'Factor Scores'!H490)</f>
        <v/>
      </c>
      <c r="C490" s="12">
        <f>IF(B490="","",RANK(B490,$B$2:$B$2501,0))</f>
        <v/>
      </c>
      <c r="D490">
        <f>IF(C490="","",C490&lt;=25)</f>
        <v/>
      </c>
      <c r="F490">
        <f>IF(A490="","",IF(AND(D490=TRUE,E490=""),"BUY",IF(AND(D490=FALSE,E490&lt;&gt;""),"SELL",IF(AND(D490=TRUE,E490&lt;&gt;""),"HOLD",""))))</f>
        <v/>
      </c>
      <c r="G490" s="12">
        <f>IF(D490=TRUE,4,0)</f>
        <v/>
      </c>
      <c r="H490">
        <f>IF(A490="","",BDP(A490&amp;" US Equity","GICS_SECTOR_NAME"))</f>
        <v/>
      </c>
    </row>
    <row r="491">
      <c r="A491">
        <f>'Factor Scores'!A491</f>
        <v/>
      </c>
      <c r="B491" s="10">
        <f>IF(A491="","",0.40*'Factor Scores'!C491+0.20*'Factor Scores'!E491+0.20*'Factor Scores'!G491+0.20*'Factor Scores'!H491)</f>
        <v/>
      </c>
      <c r="C491" s="12">
        <f>IF(B491="","",RANK(B491,$B$2:$B$2501,0))</f>
        <v/>
      </c>
      <c r="D491">
        <f>IF(C491="","",C491&lt;=25)</f>
        <v/>
      </c>
      <c r="F491">
        <f>IF(A491="","",IF(AND(D491=TRUE,E491=""),"BUY",IF(AND(D491=FALSE,E491&lt;&gt;""),"SELL",IF(AND(D491=TRUE,E491&lt;&gt;""),"HOLD",""))))</f>
        <v/>
      </c>
      <c r="G491" s="12">
        <f>IF(D491=TRUE,4,0)</f>
        <v/>
      </c>
      <c r="H491">
        <f>IF(A491="","",BDP(A491&amp;" US Equity","GICS_SECTOR_NAME"))</f>
        <v/>
      </c>
    </row>
    <row r="492">
      <c r="A492">
        <f>'Factor Scores'!A492</f>
        <v/>
      </c>
      <c r="B492" s="10">
        <f>IF(A492="","",0.40*'Factor Scores'!C492+0.20*'Factor Scores'!E492+0.20*'Factor Scores'!G492+0.20*'Factor Scores'!H492)</f>
        <v/>
      </c>
      <c r="C492" s="12">
        <f>IF(B492="","",RANK(B492,$B$2:$B$2501,0))</f>
        <v/>
      </c>
      <c r="D492">
        <f>IF(C492="","",C492&lt;=25)</f>
        <v/>
      </c>
      <c r="F492">
        <f>IF(A492="","",IF(AND(D492=TRUE,E492=""),"BUY",IF(AND(D492=FALSE,E492&lt;&gt;""),"SELL",IF(AND(D492=TRUE,E492&lt;&gt;""),"HOLD",""))))</f>
        <v/>
      </c>
      <c r="G492" s="12">
        <f>IF(D492=TRUE,4,0)</f>
        <v/>
      </c>
      <c r="H492">
        <f>IF(A492="","",BDP(A492&amp;" US Equity","GICS_SECTOR_NAME"))</f>
        <v/>
      </c>
    </row>
    <row r="493">
      <c r="A493">
        <f>'Factor Scores'!A493</f>
        <v/>
      </c>
      <c r="B493" s="10">
        <f>IF(A493="","",0.40*'Factor Scores'!C493+0.20*'Factor Scores'!E493+0.20*'Factor Scores'!G493+0.20*'Factor Scores'!H493)</f>
        <v/>
      </c>
      <c r="C493" s="12">
        <f>IF(B493="","",RANK(B493,$B$2:$B$2501,0))</f>
        <v/>
      </c>
      <c r="D493">
        <f>IF(C493="","",C493&lt;=25)</f>
        <v/>
      </c>
      <c r="F493">
        <f>IF(A493="","",IF(AND(D493=TRUE,E493=""),"BUY",IF(AND(D493=FALSE,E493&lt;&gt;""),"SELL",IF(AND(D493=TRUE,E493&lt;&gt;""),"HOLD",""))))</f>
        <v/>
      </c>
      <c r="G493" s="12">
        <f>IF(D493=TRUE,4,0)</f>
        <v/>
      </c>
      <c r="H493">
        <f>IF(A493="","",BDP(A493&amp;" US Equity","GICS_SECTOR_NAME"))</f>
        <v/>
      </c>
    </row>
    <row r="494">
      <c r="A494">
        <f>'Factor Scores'!A494</f>
        <v/>
      </c>
      <c r="B494" s="10">
        <f>IF(A494="","",0.40*'Factor Scores'!C494+0.20*'Factor Scores'!E494+0.20*'Factor Scores'!G494+0.20*'Factor Scores'!H494)</f>
        <v/>
      </c>
      <c r="C494" s="12">
        <f>IF(B494="","",RANK(B494,$B$2:$B$2501,0))</f>
        <v/>
      </c>
      <c r="D494">
        <f>IF(C494="","",C494&lt;=25)</f>
        <v/>
      </c>
      <c r="F494">
        <f>IF(A494="","",IF(AND(D494=TRUE,E494=""),"BUY",IF(AND(D494=FALSE,E494&lt;&gt;""),"SELL",IF(AND(D494=TRUE,E494&lt;&gt;""),"HOLD",""))))</f>
        <v/>
      </c>
      <c r="G494" s="12">
        <f>IF(D494=TRUE,4,0)</f>
        <v/>
      </c>
      <c r="H494">
        <f>IF(A494="","",BDP(A494&amp;" US Equity","GICS_SECTOR_NAME"))</f>
        <v/>
      </c>
    </row>
    <row r="495">
      <c r="A495">
        <f>'Factor Scores'!A495</f>
        <v/>
      </c>
      <c r="B495" s="10">
        <f>IF(A495="","",0.40*'Factor Scores'!C495+0.20*'Factor Scores'!E495+0.20*'Factor Scores'!G495+0.20*'Factor Scores'!H495)</f>
        <v/>
      </c>
      <c r="C495" s="12">
        <f>IF(B495="","",RANK(B495,$B$2:$B$2501,0))</f>
        <v/>
      </c>
      <c r="D495">
        <f>IF(C495="","",C495&lt;=25)</f>
        <v/>
      </c>
      <c r="F495">
        <f>IF(A495="","",IF(AND(D495=TRUE,E495=""),"BUY",IF(AND(D495=FALSE,E495&lt;&gt;""),"SELL",IF(AND(D495=TRUE,E495&lt;&gt;""),"HOLD",""))))</f>
        <v/>
      </c>
      <c r="G495" s="12">
        <f>IF(D495=TRUE,4,0)</f>
        <v/>
      </c>
      <c r="H495">
        <f>IF(A495="","",BDP(A495&amp;" US Equity","GICS_SECTOR_NAME"))</f>
        <v/>
      </c>
    </row>
    <row r="496">
      <c r="A496">
        <f>'Factor Scores'!A496</f>
        <v/>
      </c>
      <c r="B496" s="10">
        <f>IF(A496="","",0.40*'Factor Scores'!C496+0.20*'Factor Scores'!E496+0.20*'Factor Scores'!G496+0.20*'Factor Scores'!H496)</f>
        <v/>
      </c>
      <c r="C496" s="12">
        <f>IF(B496="","",RANK(B496,$B$2:$B$2501,0))</f>
        <v/>
      </c>
      <c r="D496">
        <f>IF(C496="","",C496&lt;=25)</f>
        <v/>
      </c>
      <c r="F496">
        <f>IF(A496="","",IF(AND(D496=TRUE,E496=""),"BUY",IF(AND(D496=FALSE,E496&lt;&gt;""),"SELL",IF(AND(D496=TRUE,E496&lt;&gt;""),"HOLD",""))))</f>
        <v/>
      </c>
      <c r="G496" s="12">
        <f>IF(D496=TRUE,4,0)</f>
        <v/>
      </c>
      <c r="H496">
        <f>IF(A496="","",BDP(A496&amp;" US Equity","GICS_SECTOR_NAME"))</f>
        <v/>
      </c>
    </row>
    <row r="497">
      <c r="A497">
        <f>'Factor Scores'!A497</f>
        <v/>
      </c>
      <c r="B497" s="10">
        <f>IF(A497="","",0.40*'Factor Scores'!C497+0.20*'Factor Scores'!E497+0.20*'Factor Scores'!G497+0.20*'Factor Scores'!H497)</f>
        <v/>
      </c>
      <c r="C497" s="12">
        <f>IF(B497="","",RANK(B497,$B$2:$B$2501,0))</f>
        <v/>
      </c>
      <c r="D497">
        <f>IF(C497="","",C497&lt;=25)</f>
        <v/>
      </c>
      <c r="F497">
        <f>IF(A497="","",IF(AND(D497=TRUE,E497=""),"BUY",IF(AND(D497=FALSE,E497&lt;&gt;""),"SELL",IF(AND(D497=TRUE,E497&lt;&gt;""),"HOLD",""))))</f>
        <v/>
      </c>
      <c r="G497" s="12">
        <f>IF(D497=TRUE,4,0)</f>
        <v/>
      </c>
      <c r="H497">
        <f>IF(A497="","",BDP(A497&amp;" US Equity","GICS_SECTOR_NAME"))</f>
        <v/>
      </c>
    </row>
    <row r="498">
      <c r="A498">
        <f>'Factor Scores'!A498</f>
        <v/>
      </c>
      <c r="B498" s="10">
        <f>IF(A498="","",0.40*'Factor Scores'!C498+0.20*'Factor Scores'!E498+0.20*'Factor Scores'!G498+0.20*'Factor Scores'!H498)</f>
        <v/>
      </c>
      <c r="C498" s="12">
        <f>IF(B498="","",RANK(B498,$B$2:$B$2501,0))</f>
        <v/>
      </c>
      <c r="D498">
        <f>IF(C498="","",C498&lt;=25)</f>
        <v/>
      </c>
      <c r="F498">
        <f>IF(A498="","",IF(AND(D498=TRUE,E498=""),"BUY",IF(AND(D498=FALSE,E498&lt;&gt;""),"SELL",IF(AND(D498=TRUE,E498&lt;&gt;""),"HOLD",""))))</f>
        <v/>
      </c>
      <c r="G498" s="12">
        <f>IF(D498=TRUE,4,0)</f>
        <v/>
      </c>
      <c r="H498">
        <f>IF(A498="","",BDP(A498&amp;" US Equity","GICS_SECTOR_NAME"))</f>
        <v/>
      </c>
    </row>
    <row r="499">
      <c r="A499">
        <f>'Factor Scores'!A499</f>
        <v/>
      </c>
      <c r="B499" s="10">
        <f>IF(A499="","",0.40*'Factor Scores'!C499+0.20*'Factor Scores'!E499+0.20*'Factor Scores'!G499+0.20*'Factor Scores'!H499)</f>
        <v/>
      </c>
      <c r="C499" s="12">
        <f>IF(B499="","",RANK(B499,$B$2:$B$2501,0))</f>
        <v/>
      </c>
      <c r="D499">
        <f>IF(C499="","",C499&lt;=25)</f>
        <v/>
      </c>
      <c r="F499">
        <f>IF(A499="","",IF(AND(D499=TRUE,E499=""),"BUY",IF(AND(D499=FALSE,E499&lt;&gt;""),"SELL",IF(AND(D499=TRUE,E499&lt;&gt;""),"HOLD",""))))</f>
        <v/>
      </c>
      <c r="G499" s="12">
        <f>IF(D499=TRUE,4,0)</f>
        <v/>
      </c>
      <c r="H499">
        <f>IF(A499="","",BDP(A499&amp;" US Equity","GICS_SECTOR_NAME"))</f>
        <v/>
      </c>
    </row>
    <row r="500">
      <c r="A500">
        <f>'Factor Scores'!A500</f>
        <v/>
      </c>
      <c r="B500" s="10">
        <f>IF(A500="","",0.40*'Factor Scores'!C500+0.20*'Factor Scores'!E500+0.20*'Factor Scores'!G500+0.20*'Factor Scores'!H500)</f>
        <v/>
      </c>
      <c r="C500" s="12">
        <f>IF(B500="","",RANK(B500,$B$2:$B$2501,0))</f>
        <v/>
      </c>
      <c r="D500">
        <f>IF(C500="","",C500&lt;=25)</f>
        <v/>
      </c>
      <c r="F500">
        <f>IF(A500="","",IF(AND(D500=TRUE,E500=""),"BUY",IF(AND(D500=FALSE,E500&lt;&gt;""),"SELL",IF(AND(D500=TRUE,E500&lt;&gt;""),"HOLD",""))))</f>
        <v/>
      </c>
      <c r="G500" s="12">
        <f>IF(D500=TRUE,4,0)</f>
        <v/>
      </c>
      <c r="H500">
        <f>IF(A500="","",BDP(A500&amp;" US Equity","GICS_SECTOR_NAME"))</f>
        <v/>
      </c>
    </row>
    <row r="501">
      <c r="A501">
        <f>'Factor Scores'!A501</f>
        <v/>
      </c>
      <c r="B501" s="10">
        <f>IF(A501="","",0.40*'Factor Scores'!C501+0.20*'Factor Scores'!E501+0.20*'Factor Scores'!G501+0.20*'Factor Scores'!H501)</f>
        <v/>
      </c>
      <c r="C501" s="12">
        <f>IF(B501="","",RANK(B501,$B$2:$B$2501,0))</f>
        <v/>
      </c>
      <c r="D501">
        <f>IF(C501="","",C501&lt;=25)</f>
        <v/>
      </c>
      <c r="F501">
        <f>IF(A501="","",IF(AND(D501=TRUE,E501=""),"BUY",IF(AND(D501=FALSE,E501&lt;&gt;""),"SELL",IF(AND(D501=TRUE,E501&lt;&gt;""),"HOLD",""))))</f>
        <v/>
      </c>
      <c r="G501" s="12">
        <f>IF(D501=TRUE,4,0)</f>
        <v/>
      </c>
      <c r="H501">
        <f>IF(A501="","",BDP(A501&amp;" US Equity","GICS_SECTOR_NAME"))</f>
        <v/>
      </c>
    </row>
    <row r="502">
      <c r="A502">
        <f>'Factor Scores'!A502</f>
        <v/>
      </c>
      <c r="B502" s="10">
        <f>IF(A502="","",0.40*'Factor Scores'!C502+0.20*'Factor Scores'!E502+0.20*'Factor Scores'!G502+0.20*'Factor Scores'!H502)</f>
        <v/>
      </c>
      <c r="C502" s="12">
        <f>IF(B502="","",RANK(B502,$B$2:$B$2501,0))</f>
        <v/>
      </c>
      <c r="D502">
        <f>IF(C502="","",C502&lt;=25)</f>
        <v/>
      </c>
      <c r="F502">
        <f>IF(A502="","",IF(AND(D502=TRUE,E502=""),"BUY",IF(AND(D502=FALSE,E502&lt;&gt;""),"SELL",IF(AND(D502=TRUE,E502&lt;&gt;""),"HOLD",""))))</f>
        <v/>
      </c>
      <c r="G502" s="12">
        <f>IF(D502=TRUE,4,0)</f>
        <v/>
      </c>
      <c r="H502">
        <f>IF(A502="","",BDP(A502&amp;" US Equity","GICS_SECTOR_NAME"))</f>
        <v/>
      </c>
    </row>
    <row r="503">
      <c r="A503">
        <f>'Factor Scores'!A503</f>
        <v/>
      </c>
      <c r="B503" s="10">
        <f>IF(A503="","",0.40*'Factor Scores'!C503+0.20*'Factor Scores'!E503+0.20*'Factor Scores'!G503+0.20*'Factor Scores'!H503)</f>
        <v/>
      </c>
      <c r="C503" s="12">
        <f>IF(B503="","",RANK(B503,$B$2:$B$2501,0))</f>
        <v/>
      </c>
      <c r="D503">
        <f>IF(C503="","",C503&lt;=25)</f>
        <v/>
      </c>
      <c r="F503">
        <f>IF(A503="","",IF(AND(D503=TRUE,E503=""),"BUY",IF(AND(D503=FALSE,E503&lt;&gt;""),"SELL",IF(AND(D503=TRUE,E503&lt;&gt;""),"HOLD",""))))</f>
        <v/>
      </c>
      <c r="G503" s="12">
        <f>IF(D503=TRUE,4,0)</f>
        <v/>
      </c>
      <c r="H503">
        <f>IF(A503="","",BDP(A503&amp;" US Equity","GICS_SECTOR_NAME"))</f>
        <v/>
      </c>
    </row>
    <row r="504">
      <c r="A504">
        <f>'Factor Scores'!A504</f>
        <v/>
      </c>
      <c r="B504" s="10">
        <f>IF(A504="","",0.40*'Factor Scores'!C504+0.20*'Factor Scores'!E504+0.20*'Factor Scores'!G504+0.20*'Factor Scores'!H504)</f>
        <v/>
      </c>
      <c r="C504" s="12">
        <f>IF(B504="","",RANK(B504,$B$2:$B$2501,0))</f>
        <v/>
      </c>
      <c r="D504">
        <f>IF(C504="","",C504&lt;=25)</f>
        <v/>
      </c>
      <c r="F504">
        <f>IF(A504="","",IF(AND(D504=TRUE,E504=""),"BUY",IF(AND(D504=FALSE,E504&lt;&gt;""),"SELL",IF(AND(D504=TRUE,E504&lt;&gt;""),"HOLD",""))))</f>
        <v/>
      </c>
      <c r="G504" s="12">
        <f>IF(D504=TRUE,4,0)</f>
        <v/>
      </c>
      <c r="H504">
        <f>IF(A504="","",BDP(A504&amp;" US Equity","GICS_SECTOR_NAME"))</f>
        <v/>
      </c>
    </row>
    <row r="505">
      <c r="A505">
        <f>'Factor Scores'!A505</f>
        <v/>
      </c>
      <c r="B505" s="10">
        <f>IF(A505="","",0.40*'Factor Scores'!C505+0.20*'Factor Scores'!E505+0.20*'Factor Scores'!G505+0.20*'Factor Scores'!H505)</f>
        <v/>
      </c>
      <c r="C505" s="12">
        <f>IF(B505="","",RANK(B505,$B$2:$B$2501,0))</f>
        <v/>
      </c>
      <c r="D505">
        <f>IF(C505="","",C505&lt;=25)</f>
        <v/>
      </c>
      <c r="F505">
        <f>IF(A505="","",IF(AND(D505=TRUE,E505=""),"BUY",IF(AND(D505=FALSE,E505&lt;&gt;""),"SELL",IF(AND(D505=TRUE,E505&lt;&gt;""),"HOLD",""))))</f>
        <v/>
      </c>
      <c r="G505" s="12">
        <f>IF(D505=TRUE,4,0)</f>
        <v/>
      </c>
      <c r="H505">
        <f>IF(A505="","",BDP(A505&amp;" US Equity","GICS_SECTOR_NAME"))</f>
        <v/>
      </c>
    </row>
    <row r="506">
      <c r="A506">
        <f>'Factor Scores'!A506</f>
        <v/>
      </c>
      <c r="B506" s="10">
        <f>IF(A506="","",0.40*'Factor Scores'!C506+0.20*'Factor Scores'!E506+0.20*'Factor Scores'!G506+0.20*'Factor Scores'!H506)</f>
        <v/>
      </c>
      <c r="C506" s="12">
        <f>IF(B506="","",RANK(B506,$B$2:$B$2501,0))</f>
        <v/>
      </c>
      <c r="D506">
        <f>IF(C506="","",C506&lt;=25)</f>
        <v/>
      </c>
      <c r="F506">
        <f>IF(A506="","",IF(AND(D506=TRUE,E506=""),"BUY",IF(AND(D506=FALSE,E506&lt;&gt;""),"SELL",IF(AND(D506=TRUE,E506&lt;&gt;""),"HOLD",""))))</f>
        <v/>
      </c>
      <c r="G506" s="12">
        <f>IF(D506=TRUE,4,0)</f>
        <v/>
      </c>
      <c r="H506">
        <f>IF(A506="","",BDP(A506&amp;" US Equity","GICS_SECTOR_NAME"))</f>
        <v/>
      </c>
    </row>
    <row r="507">
      <c r="A507">
        <f>'Factor Scores'!A507</f>
        <v/>
      </c>
      <c r="B507" s="10">
        <f>IF(A507="","",0.40*'Factor Scores'!C507+0.20*'Factor Scores'!E507+0.20*'Factor Scores'!G507+0.20*'Factor Scores'!H507)</f>
        <v/>
      </c>
      <c r="C507" s="12">
        <f>IF(B507="","",RANK(B507,$B$2:$B$2501,0))</f>
        <v/>
      </c>
      <c r="D507">
        <f>IF(C507="","",C507&lt;=25)</f>
        <v/>
      </c>
      <c r="F507">
        <f>IF(A507="","",IF(AND(D507=TRUE,E507=""),"BUY",IF(AND(D507=FALSE,E507&lt;&gt;""),"SELL",IF(AND(D507=TRUE,E507&lt;&gt;""),"HOLD",""))))</f>
        <v/>
      </c>
      <c r="G507" s="12">
        <f>IF(D507=TRUE,4,0)</f>
        <v/>
      </c>
      <c r="H507">
        <f>IF(A507="","",BDP(A507&amp;" US Equity","GICS_SECTOR_NAME"))</f>
        <v/>
      </c>
    </row>
    <row r="508">
      <c r="A508">
        <f>'Factor Scores'!A508</f>
        <v/>
      </c>
      <c r="B508" s="10">
        <f>IF(A508="","",0.40*'Factor Scores'!C508+0.20*'Factor Scores'!E508+0.20*'Factor Scores'!G508+0.20*'Factor Scores'!H508)</f>
        <v/>
      </c>
      <c r="C508" s="12">
        <f>IF(B508="","",RANK(B508,$B$2:$B$2501,0))</f>
        <v/>
      </c>
      <c r="D508">
        <f>IF(C508="","",C508&lt;=25)</f>
        <v/>
      </c>
      <c r="F508">
        <f>IF(A508="","",IF(AND(D508=TRUE,E508=""),"BUY",IF(AND(D508=FALSE,E508&lt;&gt;""),"SELL",IF(AND(D508=TRUE,E508&lt;&gt;""),"HOLD",""))))</f>
        <v/>
      </c>
      <c r="G508" s="12">
        <f>IF(D508=TRUE,4,0)</f>
        <v/>
      </c>
      <c r="H508">
        <f>IF(A508="","",BDP(A508&amp;" US Equity","GICS_SECTOR_NAME"))</f>
        <v/>
      </c>
    </row>
    <row r="509">
      <c r="A509">
        <f>'Factor Scores'!A509</f>
        <v/>
      </c>
      <c r="B509" s="10">
        <f>IF(A509="","",0.40*'Factor Scores'!C509+0.20*'Factor Scores'!E509+0.20*'Factor Scores'!G509+0.20*'Factor Scores'!H509)</f>
        <v/>
      </c>
      <c r="C509" s="12">
        <f>IF(B509="","",RANK(B509,$B$2:$B$2501,0))</f>
        <v/>
      </c>
      <c r="D509">
        <f>IF(C509="","",C509&lt;=25)</f>
        <v/>
      </c>
      <c r="F509">
        <f>IF(A509="","",IF(AND(D509=TRUE,E509=""),"BUY",IF(AND(D509=FALSE,E509&lt;&gt;""),"SELL",IF(AND(D509=TRUE,E509&lt;&gt;""),"HOLD",""))))</f>
        <v/>
      </c>
      <c r="G509" s="12">
        <f>IF(D509=TRUE,4,0)</f>
        <v/>
      </c>
      <c r="H509">
        <f>IF(A509="","",BDP(A509&amp;" US Equity","GICS_SECTOR_NAME"))</f>
        <v/>
      </c>
    </row>
    <row r="510">
      <c r="A510">
        <f>'Factor Scores'!A510</f>
        <v/>
      </c>
      <c r="B510" s="10">
        <f>IF(A510="","",0.40*'Factor Scores'!C510+0.20*'Factor Scores'!E510+0.20*'Factor Scores'!G510+0.20*'Factor Scores'!H510)</f>
        <v/>
      </c>
      <c r="C510" s="12">
        <f>IF(B510="","",RANK(B510,$B$2:$B$2501,0))</f>
        <v/>
      </c>
      <c r="D510">
        <f>IF(C510="","",C510&lt;=25)</f>
        <v/>
      </c>
      <c r="F510">
        <f>IF(A510="","",IF(AND(D510=TRUE,E510=""),"BUY",IF(AND(D510=FALSE,E510&lt;&gt;""),"SELL",IF(AND(D510=TRUE,E510&lt;&gt;""),"HOLD",""))))</f>
        <v/>
      </c>
      <c r="G510" s="12">
        <f>IF(D510=TRUE,4,0)</f>
        <v/>
      </c>
      <c r="H510">
        <f>IF(A510="","",BDP(A510&amp;" US Equity","GICS_SECTOR_NAME"))</f>
        <v/>
      </c>
    </row>
    <row r="511">
      <c r="A511">
        <f>'Factor Scores'!A511</f>
        <v/>
      </c>
      <c r="B511" s="10">
        <f>IF(A511="","",0.40*'Factor Scores'!C511+0.20*'Factor Scores'!E511+0.20*'Factor Scores'!G511+0.20*'Factor Scores'!H511)</f>
        <v/>
      </c>
      <c r="C511" s="12">
        <f>IF(B511="","",RANK(B511,$B$2:$B$2501,0))</f>
        <v/>
      </c>
      <c r="D511">
        <f>IF(C511="","",C511&lt;=25)</f>
        <v/>
      </c>
      <c r="F511">
        <f>IF(A511="","",IF(AND(D511=TRUE,E511=""),"BUY",IF(AND(D511=FALSE,E511&lt;&gt;""),"SELL",IF(AND(D511=TRUE,E511&lt;&gt;""),"HOLD",""))))</f>
        <v/>
      </c>
      <c r="G511" s="12">
        <f>IF(D511=TRUE,4,0)</f>
        <v/>
      </c>
      <c r="H511">
        <f>IF(A511="","",BDP(A511&amp;" US Equity","GICS_SECTOR_NAME"))</f>
        <v/>
      </c>
    </row>
    <row r="512">
      <c r="A512">
        <f>'Factor Scores'!A512</f>
        <v/>
      </c>
      <c r="B512" s="10">
        <f>IF(A512="","",0.40*'Factor Scores'!C512+0.20*'Factor Scores'!E512+0.20*'Factor Scores'!G512+0.20*'Factor Scores'!H512)</f>
        <v/>
      </c>
      <c r="C512" s="12">
        <f>IF(B512="","",RANK(B512,$B$2:$B$2501,0))</f>
        <v/>
      </c>
      <c r="D512">
        <f>IF(C512="","",C512&lt;=25)</f>
        <v/>
      </c>
      <c r="F512">
        <f>IF(A512="","",IF(AND(D512=TRUE,E512=""),"BUY",IF(AND(D512=FALSE,E512&lt;&gt;""),"SELL",IF(AND(D512=TRUE,E512&lt;&gt;""),"HOLD",""))))</f>
        <v/>
      </c>
      <c r="G512" s="12">
        <f>IF(D512=TRUE,4,0)</f>
        <v/>
      </c>
      <c r="H512">
        <f>IF(A512="","",BDP(A512&amp;" US Equity","GICS_SECTOR_NAME"))</f>
        <v/>
      </c>
    </row>
    <row r="513">
      <c r="A513">
        <f>'Factor Scores'!A513</f>
        <v/>
      </c>
      <c r="B513" s="10">
        <f>IF(A513="","",0.40*'Factor Scores'!C513+0.20*'Factor Scores'!E513+0.20*'Factor Scores'!G513+0.20*'Factor Scores'!H513)</f>
        <v/>
      </c>
      <c r="C513" s="12">
        <f>IF(B513="","",RANK(B513,$B$2:$B$2501,0))</f>
        <v/>
      </c>
      <c r="D513">
        <f>IF(C513="","",C513&lt;=25)</f>
        <v/>
      </c>
      <c r="F513">
        <f>IF(A513="","",IF(AND(D513=TRUE,E513=""),"BUY",IF(AND(D513=FALSE,E513&lt;&gt;""),"SELL",IF(AND(D513=TRUE,E513&lt;&gt;""),"HOLD",""))))</f>
        <v/>
      </c>
      <c r="G513" s="12">
        <f>IF(D513=TRUE,4,0)</f>
        <v/>
      </c>
      <c r="H513">
        <f>IF(A513="","",BDP(A513&amp;" US Equity","GICS_SECTOR_NAME"))</f>
        <v/>
      </c>
    </row>
    <row r="514">
      <c r="A514">
        <f>'Factor Scores'!A514</f>
        <v/>
      </c>
      <c r="B514" s="10">
        <f>IF(A514="","",0.40*'Factor Scores'!C514+0.20*'Factor Scores'!E514+0.20*'Factor Scores'!G514+0.20*'Factor Scores'!H514)</f>
        <v/>
      </c>
      <c r="C514" s="12">
        <f>IF(B514="","",RANK(B514,$B$2:$B$2501,0))</f>
        <v/>
      </c>
      <c r="D514">
        <f>IF(C514="","",C514&lt;=25)</f>
        <v/>
      </c>
      <c r="F514">
        <f>IF(A514="","",IF(AND(D514=TRUE,E514=""),"BUY",IF(AND(D514=FALSE,E514&lt;&gt;""),"SELL",IF(AND(D514=TRUE,E514&lt;&gt;""),"HOLD",""))))</f>
        <v/>
      </c>
      <c r="G514" s="12">
        <f>IF(D514=TRUE,4,0)</f>
        <v/>
      </c>
      <c r="H514">
        <f>IF(A514="","",BDP(A514&amp;" US Equity","GICS_SECTOR_NAME"))</f>
        <v/>
      </c>
    </row>
    <row r="515">
      <c r="A515">
        <f>'Factor Scores'!A515</f>
        <v/>
      </c>
      <c r="B515" s="10">
        <f>IF(A515="","",0.40*'Factor Scores'!C515+0.20*'Factor Scores'!E515+0.20*'Factor Scores'!G515+0.20*'Factor Scores'!H515)</f>
        <v/>
      </c>
      <c r="C515" s="12">
        <f>IF(B515="","",RANK(B515,$B$2:$B$2501,0))</f>
        <v/>
      </c>
      <c r="D515">
        <f>IF(C515="","",C515&lt;=25)</f>
        <v/>
      </c>
      <c r="F515">
        <f>IF(A515="","",IF(AND(D515=TRUE,E515=""),"BUY",IF(AND(D515=FALSE,E515&lt;&gt;""),"SELL",IF(AND(D515=TRUE,E515&lt;&gt;""),"HOLD",""))))</f>
        <v/>
      </c>
      <c r="G515" s="12">
        <f>IF(D515=TRUE,4,0)</f>
        <v/>
      </c>
      <c r="H515">
        <f>IF(A515="","",BDP(A515&amp;" US Equity","GICS_SECTOR_NAME"))</f>
        <v/>
      </c>
    </row>
    <row r="516">
      <c r="A516">
        <f>'Factor Scores'!A516</f>
        <v/>
      </c>
      <c r="B516" s="10">
        <f>IF(A516="","",0.40*'Factor Scores'!C516+0.20*'Factor Scores'!E516+0.20*'Factor Scores'!G516+0.20*'Factor Scores'!H516)</f>
        <v/>
      </c>
      <c r="C516" s="12">
        <f>IF(B516="","",RANK(B516,$B$2:$B$2501,0))</f>
        <v/>
      </c>
      <c r="D516">
        <f>IF(C516="","",C516&lt;=25)</f>
        <v/>
      </c>
      <c r="F516">
        <f>IF(A516="","",IF(AND(D516=TRUE,E516=""),"BUY",IF(AND(D516=FALSE,E516&lt;&gt;""),"SELL",IF(AND(D516=TRUE,E516&lt;&gt;""),"HOLD",""))))</f>
        <v/>
      </c>
      <c r="G516" s="12">
        <f>IF(D516=TRUE,4,0)</f>
        <v/>
      </c>
      <c r="H516">
        <f>IF(A516="","",BDP(A516&amp;" US Equity","GICS_SECTOR_NAME"))</f>
        <v/>
      </c>
    </row>
    <row r="517">
      <c r="A517">
        <f>'Factor Scores'!A517</f>
        <v/>
      </c>
      <c r="B517" s="10">
        <f>IF(A517="","",0.40*'Factor Scores'!C517+0.20*'Factor Scores'!E517+0.20*'Factor Scores'!G517+0.20*'Factor Scores'!H517)</f>
        <v/>
      </c>
      <c r="C517" s="12">
        <f>IF(B517="","",RANK(B517,$B$2:$B$2501,0))</f>
        <v/>
      </c>
      <c r="D517">
        <f>IF(C517="","",C517&lt;=25)</f>
        <v/>
      </c>
      <c r="F517">
        <f>IF(A517="","",IF(AND(D517=TRUE,E517=""),"BUY",IF(AND(D517=FALSE,E517&lt;&gt;""),"SELL",IF(AND(D517=TRUE,E517&lt;&gt;""),"HOLD",""))))</f>
        <v/>
      </c>
      <c r="G517" s="12">
        <f>IF(D517=TRUE,4,0)</f>
        <v/>
      </c>
      <c r="H517">
        <f>IF(A517="","",BDP(A517&amp;" US Equity","GICS_SECTOR_NAME"))</f>
        <v/>
      </c>
    </row>
    <row r="518">
      <c r="A518">
        <f>'Factor Scores'!A518</f>
        <v/>
      </c>
      <c r="B518" s="10">
        <f>IF(A518="","",0.40*'Factor Scores'!C518+0.20*'Factor Scores'!E518+0.20*'Factor Scores'!G518+0.20*'Factor Scores'!H518)</f>
        <v/>
      </c>
      <c r="C518" s="12">
        <f>IF(B518="","",RANK(B518,$B$2:$B$2501,0))</f>
        <v/>
      </c>
      <c r="D518">
        <f>IF(C518="","",C518&lt;=25)</f>
        <v/>
      </c>
      <c r="F518">
        <f>IF(A518="","",IF(AND(D518=TRUE,E518=""),"BUY",IF(AND(D518=FALSE,E518&lt;&gt;""),"SELL",IF(AND(D518=TRUE,E518&lt;&gt;""),"HOLD",""))))</f>
        <v/>
      </c>
      <c r="G518" s="12">
        <f>IF(D518=TRUE,4,0)</f>
        <v/>
      </c>
      <c r="H518">
        <f>IF(A518="","",BDP(A518&amp;" US Equity","GICS_SECTOR_NAME"))</f>
        <v/>
      </c>
    </row>
    <row r="519">
      <c r="A519">
        <f>'Factor Scores'!A519</f>
        <v/>
      </c>
      <c r="B519" s="10">
        <f>IF(A519="","",0.40*'Factor Scores'!C519+0.20*'Factor Scores'!E519+0.20*'Factor Scores'!G519+0.20*'Factor Scores'!H519)</f>
        <v/>
      </c>
      <c r="C519" s="12">
        <f>IF(B519="","",RANK(B519,$B$2:$B$2501,0))</f>
        <v/>
      </c>
      <c r="D519">
        <f>IF(C519="","",C519&lt;=25)</f>
        <v/>
      </c>
      <c r="F519">
        <f>IF(A519="","",IF(AND(D519=TRUE,E519=""),"BUY",IF(AND(D519=FALSE,E519&lt;&gt;""),"SELL",IF(AND(D519=TRUE,E519&lt;&gt;""),"HOLD",""))))</f>
        <v/>
      </c>
      <c r="G519" s="12">
        <f>IF(D519=TRUE,4,0)</f>
        <v/>
      </c>
      <c r="H519">
        <f>IF(A519="","",BDP(A519&amp;" US Equity","GICS_SECTOR_NAME"))</f>
        <v/>
      </c>
    </row>
    <row r="520">
      <c r="A520">
        <f>'Factor Scores'!A520</f>
        <v/>
      </c>
      <c r="B520" s="10">
        <f>IF(A520="","",0.40*'Factor Scores'!C520+0.20*'Factor Scores'!E520+0.20*'Factor Scores'!G520+0.20*'Factor Scores'!H520)</f>
        <v/>
      </c>
      <c r="C520" s="12">
        <f>IF(B520="","",RANK(B520,$B$2:$B$2501,0))</f>
        <v/>
      </c>
      <c r="D520">
        <f>IF(C520="","",C520&lt;=25)</f>
        <v/>
      </c>
      <c r="F520">
        <f>IF(A520="","",IF(AND(D520=TRUE,E520=""),"BUY",IF(AND(D520=FALSE,E520&lt;&gt;""),"SELL",IF(AND(D520=TRUE,E520&lt;&gt;""),"HOLD",""))))</f>
        <v/>
      </c>
      <c r="G520" s="12">
        <f>IF(D520=TRUE,4,0)</f>
        <v/>
      </c>
      <c r="H520">
        <f>IF(A520="","",BDP(A520&amp;" US Equity","GICS_SECTOR_NAME"))</f>
        <v/>
      </c>
    </row>
    <row r="521">
      <c r="A521">
        <f>'Factor Scores'!A521</f>
        <v/>
      </c>
      <c r="B521" s="10">
        <f>IF(A521="","",0.40*'Factor Scores'!C521+0.20*'Factor Scores'!E521+0.20*'Factor Scores'!G521+0.20*'Factor Scores'!H521)</f>
        <v/>
      </c>
      <c r="C521" s="12">
        <f>IF(B521="","",RANK(B521,$B$2:$B$2501,0))</f>
        <v/>
      </c>
      <c r="D521">
        <f>IF(C521="","",C521&lt;=25)</f>
        <v/>
      </c>
      <c r="F521">
        <f>IF(A521="","",IF(AND(D521=TRUE,E521=""),"BUY",IF(AND(D521=FALSE,E521&lt;&gt;""),"SELL",IF(AND(D521=TRUE,E521&lt;&gt;""),"HOLD",""))))</f>
        <v/>
      </c>
      <c r="G521" s="12">
        <f>IF(D521=TRUE,4,0)</f>
        <v/>
      </c>
      <c r="H521">
        <f>IF(A521="","",BDP(A521&amp;" US Equity","GICS_SECTOR_NAME"))</f>
        <v/>
      </c>
    </row>
    <row r="522">
      <c r="A522">
        <f>'Factor Scores'!A522</f>
        <v/>
      </c>
      <c r="B522" s="10">
        <f>IF(A522="","",0.40*'Factor Scores'!C522+0.20*'Factor Scores'!E522+0.20*'Factor Scores'!G522+0.20*'Factor Scores'!H522)</f>
        <v/>
      </c>
      <c r="C522" s="12">
        <f>IF(B522="","",RANK(B522,$B$2:$B$2501,0))</f>
        <v/>
      </c>
      <c r="D522">
        <f>IF(C522="","",C522&lt;=25)</f>
        <v/>
      </c>
      <c r="F522">
        <f>IF(A522="","",IF(AND(D522=TRUE,E522=""),"BUY",IF(AND(D522=FALSE,E522&lt;&gt;""),"SELL",IF(AND(D522=TRUE,E522&lt;&gt;""),"HOLD",""))))</f>
        <v/>
      </c>
      <c r="G522" s="12">
        <f>IF(D522=TRUE,4,0)</f>
        <v/>
      </c>
      <c r="H522">
        <f>IF(A522="","",BDP(A522&amp;" US Equity","GICS_SECTOR_NAME"))</f>
        <v/>
      </c>
    </row>
    <row r="523">
      <c r="A523">
        <f>'Factor Scores'!A523</f>
        <v/>
      </c>
      <c r="B523" s="10">
        <f>IF(A523="","",0.40*'Factor Scores'!C523+0.20*'Factor Scores'!E523+0.20*'Factor Scores'!G523+0.20*'Factor Scores'!H523)</f>
        <v/>
      </c>
      <c r="C523" s="12">
        <f>IF(B523="","",RANK(B523,$B$2:$B$2501,0))</f>
        <v/>
      </c>
      <c r="D523">
        <f>IF(C523="","",C523&lt;=25)</f>
        <v/>
      </c>
      <c r="F523">
        <f>IF(A523="","",IF(AND(D523=TRUE,E523=""),"BUY",IF(AND(D523=FALSE,E523&lt;&gt;""),"SELL",IF(AND(D523=TRUE,E523&lt;&gt;""),"HOLD",""))))</f>
        <v/>
      </c>
      <c r="G523" s="12">
        <f>IF(D523=TRUE,4,0)</f>
        <v/>
      </c>
      <c r="H523">
        <f>IF(A523="","",BDP(A523&amp;" US Equity","GICS_SECTOR_NAME"))</f>
        <v/>
      </c>
    </row>
    <row r="524">
      <c r="A524">
        <f>'Factor Scores'!A524</f>
        <v/>
      </c>
      <c r="B524" s="10">
        <f>IF(A524="","",0.40*'Factor Scores'!C524+0.20*'Factor Scores'!E524+0.20*'Factor Scores'!G524+0.20*'Factor Scores'!H524)</f>
        <v/>
      </c>
      <c r="C524" s="12">
        <f>IF(B524="","",RANK(B524,$B$2:$B$2501,0))</f>
        <v/>
      </c>
      <c r="D524">
        <f>IF(C524="","",C524&lt;=25)</f>
        <v/>
      </c>
      <c r="F524">
        <f>IF(A524="","",IF(AND(D524=TRUE,E524=""),"BUY",IF(AND(D524=FALSE,E524&lt;&gt;""),"SELL",IF(AND(D524=TRUE,E524&lt;&gt;""),"HOLD",""))))</f>
        <v/>
      </c>
      <c r="G524" s="12">
        <f>IF(D524=TRUE,4,0)</f>
        <v/>
      </c>
      <c r="H524">
        <f>IF(A524="","",BDP(A524&amp;" US Equity","GICS_SECTOR_NAME"))</f>
        <v/>
      </c>
    </row>
    <row r="525">
      <c r="A525">
        <f>'Factor Scores'!A525</f>
        <v/>
      </c>
      <c r="B525" s="10">
        <f>IF(A525="","",0.40*'Factor Scores'!C525+0.20*'Factor Scores'!E525+0.20*'Factor Scores'!G525+0.20*'Factor Scores'!H525)</f>
        <v/>
      </c>
      <c r="C525" s="12">
        <f>IF(B525="","",RANK(B525,$B$2:$B$2501,0))</f>
        <v/>
      </c>
      <c r="D525">
        <f>IF(C525="","",C525&lt;=25)</f>
        <v/>
      </c>
      <c r="F525">
        <f>IF(A525="","",IF(AND(D525=TRUE,E525=""),"BUY",IF(AND(D525=FALSE,E525&lt;&gt;""),"SELL",IF(AND(D525=TRUE,E525&lt;&gt;""),"HOLD",""))))</f>
        <v/>
      </c>
      <c r="G525" s="12">
        <f>IF(D525=TRUE,4,0)</f>
        <v/>
      </c>
      <c r="H525">
        <f>IF(A525="","",BDP(A525&amp;" US Equity","GICS_SECTOR_NAME"))</f>
        <v/>
      </c>
    </row>
    <row r="526">
      <c r="A526">
        <f>'Factor Scores'!A526</f>
        <v/>
      </c>
      <c r="B526" s="10">
        <f>IF(A526="","",0.40*'Factor Scores'!C526+0.20*'Factor Scores'!E526+0.20*'Factor Scores'!G526+0.20*'Factor Scores'!H526)</f>
        <v/>
      </c>
      <c r="C526" s="12">
        <f>IF(B526="","",RANK(B526,$B$2:$B$2501,0))</f>
        <v/>
      </c>
      <c r="D526">
        <f>IF(C526="","",C526&lt;=25)</f>
        <v/>
      </c>
      <c r="F526">
        <f>IF(A526="","",IF(AND(D526=TRUE,E526=""),"BUY",IF(AND(D526=FALSE,E526&lt;&gt;""),"SELL",IF(AND(D526=TRUE,E526&lt;&gt;""),"HOLD",""))))</f>
        <v/>
      </c>
      <c r="G526" s="12">
        <f>IF(D526=TRUE,4,0)</f>
        <v/>
      </c>
      <c r="H526">
        <f>IF(A526="","",BDP(A526&amp;" US Equity","GICS_SECTOR_NAME"))</f>
        <v/>
      </c>
    </row>
    <row r="527">
      <c r="A527">
        <f>'Factor Scores'!A527</f>
        <v/>
      </c>
      <c r="B527" s="10">
        <f>IF(A527="","",0.40*'Factor Scores'!C527+0.20*'Factor Scores'!E527+0.20*'Factor Scores'!G527+0.20*'Factor Scores'!H527)</f>
        <v/>
      </c>
      <c r="C527" s="12">
        <f>IF(B527="","",RANK(B527,$B$2:$B$2501,0))</f>
        <v/>
      </c>
      <c r="D527">
        <f>IF(C527="","",C527&lt;=25)</f>
        <v/>
      </c>
      <c r="F527">
        <f>IF(A527="","",IF(AND(D527=TRUE,E527=""),"BUY",IF(AND(D527=FALSE,E527&lt;&gt;""),"SELL",IF(AND(D527=TRUE,E527&lt;&gt;""),"HOLD",""))))</f>
        <v/>
      </c>
      <c r="G527" s="12">
        <f>IF(D527=TRUE,4,0)</f>
        <v/>
      </c>
      <c r="H527">
        <f>IF(A527="","",BDP(A527&amp;" US Equity","GICS_SECTOR_NAME"))</f>
        <v/>
      </c>
    </row>
    <row r="528">
      <c r="A528">
        <f>'Factor Scores'!A528</f>
        <v/>
      </c>
      <c r="B528" s="10">
        <f>IF(A528="","",0.40*'Factor Scores'!C528+0.20*'Factor Scores'!E528+0.20*'Factor Scores'!G528+0.20*'Factor Scores'!H528)</f>
        <v/>
      </c>
      <c r="C528" s="12">
        <f>IF(B528="","",RANK(B528,$B$2:$B$2501,0))</f>
        <v/>
      </c>
      <c r="D528">
        <f>IF(C528="","",C528&lt;=25)</f>
        <v/>
      </c>
      <c r="F528">
        <f>IF(A528="","",IF(AND(D528=TRUE,E528=""),"BUY",IF(AND(D528=FALSE,E528&lt;&gt;""),"SELL",IF(AND(D528=TRUE,E528&lt;&gt;""),"HOLD",""))))</f>
        <v/>
      </c>
      <c r="G528" s="12">
        <f>IF(D528=TRUE,4,0)</f>
        <v/>
      </c>
      <c r="H528">
        <f>IF(A528="","",BDP(A528&amp;" US Equity","GICS_SECTOR_NAME"))</f>
        <v/>
      </c>
    </row>
    <row r="529">
      <c r="A529">
        <f>'Factor Scores'!A529</f>
        <v/>
      </c>
      <c r="B529" s="10">
        <f>IF(A529="","",0.40*'Factor Scores'!C529+0.20*'Factor Scores'!E529+0.20*'Factor Scores'!G529+0.20*'Factor Scores'!H529)</f>
        <v/>
      </c>
      <c r="C529" s="12">
        <f>IF(B529="","",RANK(B529,$B$2:$B$2501,0))</f>
        <v/>
      </c>
      <c r="D529">
        <f>IF(C529="","",C529&lt;=25)</f>
        <v/>
      </c>
      <c r="F529">
        <f>IF(A529="","",IF(AND(D529=TRUE,E529=""),"BUY",IF(AND(D529=FALSE,E529&lt;&gt;""),"SELL",IF(AND(D529=TRUE,E529&lt;&gt;""),"HOLD",""))))</f>
        <v/>
      </c>
      <c r="G529" s="12">
        <f>IF(D529=TRUE,4,0)</f>
        <v/>
      </c>
      <c r="H529">
        <f>IF(A529="","",BDP(A529&amp;" US Equity","GICS_SECTOR_NAME"))</f>
        <v/>
      </c>
    </row>
    <row r="530">
      <c r="A530">
        <f>'Factor Scores'!A530</f>
        <v/>
      </c>
      <c r="B530" s="10">
        <f>IF(A530="","",0.40*'Factor Scores'!C530+0.20*'Factor Scores'!E530+0.20*'Factor Scores'!G530+0.20*'Factor Scores'!H530)</f>
        <v/>
      </c>
      <c r="C530" s="12">
        <f>IF(B530="","",RANK(B530,$B$2:$B$2501,0))</f>
        <v/>
      </c>
      <c r="D530">
        <f>IF(C530="","",C530&lt;=25)</f>
        <v/>
      </c>
      <c r="F530">
        <f>IF(A530="","",IF(AND(D530=TRUE,E530=""),"BUY",IF(AND(D530=FALSE,E530&lt;&gt;""),"SELL",IF(AND(D530=TRUE,E530&lt;&gt;""),"HOLD",""))))</f>
        <v/>
      </c>
      <c r="G530" s="12">
        <f>IF(D530=TRUE,4,0)</f>
        <v/>
      </c>
      <c r="H530">
        <f>IF(A530="","",BDP(A530&amp;" US Equity","GICS_SECTOR_NAME"))</f>
        <v/>
      </c>
    </row>
    <row r="531">
      <c r="A531">
        <f>'Factor Scores'!A531</f>
        <v/>
      </c>
      <c r="B531" s="10">
        <f>IF(A531="","",0.40*'Factor Scores'!C531+0.20*'Factor Scores'!E531+0.20*'Factor Scores'!G531+0.20*'Factor Scores'!H531)</f>
        <v/>
      </c>
      <c r="C531" s="12">
        <f>IF(B531="","",RANK(B531,$B$2:$B$2501,0))</f>
        <v/>
      </c>
      <c r="D531">
        <f>IF(C531="","",C531&lt;=25)</f>
        <v/>
      </c>
      <c r="F531">
        <f>IF(A531="","",IF(AND(D531=TRUE,E531=""),"BUY",IF(AND(D531=FALSE,E531&lt;&gt;""),"SELL",IF(AND(D531=TRUE,E531&lt;&gt;""),"HOLD",""))))</f>
        <v/>
      </c>
      <c r="G531" s="12">
        <f>IF(D531=TRUE,4,0)</f>
        <v/>
      </c>
      <c r="H531">
        <f>IF(A531="","",BDP(A531&amp;" US Equity","GICS_SECTOR_NAME"))</f>
        <v/>
      </c>
    </row>
    <row r="532">
      <c r="A532">
        <f>'Factor Scores'!A532</f>
        <v/>
      </c>
      <c r="B532" s="10">
        <f>IF(A532="","",0.40*'Factor Scores'!C532+0.20*'Factor Scores'!E532+0.20*'Factor Scores'!G532+0.20*'Factor Scores'!H532)</f>
        <v/>
      </c>
      <c r="C532" s="12">
        <f>IF(B532="","",RANK(B532,$B$2:$B$2501,0))</f>
        <v/>
      </c>
      <c r="D532">
        <f>IF(C532="","",C532&lt;=25)</f>
        <v/>
      </c>
      <c r="F532">
        <f>IF(A532="","",IF(AND(D532=TRUE,E532=""),"BUY",IF(AND(D532=FALSE,E532&lt;&gt;""),"SELL",IF(AND(D532=TRUE,E532&lt;&gt;""),"HOLD",""))))</f>
        <v/>
      </c>
      <c r="G532" s="12">
        <f>IF(D532=TRUE,4,0)</f>
        <v/>
      </c>
      <c r="H532">
        <f>IF(A532="","",BDP(A532&amp;" US Equity","GICS_SECTOR_NAME"))</f>
        <v/>
      </c>
    </row>
    <row r="533">
      <c r="A533">
        <f>'Factor Scores'!A533</f>
        <v/>
      </c>
      <c r="B533" s="10">
        <f>IF(A533="","",0.40*'Factor Scores'!C533+0.20*'Factor Scores'!E533+0.20*'Factor Scores'!G533+0.20*'Factor Scores'!H533)</f>
        <v/>
      </c>
      <c r="C533" s="12">
        <f>IF(B533="","",RANK(B533,$B$2:$B$2501,0))</f>
        <v/>
      </c>
      <c r="D533">
        <f>IF(C533="","",C533&lt;=25)</f>
        <v/>
      </c>
      <c r="F533">
        <f>IF(A533="","",IF(AND(D533=TRUE,E533=""),"BUY",IF(AND(D533=FALSE,E533&lt;&gt;""),"SELL",IF(AND(D533=TRUE,E533&lt;&gt;""),"HOLD",""))))</f>
        <v/>
      </c>
      <c r="G533" s="12">
        <f>IF(D533=TRUE,4,0)</f>
        <v/>
      </c>
      <c r="H533">
        <f>IF(A533="","",BDP(A533&amp;" US Equity","GICS_SECTOR_NAME"))</f>
        <v/>
      </c>
    </row>
    <row r="534">
      <c r="A534">
        <f>'Factor Scores'!A534</f>
        <v/>
      </c>
      <c r="B534" s="10">
        <f>IF(A534="","",0.40*'Factor Scores'!C534+0.20*'Factor Scores'!E534+0.20*'Factor Scores'!G534+0.20*'Factor Scores'!H534)</f>
        <v/>
      </c>
      <c r="C534" s="12">
        <f>IF(B534="","",RANK(B534,$B$2:$B$2501,0))</f>
        <v/>
      </c>
      <c r="D534">
        <f>IF(C534="","",C534&lt;=25)</f>
        <v/>
      </c>
      <c r="F534">
        <f>IF(A534="","",IF(AND(D534=TRUE,E534=""),"BUY",IF(AND(D534=FALSE,E534&lt;&gt;""),"SELL",IF(AND(D534=TRUE,E534&lt;&gt;""),"HOLD",""))))</f>
        <v/>
      </c>
      <c r="G534" s="12">
        <f>IF(D534=TRUE,4,0)</f>
        <v/>
      </c>
      <c r="H534">
        <f>IF(A534="","",BDP(A534&amp;" US Equity","GICS_SECTOR_NAME"))</f>
        <v/>
      </c>
    </row>
    <row r="535">
      <c r="A535">
        <f>'Factor Scores'!A535</f>
        <v/>
      </c>
      <c r="B535" s="10">
        <f>IF(A535="","",0.40*'Factor Scores'!C535+0.20*'Factor Scores'!E535+0.20*'Factor Scores'!G535+0.20*'Factor Scores'!H535)</f>
        <v/>
      </c>
      <c r="C535" s="12">
        <f>IF(B535="","",RANK(B535,$B$2:$B$2501,0))</f>
        <v/>
      </c>
      <c r="D535">
        <f>IF(C535="","",C535&lt;=25)</f>
        <v/>
      </c>
      <c r="F535">
        <f>IF(A535="","",IF(AND(D535=TRUE,E535=""),"BUY",IF(AND(D535=FALSE,E535&lt;&gt;""),"SELL",IF(AND(D535=TRUE,E535&lt;&gt;""),"HOLD",""))))</f>
        <v/>
      </c>
      <c r="G535" s="12">
        <f>IF(D535=TRUE,4,0)</f>
        <v/>
      </c>
      <c r="H535">
        <f>IF(A535="","",BDP(A535&amp;" US Equity","GICS_SECTOR_NAME"))</f>
        <v/>
      </c>
    </row>
    <row r="536">
      <c r="A536">
        <f>'Factor Scores'!A536</f>
        <v/>
      </c>
      <c r="B536" s="10">
        <f>IF(A536="","",0.40*'Factor Scores'!C536+0.20*'Factor Scores'!E536+0.20*'Factor Scores'!G536+0.20*'Factor Scores'!H536)</f>
        <v/>
      </c>
      <c r="C536" s="12">
        <f>IF(B536="","",RANK(B536,$B$2:$B$2501,0))</f>
        <v/>
      </c>
      <c r="D536">
        <f>IF(C536="","",C536&lt;=25)</f>
        <v/>
      </c>
      <c r="F536">
        <f>IF(A536="","",IF(AND(D536=TRUE,E536=""),"BUY",IF(AND(D536=FALSE,E536&lt;&gt;""),"SELL",IF(AND(D536=TRUE,E536&lt;&gt;""),"HOLD",""))))</f>
        <v/>
      </c>
      <c r="G536" s="12">
        <f>IF(D536=TRUE,4,0)</f>
        <v/>
      </c>
      <c r="H536">
        <f>IF(A536="","",BDP(A536&amp;" US Equity","GICS_SECTOR_NAME"))</f>
        <v/>
      </c>
    </row>
    <row r="537">
      <c r="A537">
        <f>'Factor Scores'!A537</f>
        <v/>
      </c>
      <c r="B537" s="10">
        <f>IF(A537="","",0.40*'Factor Scores'!C537+0.20*'Factor Scores'!E537+0.20*'Factor Scores'!G537+0.20*'Factor Scores'!H537)</f>
        <v/>
      </c>
      <c r="C537" s="12">
        <f>IF(B537="","",RANK(B537,$B$2:$B$2501,0))</f>
        <v/>
      </c>
      <c r="D537">
        <f>IF(C537="","",C537&lt;=25)</f>
        <v/>
      </c>
      <c r="F537">
        <f>IF(A537="","",IF(AND(D537=TRUE,E537=""),"BUY",IF(AND(D537=FALSE,E537&lt;&gt;""),"SELL",IF(AND(D537=TRUE,E537&lt;&gt;""),"HOLD",""))))</f>
        <v/>
      </c>
      <c r="G537" s="12">
        <f>IF(D537=TRUE,4,0)</f>
        <v/>
      </c>
      <c r="H537">
        <f>IF(A537="","",BDP(A537&amp;" US Equity","GICS_SECTOR_NAME"))</f>
        <v/>
      </c>
    </row>
    <row r="538">
      <c r="A538">
        <f>'Factor Scores'!A538</f>
        <v/>
      </c>
      <c r="B538" s="10">
        <f>IF(A538="","",0.40*'Factor Scores'!C538+0.20*'Factor Scores'!E538+0.20*'Factor Scores'!G538+0.20*'Factor Scores'!H538)</f>
        <v/>
      </c>
      <c r="C538" s="12">
        <f>IF(B538="","",RANK(B538,$B$2:$B$2501,0))</f>
        <v/>
      </c>
      <c r="D538">
        <f>IF(C538="","",C538&lt;=25)</f>
        <v/>
      </c>
      <c r="F538">
        <f>IF(A538="","",IF(AND(D538=TRUE,E538=""),"BUY",IF(AND(D538=FALSE,E538&lt;&gt;""),"SELL",IF(AND(D538=TRUE,E538&lt;&gt;""),"HOLD",""))))</f>
        <v/>
      </c>
      <c r="G538" s="12">
        <f>IF(D538=TRUE,4,0)</f>
        <v/>
      </c>
      <c r="H538">
        <f>IF(A538="","",BDP(A538&amp;" US Equity","GICS_SECTOR_NAME"))</f>
        <v/>
      </c>
    </row>
    <row r="539">
      <c r="A539">
        <f>'Factor Scores'!A539</f>
        <v/>
      </c>
      <c r="B539" s="10">
        <f>IF(A539="","",0.40*'Factor Scores'!C539+0.20*'Factor Scores'!E539+0.20*'Factor Scores'!G539+0.20*'Factor Scores'!H539)</f>
        <v/>
      </c>
      <c r="C539" s="12">
        <f>IF(B539="","",RANK(B539,$B$2:$B$2501,0))</f>
        <v/>
      </c>
      <c r="D539">
        <f>IF(C539="","",C539&lt;=25)</f>
        <v/>
      </c>
      <c r="F539">
        <f>IF(A539="","",IF(AND(D539=TRUE,E539=""),"BUY",IF(AND(D539=FALSE,E539&lt;&gt;""),"SELL",IF(AND(D539=TRUE,E539&lt;&gt;""),"HOLD",""))))</f>
        <v/>
      </c>
      <c r="G539" s="12">
        <f>IF(D539=TRUE,4,0)</f>
        <v/>
      </c>
      <c r="H539">
        <f>IF(A539="","",BDP(A539&amp;" US Equity","GICS_SECTOR_NAME"))</f>
        <v/>
      </c>
    </row>
    <row r="540">
      <c r="A540">
        <f>'Factor Scores'!A540</f>
        <v/>
      </c>
      <c r="B540" s="10">
        <f>IF(A540="","",0.40*'Factor Scores'!C540+0.20*'Factor Scores'!E540+0.20*'Factor Scores'!G540+0.20*'Factor Scores'!H540)</f>
        <v/>
      </c>
      <c r="C540" s="12">
        <f>IF(B540="","",RANK(B540,$B$2:$B$2501,0))</f>
        <v/>
      </c>
      <c r="D540">
        <f>IF(C540="","",C540&lt;=25)</f>
        <v/>
      </c>
      <c r="F540">
        <f>IF(A540="","",IF(AND(D540=TRUE,E540=""),"BUY",IF(AND(D540=FALSE,E540&lt;&gt;""),"SELL",IF(AND(D540=TRUE,E540&lt;&gt;""),"HOLD",""))))</f>
        <v/>
      </c>
      <c r="G540" s="12">
        <f>IF(D540=TRUE,4,0)</f>
        <v/>
      </c>
      <c r="H540">
        <f>IF(A540="","",BDP(A540&amp;" US Equity","GICS_SECTOR_NAME"))</f>
        <v/>
      </c>
    </row>
    <row r="541">
      <c r="A541">
        <f>'Factor Scores'!A541</f>
        <v/>
      </c>
      <c r="B541" s="10">
        <f>IF(A541="","",0.40*'Factor Scores'!C541+0.20*'Factor Scores'!E541+0.20*'Factor Scores'!G541+0.20*'Factor Scores'!H541)</f>
        <v/>
      </c>
      <c r="C541" s="12">
        <f>IF(B541="","",RANK(B541,$B$2:$B$2501,0))</f>
        <v/>
      </c>
      <c r="D541">
        <f>IF(C541="","",C541&lt;=25)</f>
        <v/>
      </c>
      <c r="F541">
        <f>IF(A541="","",IF(AND(D541=TRUE,E541=""),"BUY",IF(AND(D541=FALSE,E541&lt;&gt;""),"SELL",IF(AND(D541=TRUE,E541&lt;&gt;""),"HOLD",""))))</f>
        <v/>
      </c>
      <c r="G541" s="12">
        <f>IF(D541=TRUE,4,0)</f>
        <v/>
      </c>
      <c r="H541">
        <f>IF(A541="","",BDP(A541&amp;" US Equity","GICS_SECTOR_NAME"))</f>
        <v/>
      </c>
    </row>
    <row r="542">
      <c r="A542">
        <f>'Factor Scores'!A542</f>
        <v/>
      </c>
      <c r="B542" s="10">
        <f>IF(A542="","",0.40*'Factor Scores'!C542+0.20*'Factor Scores'!E542+0.20*'Factor Scores'!G542+0.20*'Factor Scores'!H542)</f>
        <v/>
      </c>
      <c r="C542" s="12">
        <f>IF(B542="","",RANK(B542,$B$2:$B$2501,0))</f>
        <v/>
      </c>
      <c r="D542">
        <f>IF(C542="","",C542&lt;=25)</f>
        <v/>
      </c>
      <c r="F542">
        <f>IF(A542="","",IF(AND(D542=TRUE,E542=""),"BUY",IF(AND(D542=FALSE,E542&lt;&gt;""),"SELL",IF(AND(D542=TRUE,E542&lt;&gt;""),"HOLD",""))))</f>
        <v/>
      </c>
      <c r="G542" s="12">
        <f>IF(D542=TRUE,4,0)</f>
        <v/>
      </c>
      <c r="H542">
        <f>IF(A542="","",BDP(A542&amp;" US Equity","GICS_SECTOR_NAME"))</f>
        <v/>
      </c>
    </row>
    <row r="543">
      <c r="A543">
        <f>'Factor Scores'!A543</f>
        <v/>
      </c>
      <c r="B543" s="10">
        <f>IF(A543="","",0.40*'Factor Scores'!C543+0.20*'Factor Scores'!E543+0.20*'Factor Scores'!G543+0.20*'Factor Scores'!H543)</f>
        <v/>
      </c>
      <c r="C543" s="12">
        <f>IF(B543="","",RANK(B543,$B$2:$B$2501,0))</f>
        <v/>
      </c>
      <c r="D543">
        <f>IF(C543="","",C543&lt;=25)</f>
        <v/>
      </c>
      <c r="F543">
        <f>IF(A543="","",IF(AND(D543=TRUE,E543=""),"BUY",IF(AND(D543=FALSE,E543&lt;&gt;""),"SELL",IF(AND(D543=TRUE,E543&lt;&gt;""),"HOLD",""))))</f>
        <v/>
      </c>
      <c r="G543" s="12">
        <f>IF(D543=TRUE,4,0)</f>
        <v/>
      </c>
      <c r="H543">
        <f>IF(A543="","",BDP(A543&amp;" US Equity","GICS_SECTOR_NAME"))</f>
        <v/>
      </c>
    </row>
    <row r="544">
      <c r="A544">
        <f>'Factor Scores'!A544</f>
        <v/>
      </c>
      <c r="B544" s="10">
        <f>IF(A544="","",0.40*'Factor Scores'!C544+0.20*'Factor Scores'!E544+0.20*'Factor Scores'!G544+0.20*'Factor Scores'!H544)</f>
        <v/>
      </c>
      <c r="C544" s="12">
        <f>IF(B544="","",RANK(B544,$B$2:$B$2501,0))</f>
        <v/>
      </c>
      <c r="D544">
        <f>IF(C544="","",C544&lt;=25)</f>
        <v/>
      </c>
      <c r="F544">
        <f>IF(A544="","",IF(AND(D544=TRUE,E544=""),"BUY",IF(AND(D544=FALSE,E544&lt;&gt;""),"SELL",IF(AND(D544=TRUE,E544&lt;&gt;""),"HOLD",""))))</f>
        <v/>
      </c>
      <c r="G544" s="12">
        <f>IF(D544=TRUE,4,0)</f>
        <v/>
      </c>
      <c r="H544">
        <f>IF(A544="","",BDP(A544&amp;" US Equity","GICS_SECTOR_NAME"))</f>
        <v/>
      </c>
    </row>
    <row r="545">
      <c r="A545">
        <f>'Factor Scores'!A545</f>
        <v/>
      </c>
      <c r="B545" s="10">
        <f>IF(A545="","",0.40*'Factor Scores'!C545+0.20*'Factor Scores'!E545+0.20*'Factor Scores'!G545+0.20*'Factor Scores'!H545)</f>
        <v/>
      </c>
      <c r="C545" s="12">
        <f>IF(B545="","",RANK(B545,$B$2:$B$2501,0))</f>
        <v/>
      </c>
      <c r="D545">
        <f>IF(C545="","",C545&lt;=25)</f>
        <v/>
      </c>
      <c r="F545">
        <f>IF(A545="","",IF(AND(D545=TRUE,E545=""),"BUY",IF(AND(D545=FALSE,E545&lt;&gt;""),"SELL",IF(AND(D545=TRUE,E545&lt;&gt;""),"HOLD",""))))</f>
        <v/>
      </c>
      <c r="G545" s="12">
        <f>IF(D545=TRUE,4,0)</f>
        <v/>
      </c>
      <c r="H545">
        <f>IF(A545="","",BDP(A545&amp;" US Equity","GICS_SECTOR_NAME"))</f>
        <v/>
      </c>
    </row>
    <row r="546">
      <c r="A546">
        <f>'Factor Scores'!A546</f>
        <v/>
      </c>
      <c r="B546" s="10">
        <f>IF(A546="","",0.40*'Factor Scores'!C546+0.20*'Factor Scores'!E546+0.20*'Factor Scores'!G546+0.20*'Factor Scores'!H546)</f>
        <v/>
      </c>
      <c r="C546" s="12">
        <f>IF(B546="","",RANK(B546,$B$2:$B$2501,0))</f>
        <v/>
      </c>
      <c r="D546">
        <f>IF(C546="","",C546&lt;=25)</f>
        <v/>
      </c>
      <c r="F546">
        <f>IF(A546="","",IF(AND(D546=TRUE,E546=""),"BUY",IF(AND(D546=FALSE,E546&lt;&gt;""),"SELL",IF(AND(D546=TRUE,E546&lt;&gt;""),"HOLD",""))))</f>
        <v/>
      </c>
      <c r="G546" s="12">
        <f>IF(D546=TRUE,4,0)</f>
        <v/>
      </c>
      <c r="H546">
        <f>IF(A546="","",BDP(A546&amp;" US Equity","GICS_SECTOR_NAME"))</f>
        <v/>
      </c>
    </row>
    <row r="547">
      <c r="A547">
        <f>'Factor Scores'!A547</f>
        <v/>
      </c>
      <c r="B547" s="10">
        <f>IF(A547="","",0.40*'Factor Scores'!C547+0.20*'Factor Scores'!E547+0.20*'Factor Scores'!G547+0.20*'Factor Scores'!H547)</f>
        <v/>
      </c>
      <c r="C547" s="12">
        <f>IF(B547="","",RANK(B547,$B$2:$B$2501,0))</f>
        <v/>
      </c>
      <c r="D547">
        <f>IF(C547="","",C547&lt;=25)</f>
        <v/>
      </c>
      <c r="F547">
        <f>IF(A547="","",IF(AND(D547=TRUE,E547=""),"BUY",IF(AND(D547=FALSE,E547&lt;&gt;""),"SELL",IF(AND(D547=TRUE,E547&lt;&gt;""),"HOLD",""))))</f>
        <v/>
      </c>
      <c r="G547" s="12">
        <f>IF(D547=TRUE,4,0)</f>
        <v/>
      </c>
      <c r="H547">
        <f>IF(A547="","",BDP(A547&amp;" US Equity","GICS_SECTOR_NAME"))</f>
        <v/>
      </c>
    </row>
    <row r="548">
      <c r="A548">
        <f>'Factor Scores'!A548</f>
        <v/>
      </c>
      <c r="B548" s="10">
        <f>IF(A548="","",0.40*'Factor Scores'!C548+0.20*'Factor Scores'!E548+0.20*'Factor Scores'!G548+0.20*'Factor Scores'!H548)</f>
        <v/>
      </c>
      <c r="C548" s="12">
        <f>IF(B548="","",RANK(B548,$B$2:$B$2501,0))</f>
        <v/>
      </c>
      <c r="D548">
        <f>IF(C548="","",C548&lt;=25)</f>
        <v/>
      </c>
      <c r="F548">
        <f>IF(A548="","",IF(AND(D548=TRUE,E548=""),"BUY",IF(AND(D548=FALSE,E548&lt;&gt;""),"SELL",IF(AND(D548=TRUE,E548&lt;&gt;""),"HOLD",""))))</f>
        <v/>
      </c>
      <c r="G548" s="12">
        <f>IF(D548=TRUE,4,0)</f>
        <v/>
      </c>
      <c r="H548">
        <f>IF(A548="","",BDP(A548&amp;" US Equity","GICS_SECTOR_NAME"))</f>
        <v/>
      </c>
    </row>
    <row r="549">
      <c r="A549">
        <f>'Factor Scores'!A549</f>
        <v/>
      </c>
      <c r="B549" s="10">
        <f>IF(A549="","",0.40*'Factor Scores'!C549+0.20*'Factor Scores'!E549+0.20*'Factor Scores'!G549+0.20*'Factor Scores'!H549)</f>
        <v/>
      </c>
      <c r="C549" s="12">
        <f>IF(B549="","",RANK(B549,$B$2:$B$2501,0))</f>
        <v/>
      </c>
      <c r="D549">
        <f>IF(C549="","",C549&lt;=25)</f>
        <v/>
      </c>
      <c r="F549">
        <f>IF(A549="","",IF(AND(D549=TRUE,E549=""),"BUY",IF(AND(D549=FALSE,E549&lt;&gt;""),"SELL",IF(AND(D549=TRUE,E549&lt;&gt;""),"HOLD",""))))</f>
        <v/>
      </c>
      <c r="G549" s="12">
        <f>IF(D549=TRUE,4,0)</f>
        <v/>
      </c>
      <c r="H549">
        <f>IF(A549="","",BDP(A549&amp;" US Equity","GICS_SECTOR_NAME"))</f>
        <v/>
      </c>
    </row>
    <row r="550">
      <c r="A550">
        <f>'Factor Scores'!A550</f>
        <v/>
      </c>
      <c r="B550" s="10">
        <f>IF(A550="","",0.40*'Factor Scores'!C550+0.20*'Factor Scores'!E550+0.20*'Factor Scores'!G550+0.20*'Factor Scores'!H550)</f>
        <v/>
      </c>
      <c r="C550" s="12">
        <f>IF(B550="","",RANK(B550,$B$2:$B$2501,0))</f>
        <v/>
      </c>
      <c r="D550">
        <f>IF(C550="","",C550&lt;=25)</f>
        <v/>
      </c>
      <c r="F550">
        <f>IF(A550="","",IF(AND(D550=TRUE,E550=""),"BUY",IF(AND(D550=FALSE,E550&lt;&gt;""),"SELL",IF(AND(D550=TRUE,E550&lt;&gt;""),"HOLD",""))))</f>
        <v/>
      </c>
      <c r="G550" s="12">
        <f>IF(D550=TRUE,4,0)</f>
        <v/>
      </c>
      <c r="H550">
        <f>IF(A550="","",BDP(A550&amp;" US Equity","GICS_SECTOR_NAME"))</f>
        <v/>
      </c>
    </row>
    <row r="551">
      <c r="A551">
        <f>'Factor Scores'!A551</f>
        <v/>
      </c>
      <c r="B551" s="10">
        <f>IF(A551="","",0.40*'Factor Scores'!C551+0.20*'Factor Scores'!E551+0.20*'Factor Scores'!G551+0.20*'Factor Scores'!H551)</f>
        <v/>
      </c>
      <c r="C551" s="12">
        <f>IF(B551="","",RANK(B551,$B$2:$B$2501,0))</f>
        <v/>
      </c>
      <c r="D551">
        <f>IF(C551="","",C551&lt;=25)</f>
        <v/>
      </c>
      <c r="F551">
        <f>IF(A551="","",IF(AND(D551=TRUE,E551=""),"BUY",IF(AND(D551=FALSE,E551&lt;&gt;""),"SELL",IF(AND(D551=TRUE,E551&lt;&gt;""),"HOLD",""))))</f>
        <v/>
      </c>
      <c r="G551" s="12">
        <f>IF(D551=TRUE,4,0)</f>
        <v/>
      </c>
      <c r="H551">
        <f>IF(A551="","",BDP(A551&amp;" US Equity","GICS_SECTOR_NAME"))</f>
        <v/>
      </c>
    </row>
    <row r="552">
      <c r="A552">
        <f>'Factor Scores'!A552</f>
        <v/>
      </c>
      <c r="B552" s="10">
        <f>IF(A552="","",0.40*'Factor Scores'!C552+0.20*'Factor Scores'!E552+0.20*'Factor Scores'!G552+0.20*'Factor Scores'!H552)</f>
        <v/>
      </c>
      <c r="C552" s="12">
        <f>IF(B552="","",RANK(B552,$B$2:$B$2501,0))</f>
        <v/>
      </c>
      <c r="D552">
        <f>IF(C552="","",C552&lt;=25)</f>
        <v/>
      </c>
      <c r="F552">
        <f>IF(A552="","",IF(AND(D552=TRUE,E552=""),"BUY",IF(AND(D552=FALSE,E552&lt;&gt;""),"SELL",IF(AND(D552=TRUE,E552&lt;&gt;""),"HOLD",""))))</f>
        <v/>
      </c>
      <c r="G552" s="12">
        <f>IF(D552=TRUE,4,0)</f>
        <v/>
      </c>
      <c r="H552">
        <f>IF(A552="","",BDP(A552&amp;" US Equity","GICS_SECTOR_NAME"))</f>
        <v/>
      </c>
    </row>
    <row r="553">
      <c r="A553">
        <f>'Factor Scores'!A553</f>
        <v/>
      </c>
      <c r="B553" s="10">
        <f>IF(A553="","",0.40*'Factor Scores'!C553+0.20*'Factor Scores'!E553+0.20*'Factor Scores'!G553+0.20*'Factor Scores'!H553)</f>
        <v/>
      </c>
      <c r="C553" s="12">
        <f>IF(B553="","",RANK(B553,$B$2:$B$2501,0))</f>
        <v/>
      </c>
      <c r="D553">
        <f>IF(C553="","",C553&lt;=25)</f>
        <v/>
      </c>
      <c r="F553">
        <f>IF(A553="","",IF(AND(D553=TRUE,E553=""),"BUY",IF(AND(D553=FALSE,E553&lt;&gt;""),"SELL",IF(AND(D553=TRUE,E553&lt;&gt;""),"HOLD",""))))</f>
        <v/>
      </c>
      <c r="G553" s="12">
        <f>IF(D553=TRUE,4,0)</f>
        <v/>
      </c>
      <c r="H553">
        <f>IF(A553="","",BDP(A553&amp;" US Equity","GICS_SECTOR_NAME"))</f>
        <v/>
      </c>
    </row>
    <row r="554">
      <c r="A554">
        <f>'Factor Scores'!A554</f>
        <v/>
      </c>
      <c r="B554" s="10">
        <f>IF(A554="","",0.40*'Factor Scores'!C554+0.20*'Factor Scores'!E554+0.20*'Factor Scores'!G554+0.20*'Factor Scores'!H554)</f>
        <v/>
      </c>
      <c r="C554" s="12">
        <f>IF(B554="","",RANK(B554,$B$2:$B$2501,0))</f>
        <v/>
      </c>
      <c r="D554">
        <f>IF(C554="","",C554&lt;=25)</f>
        <v/>
      </c>
      <c r="F554">
        <f>IF(A554="","",IF(AND(D554=TRUE,E554=""),"BUY",IF(AND(D554=FALSE,E554&lt;&gt;""),"SELL",IF(AND(D554=TRUE,E554&lt;&gt;""),"HOLD",""))))</f>
        <v/>
      </c>
      <c r="G554" s="12">
        <f>IF(D554=TRUE,4,0)</f>
        <v/>
      </c>
      <c r="H554">
        <f>IF(A554="","",BDP(A554&amp;" US Equity","GICS_SECTOR_NAME"))</f>
        <v/>
      </c>
    </row>
    <row r="555">
      <c r="A555">
        <f>'Factor Scores'!A555</f>
        <v/>
      </c>
      <c r="B555" s="10">
        <f>IF(A555="","",0.40*'Factor Scores'!C555+0.20*'Factor Scores'!E555+0.20*'Factor Scores'!G555+0.20*'Factor Scores'!H555)</f>
        <v/>
      </c>
      <c r="C555" s="12">
        <f>IF(B555="","",RANK(B555,$B$2:$B$2501,0))</f>
        <v/>
      </c>
      <c r="D555">
        <f>IF(C555="","",C555&lt;=25)</f>
        <v/>
      </c>
      <c r="F555">
        <f>IF(A555="","",IF(AND(D555=TRUE,E555=""),"BUY",IF(AND(D555=FALSE,E555&lt;&gt;""),"SELL",IF(AND(D555=TRUE,E555&lt;&gt;""),"HOLD",""))))</f>
        <v/>
      </c>
      <c r="G555" s="12">
        <f>IF(D555=TRUE,4,0)</f>
        <v/>
      </c>
      <c r="H555">
        <f>IF(A555="","",BDP(A555&amp;" US Equity","GICS_SECTOR_NAME"))</f>
        <v/>
      </c>
    </row>
    <row r="556">
      <c r="A556">
        <f>'Factor Scores'!A556</f>
        <v/>
      </c>
      <c r="B556" s="10">
        <f>IF(A556="","",0.40*'Factor Scores'!C556+0.20*'Factor Scores'!E556+0.20*'Factor Scores'!G556+0.20*'Factor Scores'!H556)</f>
        <v/>
      </c>
      <c r="C556" s="12">
        <f>IF(B556="","",RANK(B556,$B$2:$B$2501,0))</f>
        <v/>
      </c>
      <c r="D556">
        <f>IF(C556="","",C556&lt;=25)</f>
        <v/>
      </c>
      <c r="F556">
        <f>IF(A556="","",IF(AND(D556=TRUE,E556=""),"BUY",IF(AND(D556=FALSE,E556&lt;&gt;""),"SELL",IF(AND(D556=TRUE,E556&lt;&gt;""),"HOLD",""))))</f>
        <v/>
      </c>
      <c r="G556" s="12">
        <f>IF(D556=TRUE,4,0)</f>
        <v/>
      </c>
      <c r="H556">
        <f>IF(A556="","",BDP(A556&amp;" US Equity","GICS_SECTOR_NAME"))</f>
        <v/>
      </c>
    </row>
    <row r="557">
      <c r="A557">
        <f>'Factor Scores'!A557</f>
        <v/>
      </c>
      <c r="B557" s="10">
        <f>IF(A557="","",0.40*'Factor Scores'!C557+0.20*'Factor Scores'!E557+0.20*'Factor Scores'!G557+0.20*'Factor Scores'!H557)</f>
        <v/>
      </c>
      <c r="C557" s="12">
        <f>IF(B557="","",RANK(B557,$B$2:$B$2501,0))</f>
        <v/>
      </c>
      <c r="D557">
        <f>IF(C557="","",C557&lt;=25)</f>
        <v/>
      </c>
      <c r="F557">
        <f>IF(A557="","",IF(AND(D557=TRUE,E557=""),"BUY",IF(AND(D557=FALSE,E557&lt;&gt;""),"SELL",IF(AND(D557=TRUE,E557&lt;&gt;""),"HOLD",""))))</f>
        <v/>
      </c>
      <c r="G557" s="12">
        <f>IF(D557=TRUE,4,0)</f>
        <v/>
      </c>
      <c r="H557">
        <f>IF(A557="","",BDP(A557&amp;" US Equity","GICS_SECTOR_NAME"))</f>
        <v/>
      </c>
    </row>
    <row r="558">
      <c r="A558">
        <f>'Factor Scores'!A558</f>
        <v/>
      </c>
      <c r="B558" s="10">
        <f>IF(A558="","",0.40*'Factor Scores'!C558+0.20*'Factor Scores'!E558+0.20*'Factor Scores'!G558+0.20*'Factor Scores'!H558)</f>
        <v/>
      </c>
      <c r="C558" s="12">
        <f>IF(B558="","",RANK(B558,$B$2:$B$2501,0))</f>
        <v/>
      </c>
      <c r="D558">
        <f>IF(C558="","",C558&lt;=25)</f>
        <v/>
      </c>
      <c r="F558">
        <f>IF(A558="","",IF(AND(D558=TRUE,E558=""),"BUY",IF(AND(D558=FALSE,E558&lt;&gt;""),"SELL",IF(AND(D558=TRUE,E558&lt;&gt;""),"HOLD",""))))</f>
        <v/>
      </c>
      <c r="G558" s="12">
        <f>IF(D558=TRUE,4,0)</f>
        <v/>
      </c>
      <c r="H558">
        <f>IF(A558="","",BDP(A558&amp;" US Equity","GICS_SECTOR_NAME"))</f>
        <v/>
      </c>
    </row>
    <row r="559">
      <c r="A559">
        <f>'Factor Scores'!A559</f>
        <v/>
      </c>
      <c r="B559" s="10">
        <f>IF(A559="","",0.40*'Factor Scores'!C559+0.20*'Factor Scores'!E559+0.20*'Factor Scores'!G559+0.20*'Factor Scores'!H559)</f>
        <v/>
      </c>
      <c r="C559" s="12">
        <f>IF(B559="","",RANK(B559,$B$2:$B$2501,0))</f>
        <v/>
      </c>
      <c r="D559">
        <f>IF(C559="","",C559&lt;=25)</f>
        <v/>
      </c>
      <c r="F559">
        <f>IF(A559="","",IF(AND(D559=TRUE,E559=""),"BUY",IF(AND(D559=FALSE,E559&lt;&gt;""),"SELL",IF(AND(D559=TRUE,E559&lt;&gt;""),"HOLD",""))))</f>
        <v/>
      </c>
      <c r="G559" s="12">
        <f>IF(D559=TRUE,4,0)</f>
        <v/>
      </c>
      <c r="H559">
        <f>IF(A559="","",BDP(A559&amp;" US Equity","GICS_SECTOR_NAME"))</f>
        <v/>
      </c>
    </row>
    <row r="560">
      <c r="A560">
        <f>'Factor Scores'!A560</f>
        <v/>
      </c>
      <c r="B560" s="10">
        <f>IF(A560="","",0.40*'Factor Scores'!C560+0.20*'Factor Scores'!E560+0.20*'Factor Scores'!G560+0.20*'Factor Scores'!H560)</f>
        <v/>
      </c>
      <c r="C560" s="12">
        <f>IF(B560="","",RANK(B560,$B$2:$B$2501,0))</f>
        <v/>
      </c>
      <c r="D560">
        <f>IF(C560="","",C560&lt;=25)</f>
        <v/>
      </c>
      <c r="F560">
        <f>IF(A560="","",IF(AND(D560=TRUE,E560=""),"BUY",IF(AND(D560=FALSE,E560&lt;&gt;""),"SELL",IF(AND(D560=TRUE,E560&lt;&gt;""),"HOLD",""))))</f>
        <v/>
      </c>
      <c r="G560" s="12">
        <f>IF(D560=TRUE,4,0)</f>
        <v/>
      </c>
      <c r="H560">
        <f>IF(A560="","",BDP(A560&amp;" US Equity","GICS_SECTOR_NAME"))</f>
        <v/>
      </c>
    </row>
    <row r="561">
      <c r="A561">
        <f>'Factor Scores'!A561</f>
        <v/>
      </c>
      <c r="B561" s="10">
        <f>IF(A561="","",0.40*'Factor Scores'!C561+0.20*'Factor Scores'!E561+0.20*'Factor Scores'!G561+0.20*'Factor Scores'!H561)</f>
        <v/>
      </c>
      <c r="C561" s="12">
        <f>IF(B561="","",RANK(B561,$B$2:$B$2501,0))</f>
        <v/>
      </c>
      <c r="D561">
        <f>IF(C561="","",C561&lt;=25)</f>
        <v/>
      </c>
      <c r="F561">
        <f>IF(A561="","",IF(AND(D561=TRUE,E561=""),"BUY",IF(AND(D561=FALSE,E561&lt;&gt;""),"SELL",IF(AND(D561=TRUE,E561&lt;&gt;""),"HOLD",""))))</f>
        <v/>
      </c>
      <c r="G561" s="12">
        <f>IF(D561=TRUE,4,0)</f>
        <v/>
      </c>
      <c r="H561">
        <f>IF(A561="","",BDP(A561&amp;" US Equity","GICS_SECTOR_NAME"))</f>
        <v/>
      </c>
    </row>
    <row r="562">
      <c r="A562">
        <f>'Factor Scores'!A562</f>
        <v/>
      </c>
      <c r="B562" s="10">
        <f>IF(A562="","",0.40*'Factor Scores'!C562+0.20*'Factor Scores'!E562+0.20*'Factor Scores'!G562+0.20*'Factor Scores'!H562)</f>
        <v/>
      </c>
      <c r="C562" s="12">
        <f>IF(B562="","",RANK(B562,$B$2:$B$2501,0))</f>
        <v/>
      </c>
      <c r="D562">
        <f>IF(C562="","",C562&lt;=25)</f>
        <v/>
      </c>
      <c r="F562">
        <f>IF(A562="","",IF(AND(D562=TRUE,E562=""),"BUY",IF(AND(D562=FALSE,E562&lt;&gt;""),"SELL",IF(AND(D562=TRUE,E562&lt;&gt;""),"HOLD",""))))</f>
        <v/>
      </c>
      <c r="G562" s="12">
        <f>IF(D562=TRUE,4,0)</f>
        <v/>
      </c>
      <c r="H562">
        <f>IF(A562="","",BDP(A562&amp;" US Equity","GICS_SECTOR_NAME"))</f>
        <v/>
      </c>
    </row>
    <row r="563">
      <c r="A563">
        <f>'Factor Scores'!A563</f>
        <v/>
      </c>
      <c r="B563" s="10">
        <f>IF(A563="","",0.40*'Factor Scores'!C563+0.20*'Factor Scores'!E563+0.20*'Factor Scores'!G563+0.20*'Factor Scores'!H563)</f>
        <v/>
      </c>
      <c r="C563" s="12">
        <f>IF(B563="","",RANK(B563,$B$2:$B$2501,0))</f>
        <v/>
      </c>
      <c r="D563">
        <f>IF(C563="","",C563&lt;=25)</f>
        <v/>
      </c>
      <c r="F563">
        <f>IF(A563="","",IF(AND(D563=TRUE,E563=""),"BUY",IF(AND(D563=FALSE,E563&lt;&gt;""),"SELL",IF(AND(D563=TRUE,E563&lt;&gt;""),"HOLD",""))))</f>
        <v/>
      </c>
      <c r="G563" s="12">
        <f>IF(D563=TRUE,4,0)</f>
        <v/>
      </c>
      <c r="H563">
        <f>IF(A563="","",BDP(A563&amp;" US Equity","GICS_SECTOR_NAME"))</f>
        <v/>
      </c>
    </row>
    <row r="564">
      <c r="A564">
        <f>'Factor Scores'!A564</f>
        <v/>
      </c>
      <c r="B564" s="10">
        <f>IF(A564="","",0.40*'Factor Scores'!C564+0.20*'Factor Scores'!E564+0.20*'Factor Scores'!G564+0.20*'Factor Scores'!H564)</f>
        <v/>
      </c>
      <c r="C564" s="12">
        <f>IF(B564="","",RANK(B564,$B$2:$B$2501,0))</f>
        <v/>
      </c>
      <c r="D564">
        <f>IF(C564="","",C564&lt;=25)</f>
        <v/>
      </c>
      <c r="F564">
        <f>IF(A564="","",IF(AND(D564=TRUE,E564=""),"BUY",IF(AND(D564=FALSE,E564&lt;&gt;""),"SELL",IF(AND(D564=TRUE,E564&lt;&gt;""),"HOLD",""))))</f>
        <v/>
      </c>
      <c r="G564" s="12">
        <f>IF(D564=TRUE,4,0)</f>
        <v/>
      </c>
      <c r="H564">
        <f>IF(A564="","",BDP(A564&amp;" US Equity","GICS_SECTOR_NAME"))</f>
        <v/>
      </c>
    </row>
    <row r="565">
      <c r="A565">
        <f>'Factor Scores'!A565</f>
        <v/>
      </c>
      <c r="B565" s="10">
        <f>IF(A565="","",0.40*'Factor Scores'!C565+0.20*'Factor Scores'!E565+0.20*'Factor Scores'!G565+0.20*'Factor Scores'!H565)</f>
        <v/>
      </c>
      <c r="C565" s="12">
        <f>IF(B565="","",RANK(B565,$B$2:$B$2501,0))</f>
        <v/>
      </c>
      <c r="D565">
        <f>IF(C565="","",C565&lt;=25)</f>
        <v/>
      </c>
      <c r="F565">
        <f>IF(A565="","",IF(AND(D565=TRUE,E565=""),"BUY",IF(AND(D565=FALSE,E565&lt;&gt;""),"SELL",IF(AND(D565=TRUE,E565&lt;&gt;""),"HOLD",""))))</f>
        <v/>
      </c>
      <c r="G565" s="12">
        <f>IF(D565=TRUE,4,0)</f>
        <v/>
      </c>
      <c r="H565">
        <f>IF(A565="","",BDP(A565&amp;" US Equity","GICS_SECTOR_NAME"))</f>
        <v/>
      </c>
    </row>
    <row r="566">
      <c r="A566">
        <f>'Factor Scores'!A566</f>
        <v/>
      </c>
      <c r="B566" s="10">
        <f>IF(A566="","",0.40*'Factor Scores'!C566+0.20*'Factor Scores'!E566+0.20*'Factor Scores'!G566+0.20*'Factor Scores'!H566)</f>
        <v/>
      </c>
      <c r="C566" s="12">
        <f>IF(B566="","",RANK(B566,$B$2:$B$2501,0))</f>
        <v/>
      </c>
      <c r="D566">
        <f>IF(C566="","",C566&lt;=25)</f>
        <v/>
      </c>
      <c r="F566">
        <f>IF(A566="","",IF(AND(D566=TRUE,E566=""),"BUY",IF(AND(D566=FALSE,E566&lt;&gt;""),"SELL",IF(AND(D566=TRUE,E566&lt;&gt;""),"HOLD",""))))</f>
        <v/>
      </c>
      <c r="G566" s="12">
        <f>IF(D566=TRUE,4,0)</f>
        <v/>
      </c>
      <c r="H566">
        <f>IF(A566="","",BDP(A566&amp;" US Equity","GICS_SECTOR_NAME"))</f>
        <v/>
      </c>
    </row>
    <row r="567">
      <c r="A567">
        <f>'Factor Scores'!A567</f>
        <v/>
      </c>
      <c r="B567" s="10">
        <f>IF(A567="","",0.40*'Factor Scores'!C567+0.20*'Factor Scores'!E567+0.20*'Factor Scores'!G567+0.20*'Factor Scores'!H567)</f>
        <v/>
      </c>
      <c r="C567" s="12">
        <f>IF(B567="","",RANK(B567,$B$2:$B$2501,0))</f>
        <v/>
      </c>
      <c r="D567">
        <f>IF(C567="","",C567&lt;=25)</f>
        <v/>
      </c>
      <c r="F567">
        <f>IF(A567="","",IF(AND(D567=TRUE,E567=""),"BUY",IF(AND(D567=FALSE,E567&lt;&gt;""),"SELL",IF(AND(D567=TRUE,E567&lt;&gt;""),"HOLD",""))))</f>
        <v/>
      </c>
      <c r="G567" s="12">
        <f>IF(D567=TRUE,4,0)</f>
        <v/>
      </c>
      <c r="H567">
        <f>IF(A567="","",BDP(A567&amp;" US Equity","GICS_SECTOR_NAME"))</f>
        <v/>
      </c>
    </row>
    <row r="568">
      <c r="A568">
        <f>'Factor Scores'!A568</f>
        <v/>
      </c>
      <c r="B568" s="10">
        <f>IF(A568="","",0.40*'Factor Scores'!C568+0.20*'Factor Scores'!E568+0.20*'Factor Scores'!G568+0.20*'Factor Scores'!H568)</f>
        <v/>
      </c>
      <c r="C568" s="12">
        <f>IF(B568="","",RANK(B568,$B$2:$B$2501,0))</f>
        <v/>
      </c>
      <c r="D568">
        <f>IF(C568="","",C568&lt;=25)</f>
        <v/>
      </c>
      <c r="F568">
        <f>IF(A568="","",IF(AND(D568=TRUE,E568=""),"BUY",IF(AND(D568=FALSE,E568&lt;&gt;""),"SELL",IF(AND(D568=TRUE,E568&lt;&gt;""),"HOLD",""))))</f>
        <v/>
      </c>
      <c r="G568" s="12">
        <f>IF(D568=TRUE,4,0)</f>
        <v/>
      </c>
      <c r="H568">
        <f>IF(A568="","",BDP(A568&amp;" US Equity","GICS_SECTOR_NAME"))</f>
        <v/>
      </c>
    </row>
    <row r="569">
      <c r="A569">
        <f>'Factor Scores'!A569</f>
        <v/>
      </c>
      <c r="B569" s="10">
        <f>IF(A569="","",0.40*'Factor Scores'!C569+0.20*'Factor Scores'!E569+0.20*'Factor Scores'!G569+0.20*'Factor Scores'!H569)</f>
        <v/>
      </c>
      <c r="C569" s="12">
        <f>IF(B569="","",RANK(B569,$B$2:$B$2501,0))</f>
        <v/>
      </c>
      <c r="D569">
        <f>IF(C569="","",C569&lt;=25)</f>
        <v/>
      </c>
      <c r="F569">
        <f>IF(A569="","",IF(AND(D569=TRUE,E569=""),"BUY",IF(AND(D569=FALSE,E569&lt;&gt;""),"SELL",IF(AND(D569=TRUE,E569&lt;&gt;""),"HOLD",""))))</f>
        <v/>
      </c>
      <c r="G569" s="12">
        <f>IF(D569=TRUE,4,0)</f>
        <v/>
      </c>
      <c r="H569">
        <f>IF(A569="","",BDP(A569&amp;" US Equity","GICS_SECTOR_NAME"))</f>
        <v/>
      </c>
    </row>
    <row r="570">
      <c r="A570">
        <f>'Factor Scores'!A570</f>
        <v/>
      </c>
      <c r="B570" s="10">
        <f>IF(A570="","",0.40*'Factor Scores'!C570+0.20*'Factor Scores'!E570+0.20*'Factor Scores'!G570+0.20*'Factor Scores'!H570)</f>
        <v/>
      </c>
      <c r="C570" s="12">
        <f>IF(B570="","",RANK(B570,$B$2:$B$2501,0))</f>
        <v/>
      </c>
      <c r="D570">
        <f>IF(C570="","",C570&lt;=25)</f>
        <v/>
      </c>
      <c r="F570">
        <f>IF(A570="","",IF(AND(D570=TRUE,E570=""),"BUY",IF(AND(D570=FALSE,E570&lt;&gt;""),"SELL",IF(AND(D570=TRUE,E570&lt;&gt;""),"HOLD",""))))</f>
        <v/>
      </c>
      <c r="G570" s="12">
        <f>IF(D570=TRUE,4,0)</f>
        <v/>
      </c>
      <c r="H570">
        <f>IF(A570="","",BDP(A570&amp;" US Equity","GICS_SECTOR_NAME"))</f>
        <v/>
      </c>
    </row>
    <row r="571">
      <c r="A571">
        <f>'Factor Scores'!A571</f>
        <v/>
      </c>
      <c r="B571" s="10">
        <f>IF(A571="","",0.40*'Factor Scores'!C571+0.20*'Factor Scores'!E571+0.20*'Factor Scores'!G571+0.20*'Factor Scores'!H571)</f>
        <v/>
      </c>
      <c r="C571" s="12">
        <f>IF(B571="","",RANK(B571,$B$2:$B$2501,0))</f>
        <v/>
      </c>
      <c r="D571">
        <f>IF(C571="","",C571&lt;=25)</f>
        <v/>
      </c>
      <c r="F571">
        <f>IF(A571="","",IF(AND(D571=TRUE,E571=""),"BUY",IF(AND(D571=FALSE,E571&lt;&gt;""),"SELL",IF(AND(D571=TRUE,E571&lt;&gt;""),"HOLD",""))))</f>
        <v/>
      </c>
      <c r="G571" s="12">
        <f>IF(D571=TRUE,4,0)</f>
        <v/>
      </c>
      <c r="H571">
        <f>IF(A571="","",BDP(A571&amp;" US Equity","GICS_SECTOR_NAME"))</f>
        <v/>
      </c>
    </row>
    <row r="572">
      <c r="A572">
        <f>'Factor Scores'!A572</f>
        <v/>
      </c>
      <c r="B572" s="10">
        <f>IF(A572="","",0.40*'Factor Scores'!C572+0.20*'Factor Scores'!E572+0.20*'Factor Scores'!G572+0.20*'Factor Scores'!H572)</f>
        <v/>
      </c>
      <c r="C572" s="12">
        <f>IF(B572="","",RANK(B572,$B$2:$B$2501,0))</f>
        <v/>
      </c>
      <c r="D572">
        <f>IF(C572="","",C572&lt;=25)</f>
        <v/>
      </c>
      <c r="F572">
        <f>IF(A572="","",IF(AND(D572=TRUE,E572=""),"BUY",IF(AND(D572=FALSE,E572&lt;&gt;""),"SELL",IF(AND(D572=TRUE,E572&lt;&gt;""),"HOLD",""))))</f>
        <v/>
      </c>
      <c r="G572" s="12">
        <f>IF(D572=TRUE,4,0)</f>
        <v/>
      </c>
      <c r="H572">
        <f>IF(A572="","",BDP(A572&amp;" US Equity","GICS_SECTOR_NAME"))</f>
        <v/>
      </c>
    </row>
    <row r="573">
      <c r="A573">
        <f>'Factor Scores'!A573</f>
        <v/>
      </c>
      <c r="B573" s="10">
        <f>IF(A573="","",0.40*'Factor Scores'!C573+0.20*'Factor Scores'!E573+0.20*'Factor Scores'!G573+0.20*'Factor Scores'!H573)</f>
        <v/>
      </c>
      <c r="C573" s="12">
        <f>IF(B573="","",RANK(B573,$B$2:$B$2501,0))</f>
        <v/>
      </c>
      <c r="D573">
        <f>IF(C573="","",C573&lt;=25)</f>
        <v/>
      </c>
      <c r="F573">
        <f>IF(A573="","",IF(AND(D573=TRUE,E573=""),"BUY",IF(AND(D573=FALSE,E573&lt;&gt;""),"SELL",IF(AND(D573=TRUE,E573&lt;&gt;""),"HOLD",""))))</f>
        <v/>
      </c>
      <c r="G573" s="12">
        <f>IF(D573=TRUE,4,0)</f>
        <v/>
      </c>
      <c r="H573">
        <f>IF(A573="","",BDP(A573&amp;" US Equity","GICS_SECTOR_NAME"))</f>
        <v/>
      </c>
    </row>
    <row r="574">
      <c r="A574">
        <f>'Factor Scores'!A574</f>
        <v/>
      </c>
      <c r="B574" s="10">
        <f>IF(A574="","",0.40*'Factor Scores'!C574+0.20*'Factor Scores'!E574+0.20*'Factor Scores'!G574+0.20*'Factor Scores'!H574)</f>
        <v/>
      </c>
      <c r="C574" s="12">
        <f>IF(B574="","",RANK(B574,$B$2:$B$2501,0))</f>
        <v/>
      </c>
      <c r="D574">
        <f>IF(C574="","",C574&lt;=25)</f>
        <v/>
      </c>
      <c r="F574">
        <f>IF(A574="","",IF(AND(D574=TRUE,E574=""),"BUY",IF(AND(D574=FALSE,E574&lt;&gt;""),"SELL",IF(AND(D574=TRUE,E574&lt;&gt;""),"HOLD",""))))</f>
        <v/>
      </c>
      <c r="G574" s="12">
        <f>IF(D574=TRUE,4,0)</f>
        <v/>
      </c>
      <c r="H574">
        <f>IF(A574="","",BDP(A574&amp;" US Equity","GICS_SECTOR_NAME"))</f>
        <v/>
      </c>
    </row>
    <row r="575">
      <c r="A575">
        <f>'Factor Scores'!A575</f>
        <v/>
      </c>
      <c r="B575" s="10">
        <f>IF(A575="","",0.40*'Factor Scores'!C575+0.20*'Factor Scores'!E575+0.20*'Factor Scores'!G575+0.20*'Factor Scores'!H575)</f>
        <v/>
      </c>
      <c r="C575" s="12">
        <f>IF(B575="","",RANK(B575,$B$2:$B$2501,0))</f>
        <v/>
      </c>
      <c r="D575">
        <f>IF(C575="","",C575&lt;=25)</f>
        <v/>
      </c>
      <c r="F575">
        <f>IF(A575="","",IF(AND(D575=TRUE,E575=""),"BUY",IF(AND(D575=FALSE,E575&lt;&gt;""),"SELL",IF(AND(D575=TRUE,E575&lt;&gt;""),"HOLD",""))))</f>
        <v/>
      </c>
      <c r="G575" s="12">
        <f>IF(D575=TRUE,4,0)</f>
        <v/>
      </c>
      <c r="H575">
        <f>IF(A575="","",BDP(A575&amp;" US Equity","GICS_SECTOR_NAME"))</f>
        <v/>
      </c>
    </row>
    <row r="576">
      <c r="A576">
        <f>'Factor Scores'!A576</f>
        <v/>
      </c>
      <c r="B576" s="10">
        <f>IF(A576="","",0.40*'Factor Scores'!C576+0.20*'Factor Scores'!E576+0.20*'Factor Scores'!G576+0.20*'Factor Scores'!H576)</f>
        <v/>
      </c>
      <c r="C576" s="12">
        <f>IF(B576="","",RANK(B576,$B$2:$B$2501,0))</f>
        <v/>
      </c>
      <c r="D576">
        <f>IF(C576="","",C576&lt;=25)</f>
        <v/>
      </c>
      <c r="F576">
        <f>IF(A576="","",IF(AND(D576=TRUE,E576=""),"BUY",IF(AND(D576=FALSE,E576&lt;&gt;""),"SELL",IF(AND(D576=TRUE,E576&lt;&gt;""),"HOLD",""))))</f>
        <v/>
      </c>
      <c r="G576" s="12">
        <f>IF(D576=TRUE,4,0)</f>
        <v/>
      </c>
      <c r="H576">
        <f>IF(A576="","",BDP(A576&amp;" US Equity","GICS_SECTOR_NAME"))</f>
        <v/>
      </c>
    </row>
    <row r="577">
      <c r="A577">
        <f>'Factor Scores'!A577</f>
        <v/>
      </c>
      <c r="B577" s="10">
        <f>IF(A577="","",0.40*'Factor Scores'!C577+0.20*'Factor Scores'!E577+0.20*'Factor Scores'!G577+0.20*'Factor Scores'!H577)</f>
        <v/>
      </c>
      <c r="C577" s="12">
        <f>IF(B577="","",RANK(B577,$B$2:$B$2501,0))</f>
        <v/>
      </c>
      <c r="D577">
        <f>IF(C577="","",C577&lt;=25)</f>
        <v/>
      </c>
      <c r="F577">
        <f>IF(A577="","",IF(AND(D577=TRUE,E577=""),"BUY",IF(AND(D577=FALSE,E577&lt;&gt;""),"SELL",IF(AND(D577=TRUE,E577&lt;&gt;""),"HOLD",""))))</f>
        <v/>
      </c>
      <c r="G577" s="12">
        <f>IF(D577=TRUE,4,0)</f>
        <v/>
      </c>
      <c r="H577">
        <f>IF(A577="","",BDP(A577&amp;" US Equity","GICS_SECTOR_NAME"))</f>
        <v/>
      </c>
    </row>
    <row r="578">
      <c r="A578">
        <f>'Factor Scores'!A578</f>
        <v/>
      </c>
      <c r="B578" s="10">
        <f>IF(A578="","",0.40*'Factor Scores'!C578+0.20*'Factor Scores'!E578+0.20*'Factor Scores'!G578+0.20*'Factor Scores'!H578)</f>
        <v/>
      </c>
      <c r="C578" s="12">
        <f>IF(B578="","",RANK(B578,$B$2:$B$2501,0))</f>
        <v/>
      </c>
      <c r="D578">
        <f>IF(C578="","",C578&lt;=25)</f>
        <v/>
      </c>
      <c r="F578">
        <f>IF(A578="","",IF(AND(D578=TRUE,E578=""),"BUY",IF(AND(D578=FALSE,E578&lt;&gt;""),"SELL",IF(AND(D578=TRUE,E578&lt;&gt;""),"HOLD",""))))</f>
        <v/>
      </c>
      <c r="G578" s="12">
        <f>IF(D578=TRUE,4,0)</f>
        <v/>
      </c>
      <c r="H578">
        <f>IF(A578="","",BDP(A578&amp;" US Equity","GICS_SECTOR_NAME"))</f>
        <v/>
      </c>
    </row>
    <row r="579">
      <c r="A579">
        <f>'Factor Scores'!A579</f>
        <v/>
      </c>
      <c r="B579" s="10">
        <f>IF(A579="","",0.40*'Factor Scores'!C579+0.20*'Factor Scores'!E579+0.20*'Factor Scores'!G579+0.20*'Factor Scores'!H579)</f>
        <v/>
      </c>
      <c r="C579" s="12">
        <f>IF(B579="","",RANK(B579,$B$2:$B$2501,0))</f>
        <v/>
      </c>
      <c r="D579">
        <f>IF(C579="","",C579&lt;=25)</f>
        <v/>
      </c>
      <c r="F579">
        <f>IF(A579="","",IF(AND(D579=TRUE,E579=""),"BUY",IF(AND(D579=FALSE,E579&lt;&gt;""),"SELL",IF(AND(D579=TRUE,E579&lt;&gt;""),"HOLD",""))))</f>
        <v/>
      </c>
      <c r="G579" s="12">
        <f>IF(D579=TRUE,4,0)</f>
        <v/>
      </c>
      <c r="H579">
        <f>IF(A579="","",BDP(A579&amp;" US Equity","GICS_SECTOR_NAME"))</f>
        <v/>
      </c>
    </row>
    <row r="580">
      <c r="A580">
        <f>'Factor Scores'!A580</f>
        <v/>
      </c>
      <c r="B580" s="10">
        <f>IF(A580="","",0.40*'Factor Scores'!C580+0.20*'Factor Scores'!E580+0.20*'Factor Scores'!G580+0.20*'Factor Scores'!H580)</f>
        <v/>
      </c>
      <c r="C580" s="12">
        <f>IF(B580="","",RANK(B580,$B$2:$B$2501,0))</f>
        <v/>
      </c>
      <c r="D580">
        <f>IF(C580="","",C580&lt;=25)</f>
        <v/>
      </c>
      <c r="F580">
        <f>IF(A580="","",IF(AND(D580=TRUE,E580=""),"BUY",IF(AND(D580=FALSE,E580&lt;&gt;""),"SELL",IF(AND(D580=TRUE,E580&lt;&gt;""),"HOLD",""))))</f>
        <v/>
      </c>
      <c r="G580" s="12">
        <f>IF(D580=TRUE,4,0)</f>
        <v/>
      </c>
      <c r="H580">
        <f>IF(A580="","",BDP(A580&amp;" US Equity","GICS_SECTOR_NAME"))</f>
        <v/>
      </c>
    </row>
    <row r="581">
      <c r="A581">
        <f>'Factor Scores'!A581</f>
        <v/>
      </c>
      <c r="B581" s="10">
        <f>IF(A581="","",0.40*'Factor Scores'!C581+0.20*'Factor Scores'!E581+0.20*'Factor Scores'!G581+0.20*'Factor Scores'!H581)</f>
        <v/>
      </c>
      <c r="C581" s="12">
        <f>IF(B581="","",RANK(B581,$B$2:$B$2501,0))</f>
        <v/>
      </c>
      <c r="D581">
        <f>IF(C581="","",C581&lt;=25)</f>
        <v/>
      </c>
      <c r="F581">
        <f>IF(A581="","",IF(AND(D581=TRUE,E581=""),"BUY",IF(AND(D581=FALSE,E581&lt;&gt;""),"SELL",IF(AND(D581=TRUE,E581&lt;&gt;""),"HOLD",""))))</f>
        <v/>
      </c>
      <c r="G581" s="12">
        <f>IF(D581=TRUE,4,0)</f>
        <v/>
      </c>
      <c r="H581">
        <f>IF(A581="","",BDP(A581&amp;" US Equity","GICS_SECTOR_NAME"))</f>
        <v/>
      </c>
    </row>
    <row r="582">
      <c r="A582">
        <f>'Factor Scores'!A582</f>
        <v/>
      </c>
      <c r="B582" s="10">
        <f>IF(A582="","",0.40*'Factor Scores'!C582+0.20*'Factor Scores'!E582+0.20*'Factor Scores'!G582+0.20*'Factor Scores'!H582)</f>
        <v/>
      </c>
      <c r="C582" s="12">
        <f>IF(B582="","",RANK(B582,$B$2:$B$2501,0))</f>
        <v/>
      </c>
      <c r="D582">
        <f>IF(C582="","",C582&lt;=25)</f>
        <v/>
      </c>
      <c r="F582">
        <f>IF(A582="","",IF(AND(D582=TRUE,E582=""),"BUY",IF(AND(D582=FALSE,E582&lt;&gt;""),"SELL",IF(AND(D582=TRUE,E582&lt;&gt;""),"HOLD",""))))</f>
        <v/>
      </c>
      <c r="G582" s="12">
        <f>IF(D582=TRUE,4,0)</f>
        <v/>
      </c>
      <c r="H582">
        <f>IF(A582="","",BDP(A582&amp;" US Equity","GICS_SECTOR_NAME"))</f>
        <v/>
      </c>
    </row>
    <row r="583">
      <c r="A583">
        <f>'Factor Scores'!A583</f>
        <v/>
      </c>
      <c r="B583" s="10">
        <f>IF(A583="","",0.40*'Factor Scores'!C583+0.20*'Factor Scores'!E583+0.20*'Factor Scores'!G583+0.20*'Factor Scores'!H583)</f>
        <v/>
      </c>
      <c r="C583" s="12">
        <f>IF(B583="","",RANK(B583,$B$2:$B$2501,0))</f>
        <v/>
      </c>
      <c r="D583">
        <f>IF(C583="","",C583&lt;=25)</f>
        <v/>
      </c>
      <c r="F583">
        <f>IF(A583="","",IF(AND(D583=TRUE,E583=""),"BUY",IF(AND(D583=FALSE,E583&lt;&gt;""),"SELL",IF(AND(D583=TRUE,E583&lt;&gt;""),"HOLD",""))))</f>
        <v/>
      </c>
      <c r="G583" s="12">
        <f>IF(D583=TRUE,4,0)</f>
        <v/>
      </c>
      <c r="H583">
        <f>IF(A583="","",BDP(A583&amp;" US Equity","GICS_SECTOR_NAME"))</f>
        <v/>
      </c>
    </row>
    <row r="584">
      <c r="A584">
        <f>'Factor Scores'!A584</f>
        <v/>
      </c>
      <c r="B584" s="10">
        <f>IF(A584="","",0.40*'Factor Scores'!C584+0.20*'Factor Scores'!E584+0.20*'Factor Scores'!G584+0.20*'Factor Scores'!H584)</f>
        <v/>
      </c>
      <c r="C584" s="12">
        <f>IF(B584="","",RANK(B584,$B$2:$B$2501,0))</f>
        <v/>
      </c>
      <c r="D584">
        <f>IF(C584="","",C584&lt;=25)</f>
        <v/>
      </c>
      <c r="F584">
        <f>IF(A584="","",IF(AND(D584=TRUE,E584=""),"BUY",IF(AND(D584=FALSE,E584&lt;&gt;""),"SELL",IF(AND(D584=TRUE,E584&lt;&gt;""),"HOLD",""))))</f>
        <v/>
      </c>
      <c r="G584" s="12">
        <f>IF(D584=TRUE,4,0)</f>
        <v/>
      </c>
      <c r="H584">
        <f>IF(A584="","",BDP(A584&amp;" US Equity","GICS_SECTOR_NAME"))</f>
        <v/>
      </c>
    </row>
    <row r="585">
      <c r="A585">
        <f>'Factor Scores'!A585</f>
        <v/>
      </c>
      <c r="B585" s="10">
        <f>IF(A585="","",0.40*'Factor Scores'!C585+0.20*'Factor Scores'!E585+0.20*'Factor Scores'!G585+0.20*'Factor Scores'!H585)</f>
        <v/>
      </c>
      <c r="C585" s="12">
        <f>IF(B585="","",RANK(B585,$B$2:$B$2501,0))</f>
        <v/>
      </c>
      <c r="D585">
        <f>IF(C585="","",C585&lt;=25)</f>
        <v/>
      </c>
      <c r="F585">
        <f>IF(A585="","",IF(AND(D585=TRUE,E585=""),"BUY",IF(AND(D585=FALSE,E585&lt;&gt;""),"SELL",IF(AND(D585=TRUE,E585&lt;&gt;""),"HOLD",""))))</f>
        <v/>
      </c>
      <c r="G585" s="12">
        <f>IF(D585=TRUE,4,0)</f>
        <v/>
      </c>
      <c r="H585">
        <f>IF(A585="","",BDP(A585&amp;" US Equity","GICS_SECTOR_NAME"))</f>
        <v/>
      </c>
    </row>
    <row r="586">
      <c r="A586">
        <f>'Factor Scores'!A586</f>
        <v/>
      </c>
      <c r="B586" s="10">
        <f>IF(A586="","",0.40*'Factor Scores'!C586+0.20*'Factor Scores'!E586+0.20*'Factor Scores'!G586+0.20*'Factor Scores'!H586)</f>
        <v/>
      </c>
      <c r="C586" s="12">
        <f>IF(B586="","",RANK(B586,$B$2:$B$2501,0))</f>
        <v/>
      </c>
      <c r="D586">
        <f>IF(C586="","",C586&lt;=25)</f>
        <v/>
      </c>
      <c r="F586">
        <f>IF(A586="","",IF(AND(D586=TRUE,E586=""),"BUY",IF(AND(D586=FALSE,E586&lt;&gt;""),"SELL",IF(AND(D586=TRUE,E586&lt;&gt;""),"HOLD",""))))</f>
        <v/>
      </c>
      <c r="G586" s="12">
        <f>IF(D586=TRUE,4,0)</f>
        <v/>
      </c>
      <c r="H586">
        <f>IF(A586="","",BDP(A586&amp;" US Equity","GICS_SECTOR_NAME"))</f>
        <v/>
      </c>
    </row>
    <row r="587">
      <c r="A587">
        <f>'Factor Scores'!A587</f>
        <v/>
      </c>
      <c r="B587" s="10">
        <f>IF(A587="","",0.40*'Factor Scores'!C587+0.20*'Factor Scores'!E587+0.20*'Factor Scores'!G587+0.20*'Factor Scores'!H587)</f>
        <v/>
      </c>
      <c r="C587" s="12">
        <f>IF(B587="","",RANK(B587,$B$2:$B$2501,0))</f>
        <v/>
      </c>
      <c r="D587">
        <f>IF(C587="","",C587&lt;=25)</f>
        <v/>
      </c>
      <c r="F587">
        <f>IF(A587="","",IF(AND(D587=TRUE,E587=""),"BUY",IF(AND(D587=FALSE,E587&lt;&gt;""),"SELL",IF(AND(D587=TRUE,E587&lt;&gt;""),"HOLD",""))))</f>
        <v/>
      </c>
      <c r="G587" s="12">
        <f>IF(D587=TRUE,4,0)</f>
        <v/>
      </c>
      <c r="H587">
        <f>IF(A587="","",BDP(A587&amp;" US Equity","GICS_SECTOR_NAME"))</f>
        <v/>
      </c>
    </row>
    <row r="588">
      <c r="A588">
        <f>'Factor Scores'!A588</f>
        <v/>
      </c>
      <c r="B588" s="10">
        <f>IF(A588="","",0.40*'Factor Scores'!C588+0.20*'Factor Scores'!E588+0.20*'Factor Scores'!G588+0.20*'Factor Scores'!H588)</f>
        <v/>
      </c>
      <c r="C588" s="12">
        <f>IF(B588="","",RANK(B588,$B$2:$B$2501,0))</f>
        <v/>
      </c>
      <c r="D588">
        <f>IF(C588="","",C588&lt;=25)</f>
        <v/>
      </c>
      <c r="F588">
        <f>IF(A588="","",IF(AND(D588=TRUE,E588=""),"BUY",IF(AND(D588=FALSE,E588&lt;&gt;""),"SELL",IF(AND(D588=TRUE,E588&lt;&gt;""),"HOLD",""))))</f>
        <v/>
      </c>
      <c r="G588" s="12">
        <f>IF(D588=TRUE,4,0)</f>
        <v/>
      </c>
      <c r="H588">
        <f>IF(A588="","",BDP(A588&amp;" US Equity","GICS_SECTOR_NAME"))</f>
        <v/>
      </c>
    </row>
    <row r="589">
      <c r="A589">
        <f>'Factor Scores'!A589</f>
        <v/>
      </c>
      <c r="B589" s="10">
        <f>IF(A589="","",0.40*'Factor Scores'!C589+0.20*'Factor Scores'!E589+0.20*'Factor Scores'!G589+0.20*'Factor Scores'!H589)</f>
        <v/>
      </c>
      <c r="C589" s="12">
        <f>IF(B589="","",RANK(B589,$B$2:$B$2501,0))</f>
        <v/>
      </c>
      <c r="D589">
        <f>IF(C589="","",C589&lt;=25)</f>
        <v/>
      </c>
      <c r="F589">
        <f>IF(A589="","",IF(AND(D589=TRUE,E589=""),"BUY",IF(AND(D589=FALSE,E589&lt;&gt;""),"SELL",IF(AND(D589=TRUE,E589&lt;&gt;""),"HOLD",""))))</f>
        <v/>
      </c>
      <c r="G589" s="12">
        <f>IF(D589=TRUE,4,0)</f>
        <v/>
      </c>
      <c r="H589">
        <f>IF(A589="","",BDP(A589&amp;" US Equity","GICS_SECTOR_NAME"))</f>
        <v/>
      </c>
    </row>
    <row r="590">
      <c r="A590">
        <f>'Factor Scores'!A590</f>
        <v/>
      </c>
      <c r="B590" s="10">
        <f>IF(A590="","",0.40*'Factor Scores'!C590+0.20*'Factor Scores'!E590+0.20*'Factor Scores'!G590+0.20*'Factor Scores'!H590)</f>
        <v/>
      </c>
      <c r="C590" s="12">
        <f>IF(B590="","",RANK(B590,$B$2:$B$2501,0))</f>
        <v/>
      </c>
      <c r="D590">
        <f>IF(C590="","",C590&lt;=25)</f>
        <v/>
      </c>
      <c r="F590">
        <f>IF(A590="","",IF(AND(D590=TRUE,E590=""),"BUY",IF(AND(D590=FALSE,E590&lt;&gt;""),"SELL",IF(AND(D590=TRUE,E590&lt;&gt;""),"HOLD",""))))</f>
        <v/>
      </c>
      <c r="G590" s="12">
        <f>IF(D590=TRUE,4,0)</f>
        <v/>
      </c>
      <c r="H590">
        <f>IF(A590="","",BDP(A590&amp;" US Equity","GICS_SECTOR_NAME"))</f>
        <v/>
      </c>
    </row>
    <row r="591">
      <c r="A591">
        <f>'Factor Scores'!A591</f>
        <v/>
      </c>
      <c r="B591" s="10">
        <f>IF(A591="","",0.40*'Factor Scores'!C591+0.20*'Factor Scores'!E591+0.20*'Factor Scores'!G591+0.20*'Factor Scores'!H591)</f>
        <v/>
      </c>
      <c r="C591" s="12">
        <f>IF(B591="","",RANK(B591,$B$2:$B$2501,0))</f>
        <v/>
      </c>
      <c r="D591">
        <f>IF(C591="","",C591&lt;=25)</f>
        <v/>
      </c>
      <c r="F591">
        <f>IF(A591="","",IF(AND(D591=TRUE,E591=""),"BUY",IF(AND(D591=FALSE,E591&lt;&gt;""),"SELL",IF(AND(D591=TRUE,E591&lt;&gt;""),"HOLD",""))))</f>
        <v/>
      </c>
      <c r="G591" s="12">
        <f>IF(D591=TRUE,4,0)</f>
        <v/>
      </c>
      <c r="H591">
        <f>IF(A591="","",BDP(A591&amp;" US Equity","GICS_SECTOR_NAME"))</f>
        <v/>
      </c>
    </row>
    <row r="592">
      <c r="A592">
        <f>'Factor Scores'!A592</f>
        <v/>
      </c>
      <c r="B592" s="10">
        <f>IF(A592="","",0.40*'Factor Scores'!C592+0.20*'Factor Scores'!E592+0.20*'Factor Scores'!G592+0.20*'Factor Scores'!H592)</f>
        <v/>
      </c>
      <c r="C592" s="12">
        <f>IF(B592="","",RANK(B592,$B$2:$B$2501,0))</f>
        <v/>
      </c>
      <c r="D592">
        <f>IF(C592="","",C592&lt;=25)</f>
        <v/>
      </c>
      <c r="F592">
        <f>IF(A592="","",IF(AND(D592=TRUE,E592=""),"BUY",IF(AND(D592=FALSE,E592&lt;&gt;""),"SELL",IF(AND(D592=TRUE,E592&lt;&gt;""),"HOLD",""))))</f>
        <v/>
      </c>
      <c r="G592" s="12">
        <f>IF(D592=TRUE,4,0)</f>
        <v/>
      </c>
      <c r="H592">
        <f>IF(A592="","",BDP(A592&amp;" US Equity","GICS_SECTOR_NAME"))</f>
        <v/>
      </c>
    </row>
    <row r="593">
      <c r="A593">
        <f>'Factor Scores'!A593</f>
        <v/>
      </c>
      <c r="B593" s="10">
        <f>IF(A593="","",0.40*'Factor Scores'!C593+0.20*'Factor Scores'!E593+0.20*'Factor Scores'!G593+0.20*'Factor Scores'!H593)</f>
        <v/>
      </c>
      <c r="C593" s="12">
        <f>IF(B593="","",RANK(B593,$B$2:$B$2501,0))</f>
        <v/>
      </c>
      <c r="D593">
        <f>IF(C593="","",C593&lt;=25)</f>
        <v/>
      </c>
      <c r="F593">
        <f>IF(A593="","",IF(AND(D593=TRUE,E593=""),"BUY",IF(AND(D593=FALSE,E593&lt;&gt;""),"SELL",IF(AND(D593=TRUE,E593&lt;&gt;""),"HOLD",""))))</f>
        <v/>
      </c>
      <c r="G593" s="12">
        <f>IF(D593=TRUE,4,0)</f>
        <v/>
      </c>
      <c r="H593">
        <f>IF(A593="","",BDP(A593&amp;" US Equity","GICS_SECTOR_NAME"))</f>
        <v/>
      </c>
    </row>
    <row r="594">
      <c r="A594">
        <f>'Factor Scores'!A594</f>
        <v/>
      </c>
      <c r="B594" s="10">
        <f>IF(A594="","",0.40*'Factor Scores'!C594+0.20*'Factor Scores'!E594+0.20*'Factor Scores'!G594+0.20*'Factor Scores'!H594)</f>
        <v/>
      </c>
      <c r="C594" s="12">
        <f>IF(B594="","",RANK(B594,$B$2:$B$2501,0))</f>
        <v/>
      </c>
      <c r="D594">
        <f>IF(C594="","",C594&lt;=25)</f>
        <v/>
      </c>
      <c r="F594">
        <f>IF(A594="","",IF(AND(D594=TRUE,E594=""),"BUY",IF(AND(D594=FALSE,E594&lt;&gt;""),"SELL",IF(AND(D594=TRUE,E594&lt;&gt;""),"HOLD",""))))</f>
        <v/>
      </c>
      <c r="G594" s="12">
        <f>IF(D594=TRUE,4,0)</f>
        <v/>
      </c>
      <c r="H594">
        <f>IF(A594="","",BDP(A594&amp;" US Equity","GICS_SECTOR_NAME"))</f>
        <v/>
      </c>
    </row>
    <row r="595">
      <c r="A595">
        <f>'Factor Scores'!A595</f>
        <v/>
      </c>
      <c r="B595" s="10">
        <f>IF(A595="","",0.40*'Factor Scores'!C595+0.20*'Factor Scores'!E595+0.20*'Factor Scores'!G595+0.20*'Factor Scores'!H595)</f>
        <v/>
      </c>
      <c r="C595" s="12">
        <f>IF(B595="","",RANK(B595,$B$2:$B$2501,0))</f>
        <v/>
      </c>
      <c r="D595">
        <f>IF(C595="","",C595&lt;=25)</f>
        <v/>
      </c>
      <c r="F595">
        <f>IF(A595="","",IF(AND(D595=TRUE,E595=""),"BUY",IF(AND(D595=FALSE,E595&lt;&gt;""),"SELL",IF(AND(D595=TRUE,E595&lt;&gt;""),"HOLD",""))))</f>
        <v/>
      </c>
      <c r="G595" s="12">
        <f>IF(D595=TRUE,4,0)</f>
        <v/>
      </c>
      <c r="H595">
        <f>IF(A595="","",BDP(A595&amp;" US Equity","GICS_SECTOR_NAME"))</f>
        <v/>
      </c>
    </row>
    <row r="596">
      <c r="A596">
        <f>'Factor Scores'!A596</f>
        <v/>
      </c>
      <c r="B596" s="10">
        <f>IF(A596="","",0.40*'Factor Scores'!C596+0.20*'Factor Scores'!E596+0.20*'Factor Scores'!G596+0.20*'Factor Scores'!H596)</f>
        <v/>
      </c>
      <c r="C596" s="12">
        <f>IF(B596="","",RANK(B596,$B$2:$B$2501,0))</f>
        <v/>
      </c>
      <c r="D596">
        <f>IF(C596="","",C596&lt;=25)</f>
        <v/>
      </c>
      <c r="F596">
        <f>IF(A596="","",IF(AND(D596=TRUE,E596=""),"BUY",IF(AND(D596=FALSE,E596&lt;&gt;""),"SELL",IF(AND(D596=TRUE,E596&lt;&gt;""),"HOLD",""))))</f>
        <v/>
      </c>
      <c r="G596" s="12">
        <f>IF(D596=TRUE,4,0)</f>
        <v/>
      </c>
      <c r="H596">
        <f>IF(A596="","",BDP(A596&amp;" US Equity","GICS_SECTOR_NAME"))</f>
        <v/>
      </c>
    </row>
    <row r="597">
      <c r="A597">
        <f>'Factor Scores'!A597</f>
        <v/>
      </c>
      <c r="B597" s="10">
        <f>IF(A597="","",0.40*'Factor Scores'!C597+0.20*'Factor Scores'!E597+0.20*'Factor Scores'!G597+0.20*'Factor Scores'!H597)</f>
        <v/>
      </c>
      <c r="C597" s="12">
        <f>IF(B597="","",RANK(B597,$B$2:$B$2501,0))</f>
        <v/>
      </c>
      <c r="D597">
        <f>IF(C597="","",C597&lt;=25)</f>
        <v/>
      </c>
      <c r="F597">
        <f>IF(A597="","",IF(AND(D597=TRUE,E597=""),"BUY",IF(AND(D597=FALSE,E597&lt;&gt;""),"SELL",IF(AND(D597=TRUE,E597&lt;&gt;""),"HOLD",""))))</f>
        <v/>
      </c>
      <c r="G597" s="12">
        <f>IF(D597=TRUE,4,0)</f>
        <v/>
      </c>
      <c r="H597">
        <f>IF(A597="","",BDP(A597&amp;" US Equity","GICS_SECTOR_NAME"))</f>
        <v/>
      </c>
    </row>
    <row r="598">
      <c r="A598">
        <f>'Factor Scores'!A598</f>
        <v/>
      </c>
      <c r="B598" s="10">
        <f>IF(A598="","",0.40*'Factor Scores'!C598+0.20*'Factor Scores'!E598+0.20*'Factor Scores'!G598+0.20*'Factor Scores'!H598)</f>
        <v/>
      </c>
      <c r="C598" s="12">
        <f>IF(B598="","",RANK(B598,$B$2:$B$2501,0))</f>
        <v/>
      </c>
      <c r="D598">
        <f>IF(C598="","",C598&lt;=25)</f>
        <v/>
      </c>
      <c r="F598">
        <f>IF(A598="","",IF(AND(D598=TRUE,E598=""),"BUY",IF(AND(D598=FALSE,E598&lt;&gt;""),"SELL",IF(AND(D598=TRUE,E598&lt;&gt;""),"HOLD",""))))</f>
        <v/>
      </c>
      <c r="G598" s="12">
        <f>IF(D598=TRUE,4,0)</f>
        <v/>
      </c>
      <c r="H598">
        <f>IF(A598="","",BDP(A598&amp;" US Equity","GICS_SECTOR_NAME"))</f>
        <v/>
      </c>
    </row>
    <row r="599">
      <c r="A599">
        <f>'Factor Scores'!A599</f>
        <v/>
      </c>
      <c r="B599" s="10">
        <f>IF(A599="","",0.40*'Factor Scores'!C599+0.20*'Factor Scores'!E599+0.20*'Factor Scores'!G599+0.20*'Factor Scores'!H599)</f>
        <v/>
      </c>
      <c r="C599" s="12">
        <f>IF(B599="","",RANK(B599,$B$2:$B$2501,0))</f>
        <v/>
      </c>
      <c r="D599">
        <f>IF(C599="","",C599&lt;=25)</f>
        <v/>
      </c>
      <c r="F599">
        <f>IF(A599="","",IF(AND(D599=TRUE,E599=""),"BUY",IF(AND(D599=FALSE,E599&lt;&gt;""),"SELL",IF(AND(D599=TRUE,E599&lt;&gt;""),"HOLD",""))))</f>
        <v/>
      </c>
      <c r="G599" s="12">
        <f>IF(D599=TRUE,4,0)</f>
        <v/>
      </c>
      <c r="H599">
        <f>IF(A599="","",BDP(A599&amp;" US Equity","GICS_SECTOR_NAME"))</f>
        <v/>
      </c>
    </row>
    <row r="600">
      <c r="A600">
        <f>'Factor Scores'!A600</f>
        <v/>
      </c>
      <c r="B600" s="10">
        <f>IF(A600="","",0.40*'Factor Scores'!C600+0.20*'Factor Scores'!E600+0.20*'Factor Scores'!G600+0.20*'Factor Scores'!H600)</f>
        <v/>
      </c>
      <c r="C600" s="12">
        <f>IF(B600="","",RANK(B600,$B$2:$B$2501,0))</f>
        <v/>
      </c>
      <c r="D600">
        <f>IF(C600="","",C600&lt;=25)</f>
        <v/>
      </c>
      <c r="F600">
        <f>IF(A600="","",IF(AND(D600=TRUE,E600=""),"BUY",IF(AND(D600=FALSE,E600&lt;&gt;""),"SELL",IF(AND(D600=TRUE,E600&lt;&gt;""),"HOLD",""))))</f>
        <v/>
      </c>
      <c r="G600" s="12">
        <f>IF(D600=TRUE,4,0)</f>
        <v/>
      </c>
      <c r="H600">
        <f>IF(A600="","",BDP(A600&amp;" US Equity","GICS_SECTOR_NAME"))</f>
        <v/>
      </c>
    </row>
    <row r="601">
      <c r="A601">
        <f>'Factor Scores'!A601</f>
        <v/>
      </c>
      <c r="B601" s="10">
        <f>IF(A601="","",0.40*'Factor Scores'!C601+0.20*'Factor Scores'!E601+0.20*'Factor Scores'!G601+0.20*'Factor Scores'!H601)</f>
        <v/>
      </c>
      <c r="C601" s="12">
        <f>IF(B601="","",RANK(B601,$B$2:$B$2501,0))</f>
        <v/>
      </c>
      <c r="D601">
        <f>IF(C601="","",C601&lt;=25)</f>
        <v/>
      </c>
      <c r="F601">
        <f>IF(A601="","",IF(AND(D601=TRUE,E601=""),"BUY",IF(AND(D601=FALSE,E601&lt;&gt;""),"SELL",IF(AND(D601=TRUE,E601&lt;&gt;""),"HOLD",""))))</f>
        <v/>
      </c>
      <c r="G601" s="12">
        <f>IF(D601=TRUE,4,0)</f>
        <v/>
      </c>
      <c r="H601">
        <f>IF(A601="","",BDP(A601&amp;" US Equity","GICS_SECTOR_NAME"))</f>
        <v/>
      </c>
    </row>
    <row r="602">
      <c r="A602">
        <f>'Factor Scores'!A602</f>
        <v/>
      </c>
      <c r="B602" s="10">
        <f>IF(A602="","",0.40*'Factor Scores'!C602+0.20*'Factor Scores'!E602+0.20*'Factor Scores'!G602+0.20*'Factor Scores'!H602)</f>
        <v/>
      </c>
      <c r="C602" s="12">
        <f>IF(B602="","",RANK(B602,$B$2:$B$2501,0))</f>
        <v/>
      </c>
      <c r="D602">
        <f>IF(C602="","",C602&lt;=25)</f>
        <v/>
      </c>
      <c r="F602">
        <f>IF(A602="","",IF(AND(D602=TRUE,E602=""),"BUY",IF(AND(D602=FALSE,E602&lt;&gt;""),"SELL",IF(AND(D602=TRUE,E602&lt;&gt;""),"HOLD",""))))</f>
        <v/>
      </c>
      <c r="G602" s="12">
        <f>IF(D602=TRUE,4,0)</f>
        <v/>
      </c>
      <c r="H602">
        <f>IF(A602="","",BDP(A602&amp;" US Equity","GICS_SECTOR_NAME"))</f>
        <v/>
      </c>
    </row>
    <row r="603">
      <c r="A603">
        <f>'Factor Scores'!A603</f>
        <v/>
      </c>
      <c r="B603" s="10">
        <f>IF(A603="","",0.40*'Factor Scores'!C603+0.20*'Factor Scores'!E603+0.20*'Factor Scores'!G603+0.20*'Factor Scores'!H603)</f>
        <v/>
      </c>
      <c r="C603" s="12">
        <f>IF(B603="","",RANK(B603,$B$2:$B$2501,0))</f>
        <v/>
      </c>
      <c r="D603">
        <f>IF(C603="","",C603&lt;=25)</f>
        <v/>
      </c>
      <c r="F603">
        <f>IF(A603="","",IF(AND(D603=TRUE,E603=""),"BUY",IF(AND(D603=FALSE,E603&lt;&gt;""),"SELL",IF(AND(D603=TRUE,E603&lt;&gt;""),"HOLD",""))))</f>
        <v/>
      </c>
      <c r="G603" s="12">
        <f>IF(D603=TRUE,4,0)</f>
        <v/>
      </c>
      <c r="H603">
        <f>IF(A603="","",BDP(A603&amp;" US Equity","GICS_SECTOR_NAME"))</f>
        <v/>
      </c>
    </row>
    <row r="604">
      <c r="A604">
        <f>'Factor Scores'!A604</f>
        <v/>
      </c>
      <c r="B604" s="10">
        <f>IF(A604="","",0.40*'Factor Scores'!C604+0.20*'Factor Scores'!E604+0.20*'Factor Scores'!G604+0.20*'Factor Scores'!H604)</f>
        <v/>
      </c>
      <c r="C604" s="12">
        <f>IF(B604="","",RANK(B604,$B$2:$B$2501,0))</f>
        <v/>
      </c>
      <c r="D604">
        <f>IF(C604="","",C604&lt;=25)</f>
        <v/>
      </c>
      <c r="F604">
        <f>IF(A604="","",IF(AND(D604=TRUE,E604=""),"BUY",IF(AND(D604=FALSE,E604&lt;&gt;""),"SELL",IF(AND(D604=TRUE,E604&lt;&gt;""),"HOLD",""))))</f>
        <v/>
      </c>
      <c r="G604" s="12">
        <f>IF(D604=TRUE,4,0)</f>
        <v/>
      </c>
      <c r="H604">
        <f>IF(A604="","",BDP(A604&amp;" US Equity","GICS_SECTOR_NAME"))</f>
        <v/>
      </c>
    </row>
    <row r="605">
      <c r="A605">
        <f>'Factor Scores'!A605</f>
        <v/>
      </c>
      <c r="B605" s="10">
        <f>IF(A605="","",0.40*'Factor Scores'!C605+0.20*'Factor Scores'!E605+0.20*'Factor Scores'!G605+0.20*'Factor Scores'!H605)</f>
        <v/>
      </c>
      <c r="C605" s="12">
        <f>IF(B605="","",RANK(B605,$B$2:$B$2501,0))</f>
        <v/>
      </c>
      <c r="D605">
        <f>IF(C605="","",C605&lt;=25)</f>
        <v/>
      </c>
      <c r="F605">
        <f>IF(A605="","",IF(AND(D605=TRUE,E605=""),"BUY",IF(AND(D605=FALSE,E605&lt;&gt;""),"SELL",IF(AND(D605=TRUE,E605&lt;&gt;""),"HOLD",""))))</f>
        <v/>
      </c>
      <c r="G605" s="12">
        <f>IF(D605=TRUE,4,0)</f>
        <v/>
      </c>
      <c r="H605">
        <f>IF(A605="","",BDP(A605&amp;" US Equity","GICS_SECTOR_NAME"))</f>
        <v/>
      </c>
    </row>
    <row r="606">
      <c r="A606">
        <f>'Factor Scores'!A606</f>
        <v/>
      </c>
      <c r="B606" s="10">
        <f>IF(A606="","",0.40*'Factor Scores'!C606+0.20*'Factor Scores'!E606+0.20*'Factor Scores'!G606+0.20*'Factor Scores'!H606)</f>
        <v/>
      </c>
      <c r="C606" s="12">
        <f>IF(B606="","",RANK(B606,$B$2:$B$2501,0))</f>
        <v/>
      </c>
      <c r="D606">
        <f>IF(C606="","",C606&lt;=25)</f>
        <v/>
      </c>
      <c r="F606">
        <f>IF(A606="","",IF(AND(D606=TRUE,E606=""),"BUY",IF(AND(D606=FALSE,E606&lt;&gt;""),"SELL",IF(AND(D606=TRUE,E606&lt;&gt;""),"HOLD",""))))</f>
        <v/>
      </c>
      <c r="G606" s="12">
        <f>IF(D606=TRUE,4,0)</f>
        <v/>
      </c>
      <c r="H606">
        <f>IF(A606="","",BDP(A606&amp;" US Equity","GICS_SECTOR_NAME"))</f>
        <v/>
      </c>
    </row>
    <row r="607">
      <c r="A607">
        <f>'Factor Scores'!A607</f>
        <v/>
      </c>
      <c r="B607" s="10">
        <f>IF(A607="","",0.40*'Factor Scores'!C607+0.20*'Factor Scores'!E607+0.20*'Factor Scores'!G607+0.20*'Factor Scores'!H607)</f>
        <v/>
      </c>
      <c r="C607" s="12">
        <f>IF(B607="","",RANK(B607,$B$2:$B$2501,0))</f>
        <v/>
      </c>
      <c r="D607">
        <f>IF(C607="","",C607&lt;=25)</f>
        <v/>
      </c>
      <c r="F607">
        <f>IF(A607="","",IF(AND(D607=TRUE,E607=""),"BUY",IF(AND(D607=FALSE,E607&lt;&gt;""),"SELL",IF(AND(D607=TRUE,E607&lt;&gt;""),"HOLD",""))))</f>
        <v/>
      </c>
      <c r="G607" s="12">
        <f>IF(D607=TRUE,4,0)</f>
        <v/>
      </c>
      <c r="H607">
        <f>IF(A607="","",BDP(A607&amp;" US Equity","GICS_SECTOR_NAME"))</f>
        <v/>
      </c>
    </row>
    <row r="608">
      <c r="A608">
        <f>'Factor Scores'!A608</f>
        <v/>
      </c>
      <c r="B608" s="10">
        <f>IF(A608="","",0.40*'Factor Scores'!C608+0.20*'Factor Scores'!E608+0.20*'Factor Scores'!G608+0.20*'Factor Scores'!H608)</f>
        <v/>
      </c>
      <c r="C608" s="12">
        <f>IF(B608="","",RANK(B608,$B$2:$B$2501,0))</f>
        <v/>
      </c>
      <c r="D608">
        <f>IF(C608="","",C608&lt;=25)</f>
        <v/>
      </c>
      <c r="F608">
        <f>IF(A608="","",IF(AND(D608=TRUE,E608=""),"BUY",IF(AND(D608=FALSE,E608&lt;&gt;""),"SELL",IF(AND(D608=TRUE,E608&lt;&gt;""),"HOLD",""))))</f>
        <v/>
      </c>
      <c r="G608" s="12">
        <f>IF(D608=TRUE,4,0)</f>
        <v/>
      </c>
      <c r="H608">
        <f>IF(A608="","",BDP(A608&amp;" US Equity","GICS_SECTOR_NAME"))</f>
        <v/>
      </c>
    </row>
    <row r="609">
      <c r="A609">
        <f>'Factor Scores'!A609</f>
        <v/>
      </c>
      <c r="B609" s="10">
        <f>IF(A609="","",0.40*'Factor Scores'!C609+0.20*'Factor Scores'!E609+0.20*'Factor Scores'!G609+0.20*'Factor Scores'!H609)</f>
        <v/>
      </c>
      <c r="C609" s="12">
        <f>IF(B609="","",RANK(B609,$B$2:$B$2501,0))</f>
        <v/>
      </c>
      <c r="D609">
        <f>IF(C609="","",C609&lt;=25)</f>
        <v/>
      </c>
      <c r="F609">
        <f>IF(A609="","",IF(AND(D609=TRUE,E609=""),"BUY",IF(AND(D609=FALSE,E609&lt;&gt;""),"SELL",IF(AND(D609=TRUE,E609&lt;&gt;""),"HOLD",""))))</f>
        <v/>
      </c>
      <c r="G609" s="12">
        <f>IF(D609=TRUE,4,0)</f>
        <v/>
      </c>
      <c r="H609">
        <f>IF(A609="","",BDP(A609&amp;" US Equity","GICS_SECTOR_NAME"))</f>
        <v/>
      </c>
    </row>
    <row r="610">
      <c r="A610">
        <f>'Factor Scores'!A610</f>
        <v/>
      </c>
      <c r="B610" s="10">
        <f>IF(A610="","",0.40*'Factor Scores'!C610+0.20*'Factor Scores'!E610+0.20*'Factor Scores'!G610+0.20*'Factor Scores'!H610)</f>
        <v/>
      </c>
      <c r="C610" s="12">
        <f>IF(B610="","",RANK(B610,$B$2:$B$2501,0))</f>
        <v/>
      </c>
      <c r="D610">
        <f>IF(C610="","",C610&lt;=25)</f>
        <v/>
      </c>
      <c r="F610">
        <f>IF(A610="","",IF(AND(D610=TRUE,E610=""),"BUY",IF(AND(D610=FALSE,E610&lt;&gt;""),"SELL",IF(AND(D610=TRUE,E610&lt;&gt;""),"HOLD",""))))</f>
        <v/>
      </c>
      <c r="G610" s="12">
        <f>IF(D610=TRUE,4,0)</f>
        <v/>
      </c>
      <c r="H610">
        <f>IF(A610="","",BDP(A610&amp;" US Equity","GICS_SECTOR_NAME"))</f>
        <v/>
      </c>
    </row>
    <row r="611">
      <c r="A611">
        <f>'Factor Scores'!A611</f>
        <v/>
      </c>
      <c r="B611" s="10">
        <f>IF(A611="","",0.40*'Factor Scores'!C611+0.20*'Factor Scores'!E611+0.20*'Factor Scores'!G611+0.20*'Factor Scores'!H611)</f>
        <v/>
      </c>
      <c r="C611" s="12">
        <f>IF(B611="","",RANK(B611,$B$2:$B$2501,0))</f>
        <v/>
      </c>
      <c r="D611">
        <f>IF(C611="","",C611&lt;=25)</f>
        <v/>
      </c>
      <c r="F611">
        <f>IF(A611="","",IF(AND(D611=TRUE,E611=""),"BUY",IF(AND(D611=FALSE,E611&lt;&gt;""),"SELL",IF(AND(D611=TRUE,E611&lt;&gt;""),"HOLD",""))))</f>
        <v/>
      </c>
      <c r="G611" s="12">
        <f>IF(D611=TRUE,4,0)</f>
        <v/>
      </c>
      <c r="H611">
        <f>IF(A611="","",BDP(A611&amp;" US Equity","GICS_SECTOR_NAME"))</f>
        <v/>
      </c>
    </row>
    <row r="612">
      <c r="A612">
        <f>'Factor Scores'!A612</f>
        <v/>
      </c>
      <c r="B612" s="10">
        <f>IF(A612="","",0.40*'Factor Scores'!C612+0.20*'Factor Scores'!E612+0.20*'Factor Scores'!G612+0.20*'Factor Scores'!H612)</f>
        <v/>
      </c>
      <c r="C612" s="12">
        <f>IF(B612="","",RANK(B612,$B$2:$B$2501,0))</f>
        <v/>
      </c>
      <c r="D612">
        <f>IF(C612="","",C612&lt;=25)</f>
        <v/>
      </c>
      <c r="F612">
        <f>IF(A612="","",IF(AND(D612=TRUE,E612=""),"BUY",IF(AND(D612=FALSE,E612&lt;&gt;""),"SELL",IF(AND(D612=TRUE,E612&lt;&gt;""),"HOLD",""))))</f>
        <v/>
      </c>
      <c r="G612" s="12">
        <f>IF(D612=TRUE,4,0)</f>
        <v/>
      </c>
      <c r="H612">
        <f>IF(A612="","",BDP(A612&amp;" US Equity","GICS_SECTOR_NAME"))</f>
        <v/>
      </c>
    </row>
    <row r="613">
      <c r="A613">
        <f>'Factor Scores'!A613</f>
        <v/>
      </c>
      <c r="B613" s="10">
        <f>IF(A613="","",0.40*'Factor Scores'!C613+0.20*'Factor Scores'!E613+0.20*'Factor Scores'!G613+0.20*'Factor Scores'!H613)</f>
        <v/>
      </c>
      <c r="C613" s="12">
        <f>IF(B613="","",RANK(B613,$B$2:$B$2501,0))</f>
        <v/>
      </c>
      <c r="D613">
        <f>IF(C613="","",C613&lt;=25)</f>
        <v/>
      </c>
      <c r="F613">
        <f>IF(A613="","",IF(AND(D613=TRUE,E613=""),"BUY",IF(AND(D613=FALSE,E613&lt;&gt;""),"SELL",IF(AND(D613=TRUE,E613&lt;&gt;""),"HOLD",""))))</f>
        <v/>
      </c>
      <c r="G613" s="12">
        <f>IF(D613=TRUE,4,0)</f>
        <v/>
      </c>
      <c r="H613">
        <f>IF(A613="","",BDP(A613&amp;" US Equity","GICS_SECTOR_NAME"))</f>
        <v/>
      </c>
    </row>
    <row r="614">
      <c r="A614">
        <f>'Factor Scores'!A614</f>
        <v/>
      </c>
      <c r="B614" s="10">
        <f>IF(A614="","",0.40*'Factor Scores'!C614+0.20*'Factor Scores'!E614+0.20*'Factor Scores'!G614+0.20*'Factor Scores'!H614)</f>
        <v/>
      </c>
      <c r="C614" s="12">
        <f>IF(B614="","",RANK(B614,$B$2:$B$2501,0))</f>
        <v/>
      </c>
      <c r="D614">
        <f>IF(C614="","",C614&lt;=25)</f>
        <v/>
      </c>
      <c r="F614">
        <f>IF(A614="","",IF(AND(D614=TRUE,E614=""),"BUY",IF(AND(D614=FALSE,E614&lt;&gt;""),"SELL",IF(AND(D614=TRUE,E614&lt;&gt;""),"HOLD",""))))</f>
        <v/>
      </c>
      <c r="G614" s="12">
        <f>IF(D614=TRUE,4,0)</f>
        <v/>
      </c>
      <c r="H614">
        <f>IF(A614="","",BDP(A614&amp;" US Equity","GICS_SECTOR_NAME"))</f>
        <v/>
      </c>
    </row>
    <row r="615">
      <c r="A615">
        <f>'Factor Scores'!A615</f>
        <v/>
      </c>
      <c r="B615" s="10">
        <f>IF(A615="","",0.40*'Factor Scores'!C615+0.20*'Factor Scores'!E615+0.20*'Factor Scores'!G615+0.20*'Factor Scores'!H615)</f>
        <v/>
      </c>
      <c r="C615" s="12">
        <f>IF(B615="","",RANK(B615,$B$2:$B$2501,0))</f>
        <v/>
      </c>
      <c r="D615">
        <f>IF(C615="","",C615&lt;=25)</f>
        <v/>
      </c>
      <c r="F615">
        <f>IF(A615="","",IF(AND(D615=TRUE,E615=""),"BUY",IF(AND(D615=FALSE,E615&lt;&gt;""),"SELL",IF(AND(D615=TRUE,E615&lt;&gt;""),"HOLD",""))))</f>
        <v/>
      </c>
      <c r="G615" s="12">
        <f>IF(D615=TRUE,4,0)</f>
        <v/>
      </c>
      <c r="H615">
        <f>IF(A615="","",BDP(A615&amp;" US Equity","GICS_SECTOR_NAME"))</f>
        <v/>
      </c>
    </row>
    <row r="616">
      <c r="A616">
        <f>'Factor Scores'!A616</f>
        <v/>
      </c>
      <c r="B616" s="10">
        <f>IF(A616="","",0.40*'Factor Scores'!C616+0.20*'Factor Scores'!E616+0.20*'Factor Scores'!G616+0.20*'Factor Scores'!H616)</f>
        <v/>
      </c>
      <c r="C616" s="12">
        <f>IF(B616="","",RANK(B616,$B$2:$B$2501,0))</f>
        <v/>
      </c>
      <c r="D616">
        <f>IF(C616="","",C616&lt;=25)</f>
        <v/>
      </c>
      <c r="F616">
        <f>IF(A616="","",IF(AND(D616=TRUE,E616=""),"BUY",IF(AND(D616=FALSE,E616&lt;&gt;""),"SELL",IF(AND(D616=TRUE,E616&lt;&gt;""),"HOLD",""))))</f>
        <v/>
      </c>
      <c r="G616" s="12">
        <f>IF(D616=TRUE,4,0)</f>
        <v/>
      </c>
      <c r="H616">
        <f>IF(A616="","",BDP(A616&amp;" US Equity","GICS_SECTOR_NAME"))</f>
        <v/>
      </c>
    </row>
    <row r="617">
      <c r="A617">
        <f>'Factor Scores'!A617</f>
        <v/>
      </c>
      <c r="B617" s="10">
        <f>IF(A617="","",0.40*'Factor Scores'!C617+0.20*'Factor Scores'!E617+0.20*'Factor Scores'!G617+0.20*'Factor Scores'!H617)</f>
        <v/>
      </c>
      <c r="C617" s="12">
        <f>IF(B617="","",RANK(B617,$B$2:$B$2501,0))</f>
        <v/>
      </c>
      <c r="D617">
        <f>IF(C617="","",C617&lt;=25)</f>
        <v/>
      </c>
      <c r="F617">
        <f>IF(A617="","",IF(AND(D617=TRUE,E617=""),"BUY",IF(AND(D617=FALSE,E617&lt;&gt;""),"SELL",IF(AND(D617=TRUE,E617&lt;&gt;""),"HOLD",""))))</f>
        <v/>
      </c>
      <c r="G617" s="12">
        <f>IF(D617=TRUE,4,0)</f>
        <v/>
      </c>
      <c r="H617">
        <f>IF(A617="","",BDP(A617&amp;" US Equity","GICS_SECTOR_NAME"))</f>
        <v/>
      </c>
    </row>
    <row r="618">
      <c r="A618">
        <f>'Factor Scores'!A618</f>
        <v/>
      </c>
      <c r="B618" s="10">
        <f>IF(A618="","",0.40*'Factor Scores'!C618+0.20*'Factor Scores'!E618+0.20*'Factor Scores'!G618+0.20*'Factor Scores'!H618)</f>
        <v/>
      </c>
      <c r="C618" s="12">
        <f>IF(B618="","",RANK(B618,$B$2:$B$2501,0))</f>
        <v/>
      </c>
      <c r="D618">
        <f>IF(C618="","",C618&lt;=25)</f>
        <v/>
      </c>
      <c r="F618">
        <f>IF(A618="","",IF(AND(D618=TRUE,E618=""),"BUY",IF(AND(D618=FALSE,E618&lt;&gt;""),"SELL",IF(AND(D618=TRUE,E618&lt;&gt;""),"HOLD",""))))</f>
        <v/>
      </c>
      <c r="G618" s="12">
        <f>IF(D618=TRUE,4,0)</f>
        <v/>
      </c>
      <c r="H618">
        <f>IF(A618="","",BDP(A618&amp;" US Equity","GICS_SECTOR_NAME"))</f>
        <v/>
      </c>
    </row>
    <row r="619">
      <c r="A619">
        <f>'Factor Scores'!A619</f>
        <v/>
      </c>
      <c r="B619" s="10">
        <f>IF(A619="","",0.40*'Factor Scores'!C619+0.20*'Factor Scores'!E619+0.20*'Factor Scores'!G619+0.20*'Factor Scores'!H619)</f>
        <v/>
      </c>
      <c r="C619" s="12">
        <f>IF(B619="","",RANK(B619,$B$2:$B$2501,0))</f>
        <v/>
      </c>
      <c r="D619">
        <f>IF(C619="","",C619&lt;=25)</f>
        <v/>
      </c>
      <c r="F619">
        <f>IF(A619="","",IF(AND(D619=TRUE,E619=""),"BUY",IF(AND(D619=FALSE,E619&lt;&gt;""),"SELL",IF(AND(D619=TRUE,E619&lt;&gt;""),"HOLD",""))))</f>
        <v/>
      </c>
      <c r="G619" s="12">
        <f>IF(D619=TRUE,4,0)</f>
        <v/>
      </c>
      <c r="H619">
        <f>IF(A619="","",BDP(A619&amp;" US Equity","GICS_SECTOR_NAME"))</f>
        <v/>
      </c>
    </row>
    <row r="620">
      <c r="A620">
        <f>'Factor Scores'!A620</f>
        <v/>
      </c>
      <c r="B620" s="10">
        <f>IF(A620="","",0.40*'Factor Scores'!C620+0.20*'Factor Scores'!E620+0.20*'Factor Scores'!G620+0.20*'Factor Scores'!H620)</f>
        <v/>
      </c>
      <c r="C620" s="12">
        <f>IF(B620="","",RANK(B620,$B$2:$B$2501,0))</f>
        <v/>
      </c>
      <c r="D620">
        <f>IF(C620="","",C620&lt;=25)</f>
        <v/>
      </c>
      <c r="F620">
        <f>IF(A620="","",IF(AND(D620=TRUE,E620=""),"BUY",IF(AND(D620=FALSE,E620&lt;&gt;""),"SELL",IF(AND(D620=TRUE,E620&lt;&gt;""),"HOLD",""))))</f>
        <v/>
      </c>
      <c r="G620" s="12">
        <f>IF(D620=TRUE,4,0)</f>
        <v/>
      </c>
      <c r="H620">
        <f>IF(A620="","",BDP(A620&amp;" US Equity","GICS_SECTOR_NAME"))</f>
        <v/>
      </c>
    </row>
    <row r="621">
      <c r="A621">
        <f>'Factor Scores'!A621</f>
        <v/>
      </c>
      <c r="B621" s="10">
        <f>IF(A621="","",0.40*'Factor Scores'!C621+0.20*'Factor Scores'!E621+0.20*'Factor Scores'!G621+0.20*'Factor Scores'!H621)</f>
        <v/>
      </c>
      <c r="C621" s="12">
        <f>IF(B621="","",RANK(B621,$B$2:$B$2501,0))</f>
        <v/>
      </c>
      <c r="D621">
        <f>IF(C621="","",C621&lt;=25)</f>
        <v/>
      </c>
      <c r="F621">
        <f>IF(A621="","",IF(AND(D621=TRUE,E621=""),"BUY",IF(AND(D621=FALSE,E621&lt;&gt;""),"SELL",IF(AND(D621=TRUE,E621&lt;&gt;""),"HOLD",""))))</f>
        <v/>
      </c>
      <c r="G621" s="12">
        <f>IF(D621=TRUE,4,0)</f>
        <v/>
      </c>
      <c r="H621">
        <f>IF(A621="","",BDP(A621&amp;" US Equity","GICS_SECTOR_NAME"))</f>
        <v/>
      </c>
    </row>
    <row r="622">
      <c r="A622">
        <f>'Factor Scores'!A622</f>
        <v/>
      </c>
      <c r="B622" s="10">
        <f>IF(A622="","",0.40*'Factor Scores'!C622+0.20*'Factor Scores'!E622+0.20*'Factor Scores'!G622+0.20*'Factor Scores'!H622)</f>
        <v/>
      </c>
      <c r="C622" s="12">
        <f>IF(B622="","",RANK(B622,$B$2:$B$2501,0))</f>
        <v/>
      </c>
      <c r="D622">
        <f>IF(C622="","",C622&lt;=25)</f>
        <v/>
      </c>
      <c r="F622">
        <f>IF(A622="","",IF(AND(D622=TRUE,E622=""),"BUY",IF(AND(D622=FALSE,E622&lt;&gt;""),"SELL",IF(AND(D622=TRUE,E622&lt;&gt;""),"HOLD",""))))</f>
        <v/>
      </c>
      <c r="G622" s="12">
        <f>IF(D622=TRUE,4,0)</f>
        <v/>
      </c>
      <c r="H622">
        <f>IF(A622="","",BDP(A622&amp;" US Equity","GICS_SECTOR_NAME"))</f>
        <v/>
      </c>
    </row>
    <row r="623">
      <c r="A623">
        <f>'Factor Scores'!A623</f>
        <v/>
      </c>
      <c r="B623" s="10">
        <f>IF(A623="","",0.40*'Factor Scores'!C623+0.20*'Factor Scores'!E623+0.20*'Factor Scores'!G623+0.20*'Factor Scores'!H623)</f>
        <v/>
      </c>
      <c r="C623" s="12">
        <f>IF(B623="","",RANK(B623,$B$2:$B$2501,0))</f>
        <v/>
      </c>
      <c r="D623">
        <f>IF(C623="","",C623&lt;=25)</f>
        <v/>
      </c>
      <c r="F623">
        <f>IF(A623="","",IF(AND(D623=TRUE,E623=""),"BUY",IF(AND(D623=FALSE,E623&lt;&gt;""),"SELL",IF(AND(D623=TRUE,E623&lt;&gt;""),"HOLD",""))))</f>
        <v/>
      </c>
      <c r="G623" s="12">
        <f>IF(D623=TRUE,4,0)</f>
        <v/>
      </c>
      <c r="H623">
        <f>IF(A623="","",BDP(A623&amp;" US Equity","GICS_SECTOR_NAME"))</f>
        <v/>
      </c>
    </row>
    <row r="624">
      <c r="A624">
        <f>'Factor Scores'!A624</f>
        <v/>
      </c>
      <c r="B624" s="10">
        <f>IF(A624="","",0.40*'Factor Scores'!C624+0.20*'Factor Scores'!E624+0.20*'Factor Scores'!G624+0.20*'Factor Scores'!H624)</f>
        <v/>
      </c>
      <c r="C624" s="12">
        <f>IF(B624="","",RANK(B624,$B$2:$B$2501,0))</f>
        <v/>
      </c>
      <c r="D624">
        <f>IF(C624="","",C624&lt;=25)</f>
        <v/>
      </c>
      <c r="F624">
        <f>IF(A624="","",IF(AND(D624=TRUE,E624=""),"BUY",IF(AND(D624=FALSE,E624&lt;&gt;""),"SELL",IF(AND(D624=TRUE,E624&lt;&gt;""),"HOLD",""))))</f>
        <v/>
      </c>
      <c r="G624" s="12">
        <f>IF(D624=TRUE,4,0)</f>
        <v/>
      </c>
      <c r="H624">
        <f>IF(A624="","",BDP(A624&amp;" US Equity","GICS_SECTOR_NAME"))</f>
        <v/>
      </c>
    </row>
    <row r="625">
      <c r="A625">
        <f>'Factor Scores'!A625</f>
        <v/>
      </c>
      <c r="B625" s="10">
        <f>IF(A625="","",0.40*'Factor Scores'!C625+0.20*'Factor Scores'!E625+0.20*'Factor Scores'!G625+0.20*'Factor Scores'!H625)</f>
        <v/>
      </c>
      <c r="C625" s="12">
        <f>IF(B625="","",RANK(B625,$B$2:$B$2501,0))</f>
        <v/>
      </c>
      <c r="D625">
        <f>IF(C625="","",C625&lt;=25)</f>
        <v/>
      </c>
      <c r="F625">
        <f>IF(A625="","",IF(AND(D625=TRUE,E625=""),"BUY",IF(AND(D625=FALSE,E625&lt;&gt;""),"SELL",IF(AND(D625=TRUE,E625&lt;&gt;""),"HOLD",""))))</f>
        <v/>
      </c>
      <c r="G625" s="12">
        <f>IF(D625=TRUE,4,0)</f>
        <v/>
      </c>
      <c r="H625">
        <f>IF(A625="","",BDP(A625&amp;" US Equity","GICS_SECTOR_NAME"))</f>
        <v/>
      </c>
    </row>
    <row r="626">
      <c r="A626">
        <f>'Factor Scores'!A626</f>
        <v/>
      </c>
      <c r="B626" s="10">
        <f>IF(A626="","",0.40*'Factor Scores'!C626+0.20*'Factor Scores'!E626+0.20*'Factor Scores'!G626+0.20*'Factor Scores'!H626)</f>
        <v/>
      </c>
      <c r="C626" s="12">
        <f>IF(B626="","",RANK(B626,$B$2:$B$2501,0))</f>
        <v/>
      </c>
      <c r="D626">
        <f>IF(C626="","",C626&lt;=25)</f>
        <v/>
      </c>
      <c r="F626">
        <f>IF(A626="","",IF(AND(D626=TRUE,E626=""),"BUY",IF(AND(D626=FALSE,E626&lt;&gt;""),"SELL",IF(AND(D626=TRUE,E626&lt;&gt;""),"HOLD",""))))</f>
        <v/>
      </c>
      <c r="G626" s="12">
        <f>IF(D626=TRUE,4,0)</f>
        <v/>
      </c>
      <c r="H626">
        <f>IF(A626="","",BDP(A626&amp;" US Equity","GICS_SECTOR_NAME"))</f>
        <v/>
      </c>
    </row>
    <row r="627">
      <c r="A627">
        <f>'Factor Scores'!A627</f>
        <v/>
      </c>
      <c r="B627" s="10">
        <f>IF(A627="","",0.40*'Factor Scores'!C627+0.20*'Factor Scores'!E627+0.20*'Factor Scores'!G627+0.20*'Factor Scores'!H627)</f>
        <v/>
      </c>
      <c r="C627" s="12">
        <f>IF(B627="","",RANK(B627,$B$2:$B$2501,0))</f>
        <v/>
      </c>
      <c r="D627">
        <f>IF(C627="","",C627&lt;=25)</f>
        <v/>
      </c>
      <c r="F627">
        <f>IF(A627="","",IF(AND(D627=TRUE,E627=""),"BUY",IF(AND(D627=FALSE,E627&lt;&gt;""),"SELL",IF(AND(D627=TRUE,E627&lt;&gt;""),"HOLD",""))))</f>
        <v/>
      </c>
      <c r="G627" s="12">
        <f>IF(D627=TRUE,4,0)</f>
        <v/>
      </c>
      <c r="H627">
        <f>IF(A627="","",BDP(A627&amp;" US Equity","GICS_SECTOR_NAME"))</f>
        <v/>
      </c>
    </row>
    <row r="628">
      <c r="A628">
        <f>'Factor Scores'!A628</f>
        <v/>
      </c>
      <c r="B628" s="10">
        <f>IF(A628="","",0.40*'Factor Scores'!C628+0.20*'Factor Scores'!E628+0.20*'Factor Scores'!G628+0.20*'Factor Scores'!H628)</f>
        <v/>
      </c>
      <c r="C628" s="12">
        <f>IF(B628="","",RANK(B628,$B$2:$B$2501,0))</f>
        <v/>
      </c>
      <c r="D628">
        <f>IF(C628="","",C628&lt;=25)</f>
        <v/>
      </c>
      <c r="F628">
        <f>IF(A628="","",IF(AND(D628=TRUE,E628=""),"BUY",IF(AND(D628=FALSE,E628&lt;&gt;""),"SELL",IF(AND(D628=TRUE,E628&lt;&gt;""),"HOLD",""))))</f>
        <v/>
      </c>
      <c r="G628" s="12">
        <f>IF(D628=TRUE,4,0)</f>
        <v/>
      </c>
      <c r="H628">
        <f>IF(A628="","",BDP(A628&amp;" US Equity","GICS_SECTOR_NAME"))</f>
        <v/>
      </c>
    </row>
    <row r="629">
      <c r="A629">
        <f>'Factor Scores'!A629</f>
        <v/>
      </c>
      <c r="B629" s="10">
        <f>IF(A629="","",0.40*'Factor Scores'!C629+0.20*'Factor Scores'!E629+0.20*'Factor Scores'!G629+0.20*'Factor Scores'!H629)</f>
        <v/>
      </c>
      <c r="C629" s="12">
        <f>IF(B629="","",RANK(B629,$B$2:$B$2501,0))</f>
        <v/>
      </c>
      <c r="D629">
        <f>IF(C629="","",C629&lt;=25)</f>
        <v/>
      </c>
      <c r="F629">
        <f>IF(A629="","",IF(AND(D629=TRUE,E629=""),"BUY",IF(AND(D629=FALSE,E629&lt;&gt;""),"SELL",IF(AND(D629=TRUE,E629&lt;&gt;""),"HOLD",""))))</f>
        <v/>
      </c>
      <c r="G629" s="12">
        <f>IF(D629=TRUE,4,0)</f>
        <v/>
      </c>
      <c r="H629">
        <f>IF(A629="","",BDP(A629&amp;" US Equity","GICS_SECTOR_NAME"))</f>
        <v/>
      </c>
    </row>
    <row r="630">
      <c r="A630">
        <f>'Factor Scores'!A630</f>
        <v/>
      </c>
      <c r="B630" s="10">
        <f>IF(A630="","",0.40*'Factor Scores'!C630+0.20*'Factor Scores'!E630+0.20*'Factor Scores'!G630+0.20*'Factor Scores'!H630)</f>
        <v/>
      </c>
      <c r="C630" s="12">
        <f>IF(B630="","",RANK(B630,$B$2:$B$2501,0))</f>
        <v/>
      </c>
      <c r="D630">
        <f>IF(C630="","",C630&lt;=25)</f>
        <v/>
      </c>
      <c r="F630">
        <f>IF(A630="","",IF(AND(D630=TRUE,E630=""),"BUY",IF(AND(D630=FALSE,E630&lt;&gt;""),"SELL",IF(AND(D630=TRUE,E630&lt;&gt;""),"HOLD",""))))</f>
        <v/>
      </c>
      <c r="G630" s="12">
        <f>IF(D630=TRUE,4,0)</f>
        <v/>
      </c>
      <c r="H630">
        <f>IF(A630="","",BDP(A630&amp;" US Equity","GICS_SECTOR_NAME"))</f>
        <v/>
      </c>
    </row>
    <row r="631">
      <c r="A631">
        <f>'Factor Scores'!A631</f>
        <v/>
      </c>
      <c r="B631" s="10">
        <f>IF(A631="","",0.40*'Factor Scores'!C631+0.20*'Factor Scores'!E631+0.20*'Factor Scores'!G631+0.20*'Factor Scores'!H631)</f>
        <v/>
      </c>
      <c r="C631" s="12">
        <f>IF(B631="","",RANK(B631,$B$2:$B$2501,0))</f>
        <v/>
      </c>
      <c r="D631">
        <f>IF(C631="","",C631&lt;=25)</f>
        <v/>
      </c>
      <c r="F631">
        <f>IF(A631="","",IF(AND(D631=TRUE,E631=""),"BUY",IF(AND(D631=FALSE,E631&lt;&gt;""),"SELL",IF(AND(D631=TRUE,E631&lt;&gt;""),"HOLD",""))))</f>
        <v/>
      </c>
      <c r="G631" s="12">
        <f>IF(D631=TRUE,4,0)</f>
        <v/>
      </c>
      <c r="H631">
        <f>IF(A631="","",BDP(A631&amp;" US Equity","GICS_SECTOR_NAME"))</f>
        <v/>
      </c>
    </row>
    <row r="632">
      <c r="A632">
        <f>'Factor Scores'!A632</f>
        <v/>
      </c>
      <c r="B632" s="10">
        <f>IF(A632="","",0.40*'Factor Scores'!C632+0.20*'Factor Scores'!E632+0.20*'Factor Scores'!G632+0.20*'Factor Scores'!H632)</f>
        <v/>
      </c>
      <c r="C632" s="12">
        <f>IF(B632="","",RANK(B632,$B$2:$B$2501,0))</f>
        <v/>
      </c>
      <c r="D632">
        <f>IF(C632="","",C632&lt;=25)</f>
        <v/>
      </c>
      <c r="F632">
        <f>IF(A632="","",IF(AND(D632=TRUE,E632=""),"BUY",IF(AND(D632=FALSE,E632&lt;&gt;""),"SELL",IF(AND(D632=TRUE,E632&lt;&gt;""),"HOLD",""))))</f>
        <v/>
      </c>
      <c r="G632" s="12">
        <f>IF(D632=TRUE,4,0)</f>
        <v/>
      </c>
      <c r="H632">
        <f>IF(A632="","",BDP(A632&amp;" US Equity","GICS_SECTOR_NAME"))</f>
        <v/>
      </c>
    </row>
    <row r="633">
      <c r="A633">
        <f>'Factor Scores'!A633</f>
        <v/>
      </c>
      <c r="B633" s="10">
        <f>IF(A633="","",0.40*'Factor Scores'!C633+0.20*'Factor Scores'!E633+0.20*'Factor Scores'!G633+0.20*'Factor Scores'!H633)</f>
        <v/>
      </c>
      <c r="C633" s="12">
        <f>IF(B633="","",RANK(B633,$B$2:$B$2501,0))</f>
        <v/>
      </c>
      <c r="D633">
        <f>IF(C633="","",C633&lt;=25)</f>
        <v/>
      </c>
      <c r="F633">
        <f>IF(A633="","",IF(AND(D633=TRUE,E633=""),"BUY",IF(AND(D633=FALSE,E633&lt;&gt;""),"SELL",IF(AND(D633=TRUE,E633&lt;&gt;""),"HOLD",""))))</f>
        <v/>
      </c>
      <c r="G633" s="12">
        <f>IF(D633=TRUE,4,0)</f>
        <v/>
      </c>
      <c r="H633">
        <f>IF(A633="","",BDP(A633&amp;" US Equity","GICS_SECTOR_NAME"))</f>
        <v/>
      </c>
    </row>
    <row r="634">
      <c r="A634">
        <f>'Factor Scores'!A634</f>
        <v/>
      </c>
      <c r="B634" s="10">
        <f>IF(A634="","",0.40*'Factor Scores'!C634+0.20*'Factor Scores'!E634+0.20*'Factor Scores'!G634+0.20*'Factor Scores'!H634)</f>
        <v/>
      </c>
      <c r="C634" s="12">
        <f>IF(B634="","",RANK(B634,$B$2:$B$2501,0))</f>
        <v/>
      </c>
      <c r="D634">
        <f>IF(C634="","",C634&lt;=25)</f>
        <v/>
      </c>
      <c r="F634">
        <f>IF(A634="","",IF(AND(D634=TRUE,E634=""),"BUY",IF(AND(D634=FALSE,E634&lt;&gt;""),"SELL",IF(AND(D634=TRUE,E634&lt;&gt;""),"HOLD",""))))</f>
        <v/>
      </c>
      <c r="G634" s="12">
        <f>IF(D634=TRUE,4,0)</f>
        <v/>
      </c>
      <c r="H634">
        <f>IF(A634="","",BDP(A634&amp;" US Equity","GICS_SECTOR_NAME"))</f>
        <v/>
      </c>
    </row>
    <row r="635">
      <c r="A635">
        <f>'Factor Scores'!A635</f>
        <v/>
      </c>
      <c r="B635" s="10">
        <f>IF(A635="","",0.40*'Factor Scores'!C635+0.20*'Factor Scores'!E635+0.20*'Factor Scores'!G635+0.20*'Factor Scores'!H635)</f>
        <v/>
      </c>
      <c r="C635" s="12">
        <f>IF(B635="","",RANK(B635,$B$2:$B$2501,0))</f>
        <v/>
      </c>
      <c r="D635">
        <f>IF(C635="","",C635&lt;=25)</f>
        <v/>
      </c>
      <c r="F635">
        <f>IF(A635="","",IF(AND(D635=TRUE,E635=""),"BUY",IF(AND(D635=FALSE,E635&lt;&gt;""),"SELL",IF(AND(D635=TRUE,E635&lt;&gt;""),"HOLD",""))))</f>
        <v/>
      </c>
      <c r="G635" s="12">
        <f>IF(D635=TRUE,4,0)</f>
        <v/>
      </c>
      <c r="H635">
        <f>IF(A635="","",BDP(A635&amp;" US Equity","GICS_SECTOR_NAME"))</f>
        <v/>
      </c>
    </row>
    <row r="636">
      <c r="A636">
        <f>'Factor Scores'!A636</f>
        <v/>
      </c>
      <c r="B636" s="10">
        <f>IF(A636="","",0.40*'Factor Scores'!C636+0.20*'Factor Scores'!E636+0.20*'Factor Scores'!G636+0.20*'Factor Scores'!H636)</f>
        <v/>
      </c>
      <c r="C636" s="12">
        <f>IF(B636="","",RANK(B636,$B$2:$B$2501,0))</f>
        <v/>
      </c>
      <c r="D636">
        <f>IF(C636="","",C636&lt;=25)</f>
        <v/>
      </c>
      <c r="F636">
        <f>IF(A636="","",IF(AND(D636=TRUE,E636=""),"BUY",IF(AND(D636=FALSE,E636&lt;&gt;""),"SELL",IF(AND(D636=TRUE,E636&lt;&gt;""),"HOLD",""))))</f>
        <v/>
      </c>
      <c r="G636" s="12">
        <f>IF(D636=TRUE,4,0)</f>
        <v/>
      </c>
      <c r="H636">
        <f>IF(A636="","",BDP(A636&amp;" US Equity","GICS_SECTOR_NAME"))</f>
        <v/>
      </c>
    </row>
    <row r="637">
      <c r="A637">
        <f>'Factor Scores'!A637</f>
        <v/>
      </c>
      <c r="B637" s="10">
        <f>IF(A637="","",0.40*'Factor Scores'!C637+0.20*'Factor Scores'!E637+0.20*'Factor Scores'!G637+0.20*'Factor Scores'!H637)</f>
        <v/>
      </c>
      <c r="C637" s="12">
        <f>IF(B637="","",RANK(B637,$B$2:$B$2501,0))</f>
        <v/>
      </c>
      <c r="D637">
        <f>IF(C637="","",C637&lt;=25)</f>
        <v/>
      </c>
      <c r="F637">
        <f>IF(A637="","",IF(AND(D637=TRUE,E637=""),"BUY",IF(AND(D637=FALSE,E637&lt;&gt;""),"SELL",IF(AND(D637=TRUE,E637&lt;&gt;""),"HOLD",""))))</f>
        <v/>
      </c>
      <c r="G637" s="12">
        <f>IF(D637=TRUE,4,0)</f>
        <v/>
      </c>
      <c r="H637">
        <f>IF(A637="","",BDP(A637&amp;" US Equity","GICS_SECTOR_NAME"))</f>
        <v/>
      </c>
    </row>
    <row r="638">
      <c r="A638">
        <f>'Factor Scores'!A638</f>
        <v/>
      </c>
      <c r="B638" s="10">
        <f>IF(A638="","",0.40*'Factor Scores'!C638+0.20*'Factor Scores'!E638+0.20*'Factor Scores'!G638+0.20*'Factor Scores'!H638)</f>
        <v/>
      </c>
      <c r="C638" s="12">
        <f>IF(B638="","",RANK(B638,$B$2:$B$2501,0))</f>
        <v/>
      </c>
      <c r="D638">
        <f>IF(C638="","",C638&lt;=25)</f>
        <v/>
      </c>
      <c r="F638">
        <f>IF(A638="","",IF(AND(D638=TRUE,E638=""),"BUY",IF(AND(D638=FALSE,E638&lt;&gt;""),"SELL",IF(AND(D638=TRUE,E638&lt;&gt;""),"HOLD",""))))</f>
        <v/>
      </c>
      <c r="G638" s="12">
        <f>IF(D638=TRUE,4,0)</f>
        <v/>
      </c>
      <c r="H638">
        <f>IF(A638="","",BDP(A638&amp;" US Equity","GICS_SECTOR_NAME"))</f>
        <v/>
      </c>
    </row>
    <row r="639">
      <c r="A639">
        <f>'Factor Scores'!A639</f>
        <v/>
      </c>
      <c r="B639" s="10">
        <f>IF(A639="","",0.40*'Factor Scores'!C639+0.20*'Factor Scores'!E639+0.20*'Factor Scores'!G639+0.20*'Factor Scores'!H639)</f>
        <v/>
      </c>
      <c r="C639" s="12">
        <f>IF(B639="","",RANK(B639,$B$2:$B$2501,0))</f>
        <v/>
      </c>
      <c r="D639">
        <f>IF(C639="","",C639&lt;=25)</f>
        <v/>
      </c>
      <c r="F639">
        <f>IF(A639="","",IF(AND(D639=TRUE,E639=""),"BUY",IF(AND(D639=FALSE,E639&lt;&gt;""),"SELL",IF(AND(D639=TRUE,E639&lt;&gt;""),"HOLD",""))))</f>
        <v/>
      </c>
      <c r="G639" s="12">
        <f>IF(D639=TRUE,4,0)</f>
        <v/>
      </c>
      <c r="H639">
        <f>IF(A639="","",BDP(A639&amp;" US Equity","GICS_SECTOR_NAME"))</f>
        <v/>
      </c>
    </row>
    <row r="640">
      <c r="A640">
        <f>'Factor Scores'!A640</f>
        <v/>
      </c>
      <c r="B640" s="10">
        <f>IF(A640="","",0.40*'Factor Scores'!C640+0.20*'Factor Scores'!E640+0.20*'Factor Scores'!G640+0.20*'Factor Scores'!H640)</f>
        <v/>
      </c>
      <c r="C640" s="12">
        <f>IF(B640="","",RANK(B640,$B$2:$B$2501,0))</f>
        <v/>
      </c>
      <c r="D640">
        <f>IF(C640="","",C640&lt;=25)</f>
        <v/>
      </c>
      <c r="F640">
        <f>IF(A640="","",IF(AND(D640=TRUE,E640=""),"BUY",IF(AND(D640=FALSE,E640&lt;&gt;""),"SELL",IF(AND(D640=TRUE,E640&lt;&gt;""),"HOLD",""))))</f>
        <v/>
      </c>
      <c r="G640" s="12">
        <f>IF(D640=TRUE,4,0)</f>
        <v/>
      </c>
      <c r="H640">
        <f>IF(A640="","",BDP(A640&amp;" US Equity","GICS_SECTOR_NAME"))</f>
        <v/>
      </c>
    </row>
    <row r="641">
      <c r="A641">
        <f>'Factor Scores'!A641</f>
        <v/>
      </c>
      <c r="B641" s="10">
        <f>IF(A641="","",0.40*'Factor Scores'!C641+0.20*'Factor Scores'!E641+0.20*'Factor Scores'!G641+0.20*'Factor Scores'!H641)</f>
        <v/>
      </c>
      <c r="C641" s="12">
        <f>IF(B641="","",RANK(B641,$B$2:$B$2501,0))</f>
        <v/>
      </c>
      <c r="D641">
        <f>IF(C641="","",C641&lt;=25)</f>
        <v/>
      </c>
      <c r="F641">
        <f>IF(A641="","",IF(AND(D641=TRUE,E641=""),"BUY",IF(AND(D641=FALSE,E641&lt;&gt;""),"SELL",IF(AND(D641=TRUE,E641&lt;&gt;""),"HOLD",""))))</f>
        <v/>
      </c>
      <c r="G641" s="12">
        <f>IF(D641=TRUE,4,0)</f>
        <v/>
      </c>
      <c r="H641">
        <f>IF(A641="","",BDP(A641&amp;" US Equity","GICS_SECTOR_NAME"))</f>
        <v/>
      </c>
    </row>
    <row r="642">
      <c r="A642">
        <f>'Factor Scores'!A642</f>
        <v/>
      </c>
      <c r="B642" s="10">
        <f>IF(A642="","",0.40*'Factor Scores'!C642+0.20*'Factor Scores'!E642+0.20*'Factor Scores'!G642+0.20*'Factor Scores'!H642)</f>
        <v/>
      </c>
      <c r="C642" s="12">
        <f>IF(B642="","",RANK(B642,$B$2:$B$2501,0))</f>
        <v/>
      </c>
      <c r="D642">
        <f>IF(C642="","",C642&lt;=25)</f>
        <v/>
      </c>
      <c r="F642">
        <f>IF(A642="","",IF(AND(D642=TRUE,E642=""),"BUY",IF(AND(D642=FALSE,E642&lt;&gt;""),"SELL",IF(AND(D642=TRUE,E642&lt;&gt;""),"HOLD",""))))</f>
        <v/>
      </c>
      <c r="G642" s="12">
        <f>IF(D642=TRUE,4,0)</f>
        <v/>
      </c>
      <c r="H642">
        <f>IF(A642="","",BDP(A642&amp;" US Equity","GICS_SECTOR_NAME"))</f>
        <v/>
      </c>
    </row>
    <row r="643">
      <c r="A643">
        <f>'Factor Scores'!A643</f>
        <v/>
      </c>
      <c r="B643" s="10">
        <f>IF(A643="","",0.40*'Factor Scores'!C643+0.20*'Factor Scores'!E643+0.20*'Factor Scores'!G643+0.20*'Factor Scores'!H643)</f>
        <v/>
      </c>
      <c r="C643" s="12">
        <f>IF(B643="","",RANK(B643,$B$2:$B$2501,0))</f>
        <v/>
      </c>
      <c r="D643">
        <f>IF(C643="","",C643&lt;=25)</f>
        <v/>
      </c>
      <c r="F643">
        <f>IF(A643="","",IF(AND(D643=TRUE,E643=""),"BUY",IF(AND(D643=FALSE,E643&lt;&gt;""),"SELL",IF(AND(D643=TRUE,E643&lt;&gt;""),"HOLD",""))))</f>
        <v/>
      </c>
      <c r="G643" s="12">
        <f>IF(D643=TRUE,4,0)</f>
        <v/>
      </c>
      <c r="H643">
        <f>IF(A643="","",BDP(A643&amp;" US Equity","GICS_SECTOR_NAME"))</f>
        <v/>
      </c>
    </row>
    <row r="644">
      <c r="A644">
        <f>'Factor Scores'!A644</f>
        <v/>
      </c>
      <c r="B644" s="10">
        <f>IF(A644="","",0.40*'Factor Scores'!C644+0.20*'Factor Scores'!E644+0.20*'Factor Scores'!G644+0.20*'Factor Scores'!H644)</f>
        <v/>
      </c>
      <c r="C644" s="12">
        <f>IF(B644="","",RANK(B644,$B$2:$B$2501,0))</f>
        <v/>
      </c>
      <c r="D644">
        <f>IF(C644="","",C644&lt;=25)</f>
        <v/>
      </c>
      <c r="F644">
        <f>IF(A644="","",IF(AND(D644=TRUE,E644=""),"BUY",IF(AND(D644=FALSE,E644&lt;&gt;""),"SELL",IF(AND(D644=TRUE,E644&lt;&gt;""),"HOLD",""))))</f>
        <v/>
      </c>
      <c r="G644" s="12">
        <f>IF(D644=TRUE,4,0)</f>
        <v/>
      </c>
      <c r="H644">
        <f>IF(A644="","",BDP(A644&amp;" US Equity","GICS_SECTOR_NAME"))</f>
        <v/>
      </c>
    </row>
    <row r="645">
      <c r="A645">
        <f>'Factor Scores'!A645</f>
        <v/>
      </c>
      <c r="B645" s="10">
        <f>IF(A645="","",0.40*'Factor Scores'!C645+0.20*'Factor Scores'!E645+0.20*'Factor Scores'!G645+0.20*'Factor Scores'!H645)</f>
        <v/>
      </c>
      <c r="C645" s="12">
        <f>IF(B645="","",RANK(B645,$B$2:$B$2501,0))</f>
        <v/>
      </c>
      <c r="D645">
        <f>IF(C645="","",C645&lt;=25)</f>
        <v/>
      </c>
      <c r="F645">
        <f>IF(A645="","",IF(AND(D645=TRUE,E645=""),"BUY",IF(AND(D645=FALSE,E645&lt;&gt;""),"SELL",IF(AND(D645=TRUE,E645&lt;&gt;""),"HOLD",""))))</f>
        <v/>
      </c>
      <c r="G645" s="12">
        <f>IF(D645=TRUE,4,0)</f>
        <v/>
      </c>
      <c r="H645">
        <f>IF(A645="","",BDP(A645&amp;" US Equity","GICS_SECTOR_NAME"))</f>
        <v/>
      </c>
    </row>
    <row r="646">
      <c r="A646">
        <f>'Factor Scores'!A646</f>
        <v/>
      </c>
      <c r="B646" s="10">
        <f>IF(A646="","",0.40*'Factor Scores'!C646+0.20*'Factor Scores'!E646+0.20*'Factor Scores'!G646+0.20*'Factor Scores'!H646)</f>
        <v/>
      </c>
      <c r="C646" s="12">
        <f>IF(B646="","",RANK(B646,$B$2:$B$2501,0))</f>
        <v/>
      </c>
      <c r="D646">
        <f>IF(C646="","",C646&lt;=25)</f>
        <v/>
      </c>
      <c r="F646">
        <f>IF(A646="","",IF(AND(D646=TRUE,E646=""),"BUY",IF(AND(D646=FALSE,E646&lt;&gt;""),"SELL",IF(AND(D646=TRUE,E646&lt;&gt;""),"HOLD",""))))</f>
        <v/>
      </c>
      <c r="G646" s="12">
        <f>IF(D646=TRUE,4,0)</f>
        <v/>
      </c>
      <c r="H646">
        <f>IF(A646="","",BDP(A646&amp;" US Equity","GICS_SECTOR_NAME"))</f>
        <v/>
      </c>
    </row>
    <row r="647">
      <c r="A647">
        <f>'Factor Scores'!A647</f>
        <v/>
      </c>
      <c r="B647" s="10">
        <f>IF(A647="","",0.40*'Factor Scores'!C647+0.20*'Factor Scores'!E647+0.20*'Factor Scores'!G647+0.20*'Factor Scores'!H647)</f>
        <v/>
      </c>
      <c r="C647" s="12">
        <f>IF(B647="","",RANK(B647,$B$2:$B$2501,0))</f>
        <v/>
      </c>
      <c r="D647">
        <f>IF(C647="","",C647&lt;=25)</f>
        <v/>
      </c>
      <c r="F647">
        <f>IF(A647="","",IF(AND(D647=TRUE,E647=""),"BUY",IF(AND(D647=FALSE,E647&lt;&gt;""),"SELL",IF(AND(D647=TRUE,E647&lt;&gt;""),"HOLD",""))))</f>
        <v/>
      </c>
      <c r="G647" s="12">
        <f>IF(D647=TRUE,4,0)</f>
        <v/>
      </c>
      <c r="H647">
        <f>IF(A647="","",BDP(A647&amp;" US Equity","GICS_SECTOR_NAME"))</f>
        <v/>
      </c>
    </row>
    <row r="648">
      <c r="A648">
        <f>'Factor Scores'!A648</f>
        <v/>
      </c>
      <c r="B648" s="10">
        <f>IF(A648="","",0.40*'Factor Scores'!C648+0.20*'Factor Scores'!E648+0.20*'Factor Scores'!G648+0.20*'Factor Scores'!H648)</f>
        <v/>
      </c>
      <c r="C648" s="12">
        <f>IF(B648="","",RANK(B648,$B$2:$B$2501,0))</f>
        <v/>
      </c>
      <c r="D648">
        <f>IF(C648="","",C648&lt;=25)</f>
        <v/>
      </c>
      <c r="F648">
        <f>IF(A648="","",IF(AND(D648=TRUE,E648=""),"BUY",IF(AND(D648=FALSE,E648&lt;&gt;""),"SELL",IF(AND(D648=TRUE,E648&lt;&gt;""),"HOLD",""))))</f>
        <v/>
      </c>
      <c r="G648" s="12">
        <f>IF(D648=TRUE,4,0)</f>
        <v/>
      </c>
      <c r="H648">
        <f>IF(A648="","",BDP(A648&amp;" US Equity","GICS_SECTOR_NAME"))</f>
        <v/>
      </c>
    </row>
    <row r="649">
      <c r="A649">
        <f>'Factor Scores'!A649</f>
        <v/>
      </c>
      <c r="B649" s="10">
        <f>IF(A649="","",0.40*'Factor Scores'!C649+0.20*'Factor Scores'!E649+0.20*'Factor Scores'!G649+0.20*'Factor Scores'!H649)</f>
        <v/>
      </c>
      <c r="C649" s="12">
        <f>IF(B649="","",RANK(B649,$B$2:$B$2501,0))</f>
        <v/>
      </c>
      <c r="D649">
        <f>IF(C649="","",C649&lt;=25)</f>
        <v/>
      </c>
      <c r="F649">
        <f>IF(A649="","",IF(AND(D649=TRUE,E649=""),"BUY",IF(AND(D649=FALSE,E649&lt;&gt;""),"SELL",IF(AND(D649=TRUE,E649&lt;&gt;""),"HOLD",""))))</f>
        <v/>
      </c>
      <c r="G649" s="12">
        <f>IF(D649=TRUE,4,0)</f>
        <v/>
      </c>
      <c r="H649">
        <f>IF(A649="","",BDP(A649&amp;" US Equity","GICS_SECTOR_NAME"))</f>
        <v/>
      </c>
    </row>
    <row r="650">
      <c r="A650">
        <f>'Factor Scores'!A650</f>
        <v/>
      </c>
      <c r="B650" s="10">
        <f>IF(A650="","",0.40*'Factor Scores'!C650+0.20*'Factor Scores'!E650+0.20*'Factor Scores'!G650+0.20*'Factor Scores'!H650)</f>
        <v/>
      </c>
      <c r="C650" s="12">
        <f>IF(B650="","",RANK(B650,$B$2:$B$2501,0))</f>
        <v/>
      </c>
      <c r="D650">
        <f>IF(C650="","",C650&lt;=25)</f>
        <v/>
      </c>
      <c r="F650">
        <f>IF(A650="","",IF(AND(D650=TRUE,E650=""),"BUY",IF(AND(D650=FALSE,E650&lt;&gt;""),"SELL",IF(AND(D650=TRUE,E650&lt;&gt;""),"HOLD",""))))</f>
        <v/>
      </c>
      <c r="G650" s="12">
        <f>IF(D650=TRUE,4,0)</f>
        <v/>
      </c>
      <c r="H650">
        <f>IF(A650="","",BDP(A650&amp;" US Equity","GICS_SECTOR_NAME"))</f>
        <v/>
      </c>
    </row>
    <row r="651">
      <c r="A651">
        <f>'Factor Scores'!A651</f>
        <v/>
      </c>
      <c r="B651" s="10">
        <f>IF(A651="","",0.40*'Factor Scores'!C651+0.20*'Factor Scores'!E651+0.20*'Factor Scores'!G651+0.20*'Factor Scores'!H651)</f>
        <v/>
      </c>
      <c r="C651" s="12">
        <f>IF(B651="","",RANK(B651,$B$2:$B$2501,0))</f>
        <v/>
      </c>
      <c r="D651">
        <f>IF(C651="","",C651&lt;=25)</f>
        <v/>
      </c>
      <c r="F651">
        <f>IF(A651="","",IF(AND(D651=TRUE,E651=""),"BUY",IF(AND(D651=FALSE,E651&lt;&gt;""),"SELL",IF(AND(D651=TRUE,E651&lt;&gt;""),"HOLD",""))))</f>
        <v/>
      </c>
      <c r="G651" s="12">
        <f>IF(D651=TRUE,4,0)</f>
        <v/>
      </c>
      <c r="H651">
        <f>IF(A651="","",BDP(A651&amp;" US Equity","GICS_SECTOR_NAME"))</f>
        <v/>
      </c>
    </row>
    <row r="652">
      <c r="A652">
        <f>'Factor Scores'!A652</f>
        <v/>
      </c>
      <c r="B652" s="10">
        <f>IF(A652="","",0.40*'Factor Scores'!C652+0.20*'Factor Scores'!E652+0.20*'Factor Scores'!G652+0.20*'Factor Scores'!H652)</f>
        <v/>
      </c>
      <c r="C652" s="12">
        <f>IF(B652="","",RANK(B652,$B$2:$B$2501,0))</f>
        <v/>
      </c>
      <c r="D652">
        <f>IF(C652="","",C652&lt;=25)</f>
        <v/>
      </c>
      <c r="F652">
        <f>IF(A652="","",IF(AND(D652=TRUE,E652=""),"BUY",IF(AND(D652=FALSE,E652&lt;&gt;""),"SELL",IF(AND(D652=TRUE,E652&lt;&gt;""),"HOLD",""))))</f>
        <v/>
      </c>
      <c r="G652" s="12">
        <f>IF(D652=TRUE,4,0)</f>
        <v/>
      </c>
      <c r="H652">
        <f>IF(A652="","",BDP(A652&amp;" US Equity","GICS_SECTOR_NAME"))</f>
        <v/>
      </c>
    </row>
    <row r="653">
      <c r="A653">
        <f>'Factor Scores'!A653</f>
        <v/>
      </c>
      <c r="B653" s="10">
        <f>IF(A653="","",0.40*'Factor Scores'!C653+0.20*'Factor Scores'!E653+0.20*'Factor Scores'!G653+0.20*'Factor Scores'!H653)</f>
        <v/>
      </c>
      <c r="C653" s="12">
        <f>IF(B653="","",RANK(B653,$B$2:$B$2501,0))</f>
        <v/>
      </c>
      <c r="D653">
        <f>IF(C653="","",C653&lt;=25)</f>
        <v/>
      </c>
      <c r="F653">
        <f>IF(A653="","",IF(AND(D653=TRUE,E653=""),"BUY",IF(AND(D653=FALSE,E653&lt;&gt;""),"SELL",IF(AND(D653=TRUE,E653&lt;&gt;""),"HOLD",""))))</f>
        <v/>
      </c>
      <c r="G653" s="12">
        <f>IF(D653=TRUE,4,0)</f>
        <v/>
      </c>
      <c r="H653">
        <f>IF(A653="","",BDP(A653&amp;" US Equity","GICS_SECTOR_NAME"))</f>
        <v/>
      </c>
    </row>
    <row r="654">
      <c r="A654">
        <f>'Factor Scores'!A654</f>
        <v/>
      </c>
      <c r="B654" s="10">
        <f>IF(A654="","",0.40*'Factor Scores'!C654+0.20*'Factor Scores'!E654+0.20*'Factor Scores'!G654+0.20*'Factor Scores'!H654)</f>
        <v/>
      </c>
      <c r="C654" s="12">
        <f>IF(B654="","",RANK(B654,$B$2:$B$2501,0))</f>
        <v/>
      </c>
      <c r="D654">
        <f>IF(C654="","",C654&lt;=25)</f>
        <v/>
      </c>
      <c r="F654">
        <f>IF(A654="","",IF(AND(D654=TRUE,E654=""),"BUY",IF(AND(D654=FALSE,E654&lt;&gt;""),"SELL",IF(AND(D654=TRUE,E654&lt;&gt;""),"HOLD",""))))</f>
        <v/>
      </c>
      <c r="G654" s="12">
        <f>IF(D654=TRUE,4,0)</f>
        <v/>
      </c>
      <c r="H654">
        <f>IF(A654="","",BDP(A654&amp;" US Equity","GICS_SECTOR_NAME"))</f>
        <v/>
      </c>
    </row>
    <row r="655">
      <c r="A655">
        <f>'Factor Scores'!A655</f>
        <v/>
      </c>
      <c r="B655" s="10">
        <f>IF(A655="","",0.40*'Factor Scores'!C655+0.20*'Factor Scores'!E655+0.20*'Factor Scores'!G655+0.20*'Factor Scores'!H655)</f>
        <v/>
      </c>
      <c r="C655" s="12">
        <f>IF(B655="","",RANK(B655,$B$2:$B$2501,0))</f>
        <v/>
      </c>
      <c r="D655">
        <f>IF(C655="","",C655&lt;=25)</f>
        <v/>
      </c>
      <c r="F655">
        <f>IF(A655="","",IF(AND(D655=TRUE,E655=""),"BUY",IF(AND(D655=FALSE,E655&lt;&gt;""),"SELL",IF(AND(D655=TRUE,E655&lt;&gt;""),"HOLD",""))))</f>
        <v/>
      </c>
      <c r="G655" s="12">
        <f>IF(D655=TRUE,4,0)</f>
        <v/>
      </c>
      <c r="H655">
        <f>IF(A655="","",BDP(A655&amp;" US Equity","GICS_SECTOR_NAME"))</f>
        <v/>
      </c>
    </row>
    <row r="656">
      <c r="A656">
        <f>'Factor Scores'!A656</f>
        <v/>
      </c>
      <c r="B656" s="10">
        <f>IF(A656="","",0.40*'Factor Scores'!C656+0.20*'Factor Scores'!E656+0.20*'Factor Scores'!G656+0.20*'Factor Scores'!H656)</f>
        <v/>
      </c>
      <c r="C656" s="12">
        <f>IF(B656="","",RANK(B656,$B$2:$B$2501,0))</f>
        <v/>
      </c>
      <c r="D656">
        <f>IF(C656="","",C656&lt;=25)</f>
        <v/>
      </c>
      <c r="F656">
        <f>IF(A656="","",IF(AND(D656=TRUE,E656=""),"BUY",IF(AND(D656=FALSE,E656&lt;&gt;""),"SELL",IF(AND(D656=TRUE,E656&lt;&gt;""),"HOLD",""))))</f>
        <v/>
      </c>
      <c r="G656" s="12">
        <f>IF(D656=TRUE,4,0)</f>
        <v/>
      </c>
      <c r="H656">
        <f>IF(A656="","",BDP(A656&amp;" US Equity","GICS_SECTOR_NAME"))</f>
        <v/>
      </c>
    </row>
    <row r="657">
      <c r="A657">
        <f>'Factor Scores'!A657</f>
        <v/>
      </c>
      <c r="B657" s="10">
        <f>IF(A657="","",0.40*'Factor Scores'!C657+0.20*'Factor Scores'!E657+0.20*'Factor Scores'!G657+0.20*'Factor Scores'!H657)</f>
        <v/>
      </c>
      <c r="C657" s="12">
        <f>IF(B657="","",RANK(B657,$B$2:$B$2501,0))</f>
        <v/>
      </c>
      <c r="D657">
        <f>IF(C657="","",C657&lt;=25)</f>
        <v/>
      </c>
      <c r="F657">
        <f>IF(A657="","",IF(AND(D657=TRUE,E657=""),"BUY",IF(AND(D657=FALSE,E657&lt;&gt;""),"SELL",IF(AND(D657=TRUE,E657&lt;&gt;""),"HOLD",""))))</f>
        <v/>
      </c>
      <c r="G657" s="12">
        <f>IF(D657=TRUE,4,0)</f>
        <v/>
      </c>
      <c r="H657">
        <f>IF(A657="","",BDP(A657&amp;" US Equity","GICS_SECTOR_NAME"))</f>
        <v/>
      </c>
    </row>
    <row r="658">
      <c r="A658">
        <f>'Factor Scores'!A658</f>
        <v/>
      </c>
      <c r="B658" s="10">
        <f>IF(A658="","",0.40*'Factor Scores'!C658+0.20*'Factor Scores'!E658+0.20*'Factor Scores'!G658+0.20*'Factor Scores'!H658)</f>
        <v/>
      </c>
      <c r="C658" s="12">
        <f>IF(B658="","",RANK(B658,$B$2:$B$2501,0))</f>
        <v/>
      </c>
      <c r="D658">
        <f>IF(C658="","",C658&lt;=25)</f>
        <v/>
      </c>
      <c r="F658">
        <f>IF(A658="","",IF(AND(D658=TRUE,E658=""),"BUY",IF(AND(D658=FALSE,E658&lt;&gt;""),"SELL",IF(AND(D658=TRUE,E658&lt;&gt;""),"HOLD",""))))</f>
        <v/>
      </c>
      <c r="G658" s="12">
        <f>IF(D658=TRUE,4,0)</f>
        <v/>
      </c>
      <c r="H658">
        <f>IF(A658="","",BDP(A658&amp;" US Equity","GICS_SECTOR_NAME"))</f>
        <v/>
      </c>
    </row>
    <row r="659">
      <c r="A659">
        <f>'Factor Scores'!A659</f>
        <v/>
      </c>
      <c r="B659" s="10">
        <f>IF(A659="","",0.40*'Factor Scores'!C659+0.20*'Factor Scores'!E659+0.20*'Factor Scores'!G659+0.20*'Factor Scores'!H659)</f>
        <v/>
      </c>
      <c r="C659" s="12">
        <f>IF(B659="","",RANK(B659,$B$2:$B$2501,0))</f>
        <v/>
      </c>
      <c r="D659">
        <f>IF(C659="","",C659&lt;=25)</f>
        <v/>
      </c>
      <c r="F659">
        <f>IF(A659="","",IF(AND(D659=TRUE,E659=""),"BUY",IF(AND(D659=FALSE,E659&lt;&gt;""),"SELL",IF(AND(D659=TRUE,E659&lt;&gt;""),"HOLD",""))))</f>
        <v/>
      </c>
      <c r="G659" s="12">
        <f>IF(D659=TRUE,4,0)</f>
        <v/>
      </c>
      <c r="H659">
        <f>IF(A659="","",BDP(A659&amp;" US Equity","GICS_SECTOR_NAME"))</f>
        <v/>
      </c>
    </row>
    <row r="660">
      <c r="A660">
        <f>'Factor Scores'!A660</f>
        <v/>
      </c>
      <c r="B660" s="10">
        <f>IF(A660="","",0.40*'Factor Scores'!C660+0.20*'Factor Scores'!E660+0.20*'Factor Scores'!G660+0.20*'Factor Scores'!H660)</f>
        <v/>
      </c>
      <c r="C660" s="12">
        <f>IF(B660="","",RANK(B660,$B$2:$B$2501,0))</f>
        <v/>
      </c>
      <c r="D660">
        <f>IF(C660="","",C660&lt;=25)</f>
        <v/>
      </c>
      <c r="F660">
        <f>IF(A660="","",IF(AND(D660=TRUE,E660=""),"BUY",IF(AND(D660=FALSE,E660&lt;&gt;""),"SELL",IF(AND(D660=TRUE,E660&lt;&gt;""),"HOLD",""))))</f>
        <v/>
      </c>
      <c r="G660" s="12">
        <f>IF(D660=TRUE,4,0)</f>
        <v/>
      </c>
      <c r="H660">
        <f>IF(A660="","",BDP(A660&amp;" US Equity","GICS_SECTOR_NAME"))</f>
        <v/>
      </c>
    </row>
    <row r="661">
      <c r="A661">
        <f>'Factor Scores'!A661</f>
        <v/>
      </c>
      <c r="B661" s="10">
        <f>IF(A661="","",0.40*'Factor Scores'!C661+0.20*'Factor Scores'!E661+0.20*'Factor Scores'!G661+0.20*'Factor Scores'!H661)</f>
        <v/>
      </c>
      <c r="C661" s="12">
        <f>IF(B661="","",RANK(B661,$B$2:$B$2501,0))</f>
        <v/>
      </c>
      <c r="D661">
        <f>IF(C661="","",C661&lt;=25)</f>
        <v/>
      </c>
      <c r="F661">
        <f>IF(A661="","",IF(AND(D661=TRUE,E661=""),"BUY",IF(AND(D661=FALSE,E661&lt;&gt;""),"SELL",IF(AND(D661=TRUE,E661&lt;&gt;""),"HOLD",""))))</f>
        <v/>
      </c>
      <c r="G661" s="12">
        <f>IF(D661=TRUE,4,0)</f>
        <v/>
      </c>
      <c r="H661">
        <f>IF(A661="","",BDP(A661&amp;" US Equity","GICS_SECTOR_NAME"))</f>
        <v/>
      </c>
    </row>
    <row r="662">
      <c r="A662">
        <f>'Factor Scores'!A662</f>
        <v/>
      </c>
      <c r="B662" s="10">
        <f>IF(A662="","",0.40*'Factor Scores'!C662+0.20*'Factor Scores'!E662+0.20*'Factor Scores'!G662+0.20*'Factor Scores'!H662)</f>
        <v/>
      </c>
      <c r="C662" s="12">
        <f>IF(B662="","",RANK(B662,$B$2:$B$2501,0))</f>
        <v/>
      </c>
      <c r="D662">
        <f>IF(C662="","",C662&lt;=25)</f>
        <v/>
      </c>
      <c r="F662">
        <f>IF(A662="","",IF(AND(D662=TRUE,E662=""),"BUY",IF(AND(D662=FALSE,E662&lt;&gt;""),"SELL",IF(AND(D662=TRUE,E662&lt;&gt;""),"HOLD",""))))</f>
        <v/>
      </c>
      <c r="G662" s="12">
        <f>IF(D662=TRUE,4,0)</f>
        <v/>
      </c>
      <c r="H662">
        <f>IF(A662="","",BDP(A662&amp;" US Equity","GICS_SECTOR_NAME"))</f>
        <v/>
      </c>
    </row>
    <row r="663">
      <c r="A663">
        <f>'Factor Scores'!A663</f>
        <v/>
      </c>
      <c r="B663" s="10">
        <f>IF(A663="","",0.40*'Factor Scores'!C663+0.20*'Factor Scores'!E663+0.20*'Factor Scores'!G663+0.20*'Factor Scores'!H663)</f>
        <v/>
      </c>
      <c r="C663" s="12">
        <f>IF(B663="","",RANK(B663,$B$2:$B$2501,0))</f>
        <v/>
      </c>
      <c r="D663">
        <f>IF(C663="","",C663&lt;=25)</f>
        <v/>
      </c>
      <c r="F663">
        <f>IF(A663="","",IF(AND(D663=TRUE,E663=""),"BUY",IF(AND(D663=FALSE,E663&lt;&gt;""),"SELL",IF(AND(D663=TRUE,E663&lt;&gt;""),"HOLD",""))))</f>
        <v/>
      </c>
      <c r="G663" s="12">
        <f>IF(D663=TRUE,4,0)</f>
        <v/>
      </c>
      <c r="H663">
        <f>IF(A663="","",BDP(A663&amp;" US Equity","GICS_SECTOR_NAME"))</f>
        <v/>
      </c>
    </row>
    <row r="664">
      <c r="A664">
        <f>'Factor Scores'!A664</f>
        <v/>
      </c>
      <c r="B664" s="10">
        <f>IF(A664="","",0.40*'Factor Scores'!C664+0.20*'Factor Scores'!E664+0.20*'Factor Scores'!G664+0.20*'Factor Scores'!H664)</f>
        <v/>
      </c>
      <c r="C664" s="12">
        <f>IF(B664="","",RANK(B664,$B$2:$B$2501,0))</f>
        <v/>
      </c>
      <c r="D664">
        <f>IF(C664="","",C664&lt;=25)</f>
        <v/>
      </c>
      <c r="F664">
        <f>IF(A664="","",IF(AND(D664=TRUE,E664=""),"BUY",IF(AND(D664=FALSE,E664&lt;&gt;""),"SELL",IF(AND(D664=TRUE,E664&lt;&gt;""),"HOLD",""))))</f>
        <v/>
      </c>
      <c r="G664" s="12">
        <f>IF(D664=TRUE,4,0)</f>
        <v/>
      </c>
      <c r="H664">
        <f>IF(A664="","",BDP(A664&amp;" US Equity","GICS_SECTOR_NAME"))</f>
        <v/>
      </c>
    </row>
    <row r="665">
      <c r="A665">
        <f>'Factor Scores'!A665</f>
        <v/>
      </c>
      <c r="B665" s="10">
        <f>IF(A665="","",0.40*'Factor Scores'!C665+0.20*'Factor Scores'!E665+0.20*'Factor Scores'!G665+0.20*'Factor Scores'!H665)</f>
        <v/>
      </c>
      <c r="C665" s="12">
        <f>IF(B665="","",RANK(B665,$B$2:$B$2501,0))</f>
        <v/>
      </c>
      <c r="D665">
        <f>IF(C665="","",C665&lt;=25)</f>
        <v/>
      </c>
      <c r="F665">
        <f>IF(A665="","",IF(AND(D665=TRUE,E665=""),"BUY",IF(AND(D665=FALSE,E665&lt;&gt;""),"SELL",IF(AND(D665=TRUE,E665&lt;&gt;""),"HOLD",""))))</f>
        <v/>
      </c>
      <c r="G665" s="12">
        <f>IF(D665=TRUE,4,0)</f>
        <v/>
      </c>
      <c r="H665">
        <f>IF(A665="","",BDP(A665&amp;" US Equity","GICS_SECTOR_NAME"))</f>
        <v/>
      </c>
    </row>
    <row r="666">
      <c r="A666">
        <f>'Factor Scores'!A666</f>
        <v/>
      </c>
      <c r="B666" s="10">
        <f>IF(A666="","",0.40*'Factor Scores'!C666+0.20*'Factor Scores'!E666+0.20*'Factor Scores'!G666+0.20*'Factor Scores'!H666)</f>
        <v/>
      </c>
      <c r="C666" s="12">
        <f>IF(B666="","",RANK(B666,$B$2:$B$2501,0))</f>
        <v/>
      </c>
      <c r="D666">
        <f>IF(C666="","",C666&lt;=25)</f>
        <v/>
      </c>
      <c r="F666">
        <f>IF(A666="","",IF(AND(D666=TRUE,E666=""),"BUY",IF(AND(D666=FALSE,E666&lt;&gt;""),"SELL",IF(AND(D666=TRUE,E666&lt;&gt;""),"HOLD",""))))</f>
        <v/>
      </c>
      <c r="G666" s="12">
        <f>IF(D666=TRUE,4,0)</f>
        <v/>
      </c>
      <c r="H666">
        <f>IF(A666="","",BDP(A666&amp;" US Equity","GICS_SECTOR_NAME"))</f>
        <v/>
      </c>
    </row>
    <row r="667">
      <c r="A667">
        <f>'Factor Scores'!A667</f>
        <v/>
      </c>
      <c r="B667" s="10">
        <f>IF(A667="","",0.40*'Factor Scores'!C667+0.20*'Factor Scores'!E667+0.20*'Factor Scores'!G667+0.20*'Factor Scores'!H667)</f>
        <v/>
      </c>
      <c r="C667" s="12">
        <f>IF(B667="","",RANK(B667,$B$2:$B$2501,0))</f>
        <v/>
      </c>
      <c r="D667">
        <f>IF(C667="","",C667&lt;=25)</f>
        <v/>
      </c>
      <c r="F667">
        <f>IF(A667="","",IF(AND(D667=TRUE,E667=""),"BUY",IF(AND(D667=FALSE,E667&lt;&gt;""),"SELL",IF(AND(D667=TRUE,E667&lt;&gt;""),"HOLD",""))))</f>
        <v/>
      </c>
      <c r="G667" s="12">
        <f>IF(D667=TRUE,4,0)</f>
        <v/>
      </c>
      <c r="H667">
        <f>IF(A667="","",BDP(A667&amp;" US Equity","GICS_SECTOR_NAME"))</f>
        <v/>
      </c>
    </row>
    <row r="668">
      <c r="A668">
        <f>'Factor Scores'!A668</f>
        <v/>
      </c>
      <c r="B668" s="10">
        <f>IF(A668="","",0.40*'Factor Scores'!C668+0.20*'Factor Scores'!E668+0.20*'Factor Scores'!G668+0.20*'Factor Scores'!H668)</f>
        <v/>
      </c>
      <c r="C668" s="12">
        <f>IF(B668="","",RANK(B668,$B$2:$B$2501,0))</f>
        <v/>
      </c>
      <c r="D668">
        <f>IF(C668="","",C668&lt;=25)</f>
        <v/>
      </c>
      <c r="F668">
        <f>IF(A668="","",IF(AND(D668=TRUE,E668=""),"BUY",IF(AND(D668=FALSE,E668&lt;&gt;""),"SELL",IF(AND(D668=TRUE,E668&lt;&gt;""),"HOLD",""))))</f>
        <v/>
      </c>
      <c r="G668" s="12">
        <f>IF(D668=TRUE,4,0)</f>
        <v/>
      </c>
      <c r="H668">
        <f>IF(A668="","",BDP(A668&amp;" US Equity","GICS_SECTOR_NAME"))</f>
        <v/>
      </c>
    </row>
    <row r="669">
      <c r="A669">
        <f>'Factor Scores'!A669</f>
        <v/>
      </c>
      <c r="B669" s="10">
        <f>IF(A669="","",0.40*'Factor Scores'!C669+0.20*'Factor Scores'!E669+0.20*'Factor Scores'!G669+0.20*'Factor Scores'!H669)</f>
        <v/>
      </c>
      <c r="C669" s="12">
        <f>IF(B669="","",RANK(B669,$B$2:$B$2501,0))</f>
        <v/>
      </c>
      <c r="D669">
        <f>IF(C669="","",C669&lt;=25)</f>
        <v/>
      </c>
      <c r="F669">
        <f>IF(A669="","",IF(AND(D669=TRUE,E669=""),"BUY",IF(AND(D669=FALSE,E669&lt;&gt;""),"SELL",IF(AND(D669=TRUE,E669&lt;&gt;""),"HOLD",""))))</f>
        <v/>
      </c>
      <c r="G669" s="12">
        <f>IF(D669=TRUE,4,0)</f>
        <v/>
      </c>
      <c r="H669">
        <f>IF(A669="","",BDP(A669&amp;" US Equity","GICS_SECTOR_NAME"))</f>
        <v/>
      </c>
    </row>
    <row r="670">
      <c r="A670">
        <f>'Factor Scores'!A670</f>
        <v/>
      </c>
      <c r="B670" s="10">
        <f>IF(A670="","",0.40*'Factor Scores'!C670+0.20*'Factor Scores'!E670+0.20*'Factor Scores'!G670+0.20*'Factor Scores'!H670)</f>
        <v/>
      </c>
      <c r="C670" s="12">
        <f>IF(B670="","",RANK(B670,$B$2:$B$2501,0))</f>
        <v/>
      </c>
      <c r="D670">
        <f>IF(C670="","",C670&lt;=25)</f>
        <v/>
      </c>
      <c r="F670">
        <f>IF(A670="","",IF(AND(D670=TRUE,E670=""),"BUY",IF(AND(D670=FALSE,E670&lt;&gt;""),"SELL",IF(AND(D670=TRUE,E670&lt;&gt;""),"HOLD",""))))</f>
        <v/>
      </c>
      <c r="G670" s="12">
        <f>IF(D670=TRUE,4,0)</f>
        <v/>
      </c>
      <c r="H670">
        <f>IF(A670="","",BDP(A670&amp;" US Equity","GICS_SECTOR_NAME"))</f>
        <v/>
      </c>
    </row>
    <row r="671">
      <c r="A671">
        <f>'Factor Scores'!A671</f>
        <v/>
      </c>
      <c r="B671" s="10">
        <f>IF(A671="","",0.40*'Factor Scores'!C671+0.20*'Factor Scores'!E671+0.20*'Factor Scores'!G671+0.20*'Factor Scores'!H671)</f>
        <v/>
      </c>
      <c r="C671" s="12">
        <f>IF(B671="","",RANK(B671,$B$2:$B$2501,0))</f>
        <v/>
      </c>
      <c r="D671">
        <f>IF(C671="","",C671&lt;=25)</f>
        <v/>
      </c>
      <c r="F671">
        <f>IF(A671="","",IF(AND(D671=TRUE,E671=""),"BUY",IF(AND(D671=FALSE,E671&lt;&gt;""),"SELL",IF(AND(D671=TRUE,E671&lt;&gt;""),"HOLD",""))))</f>
        <v/>
      </c>
      <c r="G671" s="12">
        <f>IF(D671=TRUE,4,0)</f>
        <v/>
      </c>
      <c r="H671">
        <f>IF(A671="","",BDP(A671&amp;" US Equity","GICS_SECTOR_NAME"))</f>
        <v/>
      </c>
    </row>
    <row r="672">
      <c r="A672">
        <f>'Factor Scores'!A672</f>
        <v/>
      </c>
      <c r="B672" s="10">
        <f>IF(A672="","",0.40*'Factor Scores'!C672+0.20*'Factor Scores'!E672+0.20*'Factor Scores'!G672+0.20*'Factor Scores'!H672)</f>
        <v/>
      </c>
      <c r="C672" s="12">
        <f>IF(B672="","",RANK(B672,$B$2:$B$2501,0))</f>
        <v/>
      </c>
      <c r="D672">
        <f>IF(C672="","",C672&lt;=25)</f>
        <v/>
      </c>
      <c r="F672">
        <f>IF(A672="","",IF(AND(D672=TRUE,E672=""),"BUY",IF(AND(D672=FALSE,E672&lt;&gt;""),"SELL",IF(AND(D672=TRUE,E672&lt;&gt;""),"HOLD",""))))</f>
        <v/>
      </c>
      <c r="G672" s="12">
        <f>IF(D672=TRUE,4,0)</f>
        <v/>
      </c>
      <c r="H672">
        <f>IF(A672="","",BDP(A672&amp;" US Equity","GICS_SECTOR_NAME"))</f>
        <v/>
      </c>
    </row>
    <row r="673">
      <c r="A673">
        <f>'Factor Scores'!A673</f>
        <v/>
      </c>
      <c r="B673" s="10">
        <f>IF(A673="","",0.40*'Factor Scores'!C673+0.20*'Factor Scores'!E673+0.20*'Factor Scores'!G673+0.20*'Factor Scores'!H673)</f>
        <v/>
      </c>
      <c r="C673" s="12">
        <f>IF(B673="","",RANK(B673,$B$2:$B$2501,0))</f>
        <v/>
      </c>
      <c r="D673">
        <f>IF(C673="","",C673&lt;=25)</f>
        <v/>
      </c>
      <c r="F673">
        <f>IF(A673="","",IF(AND(D673=TRUE,E673=""),"BUY",IF(AND(D673=FALSE,E673&lt;&gt;""),"SELL",IF(AND(D673=TRUE,E673&lt;&gt;""),"HOLD",""))))</f>
        <v/>
      </c>
      <c r="G673" s="12">
        <f>IF(D673=TRUE,4,0)</f>
        <v/>
      </c>
      <c r="H673">
        <f>IF(A673="","",BDP(A673&amp;" US Equity","GICS_SECTOR_NAME"))</f>
        <v/>
      </c>
    </row>
    <row r="674">
      <c r="A674">
        <f>'Factor Scores'!A674</f>
        <v/>
      </c>
      <c r="B674" s="10">
        <f>IF(A674="","",0.40*'Factor Scores'!C674+0.20*'Factor Scores'!E674+0.20*'Factor Scores'!G674+0.20*'Factor Scores'!H674)</f>
        <v/>
      </c>
      <c r="C674" s="12">
        <f>IF(B674="","",RANK(B674,$B$2:$B$2501,0))</f>
        <v/>
      </c>
      <c r="D674">
        <f>IF(C674="","",C674&lt;=25)</f>
        <v/>
      </c>
      <c r="F674">
        <f>IF(A674="","",IF(AND(D674=TRUE,E674=""),"BUY",IF(AND(D674=FALSE,E674&lt;&gt;""),"SELL",IF(AND(D674=TRUE,E674&lt;&gt;""),"HOLD",""))))</f>
        <v/>
      </c>
      <c r="G674" s="12">
        <f>IF(D674=TRUE,4,0)</f>
        <v/>
      </c>
      <c r="H674">
        <f>IF(A674="","",BDP(A674&amp;" US Equity","GICS_SECTOR_NAME"))</f>
        <v/>
      </c>
    </row>
    <row r="675">
      <c r="A675">
        <f>'Factor Scores'!A675</f>
        <v/>
      </c>
      <c r="B675" s="10">
        <f>IF(A675="","",0.40*'Factor Scores'!C675+0.20*'Factor Scores'!E675+0.20*'Factor Scores'!G675+0.20*'Factor Scores'!H675)</f>
        <v/>
      </c>
      <c r="C675" s="12">
        <f>IF(B675="","",RANK(B675,$B$2:$B$2501,0))</f>
        <v/>
      </c>
      <c r="D675">
        <f>IF(C675="","",C675&lt;=25)</f>
        <v/>
      </c>
      <c r="F675">
        <f>IF(A675="","",IF(AND(D675=TRUE,E675=""),"BUY",IF(AND(D675=FALSE,E675&lt;&gt;""),"SELL",IF(AND(D675=TRUE,E675&lt;&gt;""),"HOLD",""))))</f>
        <v/>
      </c>
      <c r="G675" s="12">
        <f>IF(D675=TRUE,4,0)</f>
        <v/>
      </c>
      <c r="H675">
        <f>IF(A675="","",BDP(A675&amp;" US Equity","GICS_SECTOR_NAME"))</f>
        <v/>
      </c>
    </row>
    <row r="676">
      <c r="A676">
        <f>'Factor Scores'!A676</f>
        <v/>
      </c>
      <c r="B676" s="10">
        <f>IF(A676="","",0.40*'Factor Scores'!C676+0.20*'Factor Scores'!E676+0.20*'Factor Scores'!G676+0.20*'Factor Scores'!H676)</f>
        <v/>
      </c>
      <c r="C676" s="12">
        <f>IF(B676="","",RANK(B676,$B$2:$B$2501,0))</f>
        <v/>
      </c>
      <c r="D676">
        <f>IF(C676="","",C676&lt;=25)</f>
        <v/>
      </c>
      <c r="F676">
        <f>IF(A676="","",IF(AND(D676=TRUE,E676=""),"BUY",IF(AND(D676=FALSE,E676&lt;&gt;""),"SELL",IF(AND(D676=TRUE,E676&lt;&gt;""),"HOLD",""))))</f>
        <v/>
      </c>
      <c r="G676" s="12">
        <f>IF(D676=TRUE,4,0)</f>
        <v/>
      </c>
      <c r="H676">
        <f>IF(A676="","",BDP(A676&amp;" US Equity","GICS_SECTOR_NAME"))</f>
        <v/>
      </c>
    </row>
    <row r="677">
      <c r="A677">
        <f>'Factor Scores'!A677</f>
        <v/>
      </c>
      <c r="B677" s="10">
        <f>IF(A677="","",0.40*'Factor Scores'!C677+0.20*'Factor Scores'!E677+0.20*'Factor Scores'!G677+0.20*'Factor Scores'!H677)</f>
        <v/>
      </c>
      <c r="C677" s="12">
        <f>IF(B677="","",RANK(B677,$B$2:$B$2501,0))</f>
        <v/>
      </c>
      <c r="D677">
        <f>IF(C677="","",C677&lt;=25)</f>
        <v/>
      </c>
      <c r="F677">
        <f>IF(A677="","",IF(AND(D677=TRUE,E677=""),"BUY",IF(AND(D677=FALSE,E677&lt;&gt;""),"SELL",IF(AND(D677=TRUE,E677&lt;&gt;""),"HOLD",""))))</f>
        <v/>
      </c>
      <c r="G677" s="12">
        <f>IF(D677=TRUE,4,0)</f>
        <v/>
      </c>
      <c r="H677">
        <f>IF(A677="","",BDP(A677&amp;" US Equity","GICS_SECTOR_NAME"))</f>
        <v/>
      </c>
    </row>
    <row r="678">
      <c r="A678">
        <f>'Factor Scores'!A678</f>
        <v/>
      </c>
      <c r="B678" s="10">
        <f>IF(A678="","",0.40*'Factor Scores'!C678+0.20*'Factor Scores'!E678+0.20*'Factor Scores'!G678+0.20*'Factor Scores'!H678)</f>
        <v/>
      </c>
      <c r="C678" s="12">
        <f>IF(B678="","",RANK(B678,$B$2:$B$2501,0))</f>
        <v/>
      </c>
      <c r="D678">
        <f>IF(C678="","",C678&lt;=25)</f>
        <v/>
      </c>
      <c r="F678">
        <f>IF(A678="","",IF(AND(D678=TRUE,E678=""),"BUY",IF(AND(D678=FALSE,E678&lt;&gt;""),"SELL",IF(AND(D678=TRUE,E678&lt;&gt;""),"HOLD",""))))</f>
        <v/>
      </c>
      <c r="G678" s="12">
        <f>IF(D678=TRUE,4,0)</f>
        <v/>
      </c>
      <c r="H678">
        <f>IF(A678="","",BDP(A678&amp;" US Equity","GICS_SECTOR_NAME"))</f>
        <v/>
      </c>
    </row>
    <row r="679">
      <c r="A679">
        <f>'Factor Scores'!A679</f>
        <v/>
      </c>
      <c r="B679" s="10">
        <f>IF(A679="","",0.40*'Factor Scores'!C679+0.20*'Factor Scores'!E679+0.20*'Factor Scores'!G679+0.20*'Factor Scores'!H679)</f>
        <v/>
      </c>
      <c r="C679" s="12">
        <f>IF(B679="","",RANK(B679,$B$2:$B$2501,0))</f>
        <v/>
      </c>
      <c r="D679">
        <f>IF(C679="","",C679&lt;=25)</f>
        <v/>
      </c>
      <c r="F679">
        <f>IF(A679="","",IF(AND(D679=TRUE,E679=""),"BUY",IF(AND(D679=FALSE,E679&lt;&gt;""),"SELL",IF(AND(D679=TRUE,E679&lt;&gt;""),"HOLD",""))))</f>
        <v/>
      </c>
      <c r="G679" s="12">
        <f>IF(D679=TRUE,4,0)</f>
        <v/>
      </c>
      <c r="H679">
        <f>IF(A679="","",BDP(A679&amp;" US Equity","GICS_SECTOR_NAME"))</f>
        <v/>
      </c>
    </row>
    <row r="680">
      <c r="A680">
        <f>'Factor Scores'!A680</f>
        <v/>
      </c>
      <c r="B680" s="10">
        <f>IF(A680="","",0.40*'Factor Scores'!C680+0.20*'Factor Scores'!E680+0.20*'Factor Scores'!G680+0.20*'Factor Scores'!H680)</f>
        <v/>
      </c>
      <c r="C680" s="12">
        <f>IF(B680="","",RANK(B680,$B$2:$B$2501,0))</f>
        <v/>
      </c>
      <c r="D680">
        <f>IF(C680="","",C680&lt;=25)</f>
        <v/>
      </c>
      <c r="F680">
        <f>IF(A680="","",IF(AND(D680=TRUE,E680=""),"BUY",IF(AND(D680=FALSE,E680&lt;&gt;""),"SELL",IF(AND(D680=TRUE,E680&lt;&gt;""),"HOLD",""))))</f>
        <v/>
      </c>
      <c r="G680" s="12">
        <f>IF(D680=TRUE,4,0)</f>
        <v/>
      </c>
      <c r="H680">
        <f>IF(A680="","",BDP(A680&amp;" US Equity","GICS_SECTOR_NAME"))</f>
        <v/>
      </c>
    </row>
    <row r="681">
      <c r="A681">
        <f>'Factor Scores'!A681</f>
        <v/>
      </c>
      <c r="B681" s="10">
        <f>IF(A681="","",0.40*'Factor Scores'!C681+0.20*'Factor Scores'!E681+0.20*'Factor Scores'!G681+0.20*'Factor Scores'!H681)</f>
        <v/>
      </c>
      <c r="C681" s="12">
        <f>IF(B681="","",RANK(B681,$B$2:$B$2501,0))</f>
        <v/>
      </c>
      <c r="D681">
        <f>IF(C681="","",C681&lt;=25)</f>
        <v/>
      </c>
      <c r="F681">
        <f>IF(A681="","",IF(AND(D681=TRUE,E681=""),"BUY",IF(AND(D681=FALSE,E681&lt;&gt;""),"SELL",IF(AND(D681=TRUE,E681&lt;&gt;""),"HOLD",""))))</f>
        <v/>
      </c>
      <c r="G681" s="12">
        <f>IF(D681=TRUE,4,0)</f>
        <v/>
      </c>
      <c r="H681">
        <f>IF(A681="","",BDP(A681&amp;" US Equity","GICS_SECTOR_NAME"))</f>
        <v/>
      </c>
    </row>
    <row r="682">
      <c r="A682">
        <f>'Factor Scores'!A682</f>
        <v/>
      </c>
      <c r="B682" s="10">
        <f>IF(A682="","",0.40*'Factor Scores'!C682+0.20*'Factor Scores'!E682+0.20*'Factor Scores'!G682+0.20*'Factor Scores'!H682)</f>
        <v/>
      </c>
      <c r="C682" s="12">
        <f>IF(B682="","",RANK(B682,$B$2:$B$2501,0))</f>
        <v/>
      </c>
      <c r="D682">
        <f>IF(C682="","",C682&lt;=25)</f>
        <v/>
      </c>
      <c r="F682">
        <f>IF(A682="","",IF(AND(D682=TRUE,E682=""),"BUY",IF(AND(D682=FALSE,E682&lt;&gt;""),"SELL",IF(AND(D682=TRUE,E682&lt;&gt;""),"HOLD",""))))</f>
        <v/>
      </c>
      <c r="G682" s="12">
        <f>IF(D682=TRUE,4,0)</f>
        <v/>
      </c>
      <c r="H682">
        <f>IF(A682="","",BDP(A682&amp;" US Equity","GICS_SECTOR_NAME"))</f>
        <v/>
      </c>
    </row>
    <row r="683">
      <c r="A683">
        <f>'Factor Scores'!A683</f>
        <v/>
      </c>
      <c r="B683" s="10">
        <f>IF(A683="","",0.40*'Factor Scores'!C683+0.20*'Factor Scores'!E683+0.20*'Factor Scores'!G683+0.20*'Factor Scores'!H683)</f>
        <v/>
      </c>
      <c r="C683" s="12">
        <f>IF(B683="","",RANK(B683,$B$2:$B$2501,0))</f>
        <v/>
      </c>
      <c r="D683">
        <f>IF(C683="","",C683&lt;=25)</f>
        <v/>
      </c>
      <c r="F683">
        <f>IF(A683="","",IF(AND(D683=TRUE,E683=""),"BUY",IF(AND(D683=FALSE,E683&lt;&gt;""),"SELL",IF(AND(D683=TRUE,E683&lt;&gt;""),"HOLD",""))))</f>
        <v/>
      </c>
      <c r="G683" s="12">
        <f>IF(D683=TRUE,4,0)</f>
        <v/>
      </c>
      <c r="H683">
        <f>IF(A683="","",BDP(A683&amp;" US Equity","GICS_SECTOR_NAME"))</f>
        <v/>
      </c>
    </row>
    <row r="684">
      <c r="A684">
        <f>'Factor Scores'!A684</f>
        <v/>
      </c>
      <c r="B684" s="10">
        <f>IF(A684="","",0.40*'Factor Scores'!C684+0.20*'Factor Scores'!E684+0.20*'Factor Scores'!G684+0.20*'Factor Scores'!H684)</f>
        <v/>
      </c>
      <c r="C684" s="12">
        <f>IF(B684="","",RANK(B684,$B$2:$B$2501,0))</f>
        <v/>
      </c>
      <c r="D684">
        <f>IF(C684="","",C684&lt;=25)</f>
        <v/>
      </c>
      <c r="F684">
        <f>IF(A684="","",IF(AND(D684=TRUE,E684=""),"BUY",IF(AND(D684=FALSE,E684&lt;&gt;""),"SELL",IF(AND(D684=TRUE,E684&lt;&gt;""),"HOLD",""))))</f>
        <v/>
      </c>
      <c r="G684" s="12">
        <f>IF(D684=TRUE,4,0)</f>
        <v/>
      </c>
      <c r="H684">
        <f>IF(A684="","",BDP(A684&amp;" US Equity","GICS_SECTOR_NAME"))</f>
        <v/>
      </c>
    </row>
    <row r="685">
      <c r="A685">
        <f>'Factor Scores'!A685</f>
        <v/>
      </c>
      <c r="B685" s="10">
        <f>IF(A685="","",0.40*'Factor Scores'!C685+0.20*'Factor Scores'!E685+0.20*'Factor Scores'!G685+0.20*'Factor Scores'!H685)</f>
        <v/>
      </c>
      <c r="C685" s="12">
        <f>IF(B685="","",RANK(B685,$B$2:$B$2501,0))</f>
        <v/>
      </c>
      <c r="D685">
        <f>IF(C685="","",C685&lt;=25)</f>
        <v/>
      </c>
      <c r="F685">
        <f>IF(A685="","",IF(AND(D685=TRUE,E685=""),"BUY",IF(AND(D685=FALSE,E685&lt;&gt;""),"SELL",IF(AND(D685=TRUE,E685&lt;&gt;""),"HOLD",""))))</f>
        <v/>
      </c>
      <c r="G685" s="12">
        <f>IF(D685=TRUE,4,0)</f>
        <v/>
      </c>
      <c r="H685">
        <f>IF(A685="","",BDP(A685&amp;" US Equity","GICS_SECTOR_NAME"))</f>
        <v/>
      </c>
    </row>
    <row r="686">
      <c r="A686">
        <f>'Factor Scores'!A686</f>
        <v/>
      </c>
      <c r="B686" s="10">
        <f>IF(A686="","",0.40*'Factor Scores'!C686+0.20*'Factor Scores'!E686+0.20*'Factor Scores'!G686+0.20*'Factor Scores'!H686)</f>
        <v/>
      </c>
      <c r="C686" s="12">
        <f>IF(B686="","",RANK(B686,$B$2:$B$2501,0))</f>
        <v/>
      </c>
      <c r="D686">
        <f>IF(C686="","",C686&lt;=25)</f>
        <v/>
      </c>
      <c r="F686">
        <f>IF(A686="","",IF(AND(D686=TRUE,E686=""),"BUY",IF(AND(D686=FALSE,E686&lt;&gt;""),"SELL",IF(AND(D686=TRUE,E686&lt;&gt;""),"HOLD",""))))</f>
        <v/>
      </c>
      <c r="G686" s="12">
        <f>IF(D686=TRUE,4,0)</f>
        <v/>
      </c>
      <c r="H686">
        <f>IF(A686="","",BDP(A686&amp;" US Equity","GICS_SECTOR_NAME"))</f>
        <v/>
      </c>
    </row>
    <row r="687">
      <c r="A687">
        <f>'Factor Scores'!A687</f>
        <v/>
      </c>
      <c r="B687" s="10">
        <f>IF(A687="","",0.40*'Factor Scores'!C687+0.20*'Factor Scores'!E687+0.20*'Factor Scores'!G687+0.20*'Factor Scores'!H687)</f>
        <v/>
      </c>
      <c r="C687" s="12">
        <f>IF(B687="","",RANK(B687,$B$2:$B$2501,0))</f>
        <v/>
      </c>
      <c r="D687">
        <f>IF(C687="","",C687&lt;=25)</f>
        <v/>
      </c>
      <c r="F687">
        <f>IF(A687="","",IF(AND(D687=TRUE,E687=""),"BUY",IF(AND(D687=FALSE,E687&lt;&gt;""),"SELL",IF(AND(D687=TRUE,E687&lt;&gt;""),"HOLD",""))))</f>
        <v/>
      </c>
      <c r="G687" s="12">
        <f>IF(D687=TRUE,4,0)</f>
        <v/>
      </c>
      <c r="H687">
        <f>IF(A687="","",BDP(A687&amp;" US Equity","GICS_SECTOR_NAME"))</f>
        <v/>
      </c>
    </row>
    <row r="688">
      <c r="A688">
        <f>'Factor Scores'!A688</f>
        <v/>
      </c>
      <c r="B688" s="10">
        <f>IF(A688="","",0.40*'Factor Scores'!C688+0.20*'Factor Scores'!E688+0.20*'Factor Scores'!G688+0.20*'Factor Scores'!H688)</f>
        <v/>
      </c>
      <c r="C688" s="12">
        <f>IF(B688="","",RANK(B688,$B$2:$B$2501,0))</f>
        <v/>
      </c>
      <c r="D688">
        <f>IF(C688="","",C688&lt;=25)</f>
        <v/>
      </c>
      <c r="F688">
        <f>IF(A688="","",IF(AND(D688=TRUE,E688=""),"BUY",IF(AND(D688=FALSE,E688&lt;&gt;""),"SELL",IF(AND(D688=TRUE,E688&lt;&gt;""),"HOLD",""))))</f>
        <v/>
      </c>
      <c r="G688" s="12">
        <f>IF(D688=TRUE,4,0)</f>
        <v/>
      </c>
      <c r="H688">
        <f>IF(A688="","",BDP(A688&amp;" US Equity","GICS_SECTOR_NAME"))</f>
        <v/>
      </c>
    </row>
    <row r="689">
      <c r="A689">
        <f>'Factor Scores'!A689</f>
        <v/>
      </c>
      <c r="B689" s="10">
        <f>IF(A689="","",0.40*'Factor Scores'!C689+0.20*'Factor Scores'!E689+0.20*'Factor Scores'!G689+0.20*'Factor Scores'!H689)</f>
        <v/>
      </c>
      <c r="C689" s="12">
        <f>IF(B689="","",RANK(B689,$B$2:$B$2501,0))</f>
        <v/>
      </c>
      <c r="D689">
        <f>IF(C689="","",C689&lt;=25)</f>
        <v/>
      </c>
      <c r="F689">
        <f>IF(A689="","",IF(AND(D689=TRUE,E689=""),"BUY",IF(AND(D689=FALSE,E689&lt;&gt;""),"SELL",IF(AND(D689=TRUE,E689&lt;&gt;""),"HOLD",""))))</f>
        <v/>
      </c>
      <c r="G689" s="12">
        <f>IF(D689=TRUE,4,0)</f>
        <v/>
      </c>
      <c r="H689">
        <f>IF(A689="","",BDP(A689&amp;" US Equity","GICS_SECTOR_NAME"))</f>
        <v/>
      </c>
    </row>
    <row r="690">
      <c r="A690">
        <f>'Factor Scores'!A690</f>
        <v/>
      </c>
      <c r="B690" s="10">
        <f>IF(A690="","",0.40*'Factor Scores'!C690+0.20*'Factor Scores'!E690+0.20*'Factor Scores'!G690+0.20*'Factor Scores'!H690)</f>
        <v/>
      </c>
      <c r="C690" s="12">
        <f>IF(B690="","",RANK(B690,$B$2:$B$2501,0))</f>
        <v/>
      </c>
      <c r="D690">
        <f>IF(C690="","",C690&lt;=25)</f>
        <v/>
      </c>
      <c r="F690">
        <f>IF(A690="","",IF(AND(D690=TRUE,E690=""),"BUY",IF(AND(D690=FALSE,E690&lt;&gt;""),"SELL",IF(AND(D690=TRUE,E690&lt;&gt;""),"HOLD",""))))</f>
        <v/>
      </c>
      <c r="G690" s="12">
        <f>IF(D690=TRUE,4,0)</f>
        <v/>
      </c>
      <c r="H690">
        <f>IF(A690="","",BDP(A690&amp;" US Equity","GICS_SECTOR_NAME"))</f>
        <v/>
      </c>
    </row>
    <row r="691">
      <c r="A691">
        <f>'Factor Scores'!A691</f>
        <v/>
      </c>
      <c r="B691" s="10">
        <f>IF(A691="","",0.40*'Factor Scores'!C691+0.20*'Factor Scores'!E691+0.20*'Factor Scores'!G691+0.20*'Factor Scores'!H691)</f>
        <v/>
      </c>
      <c r="C691" s="12">
        <f>IF(B691="","",RANK(B691,$B$2:$B$2501,0))</f>
        <v/>
      </c>
      <c r="D691">
        <f>IF(C691="","",C691&lt;=25)</f>
        <v/>
      </c>
      <c r="F691">
        <f>IF(A691="","",IF(AND(D691=TRUE,E691=""),"BUY",IF(AND(D691=FALSE,E691&lt;&gt;""),"SELL",IF(AND(D691=TRUE,E691&lt;&gt;""),"HOLD",""))))</f>
        <v/>
      </c>
      <c r="G691" s="12">
        <f>IF(D691=TRUE,4,0)</f>
        <v/>
      </c>
      <c r="H691">
        <f>IF(A691="","",BDP(A691&amp;" US Equity","GICS_SECTOR_NAME"))</f>
        <v/>
      </c>
    </row>
    <row r="692">
      <c r="A692">
        <f>'Factor Scores'!A692</f>
        <v/>
      </c>
      <c r="B692" s="10">
        <f>IF(A692="","",0.40*'Factor Scores'!C692+0.20*'Factor Scores'!E692+0.20*'Factor Scores'!G692+0.20*'Factor Scores'!H692)</f>
        <v/>
      </c>
      <c r="C692" s="12">
        <f>IF(B692="","",RANK(B692,$B$2:$B$2501,0))</f>
        <v/>
      </c>
      <c r="D692">
        <f>IF(C692="","",C692&lt;=25)</f>
        <v/>
      </c>
      <c r="F692">
        <f>IF(A692="","",IF(AND(D692=TRUE,E692=""),"BUY",IF(AND(D692=FALSE,E692&lt;&gt;""),"SELL",IF(AND(D692=TRUE,E692&lt;&gt;""),"HOLD",""))))</f>
        <v/>
      </c>
      <c r="G692" s="12">
        <f>IF(D692=TRUE,4,0)</f>
        <v/>
      </c>
      <c r="H692">
        <f>IF(A692="","",BDP(A692&amp;" US Equity","GICS_SECTOR_NAME"))</f>
        <v/>
      </c>
    </row>
    <row r="693">
      <c r="A693">
        <f>'Factor Scores'!A693</f>
        <v/>
      </c>
      <c r="B693" s="10">
        <f>IF(A693="","",0.40*'Factor Scores'!C693+0.20*'Factor Scores'!E693+0.20*'Factor Scores'!G693+0.20*'Factor Scores'!H693)</f>
        <v/>
      </c>
      <c r="C693" s="12">
        <f>IF(B693="","",RANK(B693,$B$2:$B$2501,0))</f>
        <v/>
      </c>
      <c r="D693">
        <f>IF(C693="","",C693&lt;=25)</f>
        <v/>
      </c>
      <c r="F693">
        <f>IF(A693="","",IF(AND(D693=TRUE,E693=""),"BUY",IF(AND(D693=FALSE,E693&lt;&gt;""),"SELL",IF(AND(D693=TRUE,E693&lt;&gt;""),"HOLD",""))))</f>
        <v/>
      </c>
      <c r="G693" s="12">
        <f>IF(D693=TRUE,4,0)</f>
        <v/>
      </c>
      <c r="H693">
        <f>IF(A693="","",BDP(A693&amp;" US Equity","GICS_SECTOR_NAME"))</f>
        <v/>
      </c>
    </row>
    <row r="694">
      <c r="A694">
        <f>'Factor Scores'!A694</f>
        <v/>
      </c>
      <c r="B694" s="10">
        <f>IF(A694="","",0.40*'Factor Scores'!C694+0.20*'Factor Scores'!E694+0.20*'Factor Scores'!G694+0.20*'Factor Scores'!H694)</f>
        <v/>
      </c>
      <c r="C694" s="12">
        <f>IF(B694="","",RANK(B694,$B$2:$B$2501,0))</f>
        <v/>
      </c>
      <c r="D694">
        <f>IF(C694="","",C694&lt;=25)</f>
        <v/>
      </c>
      <c r="F694">
        <f>IF(A694="","",IF(AND(D694=TRUE,E694=""),"BUY",IF(AND(D694=FALSE,E694&lt;&gt;""),"SELL",IF(AND(D694=TRUE,E694&lt;&gt;""),"HOLD",""))))</f>
        <v/>
      </c>
      <c r="G694" s="12">
        <f>IF(D694=TRUE,4,0)</f>
        <v/>
      </c>
      <c r="H694">
        <f>IF(A694="","",BDP(A694&amp;" US Equity","GICS_SECTOR_NAME"))</f>
        <v/>
      </c>
    </row>
    <row r="695">
      <c r="A695">
        <f>'Factor Scores'!A695</f>
        <v/>
      </c>
      <c r="B695" s="10">
        <f>IF(A695="","",0.40*'Factor Scores'!C695+0.20*'Factor Scores'!E695+0.20*'Factor Scores'!G695+0.20*'Factor Scores'!H695)</f>
        <v/>
      </c>
      <c r="C695" s="12">
        <f>IF(B695="","",RANK(B695,$B$2:$B$2501,0))</f>
        <v/>
      </c>
      <c r="D695">
        <f>IF(C695="","",C695&lt;=25)</f>
        <v/>
      </c>
      <c r="F695">
        <f>IF(A695="","",IF(AND(D695=TRUE,E695=""),"BUY",IF(AND(D695=FALSE,E695&lt;&gt;""),"SELL",IF(AND(D695=TRUE,E695&lt;&gt;""),"HOLD",""))))</f>
        <v/>
      </c>
      <c r="G695" s="12">
        <f>IF(D695=TRUE,4,0)</f>
        <v/>
      </c>
      <c r="H695">
        <f>IF(A695="","",BDP(A695&amp;" US Equity","GICS_SECTOR_NAME"))</f>
        <v/>
      </c>
    </row>
    <row r="696">
      <c r="A696">
        <f>'Factor Scores'!A696</f>
        <v/>
      </c>
      <c r="B696" s="10">
        <f>IF(A696="","",0.40*'Factor Scores'!C696+0.20*'Factor Scores'!E696+0.20*'Factor Scores'!G696+0.20*'Factor Scores'!H696)</f>
        <v/>
      </c>
      <c r="C696" s="12">
        <f>IF(B696="","",RANK(B696,$B$2:$B$2501,0))</f>
        <v/>
      </c>
      <c r="D696">
        <f>IF(C696="","",C696&lt;=25)</f>
        <v/>
      </c>
      <c r="F696">
        <f>IF(A696="","",IF(AND(D696=TRUE,E696=""),"BUY",IF(AND(D696=FALSE,E696&lt;&gt;""),"SELL",IF(AND(D696=TRUE,E696&lt;&gt;""),"HOLD",""))))</f>
        <v/>
      </c>
      <c r="G696" s="12">
        <f>IF(D696=TRUE,4,0)</f>
        <v/>
      </c>
      <c r="H696">
        <f>IF(A696="","",BDP(A696&amp;" US Equity","GICS_SECTOR_NAME"))</f>
        <v/>
      </c>
    </row>
    <row r="697">
      <c r="A697">
        <f>'Factor Scores'!A697</f>
        <v/>
      </c>
      <c r="B697" s="10">
        <f>IF(A697="","",0.40*'Factor Scores'!C697+0.20*'Factor Scores'!E697+0.20*'Factor Scores'!G697+0.20*'Factor Scores'!H697)</f>
        <v/>
      </c>
      <c r="C697" s="12">
        <f>IF(B697="","",RANK(B697,$B$2:$B$2501,0))</f>
        <v/>
      </c>
      <c r="D697">
        <f>IF(C697="","",C697&lt;=25)</f>
        <v/>
      </c>
      <c r="F697">
        <f>IF(A697="","",IF(AND(D697=TRUE,E697=""),"BUY",IF(AND(D697=FALSE,E697&lt;&gt;""),"SELL",IF(AND(D697=TRUE,E697&lt;&gt;""),"HOLD",""))))</f>
        <v/>
      </c>
      <c r="G697" s="12">
        <f>IF(D697=TRUE,4,0)</f>
        <v/>
      </c>
      <c r="H697">
        <f>IF(A697="","",BDP(A697&amp;" US Equity","GICS_SECTOR_NAME"))</f>
        <v/>
      </c>
    </row>
    <row r="698">
      <c r="A698">
        <f>'Factor Scores'!A698</f>
        <v/>
      </c>
      <c r="B698" s="10">
        <f>IF(A698="","",0.40*'Factor Scores'!C698+0.20*'Factor Scores'!E698+0.20*'Factor Scores'!G698+0.20*'Factor Scores'!H698)</f>
        <v/>
      </c>
      <c r="C698" s="12">
        <f>IF(B698="","",RANK(B698,$B$2:$B$2501,0))</f>
        <v/>
      </c>
      <c r="D698">
        <f>IF(C698="","",C698&lt;=25)</f>
        <v/>
      </c>
      <c r="F698">
        <f>IF(A698="","",IF(AND(D698=TRUE,E698=""),"BUY",IF(AND(D698=FALSE,E698&lt;&gt;""),"SELL",IF(AND(D698=TRUE,E698&lt;&gt;""),"HOLD",""))))</f>
        <v/>
      </c>
      <c r="G698" s="12">
        <f>IF(D698=TRUE,4,0)</f>
        <v/>
      </c>
      <c r="H698">
        <f>IF(A698="","",BDP(A698&amp;" US Equity","GICS_SECTOR_NAME"))</f>
        <v/>
      </c>
    </row>
    <row r="699">
      <c r="A699">
        <f>'Factor Scores'!A699</f>
        <v/>
      </c>
      <c r="B699" s="10">
        <f>IF(A699="","",0.40*'Factor Scores'!C699+0.20*'Factor Scores'!E699+0.20*'Factor Scores'!G699+0.20*'Factor Scores'!H699)</f>
        <v/>
      </c>
      <c r="C699" s="12">
        <f>IF(B699="","",RANK(B699,$B$2:$B$2501,0))</f>
        <v/>
      </c>
      <c r="D699">
        <f>IF(C699="","",C699&lt;=25)</f>
        <v/>
      </c>
      <c r="F699">
        <f>IF(A699="","",IF(AND(D699=TRUE,E699=""),"BUY",IF(AND(D699=FALSE,E699&lt;&gt;""),"SELL",IF(AND(D699=TRUE,E699&lt;&gt;""),"HOLD",""))))</f>
        <v/>
      </c>
      <c r="G699" s="12">
        <f>IF(D699=TRUE,4,0)</f>
        <v/>
      </c>
      <c r="H699">
        <f>IF(A699="","",BDP(A699&amp;" US Equity","GICS_SECTOR_NAME"))</f>
        <v/>
      </c>
    </row>
    <row r="700">
      <c r="A700">
        <f>'Factor Scores'!A700</f>
        <v/>
      </c>
      <c r="B700" s="10">
        <f>IF(A700="","",0.40*'Factor Scores'!C700+0.20*'Factor Scores'!E700+0.20*'Factor Scores'!G700+0.20*'Factor Scores'!H700)</f>
        <v/>
      </c>
      <c r="C700" s="12">
        <f>IF(B700="","",RANK(B700,$B$2:$B$2501,0))</f>
        <v/>
      </c>
      <c r="D700">
        <f>IF(C700="","",C700&lt;=25)</f>
        <v/>
      </c>
      <c r="F700">
        <f>IF(A700="","",IF(AND(D700=TRUE,E700=""),"BUY",IF(AND(D700=FALSE,E700&lt;&gt;""),"SELL",IF(AND(D700=TRUE,E700&lt;&gt;""),"HOLD",""))))</f>
        <v/>
      </c>
      <c r="G700" s="12">
        <f>IF(D700=TRUE,4,0)</f>
        <v/>
      </c>
      <c r="H700">
        <f>IF(A700="","",BDP(A700&amp;" US Equity","GICS_SECTOR_NAME"))</f>
        <v/>
      </c>
    </row>
    <row r="701">
      <c r="A701">
        <f>'Factor Scores'!A701</f>
        <v/>
      </c>
      <c r="B701" s="10">
        <f>IF(A701="","",0.40*'Factor Scores'!C701+0.20*'Factor Scores'!E701+0.20*'Factor Scores'!G701+0.20*'Factor Scores'!H701)</f>
        <v/>
      </c>
      <c r="C701" s="12">
        <f>IF(B701="","",RANK(B701,$B$2:$B$2501,0))</f>
        <v/>
      </c>
      <c r="D701">
        <f>IF(C701="","",C701&lt;=25)</f>
        <v/>
      </c>
      <c r="F701">
        <f>IF(A701="","",IF(AND(D701=TRUE,E701=""),"BUY",IF(AND(D701=FALSE,E701&lt;&gt;""),"SELL",IF(AND(D701=TRUE,E701&lt;&gt;""),"HOLD",""))))</f>
        <v/>
      </c>
      <c r="G701" s="12">
        <f>IF(D701=TRUE,4,0)</f>
        <v/>
      </c>
      <c r="H701">
        <f>IF(A701="","",BDP(A701&amp;" US Equity","GICS_SECTOR_NAME"))</f>
        <v/>
      </c>
    </row>
    <row r="702">
      <c r="A702">
        <f>'Factor Scores'!A702</f>
        <v/>
      </c>
      <c r="B702" s="10">
        <f>IF(A702="","",0.40*'Factor Scores'!C702+0.20*'Factor Scores'!E702+0.20*'Factor Scores'!G702+0.20*'Factor Scores'!H702)</f>
        <v/>
      </c>
      <c r="C702" s="12">
        <f>IF(B702="","",RANK(B702,$B$2:$B$2501,0))</f>
        <v/>
      </c>
      <c r="D702">
        <f>IF(C702="","",C702&lt;=25)</f>
        <v/>
      </c>
      <c r="F702">
        <f>IF(A702="","",IF(AND(D702=TRUE,E702=""),"BUY",IF(AND(D702=FALSE,E702&lt;&gt;""),"SELL",IF(AND(D702=TRUE,E702&lt;&gt;""),"HOLD",""))))</f>
        <v/>
      </c>
      <c r="G702" s="12">
        <f>IF(D702=TRUE,4,0)</f>
        <v/>
      </c>
      <c r="H702">
        <f>IF(A702="","",BDP(A702&amp;" US Equity","GICS_SECTOR_NAME"))</f>
        <v/>
      </c>
    </row>
    <row r="703">
      <c r="A703">
        <f>'Factor Scores'!A703</f>
        <v/>
      </c>
      <c r="B703" s="10">
        <f>IF(A703="","",0.40*'Factor Scores'!C703+0.20*'Factor Scores'!E703+0.20*'Factor Scores'!G703+0.20*'Factor Scores'!H703)</f>
        <v/>
      </c>
      <c r="C703" s="12">
        <f>IF(B703="","",RANK(B703,$B$2:$B$2501,0))</f>
        <v/>
      </c>
      <c r="D703">
        <f>IF(C703="","",C703&lt;=25)</f>
        <v/>
      </c>
      <c r="F703">
        <f>IF(A703="","",IF(AND(D703=TRUE,E703=""),"BUY",IF(AND(D703=FALSE,E703&lt;&gt;""),"SELL",IF(AND(D703=TRUE,E703&lt;&gt;""),"HOLD",""))))</f>
        <v/>
      </c>
      <c r="G703" s="12">
        <f>IF(D703=TRUE,4,0)</f>
        <v/>
      </c>
      <c r="H703">
        <f>IF(A703="","",BDP(A703&amp;" US Equity","GICS_SECTOR_NAME"))</f>
        <v/>
      </c>
    </row>
    <row r="704">
      <c r="A704">
        <f>'Factor Scores'!A704</f>
        <v/>
      </c>
      <c r="B704" s="10">
        <f>IF(A704="","",0.40*'Factor Scores'!C704+0.20*'Factor Scores'!E704+0.20*'Factor Scores'!G704+0.20*'Factor Scores'!H704)</f>
        <v/>
      </c>
      <c r="C704" s="12">
        <f>IF(B704="","",RANK(B704,$B$2:$B$2501,0))</f>
        <v/>
      </c>
      <c r="D704">
        <f>IF(C704="","",C704&lt;=25)</f>
        <v/>
      </c>
      <c r="F704">
        <f>IF(A704="","",IF(AND(D704=TRUE,E704=""),"BUY",IF(AND(D704=FALSE,E704&lt;&gt;""),"SELL",IF(AND(D704=TRUE,E704&lt;&gt;""),"HOLD",""))))</f>
        <v/>
      </c>
      <c r="G704" s="12">
        <f>IF(D704=TRUE,4,0)</f>
        <v/>
      </c>
      <c r="H704">
        <f>IF(A704="","",BDP(A704&amp;" US Equity","GICS_SECTOR_NAME"))</f>
        <v/>
      </c>
    </row>
    <row r="705">
      <c r="A705">
        <f>'Factor Scores'!A705</f>
        <v/>
      </c>
      <c r="B705" s="10">
        <f>IF(A705="","",0.40*'Factor Scores'!C705+0.20*'Factor Scores'!E705+0.20*'Factor Scores'!G705+0.20*'Factor Scores'!H705)</f>
        <v/>
      </c>
      <c r="C705" s="12">
        <f>IF(B705="","",RANK(B705,$B$2:$B$2501,0))</f>
        <v/>
      </c>
      <c r="D705">
        <f>IF(C705="","",C705&lt;=25)</f>
        <v/>
      </c>
      <c r="F705">
        <f>IF(A705="","",IF(AND(D705=TRUE,E705=""),"BUY",IF(AND(D705=FALSE,E705&lt;&gt;""),"SELL",IF(AND(D705=TRUE,E705&lt;&gt;""),"HOLD",""))))</f>
        <v/>
      </c>
      <c r="G705" s="12">
        <f>IF(D705=TRUE,4,0)</f>
        <v/>
      </c>
      <c r="H705">
        <f>IF(A705="","",BDP(A705&amp;" US Equity","GICS_SECTOR_NAME"))</f>
        <v/>
      </c>
    </row>
    <row r="706">
      <c r="A706">
        <f>'Factor Scores'!A706</f>
        <v/>
      </c>
      <c r="B706" s="10">
        <f>IF(A706="","",0.40*'Factor Scores'!C706+0.20*'Factor Scores'!E706+0.20*'Factor Scores'!G706+0.20*'Factor Scores'!H706)</f>
        <v/>
      </c>
      <c r="C706" s="12">
        <f>IF(B706="","",RANK(B706,$B$2:$B$2501,0))</f>
        <v/>
      </c>
      <c r="D706">
        <f>IF(C706="","",C706&lt;=25)</f>
        <v/>
      </c>
      <c r="F706">
        <f>IF(A706="","",IF(AND(D706=TRUE,E706=""),"BUY",IF(AND(D706=FALSE,E706&lt;&gt;""),"SELL",IF(AND(D706=TRUE,E706&lt;&gt;""),"HOLD",""))))</f>
        <v/>
      </c>
      <c r="G706" s="12">
        <f>IF(D706=TRUE,4,0)</f>
        <v/>
      </c>
      <c r="H706">
        <f>IF(A706="","",BDP(A706&amp;" US Equity","GICS_SECTOR_NAME"))</f>
        <v/>
      </c>
    </row>
    <row r="707">
      <c r="A707">
        <f>'Factor Scores'!A707</f>
        <v/>
      </c>
      <c r="B707" s="10">
        <f>IF(A707="","",0.40*'Factor Scores'!C707+0.20*'Factor Scores'!E707+0.20*'Factor Scores'!G707+0.20*'Factor Scores'!H707)</f>
        <v/>
      </c>
      <c r="C707" s="12">
        <f>IF(B707="","",RANK(B707,$B$2:$B$2501,0))</f>
        <v/>
      </c>
      <c r="D707">
        <f>IF(C707="","",C707&lt;=25)</f>
        <v/>
      </c>
      <c r="F707">
        <f>IF(A707="","",IF(AND(D707=TRUE,E707=""),"BUY",IF(AND(D707=FALSE,E707&lt;&gt;""),"SELL",IF(AND(D707=TRUE,E707&lt;&gt;""),"HOLD",""))))</f>
        <v/>
      </c>
      <c r="G707" s="12">
        <f>IF(D707=TRUE,4,0)</f>
        <v/>
      </c>
      <c r="H707">
        <f>IF(A707="","",BDP(A707&amp;" US Equity","GICS_SECTOR_NAME"))</f>
        <v/>
      </c>
    </row>
    <row r="708">
      <c r="A708">
        <f>'Factor Scores'!A708</f>
        <v/>
      </c>
      <c r="B708" s="10">
        <f>IF(A708="","",0.40*'Factor Scores'!C708+0.20*'Factor Scores'!E708+0.20*'Factor Scores'!G708+0.20*'Factor Scores'!H708)</f>
        <v/>
      </c>
      <c r="C708" s="12">
        <f>IF(B708="","",RANK(B708,$B$2:$B$2501,0))</f>
        <v/>
      </c>
      <c r="D708">
        <f>IF(C708="","",C708&lt;=25)</f>
        <v/>
      </c>
      <c r="F708">
        <f>IF(A708="","",IF(AND(D708=TRUE,E708=""),"BUY",IF(AND(D708=FALSE,E708&lt;&gt;""),"SELL",IF(AND(D708=TRUE,E708&lt;&gt;""),"HOLD",""))))</f>
        <v/>
      </c>
      <c r="G708" s="12">
        <f>IF(D708=TRUE,4,0)</f>
        <v/>
      </c>
      <c r="H708">
        <f>IF(A708="","",BDP(A708&amp;" US Equity","GICS_SECTOR_NAME"))</f>
        <v/>
      </c>
    </row>
    <row r="709">
      <c r="A709">
        <f>'Factor Scores'!A709</f>
        <v/>
      </c>
      <c r="B709" s="10">
        <f>IF(A709="","",0.40*'Factor Scores'!C709+0.20*'Factor Scores'!E709+0.20*'Factor Scores'!G709+0.20*'Factor Scores'!H709)</f>
        <v/>
      </c>
      <c r="C709" s="12">
        <f>IF(B709="","",RANK(B709,$B$2:$B$2501,0))</f>
        <v/>
      </c>
      <c r="D709">
        <f>IF(C709="","",C709&lt;=25)</f>
        <v/>
      </c>
      <c r="F709">
        <f>IF(A709="","",IF(AND(D709=TRUE,E709=""),"BUY",IF(AND(D709=FALSE,E709&lt;&gt;""),"SELL",IF(AND(D709=TRUE,E709&lt;&gt;""),"HOLD",""))))</f>
        <v/>
      </c>
      <c r="G709" s="12">
        <f>IF(D709=TRUE,4,0)</f>
        <v/>
      </c>
      <c r="H709">
        <f>IF(A709="","",BDP(A709&amp;" US Equity","GICS_SECTOR_NAME"))</f>
        <v/>
      </c>
    </row>
    <row r="710">
      <c r="A710">
        <f>'Factor Scores'!A710</f>
        <v/>
      </c>
      <c r="B710" s="10">
        <f>IF(A710="","",0.40*'Factor Scores'!C710+0.20*'Factor Scores'!E710+0.20*'Factor Scores'!G710+0.20*'Factor Scores'!H710)</f>
        <v/>
      </c>
      <c r="C710" s="12">
        <f>IF(B710="","",RANK(B710,$B$2:$B$2501,0))</f>
        <v/>
      </c>
      <c r="D710">
        <f>IF(C710="","",C710&lt;=25)</f>
        <v/>
      </c>
      <c r="F710">
        <f>IF(A710="","",IF(AND(D710=TRUE,E710=""),"BUY",IF(AND(D710=FALSE,E710&lt;&gt;""),"SELL",IF(AND(D710=TRUE,E710&lt;&gt;""),"HOLD",""))))</f>
        <v/>
      </c>
      <c r="G710" s="12">
        <f>IF(D710=TRUE,4,0)</f>
        <v/>
      </c>
      <c r="H710">
        <f>IF(A710="","",BDP(A710&amp;" US Equity","GICS_SECTOR_NAME"))</f>
        <v/>
      </c>
    </row>
    <row r="711">
      <c r="A711">
        <f>'Factor Scores'!A711</f>
        <v/>
      </c>
      <c r="B711" s="10">
        <f>IF(A711="","",0.40*'Factor Scores'!C711+0.20*'Factor Scores'!E711+0.20*'Factor Scores'!G711+0.20*'Factor Scores'!H711)</f>
        <v/>
      </c>
      <c r="C711" s="12">
        <f>IF(B711="","",RANK(B711,$B$2:$B$2501,0))</f>
        <v/>
      </c>
      <c r="D711">
        <f>IF(C711="","",C711&lt;=25)</f>
        <v/>
      </c>
      <c r="F711">
        <f>IF(A711="","",IF(AND(D711=TRUE,E711=""),"BUY",IF(AND(D711=FALSE,E711&lt;&gt;""),"SELL",IF(AND(D711=TRUE,E711&lt;&gt;""),"HOLD",""))))</f>
        <v/>
      </c>
      <c r="G711" s="12">
        <f>IF(D711=TRUE,4,0)</f>
        <v/>
      </c>
      <c r="H711">
        <f>IF(A711="","",BDP(A711&amp;" US Equity","GICS_SECTOR_NAME"))</f>
        <v/>
      </c>
    </row>
    <row r="712">
      <c r="A712">
        <f>'Factor Scores'!A712</f>
        <v/>
      </c>
      <c r="B712" s="10">
        <f>IF(A712="","",0.40*'Factor Scores'!C712+0.20*'Factor Scores'!E712+0.20*'Factor Scores'!G712+0.20*'Factor Scores'!H712)</f>
        <v/>
      </c>
      <c r="C712" s="12">
        <f>IF(B712="","",RANK(B712,$B$2:$B$2501,0))</f>
        <v/>
      </c>
      <c r="D712">
        <f>IF(C712="","",C712&lt;=25)</f>
        <v/>
      </c>
      <c r="F712">
        <f>IF(A712="","",IF(AND(D712=TRUE,E712=""),"BUY",IF(AND(D712=FALSE,E712&lt;&gt;""),"SELL",IF(AND(D712=TRUE,E712&lt;&gt;""),"HOLD",""))))</f>
        <v/>
      </c>
      <c r="G712" s="12">
        <f>IF(D712=TRUE,4,0)</f>
        <v/>
      </c>
      <c r="H712">
        <f>IF(A712="","",BDP(A712&amp;" US Equity","GICS_SECTOR_NAME"))</f>
        <v/>
      </c>
    </row>
    <row r="713">
      <c r="A713">
        <f>'Factor Scores'!A713</f>
        <v/>
      </c>
      <c r="B713" s="10">
        <f>IF(A713="","",0.40*'Factor Scores'!C713+0.20*'Factor Scores'!E713+0.20*'Factor Scores'!G713+0.20*'Factor Scores'!H713)</f>
        <v/>
      </c>
      <c r="C713" s="12">
        <f>IF(B713="","",RANK(B713,$B$2:$B$2501,0))</f>
        <v/>
      </c>
      <c r="D713">
        <f>IF(C713="","",C713&lt;=25)</f>
        <v/>
      </c>
      <c r="F713">
        <f>IF(A713="","",IF(AND(D713=TRUE,E713=""),"BUY",IF(AND(D713=FALSE,E713&lt;&gt;""),"SELL",IF(AND(D713=TRUE,E713&lt;&gt;""),"HOLD",""))))</f>
        <v/>
      </c>
      <c r="G713" s="12">
        <f>IF(D713=TRUE,4,0)</f>
        <v/>
      </c>
      <c r="H713">
        <f>IF(A713="","",BDP(A713&amp;" US Equity","GICS_SECTOR_NAME"))</f>
        <v/>
      </c>
    </row>
    <row r="714">
      <c r="A714">
        <f>'Factor Scores'!A714</f>
        <v/>
      </c>
      <c r="B714" s="10">
        <f>IF(A714="","",0.40*'Factor Scores'!C714+0.20*'Factor Scores'!E714+0.20*'Factor Scores'!G714+0.20*'Factor Scores'!H714)</f>
        <v/>
      </c>
      <c r="C714" s="12">
        <f>IF(B714="","",RANK(B714,$B$2:$B$2501,0))</f>
        <v/>
      </c>
      <c r="D714">
        <f>IF(C714="","",C714&lt;=25)</f>
        <v/>
      </c>
      <c r="F714">
        <f>IF(A714="","",IF(AND(D714=TRUE,E714=""),"BUY",IF(AND(D714=FALSE,E714&lt;&gt;""),"SELL",IF(AND(D714=TRUE,E714&lt;&gt;""),"HOLD",""))))</f>
        <v/>
      </c>
      <c r="G714" s="12">
        <f>IF(D714=TRUE,4,0)</f>
        <v/>
      </c>
      <c r="H714">
        <f>IF(A714="","",BDP(A714&amp;" US Equity","GICS_SECTOR_NAME"))</f>
        <v/>
      </c>
    </row>
    <row r="715">
      <c r="A715">
        <f>'Factor Scores'!A715</f>
        <v/>
      </c>
      <c r="B715" s="10">
        <f>IF(A715="","",0.40*'Factor Scores'!C715+0.20*'Factor Scores'!E715+0.20*'Factor Scores'!G715+0.20*'Factor Scores'!H715)</f>
        <v/>
      </c>
      <c r="C715" s="12">
        <f>IF(B715="","",RANK(B715,$B$2:$B$2501,0))</f>
        <v/>
      </c>
      <c r="D715">
        <f>IF(C715="","",C715&lt;=25)</f>
        <v/>
      </c>
      <c r="F715">
        <f>IF(A715="","",IF(AND(D715=TRUE,E715=""),"BUY",IF(AND(D715=FALSE,E715&lt;&gt;""),"SELL",IF(AND(D715=TRUE,E715&lt;&gt;""),"HOLD",""))))</f>
        <v/>
      </c>
      <c r="G715" s="12">
        <f>IF(D715=TRUE,4,0)</f>
        <v/>
      </c>
      <c r="H715">
        <f>IF(A715="","",BDP(A715&amp;" US Equity","GICS_SECTOR_NAME"))</f>
        <v/>
      </c>
    </row>
    <row r="716">
      <c r="A716">
        <f>'Factor Scores'!A716</f>
        <v/>
      </c>
      <c r="B716" s="10">
        <f>IF(A716="","",0.40*'Factor Scores'!C716+0.20*'Factor Scores'!E716+0.20*'Factor Scores'!G716+0.20*'Factor Scores'!H716)</f>
        <v/>
      </c>
      <c r="C716" s="12">
        <f>IF(B716="","",RANK(B716,$B$2:$B$2501,0))</f>
        <v/>
      </c>
      <c r="D716">
        <f>IF(C716="","",C716&lt;=25)</f>
        <v/>
      </c>
      <c r="F716">
        <f>IF(A716="","",IF(AND(D716=TRUE,E716=""),"BUY",IF(AND(D716=FALSE,E716&lt;&gt;""),"SELL",IF(AND(D716=TRUE,E716&lt;&gt;""),"HOLD",""))))</f>
        <v/>
      </c>
      <c r="G716" s="12">
        <f>IF(D716=TRUE,4,0)</f>
        <v/>
      </c>
      <c r="H716">
        <f>IF(A716="","",BDP(A716&amp;" US Equity","GICS_SECTOR_NAME"))</f>
        <v/>
      </c>
    </row>
    <row r="717">
      <c r="A717">
        <f>'Factor Scores'!A717</f>
        <v/>
      </c>
      <c r="B717" s="10">
        <f>IF(A717="","",0.40*'Factor Scores'!C717+0.20*'Factor Scores'!E717+0.20*'Factor Scores'!G717+0.20*'Factor Scores'!H717)</f>
        <v/>
      </c>
      <c r="C717" s="12">
        <f>IF(B717="","",RANK(B717,$B$2:$B$2501,0))</f>
        <v/>
      </c>
      <c r="D717">
        <f>IF(C717="","",C717&lt;=25)</f>
        <v/>
      </c>
      <c r="F717">
        <f>IF(A717="","",IF(AND(D717=TRUE,E717=""),"BUY",IF(AND(D717=FALSE,E717&lt;&gt;""),"SELL",IF(AND(D717=TRUE,E717&lt;&gt;""),"HOLD",""))))</f>
        <v/>
      </c>
      <c r="G717" s="12">
        <f>IF(D717=TRUE,4,0)</f>
        <v/>
      </c>
      <c r="H717">
        <f>IF(A717="","",BDP(A717&amp;" US Equity","GICS_SECTOR_NAME"))</f>
        <v/>
      </c>
    </row>
    <row r="718">
      <c r="A718">
        <f>'Factor Scores'!A718</f>
        <v/>
      </c>
      <c r="B718" s="10">
        <f>IF(A718="","",0.40*'Factor Scores'!C718+0.20*'Factor Scores'!E718+0.20*'Factor Scores'!G718+0.20*'Factor Scores'!H718)</f>
        <v/>
      </c>
      <c r="C718" s="12">
        <f>IF(B718="","",RANK(B718,$B$2:$B$2501,0))</f>
        <v/>
      </c>
      <c r="D718">
        <f>IF(C718="","",C718&lt;=25)</f>
        <v/>
      </c>
      <c r="F718">
        <f>IF(A718="","",IF(AND(D718=TRUE,E718=""),"BUY",IF(AND(D718=FALSE,E718&lt;&gt;""),"SELL",IF(AND(D718=TRUE,E718&lt;&gt;""),"HOLD",""))))</f>
        <v/>
      </c>
      <c r="G718" s="12">
        <f>IF(D718=TRUE,4,0)</f>
        <v/>
      </c>
      <c r="H718">
        <f>IF(A718="","",BDP(A718&amp;" US Equity","GICS_SECTOR_NAME"))</f>
        <v/>
      </c>
    </row>
    <row r="719">
      <c r="A719">
        <f>'Factor Scores'!A719</f>
        <v/>
      </c>
      <c r="B719" s="10">
        <f>IF(A719="","",0.40*'Factor Scores'!C719+0.20*'Factor Scores'!E719+0.20*'Factor Scores'!G719+0.20*'Factor Scores'!H719)</f>
        <v/>
      </c>
      <c r="C719" s="12">
        <f>IF(B719="","",RANK(B719,$B$2:$B$2501,0))</f>
        <v/>
      </c>
      <c r="D719">
        <f>IF(C719="","",C719&lt;=25)</f>
        <v/>
      </c>
      <c r="F719">
        <f>IF(A719="","",IF(AND(D719=TRUE,E719=""),"BUY",IF(AND(D719=FALSE,E719&lt;&gt;""),"SELL",IF(AND(D719=TRUE,E719&lt;&gt;""),"HOLD",""))))</f>
        <v/>
      </c>
      <c r="G719" s="12">
        <f>IF(D719=TRUE,4,0)</f>
        <v/>
      </c>
      <c r="H719">
        <f>IF(A719="","",BDP(A719&amp;" US Equity","GICS_SECTOR_NAME"))</f>
        <v/>
      </c>
    </row>
    <row r="720">
      <c r="A720">
        <f>'Factor Scores'!A720</f>
        <v/>
      </c>
      <c r="B720" s="10">
        <f>IF(A720="","",0.40*'Factor Scores'!C720+0.20*'Factor Scores'!E720+0.20*'Factor Scores'!G720+0.20*'Factor Scores'!H720)</f>
        <v/>
      </c>
      <c r="C720" s="12">
        <f>IF(B720="","",RANK(B720,$B$2:$B$2501,0))</f>
        <v/>
      </c>
      <c r="D720">
        <f>IF(C720="","",C720&lt;=25)</f>
        <v/>
      </c>
      <c r="F720">
        <f>IF(A720="","",IF(AND(D720=TRUE,E720=""),"BUY",IF(AND(D720=FALSE,E720&lt;&gt;""),"SELL",IF(AND(D720=TRUE,E720&lt;&gt;""),"HOLD",""))))</f>
        <v/>
      </c>
      <c r="G720" s="12">
        <f>IF(D720=TRUE,4,0)</f>
        <v/>
      </c>
      <c r="H720">
        <f>IF(A720="","",BDP(A720&amp;" US Equity","GICS_SECTOR_NAME"))</f>
        <v/>
      </c>
    </row>
    <row r="721">
      <c r="A721">
        <f>'Factor Scores'!A721</f>
        <v/>
      </c>
      <c r="B721" s="10">
        <f>IF(A721="","",0.40*'Factor Scores'!C721+0.20*'Factor Scores'!E721+0.20*'Factor Scores'!G721+0.20*'Factor Scores'!H721)</f>
        <v/>
      </c>
      <c r="C721" s="12">
        <f>IF(B721="","",RANK(B721,$B$2:$B$2501,0))</f>
        <v/>
      </c>
      <c r="D721">
        <f>IF(C721="","",C721&lt;=25)</f>
        <v/>
      </c>
      <c r="F721">
        <f>IF(A721="","",IF(AND(D721=TRUE,E721=""),"BUY",IF(AND(D721=FALSE,E721&lt;&gt;""),"SELL",IF(AND(D721=TRUE,E721&lt;&gt;""),"HOLD",""))))</f>
        <v/>
      </c>
      <c r="G721" s="12">
        <f>IF(D721=TRUE,4,0)</f>
        <v/>
      </c>
      <c r="H721">
        <f>IF(A721="","",BDP(A721&amp;" US Equity","GICS_SECTOR_NAME"))</f>
        <v/>
      </c>
    </row>
    <row r="722">
      <c r="A722">
        <f>'Factor Scores'!A722</f>
        <v/>
      </c>
      <c r="B722" s="10">
        <f>IF(A722="","",0.40*'Factor Scores'!C722+0.20*'Factor Scores'!E722+0.20*'Factor Scores'!G722+0.20*'Factor Scores'!H722)</f>
        <v/>
      </c>
      <c r="C722" s="12">
        <f>IF(B722="","",RANK(B722,$B$2:$B$2501,0))</f>
        <v/>
      </c>
      <c r="D722">
        <f>IF(C722="","",C722&lt;=25)</f>
        <v/>
      </c>
      <c r="F722">
        <f>IF(A722="","",IF(AND(D722=TRUE,E722=""),"BUY",IF(AND(D722=FALSE,E722&lt;&gt;""),"SELL",IF(AND(D722=TRUE,E722&lt;&gt;""),"HOLD",""))))</f>
        <v/>
      </c>
      <c r="G722" s="12">
        <f>IF(D722=TRUE,4,0)</f>
        <v/>
      </c>
      <c r="H722">
        <f>IF(A722="","",BDP(A722&amp;" US Equity","GICS_SECTOR_NAME"))</f>
        <v/>
      </c>
    </row>
    <row r="723">
      <c r="A723">
        <f>'Factor Scores'!A723</f>
        <v/>
      </c>
      <c r="B723" s="10">
        <f>IF(A723="","",0.40*'Factor Scores'!C723+0.20*'Factor Scores'!E723+0.20*'Factor Scores'!G723+0.20*'Factor Scores'!H723)</f>
        <v/>
      </c>
      <c r="C723" s="12">
        <f>IF(B723="","",RANK(B723,$B$2:$B$2501,0))</f>
        <v/>
      </c>
      <c r="D723">
        <f>IF(C723="","",C723&lt;=25)</f>
        <v/>
      </c>
      <c r="F723">
        <f>IF(A723="","",IF(AND(D723=TRUE,E723=""),"BUY",IF(AND(D723=FALSE,E723&lt;&gt;""),"SELL",IF(AND(D723=TRUE,E723&lt;&gt;""),"HOLD",""))))</f>
        <v/>
      </c>
      <c r="G723" s="12">
        <f>IF(D723=TRUE,4,0)</f>
        <v/>
      </c>
      <c r="H723">
        <f>IF(A723="","",BDP(A723&amp;" US Equity","GICS_SECTOR_NAME"))</f>
        <v/>
      </c>
    </row>
    <row r="724">
      <c r="A724">
        <f>'Factor Scores'!A724</f>
        <v/>
      </c>
      <c r="B724" s="10">
        <f>IF(A724="","",0.40*'Factor Scores'!C724+0.20*'Factor Scores'!E724+0.20*'Factor Scores'!G724+0.20*'Factor Scores'!H724)</f>
        <v/>
      </c>
      <c r="C724" s="12">
        <f>IF(B724="","",RANK(B724,$B$2:$B$2501,0))</f>
        <v/>
      </c>
      <c r="D724">
        <f>IF(C724="","",C724&lt;=25)</f>
        <v/>
      </c>
      <c r="F724">
        <f>IF(A724="","",IF(AND(D724=TRUE,E724=""),"BUY",IF(AND(D724=FALSE,E724&lt;&gt;""),"SELL",IF(AND(D724=TRUE,E724&lt;&gt;""),"HOLD",""))))</f>
        <v/>
      </c>
      <c r="G724" s="12">
        <f>IF(D724=TRUE,4,0)</f>
        <v/>
      </c>
      <c r="H724">
        <f>IF(A724="","",BDP(A724&amp;" US Equity","GICS_SECTOR_NAME"))</f>
        <v/>
      </c>
    </row>
    <row r="725">
      <c r="A725">
        <f>'Factor Scores'!A725</f>
        <v/>
      </c>
      <c r="B725" s="10">
        <f>IF(A725="","",0.40*'Factor Scores'!C725+0.20*'Factor Scores'!E725+0.20*'Factor Scores'!G725+0.20*'Factor Scores'!H725)</f>
        <v/>
      </c>
      <c r="C725" s="12">
        <f>IF(B725="","",RANK(B725,$B$2:$B$2501,0))</f>
        <v/>
      </c>
      <c r="D725">
        <f>IF(C725="","",C725&lt;=25)</f>
        <v/>
      </c>
      <c r="F725">
        <f>IF(A725="","",IF(AND(D725=TRUE,E725=""),"BUY",IF(AND(D725=FALSE,E725&lt;&gt;""),"SELL",IF(AND(D725=TRUE,E725&lt;&gt;""),"HOLD",""))))</f>
        <v/>
      </c>
      <c r="G725" s="12">
        <f>IF(D725=TRUE,4,0)</f>
        <v/>
      </c>
      <c r="H725">
        <f>IF(A725="","",BDP(A725&amp;" US Equity","GICS_SECTOR_NAME"))</f>
        <v/>
      </c>
    </row>
    <row r="726">
      <c r="A726">
        <f>'Factor Scores'!A726</f>
        <v/>
      </c>
      <c r="B726" s="10">
        <f>IF(A726="","",0.40*'Factor Scores'!C726+0.20*'Factor Scores'!E726+0.20*'Factor Scores'!G726+0.20*'Factor Scores'!H726)</f>
        <v/>
      </c>
      <c r="C726" s="12">
        <f>IF(B726="","",RANK(B726,$B$2:$B$2501,0))</f>
        <v/>
      </c>
      <c r="D726">
        <f>IF(C726="","",C726&lt;=25)</f>
        <v/>
      </c>
      <c r="F726">
        <f>IF(A726="","",IF(AND(D726=TRUE,E726=""),"BUY",IF(AND(D726=FALSE,E726&lt;&gt;""),"SELL",IF(AND(D726=TRUE,E726&lt;&gt;""),"HOLD",""))))</f>
        <v/>
      </c>
      <c r="G726" s="12">
        <f>IF(D726=TRUE,4,0)</f>
        <v/>
      </c>
      <c r="H726">
        <f>IF(A726="","",BDP(A726&amp;" US Equity","GICS_SECTOR_NAME"))</f>
        <v/>
      </c>
    </row>
    <row r="727">
      <c r="A727">
        <f>'Factor Scores'!A727</f>
        <v/>
      </c>
      <c r="B727" s="10">
        <f>IF(A727="","",0.40*'Factor Scores'!C727+0.20*'Factor Scores'!E727+0.20*'Factor Scores'!G727+0.20*'Factor Scores'!H727)</f>
        <v/>
      </c>
      <c r="C727" s="12">
        <f>IF(B727="","",RANK(B727,$B$2:$B$2501,0))</f>
        <v/>
      </c>
      <c r="D727">
        <f>IF(C727="","",C727&lt;=25)</f>
        <v/>
      </c>
      <c r="F727">
        <f>IF(A727="","",IF(AND(D727=TRUE,E727=""),"BUY",IF(AND(D727=FALSE,E727&lt;&gt;""),"SELL",IF(AND(D727=TRUE,E727&lt;&gt;""),"HOLD",""))))</f>
        <v/>
      </c>
      <c r="G727" s="12">
        <f>IF(D727=TRUE,4,0)</f>
        <v/>
      </c>
      <c r="H727">
        <f>IF(A727="","",BDP(A727&amp;" US Equity","GICS_SECTOR_NAME"))</f>
        <v/>
      </c>
    </row>
    <row r="728">
      <c r="A728">
        <f>'Factor Scores'!A728</f>
        <v/>
      </c>
      <c r="B728" s="10">
        <f>IF(A728="","",0.40*'Factor Scores'!C728+0.20*'Factor Scores'!E728+0.20*'Factor Scores'!G728+0.20*'Factor Scores'!H728)</f>
        <v/>
      </c>
      <c r="C728" s="12">
        <f>IF(B728="","",RANK(B728,$B$2:$B$2501,0))</f>
        <v/>
      </c>
      <c r="D728">
        <f>IF(C728="","",C728&lt;=25)</f>
        <v/>
      </c>
      <c r="F728">
        <f>IF(A728="","",IF(AND(D728=TRUE,E728=""),"BUY",IF(AND(D728=FALSE,E728&lt;&gt;""),"SELL",IF(AND(D728=TRUE,E728&lt;&gt;""),"HOLD",""))))</f>
        <v/>
      </c>
      <c r="G728" s="12">
        <f>IF(D728=TRUE,4,0)</f>
        <v/>
      </c>
      <c r="H728">
        <f>IF(A728="","",BDP(A728&amp;" US Equity","GICS_SECTOR_NAME"))</f>
        <v/>
      </c>
    </row>
    <row r="729">
      <c r="A729">
        <f>'Factor Scores'!A729</f>
        <v/>
      </c>
      <c r="B729" s="10">
        <f>IF(A729="","",0.40*'Factor Scores'!C729+0.20*'Factor Scores'!E729+0.20*'Factor Scores'!G729+0.20*'Factor Scores'!H729)</f>
        <v/>
      </c>
      <c r="C729" s="12">
        <f>IF(B729="","",RANK(B729,$B$2:$B$2501,0))</f>
        <v/>
      </c>
      <c r="D729">
        <f>IF(C729="","",C729&lt;=25)</f>
        <v/>
      </c>
      <c r="F729">
        <f>IF(A729="","",IF(AND(D729=TRUE,E729=""),"BUY",IF(AND(D729=FALSE,E729&lt;&gt;""),"SELL",IF(AND(D729=TRUE,E729&lt;&gt;""),"HOLD",""))))</f>
        <v/>
      </c>
      <c r="G729" s="12">
        <f>IF(D729=TRUE,4,0)</f>
        <v/>
      </c>
      <c r="H729">
        <f>IF(A729="","",BDP(A729&amp;" US Equity","GICS_SECTOR_NAME"))</f>
        <v/>
      </c>
    </row>
    <row r="730">
      <c r="A730">
        <f>'Factor Scores'!A730</f>
        <v/>
      </c>
      <c r="B730" s="10">
        <f>IF(A730="","",0.40*'Factor Scores'!C730+0.20*'Factor Scores'!E730+0.20*'Factor Scores'!G730+0.20*'Factor Scores'!H730)</f>
        <v/>
      </c>
      <c r="C730" s="12">
        <f>IF(B730="","",RANK(B730,$B$2:$B$2501,0))</f>
        <v/>
      </c>
      <c r="D730">
        <f>IF(C730="","",C730&lt;=25)</f>
        <v/>
      </c>
      <c r="F730">
        <f>IF(A730="","",IF(AND(D730=TRUE,E730=""),"BUY",IF(AND(D730=FALSE,E730&lt;&gt;""),"SELL",IF(AND(D730=TRUE,E730&lt;&gt;""),"HOLD",""))))</f>
        <v/>
      </c>
      <c r="G730" s="12">
        <f>IF(D730=TRUE,4,0)</f>
        <v/>
      </c>
      <c r="H730">
        <f>IF(A730="","",BDP(A730&amp;" US Equity","GICS_SECTOR_NAME"))</f>
        <v/>
      </c>
    </row>
    <row r="731">
      <c r="A731">
        <f>'Factor Scores'!A731</f>
        <v/>
      </c>
      <c r="B731" s="10">
        <f>IF(A731="","",0.40*'Factor Scores'!C731+0.20*'Factor Scores'!E731+0.20*'Factor Scores'!G731+0.20*'Factor Scores'!H731)</f>
        <v/>
      </c>
      <c r="C731" s="12">
        <f>IF(B731="","",RANK(B731,$B$2:$B$2501,0))</f>
        <v/>
      </c>
      <c r="D731">
        <f>IF(C731="","",C731&lt;=25)</f>
        <v/>
      </c>
      <c r="F731">
        <f>IF(A731="","",IF(AND(D731=TRUE,E731=""),"BUY",IF(AND(D731=FALSE,E731&lt;&gt;""),"SELL",IF(AND(D731=TRUE,E731&lt;&gt;""),"HOLD",""))))</f>
        <v/>
      </c>
      <c r="G731" s="12">
        <f>IF(D731=TRUE,4,0)</f>
        <v/>
      </c>
      <c r="H731">
        <f>IF(A731="","",BDP(A731&amp;" US Equity","GICS_SECTOR_NAME"))</f>
        <v/>
      </c>
    </row>
    <row r="732">
      <c r="A732">
        <f>'Factor Scores'!A732</f>
        <v/>
      </c>
      <c r="B732" s="10">
        <f>IF(A732="","",0.40*'Factor Scores'!C732+0.20*'Factor Scores'!E732+0.20*'Factor Scores'!G732+0.20*'Factor Scores'!H732)</f>
        <v/>
      </c>
      <c r="C732" s="12">
        <f>IF(B732="","",RANK(B732,$B$2:$B$2501,0))</f>
        <v/>
      </c>
      <c r="D732">
        <f>IF(C732="","",C732&lt;=25)</f>
        <v/>
      </c>
      <c r="F732">
        <f>IF(A732="","",IF(AND(D732=TRUE,E732=""),"BUY",IF(AND(D732=FALSE,E732&lt;&gt;""),"SELL",IF(AND(D732=TRUE,E732&lt;&gt;""),"HOLD",""))))</f>
        <v/>
      </c>
      <c r="G732" s="12">
        <f>IF(D732=TRUE,4,0)</f>
        <v/>
      </c>
      <c r="H732">
        <f>IF(A732="","",BDP(A732&amp;" US Equity","GICS_SECTOR_NAME"))</f>
        <v/>
      </c>
    </row>
    <row r="733">
      <c r="A733">
        <f>'Factor Scores'!A733</f>
        <v/>
      </c>
      <c r="B733" s="10">
        <f>IF(A733="","",0.40*'Factor Scores'!C733+0.20*'Factor Scores'!E733+0.20*'Factor Scores'!G733+0.20*'Factor Scores'!H733)</f>
        <v/>
      </c>
      <c r="C733" s="12">
        <f>IF(B733="","",RANK(B733,$B$2:$B$2501,0))</f>
        <v/>
      </c>
      <c r="D733">
        <f>IF(C733="","",C733&lt;=25)</f>
        <v/>
      </c>
      <c r="F733">
        <f>IF(A733="","",IF(AND(D733=TRUE,E733=""),"BUY",IF(AND(D733=FALSE,E733&lt;&gt;""),"SELL",IF(AND(D733=TRUE,E733&lt;&gt;""),"HOLD",""))))</f>
        <v/>
      </c>
      <c r="G733" s="12">
        <f>IF(D733=TRUE,4,0)</f>
        <v/>
      </c>
      <c r="H733">
        <f>IF(A733="","",BDP(A733&amp;" US Equity","GICS_SECTOR_NAME"))</f>
        <v/>
      </c>
    </row>
    <row r="734">
      <c r="A734">
        <f>'Factor Scores'!A734</f>
        <v/>
      </c>
      <c r="B734" s="10">
        <f>IF(A734="","",0.40*'Factor Scores'!C734+0.20*'Factor Scores'!E734+0.20*'Factor Scores'!G734+0.20*'Factor Scores'!H734)</f>
        <v/>
      </c>
      <c r="C734" s="12">
        <f>IF(B734="","",RANK(B734,$B$2:$B$2501,0))</f>
        <v/>
      </c>
      <c r="D734">
        <f>IF(C734="","",C734&lt;=25)</f>
        <v/>
      </c>
      <c r="F734">
        <f>IF(A734="","",IF(AND(D734=TRUE,E734=""),"BUY",IF(AND(D734=FALSE,E734&lt;&gt;""),"SELL",IF(AND(D734=TRUE,E734&lt;&gt;""),"HOLD",""))))</f>
        <v/>
      </c>
      <c r="G734" s="12">
        <f>IF(D734=TRUE,4,0)</f>
        <v/>
      </c>
      <c r="H734">
        <f>IF(A734="","",BDP(A734&amp;" US Equity","GICS_SECTOR_NAME"))</f>
        <v/>
      </c>
    </row>
    <row r="735">
      <c r="A735">
        <f>'Factor Scores'!A735</f>
        <v/>
      </c>
      <c r="B735" s="10">
        <f>IF(A735="","",0.40*'Factor Scores'!C735+0.20*'Factor Scores'!E735+0.20*'Factor Scores'!G735+0.20*'Factor Scores'!H735)</f>
        <v/>
      </c>
      <c r="C735" s="12">
        <f>IF(B735="","",RANK(B735,$B$2:$B$2501,0))</f>
        <v/>
      </c>
      <c r="D735">
        <f>IF(C735="","",C735&lt;=25)</f>
        <v/>
      </c>
      <c r="F735">
        <f>IF(A735="","",IF(AND(D735=TRUE,E735=""),"BUY",IF(AND(D735=FALSE,E735&lt;&gt;""),"SELL",IF(AND(D735=TRUE,E735&lt;&gt;""),"HOLD",""))))</f>
        <v/>
      </c>
      <c r="G735" s="12">
        <f>IF(D735=TRUE,4,0)</f>
        <v/>
      </c>
      <c r="H735">
        <f>IF(A735="","",BDP(A735&amp;" US Equity","GICS_SECTOR_NAME"))</f>
        <v/>
      </c>
    </row>
    <row r="736">
      <c r="A736">
        <f>'Factor Scores'!A736</f>
        <v/>
      </c>
      <c r="B736" s="10">
        <f>IF(A736="","",0.40*'Factor Scores'!C736+0.20*'Factor Scores'!E736+0.20*'Factor Scores'!G736+0.20*'Factor Scores'!H736)</f>
        <v/>
      </c>
      <c r="C736" s="12">
        <f>IF(B736="","",RANK(B736,$B$2:$B$2501,0))</f>
        <v/>
      </c>
      <c r="D736">
        <f>IF(C736="","",C736&lt;=25)</f>
        <v/>
      </c>
      <c r="F736">
        <f>IF(A736="","",IF(AND(D736=TRUE,E736=""),"BUY",IF(AND(D736=FALSE,E736&lt;&gt;""),"SELL",IF(AND(D736=TRUE,E736&lt;&gt;""),"HOLD",""))))</f>
        <v/>
      </c>
      <c r="G736" s="12">
        <f>IF(D736=TRUE,4,0)</f>
        <v/>
      </c>
      <c r="H736">
        <f>IF(A736="","",BDP(A736&amp;" US Equity","GICS_SECTOR_NAME"))</f>
        <v/>
      </c>
    </row>
    <row r="737">
      <c r="A737">
        <f>'Factor Scores'!A737</f>
        <v/>
      </c>
      <c r="B737" s="10">
        <f>IF(A737="","",0.40*'Factor Scores'!C737+0.20*'Factor Scores'!E737+0.20*'Factor Scores'!G737+0.20*'Factor Scores'!H737)</f>
        <v/>
      </c>
      <c r="C737" s="12">
        <f>IF(B737="","",RANK(B737,$B$2:$B$2501,0))</f>
        <v/>
      </c>
      <c r="D737">
        <f>IF(C737="","",C737&lt;=25)</f>
        <v/>
      </c>
      <c r="F737">
        <f>IF(A737="","",IF(AND(D737=TRUE,E737=""),"BUY",IF(AND(D737=FALSE,E737&lt;&gt;""),"SELL",IF(AND(D737=TRUE,E737&lt;&gt;""),"HOLD",""))))</f>
        <v/>
      </c>
      <c r="G737" s="12">
        <f>IF(D737=TRUE,4,0)</f>
        <v/>
      </c>
      <c r="H737">
        <f>IF(A737="","",BDP(A737&amp;" US Equity","GICS_SECTOR_NAME"))</f>
        <v/>
      </c>
    </row>
    <row r="738">
      <c r="A738">
        <f>'Factor Scores'!A738</f>
        <v/>
      </c>
      <c r="B738" s="10">
        <f>IF(A738="","",0.40*'Factor Scores'!C738+0.20*'Factor Scores'!E738+0.20*'Factor Scores'!G738+0.20*'Factor Scores'!H738)</f>
        <v/>
      </c>
      <c r="C738" s="12">
        <f>IF(B738="","",RANK(B738,$B$2:$B$2501,0))</f>
        <v/>
      </c>
      <c r="D738">
        <f>IF(C738="","",C738&lt;=25)</f>
        <v/>
      </c>
      <c r="F738">
        <f>IF(A738="","",IF(AND(D738=TRUE,E738=""),"BUY",IF(AND(D738=FALSE,E738&lt;&gt;""),"SELL",IF(AND(D738=TRUE,E738&lt;&gt;""),"HOLD",""))))</f>
        <v/>
      </c>
      <c r="G738" s="12">
        <f>IF(D738=TRUE,4,0)</f>
        <v/>
      </c>
      <c r="H738">
        <f>IF(A738="","",BDP(A738&amp;" US Equity","GICS_SECTOR_NAME"))</f>
        <v/>
      </c>
    </row>
    <row r="739">
      <c r="A739">
        <f>'Factor Scores'!A739</f>
        <v/>
      </c>
      <c r="B739" s="10">
        <f>IF(A739="","",0.40*'Factor Scores'!C739+0.20*'Factor Scores'!E739+0.20*'Factor Scores'!G739+0.20*'Factor Scores'!H739)</f>
        <v/>
      </c>
      <c r="C739" s="12">
        <f>IF(B739="","",RANK(B739,$B$2:$B$2501,0))</f>
        <v/>
      </c>
      <c r="D739">
        <f>IF(C739="","",C739&lt;=25)</f>
        <v/>
      </c>
      <c r="F739">
        <f>IF(A739="","",IF(AND(D739=TRUE,E739=""),"BUY",IF(AND(D739=FALSE,E739&lt;&gt;""),"SELL",IF(AND(D739=TRUE,E739&lt;&gt;""),"HOLD",""))))</f>
        <v/>
      </c>
      <c r="G739" s="12">
        <f>IF(D739=TRUE,4,0)</f>
        <v/>
      </c>
      <c r="H739">
        <f>IF(A739="","",BDP(A739&amp;" US Equity","GICS_SECTOR_NAME"))</f>
        <v/>
      </c>
    </row>
    <row r="740">
      <c r="A740">
        <f>'Factor Scores'!A740</f>
        <v/>
      </c>
      <c r="B740" s="10">
        <f>IF(A740="","",0.40*'Factor Scores'!C740+0.20*'Factor Scores'!E740+0.20*'Factor Scores'!G740+0.20*'Factor Scores'!H740)</f>
        <v/>
      </c>
      <c r="C740" s="12">
        <f>IF(B740="","",RANK(B740,$B$2:$B$2501,0))</f>
        <v/>
      </c>
      <c r="D740">
        <f>IF(C740="","",C740&lt;=25)</f>
        <v/>
      </c>
      <c r="F740">
        <f>IF(A740="","",IF(AND(D740=TRUE,E740=""),"BUY",IF(AND(D740=FALSE,E740&lt;&gt;""),"SELL",IF(AND(D740=TRUE,E740&lt;&gt;""),"HOLD",""))))</f>
        <v/>
      </c>
      <c r="G740" s="12">
        <f>IF(D740=TRUE,4,0)</f>
        <v/>
      </c>
      <c r="H740">
        <f>IF(A740="","",BDP(A740&amp;" US Equity","GICS_SECTOR_NAME"))</f>
        <v/>
      </c>
    </row>
    <row r="741">
      <c r="A741">
        <f>'Factor Scores'!A741</f>
        <v/>
      </c>
      <c r="B741" s="10">
        <f>IF(A741="","",0.40*'Factor Scores'!C741+0.20*'Factor Scores'!E741+0.20*'Factor Scores'!G741+0.20*'Factor Scores'!H741)</f>
        <v/>
      </c>
      <c r="C741" s="12">
        <f>IF(B741="","",RANK(B741,$B$2:$B$2501,0))</f>
        <v/>
      </c>
      <c r="D741">
        <f>IF(C741="","",C741&lt;=25)</f>
        <v/>
      </c>
      <c r="F741">
        <f>IF(A741="","",IF(AND(D741=TRUE,E741=""),"BUY",IF(AND(D741=FALSE,E741&lt;&gt;""),"SELL",IF(AND(D741=TRUE,E741&lt;&gt;""),"HOLD",""))))</f>
        <v/>
      </c>
      <c r="G741" s="12">
        <f>IF(D741=TRUE,4,0)</f>
        <v/>
      </c>
      <c r="H741">
        <f>IF(A741="","",BDP(A741&amp;" US Equity","GICS_SECTOR_NAME"))</f>
        <v/>
      </c>
    </row>
    <row r="742">
      <c r="A742">
        <f>'Factor Scores'!A742</f>
        <v/>
      </c>
      <c r="B742" s="10">
        <f>IF(A742="","",0.40*'Factor Scores'!C742+0.20*'Factor Scores'!E742+0.20*'Factor Scores'!G742+0.20*'Factor Scores'!H742)</f>
        <v/>
      </c>
      <c r="C742" s="12">
        <f>IF(B742="","",RANK(B742,$B$2:$B$2501,0))</f>
        <v/>
      </c>
      <c r="D742">
        <f>IF(C742="","",C742&lt;=25)</f>
        <v/>
      </c>
      <c r="F742">
        <f>IF(A742="","",IF(AND(D742=TRUE,E742=""),"BUY",IF(AND(D742=FALSE,E742&lt;&gt;""),"SELL",IF(AND(D742=TRUE,E742&lt;&gt;""),"HOLD",""))))</f>
        <v/>
      </c>
      <c r="G742" s="12">
        <f>IF(D742=TRUE,4,0)</f>
        <v/>
      </c>
      <c r="H742">
        <f>IF(A742="","",BDP(A742&amp;" US Equity","GICS_SECTOR_NAME"))</f>
        <v/>
      </c>
    </row>
    <row r="743">
      <c r="A743">
        <f>'Factor Scores'!A743</f>
        <v/>
      </c>
      <c r="B743" s="10">
        <f>IF(A743="","",0.40*'Factor Scores'!C743+0.20*'Factor Scores'!E743+0.20*'Factor Scores'!G743+0.20*'Factor Scores'!H743)</f>
        <v/>
      </c>
      <c r="C743" s="12">
        <f>IF(B743="","",RANK(B743,$B$2:$B$2501,0))</f>
        <v/>
      </c>
      <c r="D743">
        <f>IF(C743="","",C743&lt;=25)</f>
        <v/>
      </c>
      <c r="F743">
        <f>IF(A743="","",IF(AND(D743=TRUE,E743=""),"BUY",IF(AND(D743=FALSE,E743&lt;&gt;""),"SELL",IF(AND(D743=TRUE,E743&lt;&gt;""),"HOLD",""))))</f>
        <v/>
      </c>
      <c r="G743" s="12">
        <f>IF(D743=TRUE,4,0)</f>
        <v/>
      </c>
      <c r="H743">
        <f>IF(A743="","",BDP(A743&amp;" US Equity","GICS_SECTOR_NAME"))</f>
        <v/>
      </c>
    </row>
    <row r="744">
      <c r="A744">
        <f>'Factor Scores'!A744</f>
        <v/>
      </c>
      <c r="B744" s="10">
        <f>IF(A744="","",0.40*'Factor Scores'!C744+0.20*'Factor Scores'!E744+0.20*'Factor Scores'!G744+0.20*'Factor Scores'!H744)</f>
        <v/>
      </c>
      <c r="C744" s="12">
        <f>IF(B744="","",RANK(B744,$B$2:$B$2501,0))</f>
        <v/>
      </c>
      <c r="D744">
        <f>IF(C744="","",C744&lt;=25)</f>
        <v/>
      </c>
      <c r="F744">
        <f>IF(A744="","",IF(AND(D744=TRUE,E744=""),"BUY",IF(AND(D744=FALSE,E744&lt;&gt;""),"SELL",IF(AND(D744=TRUE,E744&lt;&gt;""),"HOLD",""))))</f>
        <v/>
      </c>
      <c r="G744" s="12">
        <f>IF(D744=TRUE,4,0)</f>
        <v/>
      </c>
      <c r="H744">
        <f>IF(A744="","",BDP(A744&amp;" US Equity","GICS_SECTOR_NAME"))</f>
        <v/>
      </c>
    </row>
    <row r="745">
      <c r="A745">
        <f>'Factor Scores'!A745</f>
        <v/>
      </c>
      <c r="B745" s="10">
        <f>IF(A745="","",0.40*'Factor Scores'!C745+0.20*'Factor Scores'!E745+0.20*'Factor Scores'!G745+0.20*'Factor Scores'!H745)</f>
        <v/>
      </c>
      <c r="C745" s="12">
        <f>IF(B745="","",RANK(B745,$B$2:$B$2501,0))</f>
        <v/>
      </c>
      <c r="D745">
        <f>IF(C745="","",C745&lt;=25)</f>
        <v/>
      </c>
      <c r="F745">
        <f>IF(A745="","",IF(AND(D745=TRUE,E745=""),"BUY",IF(AND(D745=FALSE,E745&lt;&gt;""),"SELL",IF(AND(D745=TRUE,E745&lt;&gt;""),"HOLD",""))))</f>
        <v/>
      </c>
      <c r="G745" s="12">
        <f>IF(D745=TRUE,4,0)</f>
        <v/>
      </c>
      <c r="H745">
        <f>IF(A745="","",BDP(A745&amp;" US Equity","GICS_SECTOR_NAME"))</f>
        <v/>
      </c>
    </row>
    <row r="746">
      <c r="A746">
        <f>'Factor Scores'!A746</f>
        <v/>
      </c>
      <c r="B746" s="10">
        <f>IF(A746="","",0.40*'Factor Scores'!C746+0.20*'Factor Scores'!E746+0.20*'Factor Scores'!G746+0.20*'Factor Scores'!H746)</f>
        <v/>
      </c>
      <c r="C746" s="12">
        <f>IF(B746="","",RANK(B746,$B$2:$B$2501,0))</f>
        <v/>
      </c>
      <c r="D746">
        <f>IF(C746="","",C746&lt;=25)</f>
        <v/>
      </c>
      <c r="F746">
        <f>IF(A746="","",IF(AND(D746=TRUE,E746=""),"BUY",IF(AND(D746=FALSE,E746&lt;&gt;""),"SELL",IF(AND(D746=TRUE,E746&lt;&gt;""),"HOLD",""))))</f>
        <v/>
      </c>
      <c r="G746" s="12">
        <f>IF(D746=TRUE,4,0)</f>
        <v/>
      </c>
      <c r="H746">
        <f>IF(A746="","",BDP(A746&amp;" US Equity","GICS_SECTOR_NAME"))</f>
        <v/>
      </c>
    </row>
    <row r="747">
      <c r="A747">
        <f>'Factor Scores'!A747</f>
        <v/>
      </c>
      <c r="B747" s="10">
        <f>IF(A747="","",0.40*'Factor Scores'!C747+0.20*'Factor Scores'!E747+0.20*'Factor Scores'!G747+0.20*'Factor Scores'!H747)</f>
        <v/>
      </c>
      <c r="C747" s="12">
        <f>IF(B747="","",RANK(B747,$B$2:$B$2501,0))</f>
        <v/>
      </c>
      <c r="D747">
        <f>IF(C747="","",C747&lt;=25)</f>
        <v/>
      </c>
      <c r="F747">
        <f>IF(A747="","",IF(AND(D747=TRUE,E747=""),"BUY",IF(AND(D747=FALSE,E747&lt;&gt;""),"SELL",IF(AND(D747=TRUE,E747&lt;&gt;""),"HOLD",""))))</f>
        <v/>
      </c>
      <c r="G747" s="12">
        <f>IF(D747=TRUE,4,0)</f>
        <v/>
      </c>
      <c r="H747">
        <f>IF(A747="","",BDP(A747&amp;" US Equity","GICS_SECTOR_NAME"))</f>
        <v/>
      </c>
    </row>
    <row r="748">
      <c r="A748">
        <f>'Factor Scores'!A748</f>
        <v/>
      </c>
      <c r="B748" s="10">
        <f>IF(A748="","",0.40*'Factor Scores'!C748+0.20*'Factor Scores'!E748+0.20*'Factor Scores'!G748+0.20*'Factor Scores'!H748)</f>
        <v/>
      </c>
      <c r="C748" s="12">
        <f>IF(B748="","",RANK(B748,$B$2:$B$2501,0))</f>
        <v/>
      </c>
      <c r="D748">
        <f>IF(C748="","",C748&lt;=25)</f>
        <v/>
      </c>
      <c r="F748">
        <f>IF(A748="","",IF(AND(D748=TRUE,E748=""),"BUY",IF(AND(D748=FALSE,E748&lt;&gt;""),"SELL",IF(AND(D748=TRUE,E748&lt;&gt;""),"HOLD",""))))</f>
        <v/>
      </c>
      <c r="G748" s="12">
        <f>IF(D748=TRUE,4,0)</f>
        <v/>
      </c>
      <c r="H748">
        <f>IF(A748="","",BDP(A748&amp;" US Equity","GICS_SECTOR_NAME"))</f>
        <v/>
      </c>
    </row>
    <row r="749">
      <c r="A749">
        <f>'Factor Scores'!A749</f>
        <v/>
      </c>
      <c r="B749" s="10">
        <f>IF(A749="","",0.40*'Factor Scores'!C749+0.20*'Factor Scores'!E749+0.20*'Factor Scores'!G749+0.20*'Factor Scores'!H749)</f>
        <v/>
      </c>
      <c r="C749" s="12">
        <f>IF(B749="","",RANK(B749,$B$2:$B$2501,0))</f>
        <v/>
      </c>
      <c r="D749">
        <f>IF(C749="","",C749&lt;=25)</f>
        <v/>
      </c>
      <c r="F749">
        <f>IF(A749="","",IF(AND(D749=TRUE,E749=""),"BUY",IF(AND(D749=FALSE,E749&lt;&gt;""),"SELL",IF(AND(D749=TRUE,E749&lt;&gt;""),"HOLD",""))))</f>
        <v/>
      </c>
      <c r="G749" s="12">
        <f>IF(D749=TRUE,4,0)</f>
        <v/>
      </c>
      <c r="H749">
        <f>IF(A749="","",BDP(A749&amp;" US Equity","GICS_SECTOR_NAME"))</f>
        <v/>
      </c>
    </row>
    <row r="750">
      <c r="A750">
        <f>'Factor Scores'!A750</f>
        <v/>
      </c>
      <c r="B750" s="10">
        <f>IF(A750="","",0.40*'Factor Scores'!C750+0.20*'Factor Scores'!E750+0.20*'Factor Scores'!G750+0.20*'Factor Scores'!H750)</f>
        <v/>
      </c>
      <c r="C750" s="12">
        <f>IF(B750="","",RANK(B750,$B$2:$B$2501,0))</f>
        <v/>
      </c>
      <c r="D750">
        <f>IF(C750="","",C750&lt;=25)</f>
        <v/>
      </c>
      <c r="F750">
        <f>IF(A750="","",IF(AND(D750=TRUE,E750=""),"BUY",IF(AND(D750=FALSE,E750&lt;&gt;""),"SELL",IF(AND(D750=TRUE,E750&lt;&gt;""),"HOLD",""))))</f>
        <v/>
      </c>
      <c r="G750" s="12">
        <f>IF(D750=TRUE,4,0)</f>
        <v/>
      </c>
      <c r="H750">
        <f>IF(A750="","",BDP(A750&amp;" US Equity","GICS_SECTOR_NAME"))</f>
        <v/>
      </c>
    </row>
    <row r="751">
      <c r="A751">
        <f>'Factor Scores'!A751</f>
        <v/>
      </c>
      <c r="B751" s="10">
        <f>IF(A751="","",0.40*'Factor Scores'!C751+0.20*'Factor Scores'!E751+0.20*'Factor Scores'!G751+0.20*'Factor Scores'!H751)</f>
        <v/>
      </c>
      <c r="C751" s="12">
        <f>IF(B751="","",RANK(B751,$B$2:$B$2501,0))</f>
        <v/>
      </c>
      <c r="D751">
        <f>IF(C751="","",C751&lt;=25)</f>
        <v/>
      </c>
      <c r="F751">
        <f>IF(A751="","",IF(AND(D751=TRUE,E751=""),"BUY",IF(AND(D751=FALSE,E751&lt;&gt;""),"SELL",IF(AND(D751=TRUE,E751&lt;&gt;""),"HOLD",""))))</f>
        <v/>
      </c>
      <c r="G751" s="12">
        <f>IF(D751=TRUE,4,0)</f>
        <v/>
      </c>
      <c r="H751">
        <f>IF(A751="","",BDP(A751&amp;" US Equity","GICS_SECTOR_NAME"))</f>
        <v/>
      </c>
    </row>
    <row r="752">
      <c r="A752">
        <f>'Factor Scores'!A752</f>
        <v/>
      </c>
      <c r="B752" s="10">
        <f>IF(A752="","",0.40*'Factor Scores'!C752+0.20*'Factor Scores'!E752+0.20*'Factor Scores'!G752+0.20*'Factor Scores'!H752)</f>
        <v/>
      </c>
      <c r="C752" s="12">
        <f>IF(B752="","",RANK(B752,$B$2:$B$2501,0))</f>
        <v/>
      </c>
      <c r="D752">
        <f>IF(C752="","",C752&lt;=25)</f>
        <v/>
      </c>
      <c r="F752">
        <f>IF(A752="","",IF(AND(D752=TRUE,E752=""),"BUY",IF(AND(D752=FALSE,E752&lt;&gt;""),"SELL",IF(AND(D752=TRUE,E752&lt;&gt;""),"HOLD",""))))</f>
        <v/>
      </c>
      <c r="G752" s="12">
        <f>IF(D752=TRUE,4,0)</f>
        <v/>
      </c>
      <c r="H752">
        <f>IF(A752="","",BDP(A752&amp;" US Equity","GICS_SECTOR_NAME"))</f>
        <v/>
      </c>
    </row>
    <row r="753">
      <c r="A753">
        <f>'Factor Scores'!A753</f>
        <v/>
      </c>
      <c r="B753" s="10">
        <f>IF(A753="","",0.40*'Factor Scores'!C753+0.20*'Factor Scores'!E753+0.20*'Factor Scores'!G753+0.20*'Factor Scores'!H753)</f>
        <v/>
      </c>
      <c r="C753" s="12">
        <f>IF(B753="","",RANK(B753,$B$2:$B$2501,0))</f>
        <v/>
      </c>
      <c r="D753">
        <f>IF(C753="","",C753&lt;=25)</f>
        <v/>
      </c>
      <c r="F753">
        <f>IF(A753="","",IF(AND(D753=TRUE,E753=""),"BUY",IF(AND(D753=FALSE,E753&lt;&gt;""),"SELL",IF(AND(D753=TRUE,E753&lt;&gt;""),"HOLD",""))))</f>
        <v/>
      </c>
      <c r="G753" s="12">
        <f>IF(D753=TRUE,4,0)</f>
        <v/>
      </c>
      <c r="H753">
        <f>IF(A753="","",BDP(A753&amp;" US Equity","GICS_SECTOR_NAME"))</f>
        <v/>
      </c>
    </row>
    <row r="754">
      <c r="A754">
        <f>'Factor Scores'!A754</f>
        <v/>
      </c>
      <c r="B754" s="10">
        <f>IF(A754="","",0.40*'Factor Scores'!C754+0.20*'Factor Scores'!E754+0.20*'Factor Scores'!G754+0.20*'Factor Scores'!H754)</f>
        <v/>
      </c>
      <c r="C754" s="12">
        <f>IF(B754="","",RANK(B754,$B$2:$B$2501,0))</f>
        <v/>
      </c>
      <c r="D754">
        <f>IF(C754="","",C754&lt;=25)</f>
        <v/>
      </c>
      <c r="F754">
        <f>IF(A754="","",IF(AND(D754=TRUE,E754=""),"BUY",IF(AND(D754=FALSE,E754&lt;&gt;""),"SELL",IF(AND(D754=TRUE,E754&lt;&gt;""),"HOLD",""))))</f>
        <v/>
      </c>
      <c r="G754" s="12">
        <f>IF(D754=TRUE,4,0)</f>
        <v/>
      </c>
      <c r="H754">
        <f>IF(A754="","",BDP(A754&amp;" US Equity","GICS_SECTOR_NAME"))</f>
        <v/>
      </c>
    </row>
    <row r="755">
      <c r="A755">
        <f>'Factor Scores'!A755</f>
        <v/>
      </c>
      <c r="B755" s="10">
        <f>IF(A755="","",0.40*'Factor Scores'!C755+0.20*'Factor Scores'!E755+0.20*'Factor Scores'!G755+0.20*'Factor Scores'!H755)</f>
        <v/>
      </c>
      <c r="C755" s="12">
        <f>IF(B755="","",RANK(B755,$B$2:$B$2501,0))</f>
        <v/>
      </c>
      <c r="D755">
        <f>IF(C755="","",C755&lt;=25)</f>
        <v/>
      </c>
      <c r="F755">
        <f>IF(A755="","",IF(AND(D755=TRUE,E755=""),"BUY",IF(AND(D755=FALSE,E755&lt;&gt;""),"SELL",IF(AND(D755=TRUE,E755&lt;&gt;""),"HOLD",""))))</f>
        <v/>
      </c>
      <c r="G755" s="12">
        <f>IF(D755=TRUE,4,0)</f>
        <v/>
      </c>
      <c r="H755">
        <f>IF(A755="","",BDP(A755&amp;" US Equity","GICS_SECTOR_NAME"))</f>
        <v/>
      </c>
    </row>
    <row r="756">
      <c r="A756">
        <f>'Factor Scores'!A756</f>
        <v/>
      </c>
      <c r="B756" s="10">
        <f>IF(A756="","",0.40*'Factor Scores'!C756+0.20*'Factor Scores'!E756+0.20*'Factor Scores'!G756+0.20*'Factor Scores'!H756)</f>
        <v/>
      </c>
      <c r="C756" s="12">
        <f>IF(B756="","",RANK(B756,$B$2:$B$2501,0))</f>
        <v/>
      </c>
      <c r="D756">
        <f>IF(C756="","",C756&lt;=25)</f>
        <v/>
      </c>
      <c r="F756">
        <f>IF(A756="","",IF(AND(D756=TRUE,E756=""),"BUY",IF(AND(D756=FALSE,E756&lt;&gt;""),"SELL",IF(AND(D756=TRUE,E756&lt;&gt;""),"HOLD",""))))</f>
        <v/>
      </c>
      <c r="G756" s="12">
        <f>IF(D756=TRUE,4,0)</f>
        <v/>
      </c>
      <c r="H756">
        <f>IF(A756="","",BDP(A756&amp;" US Equity","GICS_SECTOR_NAME"))</f>
        <v/>
      </c>
    </row>
    <row r="757">
      <c r="A757">
        <f>'Factor Scores'!A757</f>
        <v/>
      </c>
      <c r="B757" s="10">
        <f>IF(A757="","",0.40*'Factor Scores'!C757+0.20*'Factor Scores'!E757+0.20*'Factor Scores'!G757+0.20*'Factor Scores'!H757)</f>
        <v/>
      </c>
      <c r="C757" s="12">
        <f>IF(B757="","",RANK(B757,$B$2:$B$2501,0))</f>
        <v/>
      </c>
      <c r="D757">
        <f>IF(C757="","",C757&lt;=25)</f>
        <v/>
      </c>
      <c r="F757">
        <f>IF(A757="","",IF(AND(D757=TRUE,E757=""),"BUY",IF(AND(D757=FALSE,E757&lt;&gt;""),"SELL",IF(AND(D757=TRUE,E757&lt;&gt;""),"HOLD",""))))</f>
        <v/>
      </c>
      <c r="G757" s="12">
        <f>IF(D757=TRUE,4,0)</f>
        <v/>
      </c>
      <c r="H757">
        <f>IF(A757="","",BDP(A757&amp;" US Equity","GICS_SECTOR_NAME"))</f>
        <v/>
      </c>
    </row>
    <row r="758">
      <c r="A758">
        <f>'Factor Scores'!A758</f>
        <v/>
      </c>
      <c r="B758" s="10">
        <f>IF(A758="","",0.40*'Factor Scores'!C758+0.20*'Factor Scores'!E758+0.20*'Factor Scores'!G758+0.20*'Factor Scores'!H758)</f>
        <v/>
      </c>
      <c r="C758" s="12">
        <f>IF(B758="","",RANK(B758,$B$2:$B$2501,0))</f>
        <v/>
      </c>
      <c r="D758">
        <f>IF(C758="","",C758&lt;=25)</f>
        <v/>
      </c>
      <c r="F758">
        <f>IF(A758="","",IF(AND(D758=TRUE,E758=""),"BUY",IF(AND(D758=FALSE,E758&lt;&gt;""),"SELL",IF(AND(D758=TRUE,E758&lt;&gt;""),"HOLD",""))))</f>
        <v/>
      </c>
      <c r="G758" s="12">
        <f>IF(D758=TRUE,4,0)</f>
        <v/>
      </c>
      <c r="H758">
        <f>IF(A758="","",BDP(A758&amp;" US Equity","GICS_SECTOR_NAME"))</f>
        <v/>
      </c>
    </row>
    <row r="759">
      <c r="A759">
        <f>'Factor Scores'!A759</f>
        <v/>
      </c>
      <c r="B759" s="10">
        <f>IF(A759="","",0.40*'Factor Scores'!C759+0.20*'Factor Scores'!E759+0.20*'Factor Scores'!G759+0.20*'Factor Scores'!H759)</f>
        <v/>
      </c>
      <c r="C759" s="12">
        <f>IF(B759="","",RANK(B759,$B$2:$B$2501,0))</f>
        <v/>
      </c>
      <c r="D759">
        <f>IF(C759="","",C759&lt;=25)</f>
        <v/>
      </c>
      <c r="F759">
        <f>IF(A759="","",IF(AND(D759=TRUE,E759=""),"BUY",IF(AND(D759=FALSE,E759&lt;&gt;""),"SELL",IF(AND(D759=TRUE,E759&lt;&gt;""),"HOLD",""))))</f>
        <v/>
      </c>
      <c r="G759" s="12">
        <f>IF(D759=TRUE,4,0)</f>
        <v/>
      </c>
      <c r="H759">
        <f>IF(A759="","",BDP(A759&amp;" US Equity","GICS_SECTOR_NAME"))</f>
        <v/>
      </c>
    </row>
    <row r="760">
      <c r="A760">
        <f>'Factor Scores'!A760</f>
        <v/>
      </c>
      <c r="B760" s="10">
        <f>IF(A760="","",0.40*'Factor Scores'!C760+0.20*'Factor Scores'!E760+0.20*'Factor Scores'!G760+0.20*'Factor Scores'!H760)</f>
        <v/>
      </c>
      <c r="C760" s="12">
        <f>IF(B760="","",RANK(B760,$B$2:$B$2501,0))</f>
        <v/>
      </c>
      <c r="D760">
        <f>IF(C760="","",C760&lt;=25)</f>
        <v/>
      </c>
      <c r="F760">
        <f>IF(A760="","",IF(AND(D760=TRUE,E760=""),"BUY",IF(AND(D760=FALSE,E760&lt;&gt;""),"SELL",IF(AND(D760=TRUE,E760&lt;&gt;""),"HOLD",""))))</f>
        <v/>
      </c>
      <c r="G760" s="12">
        <f>IF(D760=TRUE,4,0)</f>
        <v/>
      </c>
      <c r="H760">
        <f>IF(A760="","",BDP(A760&amp;" US Equity","GICS_SECTOR_NAME"))</f>
        <v/>
      </c>
    </row>
    <row r="761">
      <c r="A761">
        <f>'Factor Scores'!A761</f>
        <v/>
      </c>
      <c r="B761" s="10">
        <f>IF(A761="","",0.40*'Factor Scores'!C761+0.20*'Factor Scores'!E761+0.20*'Factor Scores'!G761+0.20*'Factor Scores'!H761)</f>
        <v/>
      </c>
      <c r="C761" s="12">
        <f>IF(B761="","",RANK(B761,$B$2:$B$2501,0))</f>
        <v/>
      </c>
      <c r="D761">
        <f>IF(C761="","",C761&lt;=25)</f>
        <v/>
      </c>
      <c r="F761">
        <f>IF(A761="","",IF(AND(D761=TRUE,E761=""),"BUY",IF(AND(D761=FALSE,E761&lt;&gt;""),"SELL",IF(AND(D761=TRUE,E761&lt;&gt;""),"HOLD",""))))</f>
        <v/>
      </c>
      <c r="G761" s="12">
        <f>IF(D761=TRUE,4,0)</f>
        <v/>
      </c>
      <c r="H761">
        <f>IF(A761="","",BDP(A761&amp;" US Equity","GICS_SECTOR_NAME"))</f>
        <v/>
      </c>
    </row>
    <row r="762">
      <c r="A762">
        <f>'Factor Scores'!A762</f>
        <v/>
      </c>
      <c r="B762" s="10">
        <f>IF(A762="","",0.40*'Factor Scores'!C762+0.20*'Factor Scores'!E762+0.20*'Factor Scores'!G762+0.20*'Factor Scores'!H762)</f>
        <v/>
      </c>
      <c r="C762" s="12">
        <f>IF(B762="","",RANK(B762,$B$2:$B$2501,0))</f>
        <v/>
      </c>
      <c r="D762">
        <f>IF(C762="","",C762&lt;=25)</f>
        <v/>
      </c>
      <c r="F762">
        <f>IF(A762="","",IF(AND(D762=TRUE,E762=""),"BUY",IF(AND(D762=FALSE,E762&lt;&gt;""),"SELL",IF(AND(D762=TRUE,E762&lt;&gt;""),"HOLD",""))))</f>
        <v/>
      </c>
      <c r="G762" s="12">
        <f>IF(D762=TRUE,4,0)</f>
        <v/>
      </c>
      <c r="H762">
        <f>IF(A762="","",BDP(A762&amp;" US Equity","GICS_SECTOR_NAME"))</f>
        <v/>
      </c>
    </row>
    <row r="763">
      <c r="A763">
        <f>'Factor Scores'!A763</f>
        <v/>
      </c>
      <c r="B763" s="10">
        <f>IF(A763="","",0.40*'Factor Scores'!C763+0.20*'Factor Scores'!E763+0.20*'Factor Scores'!G763+0.20*'Factor Scores'!H763)</f>
        <v/>
      </c>
      <c r="C763" s="12">
        <f>IF(B763="","",RANK(B763,$B$2:$B$2501,0))</f>
        <v/>
      </c>
      <c r="D763">
        <f>IF(C763="","",C763&lt;=25)</f>
        <v/>
      </c>
      <c r="F763">
        <f>IF(A763="","",IF(AND(D763=TRUE,E763=""),"BUY",IF(AND(D763=FALSE,E763&lt;&gt;""),"SELL",IF(AND(D763=TRUE,E763&lt;&gt;""),"HOLD",""))))</f>
        <v/>
      </c>
      <c r="G763" s="12">
        <f>IF(D763=TRUE,4,0)</f>
        <v/>
      </c>
      <c r="H763">
        <f>IF(A763="","",BDP(A763&amp;" US Equity","GICS_SECTOR_NAME"))</f>
        <v/>
      </c>
    </row>
    <row r="764">
      <c r="A764">
        <f>'Factor Scores'!A764</f>
        <v/>
      </c>
      <c r="B764" s="10">
        <f>IF(A764="","",0.40*'Factor Scores'!C764+0.20*'Factor Scores'!E764+0.20*'Factor Scores'!G764+0.20*'Factor Scores'!H764)</f>
        <v/>
      </c>
      <c r="C764" s="12">
        <f>IF(B764="","",RANK(B764,$B$2:$B$2501,0))</f>
        <v/>
      </c>
      <c r="D764">
        <f>IF(C764="","",C764&lt;=25)</f>
        <v/>
      </c>
      <c r="F764">
        <f>IF(A764="","",IF(AND(D764=TRUE,E764=""),"BUY",IF(AND(D764=FALSE,E764&lt;&gt;""),"SELL",IF(AND(D764=TRUE,E764&lt;&gt;""),"HOLD",""))))</f>
        <v/>
      </c>
      <c r="G764" s="12">
        <f>IF(D764=TRUE,4,0)</f>
        <v/>
      </c>
      <c r="H764">
        <f>IF(A764="","",BDP(A764&amp;" US Equity","GICS_SECTOR_NAME"))</f>
        <v/>
      </c>
    </row>
    <row r="765">
      <c r="A765">
        <f>'Factor Scores'!A765</f>
        <v/>
      </c>
      <c r="B765" s="10">
        <f>IF(A765="","",0.40*'Factor Scores'!C765+0.20*'Factor Scores'!E765+0.20*'Factor Scores'!G765+0.20*'Factor Scores'!H765)</f>
        <v/>
      </c>
      <c r="C765" s="12">
        <f>IF(B765="","",RANK(B765,$B$2:$B$2501,0))</f>
        <v/>
      </c>
      <c r="D765">
        <f>IF(C765="","",C765&lt;=25)</f>
        <v/>
      </c>
      <c r="F765">
        <f>IF(A765="","",IF(AND(D765=TRUE,E765=""),"BUY",IF(AND(D765=FALSE,E765&lt;&gt;""),"SELL",IF(AND(D765=TRUE,E765&lt;&gt;""),"HOLD",""))))</f>
        <v/>
      </c>
      <c r="G765" s="12">
        <f>IF(D765=TRUE,4,0)</f>
        <v/>
      </c>
      <c r="H765">
        <f>IF(A765="","",BDP(A765&amp;" US Equity","GICS_SECTOR_NAME"))</f>
        <v/>
      </c>
    </row>
    <row r="766">
      <c r="A766">
        <f>'Factor Scores'!A766</f>
        <v/>
      </c>
      <c r="B766" s="10">
        <f>IF(A766="","",0.40*'Factor Scores'!C766+0.20*'Factor Scores'!E766+0.20*'Factor Scores'!G766+0.20*'Factor Scores'!H766)</f>
        <v/>
      </c>
      <c r="C766" s="12">
        <f>IF(B766="","",RANK(B766,$B$2:$B$2501,0))</f>
        <v/>
      </c>
      <c r="D766">
        <f>IF(C766="","",C766&lt;=25)</f>
        <v/>
      </c>
      <c r="F766">
        <f>IF(A766="","",IF(AND(D766=TRUE,E766=""),"BUY",IF(AND(D766=FALSE,E766&lt;&gt;""),"SELL",IF(AND(D766=TRUE,E766&lt;&gt;""),"HOLD",""))))</f>
        <v/>
      </c>
      <c r="G766" s="12">
        <f>IF(D766=TRUE,4,0)</f>
        <v/>
      </c>
      <c r="H766">
        <f>IF(A766="","",BDP(A766&amp;" US Equity","GICS_SECTOR_NAME"))</f>
        <v/>
      </c>
    </row>
    <row r="767">
      <c r="A767">
        <f>'Factor Scores'!A767</f>
        <v/>
      </c>
      <c r="B767" s="10">
        <f>IF(A767="","",0.40*'Factor Scores'!C767+0.20*'Factor Scores'!E767+0.20*'Factor Scores'!G767+0.20*'Factor Scores'!H767)</f>
        <v/>
      </c>
      <c r="C767" s="12">
        <f>IF(B767="","",RANK(B767,$B$2:$B$2501,0))</f>
        <v/>
      </c>
      <c r="D767">
        <f>IF(C767="","",C767&lt;=25)</f>
        <v/>
      </c>
      <c r="F767">
        <f>IF(A767="","",IF(AND(D767=TRUE,E767=""),"BUY",IF(AND(D767=FALSE,E767&lt;&gt;""),"SELL",IF(AND(D767=TRUE,E767&lt;&gt;""),"HOLD",""))))</f>
        <v/>
      </c>
      <c r="G767" s="12">
        <f>IF(D767=TRUE,4,0)</f>
        <v/>
      </c>
      <c r="H767">
        <f>IF(A767="","",BDP(A767&amp;" US Equity","GICS_SECTOR_NAME"))</f>
        <v/>
      </c>
    </row>
    <row r="768">
      <c r="A768">
        <f>'Factor Scores'!A768</f>
        <v/>
      </c>
      <c r="B768" s="10">
        <f>IF(A768="","",0.40*'Factor Scores'!C768+0.20*'Factor Scores'!E768+0.20*'Factor Scores'!G768+0.20*'Factor Scores'!H768)</f>
        <v/>
      </c>
      <c r="C768" s="12">
        <f>IF(B768="","",RANK(B768,$B$2:$B$2501,0))</f>
        <v/>
      </c>
      <c r="D768">
        <f>IF(C768="","",C768&lt;=25)</f>
        <v/>
      </c>
      <c r="F768">
        <f>IF(A768="","",IF(AND(D768=TRUE,E768=""),"BUY",IF(AND(D768=FALSE,E768&lt;&gt;""),"SELL",IF(AND(D768=TRUE,E768&lt;&gt;""),"HOLD",""))))</f>
        <v/>
      </c>
      <c r="G768" s="12">
        <f>IF(D768=TRUE,4,0)</f>
        <v/>
      </c>
      <c r="H768">
        <f>IF(A768="","",BDP(A768&amp;" US Equity","GICS_SECTOR_NAME"))</f>
        <v/>
      </c>
    </row>
    <row r="769">
      <c r="A769">
        <f>'Factor Scores'!A769</f>
        <v/>
      </c>
      <c r="B769" s="10">
        <f>IF(A769="","",0.40*'Factor Scores'!C769+0.20*'Factor Scores'!E769+0.20*'Factor Scores'!G769+0.20*'Factor Scores'!H769)</f>
        <v/>
      </c>
      <c r="C769" s="12">
        <f>IF(B769="","",RANK(B769,$B$2:$B$2501,0))</f>
        <v/>
      </c>
      <c r="D769">
        <f>IF(C769="","",C769&lt;=25)</f>
        <v/>
      </c>
      <c r="F769">
        <f>IF(A769="","",IF(AND(D769=TRUE,E769=""),"BUY",IF(AND(D769=FALSE,E769&lt;&gt;""),"SELL",IF(AND(D769=TRUE,E769&lt;&gt;""),"HOLD",""))))</f>
        <v/>
      </c>
      <c r="G769" s="12">
        <f>IF(D769=TRUE,4,0)</f>
        <v/>
      </c>
      <c r="H769">
        <f>IF(A769="","",BDP(A769&amp;" US Equity","GICS_SECTOR_NAME"))</f>
        <v/>
      </c>
    </row>
    <row r="770">
      <c r="A770">
        <f>'Factor Scores'!A770</f>
        <v/>
      </c>
      <c r="B770" s="10">
        <f>IF(A770="","",0.40*'Factor Scores'!C770+0.20*'Factor Scores'!E770+0.20*'Factor Scores'!G770+0.20*'Factor Scores'!H770)</f>
        <v/>
      </c>
      <c r="C770" s="12">
        <f>IF(B770="","",RANK(B770,$B$2:$B$2501,0))</f>
        <v/>
      </c>
      <c r="D770">
        <f>IF(C770="","",C770&lt;=25)</f>
        <v/>
      </c>
      <c r="F770">
        <f>IF(A770="","",IF(AND(D770=TRUE,E770=""),"BUY",IF(AND(D770=FALSE,E770&lt;&gt;""),"SELL",IF(AND(D770=TRUE,E770&lt;&gt;""),"HOLD",""))))</f>
        <v/>
      </c>
      <c r="G770" s="12">
        <f>IF(D770=TRUE,4,0)</f>
        <v/>
      </c>
      <c r="H770">
        <f>IF(A770="","",BDP(A770&amp;" US Equity","GICS_SECTOR_NAME"))</f>
        <v/>
      </c>
    </row>
    <row r="771">
      <c r="A771">
        <f>'Factor Scores'!A771</f>
        <v/>
      </c>
      <c r="B771" s="10">
        <f>IF(A771="","",0.40*'Factor Scores'!C771+0.20*'Factor Scores'!E771+0.20*'Factor Scores'!G771+0.20*'Factor Scores'!H771)</f>
        <v/>
      </c>
      <c r="C771" s="12">
        <f>IF(B771="","",RANK(B771,$B$2:$B$2501,0))</f>
        <v/>
      </c>
      <c r="D771">
        <f>IF(C771="","",C771&lt;=25)</f>
        <v/>
      </c>
      <c r="F771">
        <f>IF(A771="","",IF(AND(D771=TRUE,E771=""),"BUY",IF(AND(D771=FALSE,E771&lt;&gt;""),"SELL",IF(AND(D771=TRUE,E771&lt;&gt;""),"HOLD",""))))</f>
        <v/>
      </c>
      <c r="G771" s="12">
        <f>IF(D771=TRUE,4,0)</f>
        <v/>
      </c>
      <c r="H771">
        <f>IF(A771="","",BDP(A771&amp;" US Equity","GICS_SECTOR_NAME"))</f>
        <v/>
      </c>
    </row>
    <row r="772">
      <c r="A772">
        <f>'Factor Scores'!A772</f>
        <v/>
      </c>
      <c r="B772" s="10">
        <f>IF(A772="","",0.40*'Factor Scores'!C772+0.20*'Factor Scores'!E772+0.20*'Factor Scores'!G772+0.20*'Factor Scores'!H772)</f>
        <v/>
      </c>
      <c r="C772" s="12">
        <f>IF(B772="","",RANK(B772,$B$2:$B$2501,0))</f>
        <v/>
      </c>
      <c r="D772">
        <f>IF(C772="","",C772&lt;=25)</f>
        <v/>
      </c>
      <c r="F772">
        <f>IF(A772="","",IF(AND(D772=TRUE,E772=""),"BUY",IF(AND(D772=FALSE,E772&lt;&gt;""),"SELL",IF(AND(D772=TRUE,E772&lt;&gt;""),"HOLD",""))))</f>
        <v/>
      </c>
      <c r="G772" s="12">
        <f>IF(D772=TRUE,4,0)</f>
        <v/>
      </c>
      <c r="H772">
        <f>IF(A772="","",BDP(A772&amp;" US Equity","GICS_SECTOR_NAME"))</f>
        <v/>
      </c>
    </row>
    <row r="773">
      <c r="A773">
        <f>'Factor Scores'!A773</f>
        <v/>
      </c>
      <c r="B773" s="10">
        <f>IF(A773="","",0.40*'Factor Scores'!C773+0.20*'Factor Scores'!E773+0.20*'Factor Scores'!G773+0.20*'Factor Scores'!H773)</f>
        <v/>
      </c>
      <c r="C773" s="12">
        <f>IF(B773="","",RANK(B773,$B$2:$B$2501,0))</f>
        <v/>
      </c>
      <c r="D773">
        <f>IF(C773="","",C773&lt;=25)</f>
        <v/>
      </c>
      <c r="F773">
        <f>IF(A773="","",IF(AND(D773=TRUE,E773=""),"BUY",IF(AND(D773=FALSE,E773&lt;&gt;""),"SELL",IF(AND(D773=TRUE,E773&lt;&gt;""),"HOLD",""))))</f>
        <v/>
      </c>
      <c r="G773" s="12">
        <f>IF(D773=TRUE,4,0)</f>
        <v/>
      </c>
      <c r="H773">
        <f>IF(A773="","",BDP(A773&amp;" US Equity","GICS_SECTOR_NAME"))</f>
        <v/>
      </c>
    </row>
    <row r="774">
      <c r="A774">
        <f>'Factor Scores'!A774</f>
        <v/>
      </c>
      <c r="B774" s="10">
        <f>IF(A774="","",0.40*'Factor Scores'!C774+0.20*'Factor Scores'!E774+0.20*'Factor Scores'!G774+0.20*'Factor Scores'!H774)</f>
        <v/>
      </c>
      <c r="C774" s="12">
        <f>IF(B774="","",RANK(B774,$B$2:$B$2501,0))</f>
        <v/>
      </c>
      <c r="D774">
        <f>IF(C774="","",C774&lt;=25)</f>
        <v/>
      </c>
      <c r="F774">
        <f>IF(A774="","",IF(AND(D774=TRUE,E774=""),"BUY",IF(AND(D774=FALSE,E774&lt;&gt;""),"SELL",IF(AND(D774=TRUE,E774&lt;&gt;""),"HOLD",""))))</f>
        <v/>
      </c>
      <c r="G774" s="12">
        <f>IF(D774=TRUE,4,0)</f>
        <v/>
      </c>
      <c r="H774">
        <f>IF(A774="","",BDP(A774&amp;" US Equity","GICS_SECTOR_NAME"))</f>
        <v/>
      </c>
    </row>
    <row r="775">
      <c r="A775">
        <f>'Factor Scores'!A775</f>
        <v/>
      </c>
      <c r="B775" s="10">
        <f>IF(A775="","",0.40*'Factor Scores'!C775+0.20*'Factor Scores'!E775+0.20*'Factor Scores'!G775+0.20*'Factor Scores'!H775)</f>
        <v/>
      </c>
      <c r="C775" s="12">
        <f>IF(B775="","",RANK(B775,$B$2:$B$2501,0))</f>
        <v/>
      </c>
      <c r="D775">
        <f>IF(C775="","",C775&lt;=25)</f>
        <v/>
      </c>
      <c r="F775">
        <f>IF(A775="","",IF(AND(D775=TRUE,E775=""),"BUY",IF(AND(D775=FALSE,E775&lt;&gt;""),"SELL",IF(AND(D775=TRUE,E775&lt;&gt;""),"HOLD",""))))</f>
        <v/>
      </c>
      <c r="G775" s="12">
        <f>IF(D775=TRUE,4,0)</f>
        <v/>
      </c>
      <c r="H775">
        <f>IF(A775="","",BDP(A775&amp;" US Equity","GICS_SECTOR_NAME"))</f>
        <v/>
      </c>
    </row>
    <row r="776">
      <c r="A776">
        <f>'Factor Scores'!A776</f>
        <v/>
      </c>
      <c r="B776" s="10">
        <f>IF(A776="","",0.40*'Factor Scores'!C776+0.20*'Factor Scores'!E776+0.20*'Factor Scores'!G776+0.20*'Factor Scores'!H776)</f>
        <v/>
      </c>
      <c r="C776" s="12">
        <f>IF(B776="","",RANK(B776,$B$2:$B$2501,0))</f>
        <v/>
      </c>
      <c r="D776">
        <f>IF(C776="","",C776&lt;=25)</f>
        <v/>
      </c>
      <c r="F776">
        <f>IF(A776="","",IF(AND(D776=TRUE,E776=""),"BUY",IF(AND(D776=FALSE,E776&lt;&gt;""),"SELL",IF(AND(D776=TRUE,E776&lt;&gt;""),"HOLD",""))))</f>
        <v/>
      </c>
      <c r="G776" s="12">
        <f>IF(D776=TRUE,4,0)</f>
        <v/>
      </c>
      <c r="H776">
        <f>IF(A776="","",BDP(A776&amp;" US Equity","GICS_SECTOR_NAME"))</f>
        <v/>
      </c>
    </row>
    <row r="777">
      <c r="A777">
        <f>'Factor Scores'!A777</f>
        <v/>
      </c>
      <c r="B777" s="10">
        <f>IF(A777="","",0.40*'Factor Scores'!C777+0.20*'Factor Scores'!E777+0.20*'Factor Scores'!G777+0.20*'Factor Scores'!H777)</f>
        <v/>
      </c>
      <c r="C777" s="12">
        <f>IF(B777="","",RANK(B777,$B$2:$B$2501,0))</f>
        <v/>
      </c>
      <c r="D777">
        <f>IF(C777="","",C777&lt;=25)</f>
        <v/>
      </c>
      <c r="F777">
        <f>IF(A777="","",IF(AND(D777=TRUE,E777=""),"BUY",IF(AND(D777=FALSE,E777&lt;&gt;""),"SELL",IF(AND(D777=TRUE,E777&lt;&gt;""),"HOLD",""))))</f>
        <v/>
      </c>
      <c r="G777" s="12">
        <f>IF(D777=TRUE,4,0)</f>
        <v/>
      </c>
      <c r="H777">
        <f>IF(A777="","",BDP(A777&amp;" US Equity","GICS_SECTOR_NAME"))</f>
        <v/>
      </c>
    </row>
    <row r="778">
      <c r="A778">
        <f>'Factor Scores'!A778</f>
        <v/>
      </c>
      <c r="B778" s="10">
        <f>IF(A778="","",0.40*'Factor Scores'!C778+0.20*'Factor Scores'!E778+0.20*'Factor Scores'!G778+0.20*'Factor Scores'!H778)</f>
        <v/>
      </c>
      <c r="C778" s="12">
        <f>IF(B778="","",RANK(B778,$B$2:$B$2501,0))</f>
        <v/>
      </c>
      <c r="D778">
        <f>IF(C778="","",C778&lt;=25)</f>
        <v/>
      </c>
      <c r="F778">
        <f>IF(A778="","",IF(AND(D778=TRUE,E778=""),"BUY",IF(AND(D778=FALSE,E778&lt;&gt;""),"SELL",IF(AND(D778=TRUE,E778&lt;&gt;""),"HOLD",""))))</f>
        <v/>
      </c>
      <c r="G778" s="12">
        <f>IF(D778=TRUE,4,0)</f>
        <v/>
      </c>
      <c r="H778">
        <f>IF(A778="","",BDP(A778&amp;" US Equity","GICS_SECTOR_NAME"))</f>
        <v/>
      </c>
    </row>
    <row r="779">
      <c r="A779">
        <f>'Factor Scores'!A779</f>
        <v/>
      </c>
      <c r="B779" s="10">
        <f>IF(A779="","",0.40*'Factor Scores'!C779+0.20*'Factor Scores'!E779+0.20*'Factor Scores'!G779+0.20*'Factor Scores'!H779)</f>
        <v/>
      </c>
      <c r="C779" s="12">
        <f>IF(B779="","",RANK(B779,$B$2:$B$2501,0))</f>
        <v/>
      </c>
      <c r="D779">
        <f>IF(C779="","",C779&lt;=25)</f>
        <v/>
      </c>
      <c r="F779">
        <f>IF(A779="","",IF(AND(D779=TRUE,E779=""),"BUY",IF(AND(D779=FALSE,E779&lt;&gt;""),"SELL",IF(AND(D779=TRUE,E779&lt;&gt;""),"HOLD",""))))</f>
        <v/>
      </c>
      <c r="G779" s="12">
        <f>IF(D779=TRUE,4,0)</f>
        <v/>
      </c>
      <c r="H779">
        <f>IF(A779="","",BDP(A779&amp;" US Equity","GICS_SECTOR_NAME"))</f>
        <v/>
      </c>
    </row>
    <row r="780">
      <c r="A780">
        <f>'Factor Scores'!A780</f>
        <v/>
      </c>
      <c r="B780" s="10">
        <f>IF(A780="","",0.40*'Factor Scores'!C780+0.20*'Factor Scores'!E780+0.20*'Factor Scores'!G780+0.20*'Factor Scores'!H780)</f>
        <v/>
      </c>
      <c r="C780" s="12">
        <f>IF(B780="","",RANK(B780,$B$2:$B$2501,0))</f>
        <v/>
      </c>
      <c r="D780">
        <f>IF(C780="","",C780&lt;=25)</f>
        <v/>
      </c>
      <c r="F780">
        <f>IF(A780="","",IF(AND(D780=TRUE,E780=""),"BUY",IF(AND(D780=FALSE,E780&lt;&gt;""),"SELL",IF(AND(D780=TRUE,E780&lt;&gt;""),"HOLD",""))))</f>
        <v/>
      </c>
      <c r="G780" s="12">
        <f>IF(D780=TRUE,4,0)</f>
        <v/>
      </c>
      <c r="H780">
        <f>IF(A780="","",BDP(A780&amp;" US Equity","GICS_SECTOR_NAME"))</f>
        <v/>
      </c>
    </row>
    <row r="781">
      <c r="A781">
        <f>'Factor Scores'!A781</f>
        <v/>
      </c>
      <c r="B781" s="10">
        <f>IF(A781="","",0.40*'Factor Scores'!C781+0.20*'Factor Scores'!E781+0.20*'Factor Scores'!G781+0.20*'Factor Scores'!H781)</f>
        <v/>
      </c>
      <c r="C781" s="12">
        <f>IF(B781="","",RANK(B781,$B$2:$B$2501,0))</f>
        <v/>
      </c>
      <c r="D781">
        <f>IF(C781="","",C781&lt;=25)</f>
        <v/>
      </c>
      <c r="F781">
        <f>IF(A781="","",IF(AND(D781=TRUE,E781=""),"BUY",IF(AND(D781=FALSE,E781&lt;&gt;""),"SELL",IF(AND(D781=TRUE,E781&lt;&gt;""),"HOLD",""))))</f>
        <v/>
      </c>
      <c r="G781" s="12">
        <f>IF(D781=TRUE,4,0)</f>
        <v/>
      </c>
      <c r="H781">
        <f>IF(A781="","",BDP(A781&amp;" US Equity","GICS_SECTOR_NAME"))</f>
        <v/>
      </c>
    </row>
    <row r="782">
      <c r="A782">
        <f>'Factor Scores'!A782</f>
        <v/>
      </c>
      <c r="B782" s="10">
        <f>IF(A782="","",0.40*'Factor Scores'!C782+0.20*'Factor Scores'!E782+0.20*'Factor Scores'!G782+0.20*'Factor Scores'!H782)</f>
        <v/>
      </c>
      <c r="C782" s="12">
        <f>IF(B782="","",RANK(B782,$B$2:$B$2501,0))</f>
        <v/>
      </c>
      <c r="D782">
        <f>IF(C782="","",C782&lt;=25)</f>
        <v/>
      </c>
      <c r="F782">
        <f>IF(A782="","",IF(AND(D782=TRUE,E782=""),"BUY",IF(AND(D782=FALSE,E782&lt;&gt;""),"SELL",IF(AND(D782=TRUE,E782&lt;&gt;""),"HOLD",""))))</f>
        <v/>
      </c>
      <c r="G782" s="12">
        <f>IF(D782=TRUE,4,0)</f>
        <v/>
      </c>
      <c r="H782">
        <f>IF(A782="","",BDP(A782&amp;" US Equity","GICS_SECTOR_NAME"))</f>
        <v/>
      </c>
    </row>
    <row r="783">
      <c r="A783">
        <f>'Factor Scores'!A783</f>
        <v/>
      </c>
      <c r="B783" s="10">
        <f>IF(A783="","",0.40*'Factor Scores'!C783+0.20*'Factor Scores'!E783+0.20*'Factor Scores'!G783+0.20*'Factor Scores'!H783)</f>
        <v/>
      </c>
      <c r="C783" s="12">
        <f>IF(B783="","",RANK(B783,$B$2:$B$2501,0))</f>
        <v/>
      </c>
      <c r="D783">
        <f>IF(C783="","",C783&lt;=25)</f>
        <v/>
      </c>
      <c r="F783">
        <f>IF(A783="","",IF(AND(D783=TRUE,E783=""),"BUY",IF(AND(D783=FALSE,E783&lt;&gt;""),"SELL",IF(AND(D783=TRUE,E783&lt;&gt;""),"HOLD",""))))</f>
        <v/>
      </c>
      <c r="G783" s="12">
        <f>IF(D783=TRUE,4,0)</f>
        <v/>
      </c>
      <c r="H783">
        <f>IF(A783="","",BDP(A783&amp;" US Equity","GICS_SECTOR_NAME"))</f>
        <v/>
      </c>
    </row>
    <row r="784">
      <c r="A784">
        <f>'Factor Scores'!A784</f>
        <v/>
      </c>
      <c r="B784" s="10">
        <f>IF(A784="","",0.40*'Factor Scores'!C784+0.20*'Factor Scores'!E784+0.20*'Factor Scores'!G784+0.20*'Factor Scores'!H784)</f>
        <v/>
      </c>
      <c r="C784" s="12">
        <f>IF(B784="","",RANK(B784,$B$2:$B$2501,0))</f>
        <v/>
      </c>
      <c r="D784">
        <f>IF(C784="","",C784&lt;=25)</f>
        <v/>
      </c>
      <c r="F784">
        <f>IF(A784="","",IF(AND(D784=TRUE,E784=""),"BUY",IF(AND(D784=FALSE,E784&lt;&gt;""),"SELL",IF(AND(D784=TRUE,E784&lt;&gt;""),"HOLD",""))))</f>
        <v/>
      </c>
      <c r="G784" s="12">
        <f>IF(D784=TRUE,4,0)</f>
        <v/>
      </c>
      <c r="H784">
        <f>IF(A784="","",BDP(A784&amp;" US Equity","GICS_SECTOR_NAME"))</f>
        <v/>
      </c>
    </row>
    <row r="785">
      <c r="A785">
        <f>'Factor Scores'!A785</f>
        <v/>
      </c>
      <c r="B785" s="10">
        <f>IF(A785="","",0.40*'Factor Scores'!C785+0.20*'Factor Scores'!E785+0.20*'Factor Scores'!G785+0.20*'Factor Scores'!H785)</f>
        <v/>
      </c>
      <c r="C785" s="12">
        <f>IF(B785="","",RANK(B785,$B$2:$B$2501,0))</f>
        <v/>
      </c>
      <c r="D785">
        <f>IF(C785="","",C785&lt;=25)</f>
        <v/>
      </c>
      <c r="F785">
        <f>IF(A785="","",IF(AND(D785=TRUE,E785=""),"BUY",IF(AND(D785=FALSE,E785&lt;&gt;""),"SELL",IF(AND(D785=TRUE,E785&lt;&gt;""),"HOLD",""))))</f>
        <v/>
      </c>
      <c r="G785" s="12">
        <f>IF(D785=TRUE,4,0)</f>
        <v/>
      </c>
      <c r="H785">
        <f>IF(A785="","",BDP(A785&amp;" US Equity","GICS_SECTOR_NAME"))</f>
        <v/>
      </c>
    </row>
    <row r="786">
      <c r="A786">
        <f>'Factor Scores'!A786</f>
        <v/>
      </c>
      <c r="B786" s="10">
        <f>IF(A786="","",0.40*'Factor Scores'!C786+0.20*'Factor Scores'!E786+0.20*'Factor Scores'!G786+0.20*'Factor Scores'!H786)</f>
        <v/>
      </c>
      <c r="C786" s="12">
        <f>IF(B786="","",RANK(B786,$B$2:$B$2501,0))</f>
        <v/>
      </c>
      <c r="D786">
        <f>IF(C786="","",C786&lt;=25)</f>
        <v/>
      </c>
      <c r="F786">
        <f>IF(A786="","",IF(AND(D786=TRUE,E786=""),"BUY",IF(AND(D786=FALSE,E786&lt;&gt;""),"SELL",IF(AND(D786=TRUE,E786&lt;&gt;""),"HOLD",""))))</f>
        <v/>
      </c>
      <c r="G786" s="12">
        <f>IF(D786=TRUE,4,0)</f>
        <v/>
      </c>
      <c r="H786">
        <f>IF(A786="","",BDP(A786&amp;" US Equity","GICS_SECTOR_NAME"))</f>
        <v/>
      </c>
    </row>
    <row r="787">
      <c r="A787">
        <f>'Factor Scores'!A787</f>
        <v/>
      </c>
      <c r="B787" s="10">
        <f>IF(A787="","",0.40*'Factor Scores'!C787+0.20*'Factor Scores'!E787+0.20*'Factor Scores'!G787+0.20*'Factor Scores'!H787)</f>
        <v/>
      </c>
      <c r="C787" s="12">
        <f>IF(B787="","",RANK(B787,$B$2:$B$2501,0))</f>
        <v/>
      </c>
      <c r="D787">
        <f>IF(C787="","",C787&lt;=25)</f>
        <v/>
      </c>
      <c r="F787">
        <f>IF(A787="","",IF(AND(D787=TRUE,E787=""),"BUY",IF(AND(D787=FALSE,E787&lt;&gt;""),"SELL",IF(AND(D787=TRUE,E787&lt;&gt;""),"HOLD",""))))</f>
        <v/>
      </c>
      <c r="G787" s="12">
        <f>IF(D787=TRUE,4,0)</f>
        <v/>
      </c>
      <c r="H787">
        <f>IF(A787="","",BDP(A787&amp;" US Equity","GICS_SECTOR_NAME"))</f>
        <v/>
      </c>
    </row>
    <row r="788">
      <c r="A788">
        <f>'Factor Scores'!A788</f>
        <v/>
      </c>
      <c r="B788" s="10">
        <f>IF(A788="","",0.40*'Factor Scores'!C788+0.20*'Factor Scores'!E788+0.20*'Factor Scores'!G788+0.20*'Factor Scores'!H788)</f>
        <v/>
      </c>
      <c r="C788" s="12">
        <f>IF(B788="","",RANK(B788,$B$2:$B$2501,0))</f>
        <v/>
      </c>
      <c r="D788">
        <f>IF(C788="","",C788&lt;=25)</f>
        <v/>
      </c>
      <c r="F788">
        <f>IF(A788="","",IF(AND(D788=TRUE,E788=""),"BUY",IF(AND(D788=FALSE,E788&lt;&gt;""),"SELL",IF(AND(D788=TRUE,E788&lt;&gt;""),"HOLD",""))))</f>
        <v/>
      </c>
      <c r="G788" s="12">
        <f>IF(D788=TRUE,4,0)</f>
        <v/>
      </c>
      <c r="H788">
        <f>IF(A788="","",BDP(A788&amp;" US Equity","GICS_SECTOR_NAME"))</f>
        <v/>
      </c>
    </row>
    <row r="789">
      <c r="A789">
        <f>'Factor Scores'!A789</f>
        <v/>
      </c>
      <c r="B789" s="10">
        <f>IF(A789="","",0.40*'Factor Scores'!C789+0.20*'Factor Scores'!E789+0.20*'Factor Scores'!G789+0.20*'Factor Scores'!H789)</f>
        <v/>
      </c>
      <c r="C789" s="12">
        <f>IF(B789="","",RANK(B789,$B$2:$B$2501,0))</f>
        <v/>
      </c>
      <c r="D789">
        <f>IF(C789="","",C789&lt;=25)</f>
        <v/>
      </c>
      <c r="F789">
        <f>IF(A789="","",IF(AND(D789=TRUE,E789=""),"BUY",IF(AND(D789=FALSE,E789&lt;&gt;""),"SELL",IF(AND(D789=TRUE,E789&lt;&gt;""),"HOLD",""))))</f>
        <v/>
      </c>
      <c r="G789" s="12">
        <f>IF(D789=TRUE,4,0)</f>
        <v/>
      </c>
      <c r="H789">
        <f>IF(A789="","",BDP(A789&amp;" US Equity","GICS_SECTOR_NAME"))</f>
        <v/>
      </c>
    </row>
    <row r="790">
      <c r="A790">
        <f>'Factor Scores'!A790</f>
        <v/>
      </c>
      <c r="B790" s="10">
        <f>IF(A790="","",0.40*'Factor Scores'!C790+0.20*'Factor Scores'!E790+0.20*'Factor Scores'!G790+0.20*'Factor Scores'!H790)</f>
        <v/>
      </c>
      <c r="C790" s="12">
        <f>IF(B790="","",RANK(B790,$B$2:$B$2501,0))</f>
        <v/>
      </c>
      <c r="D790">
        <f>IF(C790="","",C790&lt;=25)</f>
        <v/>
      </c>
      <c r="F790">
        <f>IF(A790="","",IF(AND(D790=TRUE,E790=""),"BUY",IF(AND(D790=FALSE,E790&lt;&gt;""),"SELL",IF(AND(D790=TRUE,E790&lt;&gt;""),"HOLD",""))))</f>
        <v/>
      </c>
      <c r="G790" s="12">
        <f>IF(D790=TRUE,4,0)</f>
        <v/>
      </c>
      <c r="H790">
        <f>IF(A790="","",BDP(A790&amp;" US Equity","GICS_SECTOR_NAME"))</f>
        <v/>
      </c>
    </row>
    <row r="791">
      <c r="A791">
        <f>'Factor Scores'!A791</f>
        <v/>
      </c>
      <c r="B791" s="10">
        <f>IF(A791="","",0.40*'Factor Scores'!C791+0.20*'Factor Scores'!E791+0.20*'Factor Scores'!G791+0.20*'Factor Scores'!H791)</f>
        <v/>
      </c>
      <c r="C791" s="12">
        <f>IF(B791="","",RANK(B791,$B$2:$B$2501,0))</f>
        <v/>
      </c>
      <c r="D791">
        <f>IF(C791="","",C791&lt;=25)</f>
        <v/>
      </c>
      <c r="F791">
        <f>IF(A791="","",IF(AND(D791=TRUE,E791=""),"BUY",IF(AND(D791=FALSE,E791&lt;&gt;""),"SELL",IF(AND(D791=TRUE,E791&lt;&gt;""),"HOLD",""))))</f>
        <v/>
      </c>
      <c r="G791" s="12">
        <f>IF(D791=TRUE,4,0)</f>
        <v/>
      </c>
      <c r="H791">
        <f>IF(A791="","",BDP(A791&amp;" US Equity","GICS_SECTOR_NAME"))</f>
        <v/>
      </c>
    </row>
    <row r="792">
      <c r="A792">
        <f>'Factor Scores'!A792</f>
        <v/>
      </c>
      <c r="B792" s="10">
        <f>IF(A792="","",0.40*'Factor Scores'!C792+0.20*'Factor Scores'!E792+0.20*'Factor Scores'!G792+0.20*'Factor Scores'!H792)</f>
        <v/>
      </c>
      <c r="C792" s="12">
        <f>IF(B792="","",RANK(B792,$B$2:$B$2501,0))</f>
        <v/>
      </c>
      <c r="D792">
        <f>IF(C792="","",C792&lt;=25)</f>
        <v/>
      </c>
      <c r="F792">
        <f>IF(A792="","",IF(AND(D792=TRUE,E792=""),"BUY",IF(AND(D792=FALSE,E792&lt;&gt;""),"SELL",IF(AND(D792=TRUE,E792&lt;&gt;""),"HOLD",""))))</f>
        <v/>
      </c>
      <c r="G792" s="12">
        <f>IF(D792=TRUE,4,0)</f>
        <v/>
      </c>
      <c r="H792">
        <f>IF(A792="","",BDP(A792&amp;" US Equity","GICS_SECTOR_NAME"))</f>
        <v/>
      </c>
    </row>
    <row r="793">
      <c r="A793">
        <f>'Factor Scores'!A793</f>
        <v/>
      </c>
      <c r="B793" s="10">
        <f>IF(A793="","",0.40*'Factor Scores'!C793+0.20*'Factor Scores'!E793+0.20*'Factor Scores'!G793+0.20*'Factor Scores'!H793)</f>
        <v/>
      </c>
      <c r="C793" s="12">
        <f>IF(B793="","",RANK(B793,$B$2:$B$2501,0))</f>
        <v/>
      </c>
      <c r="D793">
        <f>IF(C793="","",C793&lt;=25)</f>
        <v/>
      </c>
      <c r="F793">
        <f>IF(A793="","",IF(AND(D793=TRUE,E793=""),"BUY",IF(AND(D793=FALSE,E793&lt;&gt;""),"SELL",IF(AND(D793=TRUE,E793&lt;&gt;""),"HOLD",""))))</f>
        <v/>
      </c>
      <c r="G793" s="12">
        <f>IF(D793=TRUE,4,0)</f>
        <v/>
      </c>
      <c r="H793">
        <f>IF(A793="","",BDP(A793&amp;" US Equity","GICS_SECTOR_NAME"))</f>
        <v/>
      </c>
    </row>
    <row r="794">
      <c r="A794">
        <f>'Factor Scores'!A794</f>
        <v/>
      </c>
      <c r="B794" s="10">
        <f>IF(A794="","",0.40*'Factor Scores'!C794+0.20*'Factor Scores'!E794+0.20*'Factor Scores'!G794+0.20*'Factor Scores'!H794)</f>
        <v/>
      </c>
      <c r="C794" s="12">
        <f>IF(B794="","",RANK(B794,$B$2:$B$2501,0))</f>
        <v/>
      </c>
      <c r="D794">
        <f>IF(C794="","",C794&lt;=25)</f>
        <v/>
      </c>
      <c r="F794">
        <f>IF(A794="","",IF(AND(D794=TRUE,E794=""),"BUY",IF(AND(D794=FALSE,E794&lt;&gt;""),"SELL",IF(AND(D794=TRUE,E794&lt;&gt;""),"HOLD",""))))</f>
        <v/>
      </c>
      <c r="G794" s="12">
        <f>IF(D794=TRUE,4,0)</f>
        <v/>
      </c>
      <c r="H794">
        <f>IF(A794="","",BDP(A794&amp;" US Equity","GICS_SECTOR_NAME"))</f>
        <v/>
      </c>
    </row>
    <row r="795">
      <c r="A795">
        <f>'Factor Scores'!A795</f>
        <v/>
      </c>
      <c r="B795" s="10">
        <f>IF(A795="","",0.40*'Factor Scores'!C795+0.20*'Factor Scores'!E795+0.20*'Factor Scores'!G795+0.20*'Factor Scores'!H795)</f>
        <v/>
      </c>
      <c r="C795" s="12">
        <f>IF(B795="","",RANK(B795,$B$2:$B$2501,0))</f>
        <v/>
      </c>
      <c r="D795">
        <f>IF(C795="","",C795&lt;=25)</f>
        <v/>
      </c>
      <c r="F795">
        <f>IF(A795="","",IF(AND(D795=TRUE,E795=""),"BUY",IF(AND(D795=FALSE,E795&lt;&gt;""),"SELL",IF(AND(D795=TRUE,E795&lt;&gt;""),"HOLD",""))))</f>
        <v/>
      </c>
      <c r="G795" s="12">
        <f>IF(D795=TRUE,4,0)</f>
        <v/>
      </c>
      <c r="H795">
        <f>IF(A795="","",BDP(A795&amp;" US Equity","GICS_SECTOR_NAME"))</f>
        <v/>
      </c>
    </row>
    <row r="796">
      <c r="A796">
        <f>'Factor Scores'!A796</f>
        <v/>
      </c>
      <c r="B796" s="10">
        <f>IF(A796="","",0.40*'Factor Scores'!C796+0.20*'Factor Scores'!E796+0.20*'Factor Scores'!G796+0.20*'Factor Scores'!H796)</f>
        <v/>
      </c>
      <c r="C796" s="12">
        <f>IF(B796="","",RANK(B796,$B$2:$B$2501,0))</f>
        <v/>
      </c>
      <c r="D796">
        <f>IF(C796="","",C796&lt;=25)</f>
        <v/>
      </c>
      <c r="F796">
        <f>IF(A796="","",IF(AND(D796=TRUE,E796=""),"BUY",IF(AND(D796=FALSE,E796&lt;&gt;""),"SELL",IF(AND(D796=TRUE,E796&lt;&gt;""),"HOLD",""))))</f>
        <v/>
      </c>
      <c r="G796" s="12">
        <f>IF(D796=TRUE,4,0)</f>
        <v/>
      </c>
      <c r="H796">
        <f>IF(A796="","",BDP(A796&amp;" US Equity","GICS_SECTOR_NAME"))</f>
        <v/>
      </c>
    </row>
    <row r="797">
      <c r="A797">
        <f>'Factor Scores'!A797</f>
        <v/>
      </c>
      <c r="B797" s="10">
        <f>IF(A797="","",0.40*'Factor Scores'!C797+0.20*'Factor Scores'!E797+0.20*'Factor Scores'!G797+0.20*'Factor Scores'!H797)</f>
        <v/>
      </c>
      <c r="C797" s="12">
        <f>IF(B797="","",RANK(B797,$B$2:$B$2501,0))</f>
        <v/>
      </c>
      <c r="D797">
        <f>IF(C797="","",C797&lt;=25)</f>
        <v/>
      </c>
      <c r="F797">
        <f>IF(A797="","",IF(AND(D797=TRUE,E797=""),"BUY",IF(AND(D797=FALSE,E797&lt;&gt;""),"SELL",IF(AND(D797=TRUE,E797&lt;&gt;""),"HOLD",""))))</f>
        <v/>
      </c>
      <c r="G797" s="12">
        <f>IF(D797=TRUE,4,0)</f>
        <v/>
      </c>
      <c r="H797">
        <f>IF(A797="","",BDP(A797&amp;" US Equity","GICS_SECTOR_NAME"))</f>
        <v/>
      </c>
    </row>
    <row r="798">
      <c r="A798">
        <f>'Factor Scores'!A798</f>
        <v/>
      </c>
      <c r="B798" s="10">
        <f>IF(A798="","",0.40*'Factor Scores'!C798+0.20*'Factor Scores'!E798+0.20*'Factor Scores'!G798+0.20*'Factor Scores'!H798)</f>
        <v/>
      </c>
      <c r="C798" s="12">
        <f>IF(B798="","",RANK(B798,$B$2:$B$2501,0))</f>
        <v/>
      </c>
      <c r="D798">
        <f>IF(C798="","",C798&lt;=25)</f>
        <v/>
      </c>
      <c r="F798">
        <f>IF(A798="","",IF(AND(D798=TRUE,E798=""),"BUY",IF(AND(D798=FALSE,E798&lt;&gt;""),"SELL",IF(AND(D798=TRUE,E798&lt;&gt;""),"HOLD",""))))</f>
        <v/>
      </c>
      <c r="G798" s="12">
        <f>IF(D798=TRUE,4,0)</f>
        <v/>
      </c>
      <c r="H798">
        <f>IF(A798="","",BDP(A798&amp;" US Equity","GICS_SECTOR_NAME"))</f>
        <v/>
      </c>
    </row>
    <row r="799">
      <c r="A799">
        <f>'Factor Scores'!A799</f>
        <v/>
      </c>
      <c r="B799" s="10">
        <f>IF(A799="","",0.40*'Factor Scores'!C799+0.20*'Factor Scores'!E799+0.20*'Factor Scores'!G799+0.20*'Factor Scores'!H799)</f>
        <v/>
      </c>
      <c r="C799" s="12">
        <f>IF(B799="","",RANK(B799,$B$2:$B$2501,0))</f>
        <v/>
      </c>
      <c r="D799">
        <f>IF(C799="","",C799&lt;=25)</f>
        <v/>
      </c>
      <c r="F799">
        <f>IF(A799="","",IF(AND(D799=TRUE,E799=""),"BUY",IF(AND(D799=FALSE,E799&lt;&gt;""),"SELL",IF(AND(D799=TRUE,E799&lt;&gt;""),"HOLD",""))))</f>
        <v/>
      </c>
      <c r="G799" s="12">
        <f>IF(D799=TRUE,4,0)</f>
        <v/>
      </c>
      <c r="H799">
        <f>IF(A799="","",BDP(A799&amp;" US Equity","GICS_SECTOR_NAME"))</f>
        <v/>
      </c>
    </row>
    <row r="800">
      <c r="A800">
        <f>'Factor Scores'!A800</f>
        <v/>
      </c>
      <c r="B800" s="10">
        <f>IF(A800="","",0.40*'Factor Scores'!C800+0.20*'Factor Scores'!E800+0.20*'Factor Scores'!G800+0.20*'Factor Scores'!H800)</f>
        <v/>
      </c>
      <c r="C800" s="12">
        <f>IF(B800="","",RANK(B800,$B$2:$B$2501,0))</f>
        <v/>
      </c>
      <c r="D800">
        <f>IF(C800="","",C800&lt;=25)</f>
        <v/>
      </c>
      <c r="F800">
        <f>IF(A800="","",IF(AND(D800=TRUE,E800=""),"BUY",IF(AND(D800=FALSE,E800&lt;&gt;""),"SELL",IF(AND(D800=TRUE,E800&lt;&gt;""),"HOLD",""))))</f>
        <v/>
      </c>
      <c r="G800" s="12">
        <f>IF(D800=TRUE,4,0)</f>
        <v/>
      </c>
      <c r="H800">
        <f>IF(A800="","",BDP(A800&amp;" US Equity","GICS_SECTOR_NAME"))</f>
        <v/>
      </c>
    </row>
    <row r="801">
      <c r="A801">
        <f>'Factor Scores'!A801</f>
        <v/>
      </c>
      <c r="B801" s="10">
        <f>IF(A801="","",0.40*'Factor Scores'!C801+0.20*'Factor Scores'!E801+0.20*'Factor Scores'!G801+0.20*'Factor Scores'!H801)</f>
        <v/>
      </c>
      <c r="C801" s="12">
        <f>IF(B801="","",RANK(B801,$B$2:$B$2501,0))</f>
        <v/>
      </c>
      <c r="D801">
        <f>IF(C801="","",C801&lt;=25)</f>
        <v/>
      </c>
      <c r="F801">
        <f>IF(A801="","",IF(AND(D801=TRUE,E801=""),"BUY",IF(AND(D801=FALSE,E801&lt;&gt;""),"SELL",IF(AND(D801=TRUE,E801&lt;&gt;""),"HOLD",""))))</f>
        <v/>
      </c>
      <c r="G801" s="12">
        <f>IF(D801=TRUE,4,0)</f>
        <v/>
      </c>
      <c r="H801">
        <f>IF(A801="","",BDP(A801&amp;" US Equity","GICS_SECTOR_NAME"))</f>
        <v/>
      </c>
    </row>
    <row r="802">
      <c r="A802">
        <f>'Factor Scores'!A802</f>
        <v/>
      </c>
      <c r="B802" s="10">
        <f>IF(A802="","",0.40*'Factor Scores'!C802+0.20*'Factor Scores'!E802+0.20*'Factor Scores'!G802+0.20*'Factor Scores'!H802)</f>
        <v/>
      </c>
      <c r="C802" s="12">
        <f>IF(B802="","",RANK(B802,$B$2:$B$2501,0))</f>
        <v/>
      </c>
      <c r="D802">
        <f>IF(C802="","",C802&lt;=25)</f>
        <v/>
      </c>
      <c r="F802">
        <f>IF(A802="","",IF(AND(D802=TRUE,E802=""),"BUY",IF(AND(D802=FALSE,E802&lt;&gt;""),"SELL",IF(AND(D802=TRUE,E802&lt;&gt;""),"HOLD",""))))</f>
        <v/>
      </c>
      <c r="G802" s="12">
        <f>IF(D802=TRUE,4,0)</f>
        <v/>
      </c>
      <c r="H802">
        <f>IF(A802="","",BDP(A802&amp;" US Equity","GICS_SECTOR_NAME"))</f>
        <v/>
      </c>
    </row>
    <row r="803">
      <c r="A803">
        <f>'Factor Scores'!A803</f>
        <v/>
      </c>
      <c r="B803" s="10">
        <f>IF(A803="","",0.40*'Factor Scores'!C803+0.20*'Factor Scores'!E803+0.20*'Factor Scores'!G803+0.20*'Factor Scores'!H803)</f>
        <v/>
      </c>
      <c r="C803" s="12">
        <f>IF(B803="","",RANK(B803,$B$2:$B$2501,0))</f>
        <v/>
      </c>
      <c r="D803">
        <f>IF(C803="","",C803&lt;=25)</f>
        <v/>
      </c>
      <c r="F803">
        <f>IF(A803="","",IF(AND(D803=TRUE,E803=""),"BUY",IF(AND(D803=FALSE,E803&lt;&gt;""),"SELL",IF(AND(D803=TRUE,E803&lt;&gt;""),"HOLD",""))))</f>
        <v/>
      </c>
      <c r="G803" s="12">
        <f>IF(D803=TRUE,4,0)</f>
        <v/>
      </c>
      <c r="H803">
        <f>IF(A803="","",BDP(A803&amp;" US Equity","GICS_SECTOR_NAME"))</f>
        <v/>
      </c>
    </row>
    <row r="804">
      <c r="A804">
        <f>'Factor Scores'!A804</f>
        <v/>
      </c>
      <c r="B804" s="10">
        <f>IF(A804="","",0.40*'Factor Scores'!C804+0.20*'Factor Scores'!E804+0.20*'Factor Scores'!G804+0.20*'Factor Scores'!H804)</f>
        <v/>
      </c>
      <c r="C804" s="12">
        <f>IF(B804="","",RANK(B804,$B$2:$B$2501,0))</f>
        <v/>
      </c>
      <c r="D804">
        <f>IF(C804="","",C804&lt;=25)</f>
        <v/>
      </c>
      <c r="F804">
        <f>IF(A804="","",IF(AND(D804=TRUE,E804=""),"BUY",IF(AND(D804=FALSE,E804&lt;&gt;""),"SELL",IF(AND(D804=TRUE,E804&lt;&gt;""),"HOLD",""))))</f>
        <v/>
      </c>
      <c r="G804" s="12">
        <f>IF(D804=TRUE,4,0)</f>
        <v/>
      </c>
      <c r="H804">
        <f>IF(A804="","",BDP(A804&amp;" US Equity","GICS_SECTOR_NAME"))</f>
        <v/>
      </c>
    </row>
    <row r="805">
      <c r="A805">
        <f>'Factor Scores'!A805</f>
        <v/>
      </c>
      <c r="B805" s="10">
        <f>IF(A805="","",0.40*'Factor Scores'!C805+0.20*'Factor Scores'!E805+0.20*'Factor Scores'!G805+0.20*'Factor Scores'!H805)</f>
        <v/>
      </c>
      <c r="C805" s="12">
        <f>IF(B805="","",RANK(B805,$B$2:$B$2501,0))</f>
        <v/>
      </c>
      <c r="D805">
        <f>IF(C805="","",C805&lt;=25)</f>
        <v/>
      </c>
      <c r="F805">
        <f>IF(A805="","",IF(AND(D805=TRUE,E805=""),"BUY",IF(AND(D805=FALSE,E805&lt;&gt;""),"SELL",IF(AND(D805=TRUE,E805&lt;&gt;""),"HOLD",""))))</f>
        <v/>
      </c>
      <c r="G805" s="12">
        <f>IF(D805=TRUE,4,0)</f>
        <v/>
      </c>
      <c r="H805">
        <f>IF(A805="","",BDP(A805&amp;" US Equity","GICS_SECTOR_NAME"))</f>
        <v/>
      </c>
    </row>
    <row r="806">
      <c r="A806">
        <f>'Factor Scores'!A806</f>
        <v/>
      </c>
      <c r="B806" s="10">
        <f>IF(A806="","",0.40*'Factor Scores'!C806+0.20*'Factor Scores'!E806+0.20*'Factor Scores'!G806+0.20*'Factor Scores'!H806)</f>
        <v/>
      </c>
      <c r="C806" s="12">
        <f>IF(B806="","",RANK(B806,$B$2:$B$2501,0))</f>
        <v/>
      </c>
      <c r="D806">
        <f>IF(C806="","",C806&lt;=25)</f>
        <v/>
      </c>
      <c r="F806">
        <f>IF(A806="","",IF(AND(D806=TRUE,E806=""),"BUY",IF(AND(D806=FALSE,E806&lt;&gt;""),"SELL",IF(AND(D806=TRUE,E806&lt;&gt;""),"HOLD",""))))</f>
        <v/>
      </c>
      <c r="G806" s="12">
        <f>IF(D806=TRUE,4,0)</f>
        <v/>
      </c>
      <c r="H806">
        <f>IF(A806="","",BDP(A806&amp;" US Equity","GICS_SECTOR_NAME"))</f>
        <v/>
      </c>
    </row>
    <row r="807">
      <c r="A807">
        <f>'Factor Scores'!A807</f>
        <v/>
      </c>
      <c r="B807" s="10">
        <f>IF(A807="","",0.40*'Factor Scores'!C807+0.20*'Factor Scores'!E807+0.20*'Factor Scores'!G807+0.20*'Factor Scores'!H807)</f>
        <v/>
      </c>
      <c r="C807" s="12">
        <f>IF(B807="","",RANK(B807,$B$2:$B$2501,0))</f>
        <v/>
      </c>
      <c r="D807">
        <f>IF(C807="","",C807&lt;=25)</f>
        <v/>
      </c>
      <c r="F807">
        <f>IF(A807="","",IF(AND(D807=TRUE,E807=""),"BUY",IF(AND(D807=FALSE,E807&lt;&gt;""),"SELL",IF(AND(D807=TRUE,E807&lt;&gt;""),"HOLD",""))))</f>
        <v/>
      </c>
      <c r="G807" s="12">
        <f>IF(D807=TRUE,4,0)</f>
        <v/>
      </c>
      <c r="H807">
        <f>IF(A807="","",BDP(A807&amp;" US Equity","GICS_SECTOR_NAME"))</f>
        <v/>
      </c>
    </row>
    <row r="808">
      <c r="A808">
        <f>'Factor Scores'!A808</f>
        <v/>
      </c>
      <c r="B808" s="10">
        <f>IF(A808="","",0.40*'Factor Scores'!C808+0.20*'Factor Scores'!E808+0.20*'Factor Scores'!G808+0.20*'Factor Scores'!H808)</f>
        <v/>
      </c>
      <c r="C808" s="12">
        <f>IF(B808="","",RANK(B808,$B$2:$B$2501,0))</f>
        <v/>
      </c>
      <c r="D808">
        <f>IF(C808="","",C808&lt;=25)</f>
        <v/>
      </c>
      <c r="F808">
        <f>IF(A808="","",IF(AND(D808=TRUE,E808=""),"BUY",IF(AND(D808=FALSE,E808&lt;&gt;""),"SELL",IF(AND(D808=TRUE,E808&lt;&gt;""),"HOLD",""))))</f>
        <v/>
      </c>
      <c r="G808" s="12">
        <f>IF(D808=TRUE,4,0)</f>
        <v/>
      </c>
      <c r="H808">
        <f>IF(A808="","",BDP(A808&amp;" US Equity","GICS_SECTOR_NAME"))</f>
        <v/>
      </c>
    </row>
    <row r="809">
      <c r="A809">
        <f>'Factor Scores'!A809</f>
        <v/>
      </c>
      <c r="B809" s="10">
        <f>IF(A809="","",0.40*'Factor Scores'!C809+0.20*'Factor Scores'!E809+0.20*'Factor Scores'!G809+0.20*'Factor Scores'!H809)</f>
        <v/>
      </c>
      <c r="C809" s="12">
        <f>IF(B809="","",RANK(B809,$B$2:$B$2501,0))</f>
        <v/>
      </c>
      <c r="D809">
        <f>IF(C809="","",C809&lt;=25)</f>
        <v/>
      </c>
      <c r="F809">
        <f>IF(A809="","",IF(AND(D809=TRUE,E809=""),"BUY",IF(AND(D809=FALSE,E809&lt;&gt;""),"SELL",IF(AND(D809=TRUE,E809&lt;&gt;""),"HOLD",""))))</f>
        <v/>
      </c>
      <c r="G809" s="12">
        <f>IF(D809=TRUE,4,0)</f>
        <v/>
      </c>
      <c r="H809">
        <f>IF(A809="","",BDP(A809&amp;" US Equity","GICS_SECTOR_NAME"))</f>
        <v/>
      </c>
    </row>
    <row r="810">
      <c r="A810">
        <f>'Factor Scores'!A810</f>
        <v/>
      </c>
      <c r="B810" s="10">
        <f>IF(A810="","",0.40*'Factor Scores'!C810+0.20*'Factor Scores'!E810+0.20*'Factor Scores'!G810+0.20*'Factor Scores'!H810)</f>
        <v/>
      </c>
      <c r="C810" s="12">
        <f>IF(B810="","",RANK(B810,$B$2:$B$2501,0))</f>
        <v/>
      </c>
      <c r="D810">
        <f>IF(C810="","",C810&lt;=25)</f>
        <v/>
      </c>
      <c r="F810">
        <f>IF(A810="","",IF(AND(D810=TRUE,E810=""),"BUY",IF(AND(D810=FALSE,E810&lt;&gt;""),"SELL",IF(AND(D810=TRUE,E810&lt;&gt;""),"HOLD",""))))</f>
        <v/>
      </c>
      <c r="G810" s="12">
        <f>IF(D810=TRUE,4,0)</f>
        <v/>
      </c>
      <c r="H810">
        <f>IF(A810="","",BDP(A810&amp;" US Equity","GICS_SECTOR_NAME"))</f>
        <v/>
      </c>
    </row>
    <row r="811">
      <c r="A811">
        <f>'Factor Scores'!A811</f>
        <v/>
      </c>
      <c r="B811" s="10">
        <f>IF(A811="","",0.40*'Factor Scores'!C811+0.20*'Factor Scores'!E811+0.20*'Factor Scores'!G811+0.20*'Factor Scores'!H811)</f>
        <v/>
      </c>
      <c r="C811" s="12">
        <f>IF(B811="","",RANK(B811,$B$2:$B$2501,0))</f>
        <v/>
      </c>
      <c r="D811">
        <f>IF(C811="","",C811&lt;=25)</f>
        <v/>
      </c>
      <c r="F811">
        <f>IF(A811="","",IF(AND(D811=TRUE,E811=""),"BUY",IF(AND(D811=FALSE,E811&lt;&gt;""),"SELL",IF(AND(D811=TRUE,E811&lt;&gt;""),"HOLD",""))))</f>
        <v/>
      </c>
      <c r="G811" s="12">
        <f>IF(D811=TRUE,4,0)</f>
        <v/>
      </c>
      <c r="H811">
        <f>IF(A811="","",BDP(A811&amp;" US Equity","GICS_SECTOR_NAME"))</f>
        <v/>
      </c>
    </row>
    <row r="812">
      <c r="A812">
        <f>'Factor Scores'!A812</f>
        <v/>
      </c>
      <c r="B812" s="10">
        <f>IF(A812="","",0.40*'Factor Scores'!C812+0.20*'Factor Scores'!E812+0.20*'Factor Scores'!G812+0.20*'Factor Scores'!H812)</f>
        <v/>
      </c>
      <c r="C812" s="12">
        <f>IF(B812="","",RANK(B812,$B$2:$B$2501,0))</f>
        <v/>
      </c>
      <c r="D812">
        <f>IF(C812="","",C812&lt;=25)</f>
        <v/>
      </c>
      <c r="F812">
        <f>IF(A812="","",IF(AND(D812=TRUE,E812=""),"BUY",IF(AND(D812=FALSE,E812&lt;&gt;""),"SELL",IF(AND(D812=TRUE,E812&lt;&gt;""),"HOLD",""))))</f>
        <v/>
      </c>
      <c r="G812" s="12">
        <f>IF(D812=TRUE,4,0)</f>
        <v/>
      </c>
      <c r="H812">
        <f>IF(A812="","",BDP(A812&amp;" US Equity","GICS_SECTOR_NAME"))</f>
        <v/>
      </c>
    </row>
    <row r="813">
      <c r="A813">
        <f>'Factor Scores'!A813</f>
        <v/>
      </c>
      <c r="B813" s="10">
        <f>IF(A813="","",0.40*'Factor Scores'!C813+0.20*'Factor Scores'!E813+0.20*'Factor Scores'!G813+0.20*'Factor Scores'!H813)</f>
        <v/>
      </c>
      <c r="C813" s="12">
        <f>IF(B813="","",RANK(B813,$B$2:$B$2501,0))</f>
        <v/>
      </c>
      <c r="D813">
        <f>IF(C813="","",C813&lt;=25)</f>
        <v/>
      </c>
      <c r="F813">
        <f>IF(A813="","",IF(AND(D813=TRUE,E813=""),"BUY",IF(AND(D813=FALSE,E813&lt;&gt;""),"SELL",IF(AND(D813=TRUE,E813&lt;&gt;""),"HOLD",""))))</f>
        <v/>
      </c>
      <c r="G813" s="12">
        <f>IF(D813=TRUE,4,0)</f>
        <v/>
      </c>
      <c r="H813">
        <f>IF(A813="","",BDP(A813&amp;" US Equity","GICS_SECTOR_NAME"))</f>
        <v/>
      </c>
    </row>
    <row r="814">
      <c r="A814">
        <f>'Factor Scores'!A814</f>
        <v/>
      </c>
      <c r="B814" s="10">
        <f>IF(A814="","",0.40*'Factor Scores'!C814+0.20*'Factor Scores'!E814+0.20*'Factor Scores'!G814+0.20*'Factor Scores'!H814)</f>
        <v/>
      </c>
      <c r="C814" s="12">
        <f>IF(B814="","",RANK(B814,$B$2:$B$2501,0))</f>
        <v/>
      </c>
      <c r="D814">
        <f>IF(C814="","",C814&lt;=25)</f>
        <v/>
      </c>
      <c r="F814">
        <f>IF(A814="","",IF(AND(D814=TRUE,E814=""),"BUY",IF(AND(D814=FALSE,E814&lt;&gt;""),"SELL",IF(AND(D814=TRUE,E814&lt;&gt;""),"HOLD",""))))</f>
        <v/>
      </c>
      <c r="G814" s="12">
        <f>IF(D814=TRUE,4,0)</f>
        <v/>
      </c>
      <c r="H814">
        <f>IF(A814="","",BDP(A814&amp;" US Equity","GICS_SECTOR_NAME"))</f>
        <v/>
      </c>
    </row>
    <row r="815">
      <c r="A815">
        <f>'Factor Scores'!A815</f>
        <v/>
      </c>
      <c r="B815" s="10">
        <f>IF(A815="","",0.40*'Factor Scores'!C815+0.20*'Factor Scores'!E815+0.20*'Factor Scores'!G815+0.20*'Factor Scores'!H815)</f>
        <v/>
      </c>
      <c r="C815" s="12">
        <f>IF(B815="","",RANK(B815,$B$2:$B$2501,0))</f>
        <v/>
      </c>
      <c r="D815">
        <f>IF(C815="","",C815&lt;=25)</f>
        <v/>
      </c>
      <c r="F815">
        <f>IF(A815="","",IF(AND(D815=TRUE,E815=""),"BUY",IF(AND(D815=FALSE,E815&lt;&gt;""),"SELL",IF(AND(D815=TRUE,E815&lt;&gt;""),"HOLD",""))))</f>
        <v/>
      </c>
      <c r="G815" s="12">
        <f>IF(D815=TRUE,4,0)</f>
        <v/>
      </c>
      <c r="H815">
        <f>IF(A815="","",BDP(A815&amp;" US Equity","GICS_SECTOR_NAME"))</f>
        <v/>
      </c>
    </row>
    <row r="816">
      <c r="A816">
        <f>'Factor Scores'!A816</f>
        <v/>
      </c>
      <c r="B816" s="10">
        <f>IF(A816="","",0.40*'Factor Scores'!C816+0.20*'Factor Scores'!E816+0.20*'Factor Scores'!G816+0.20*'Factor Scores'!H816)</f>
        <v/>
      </c>
      <c r="C816" s="12">
        <f>IF(B816="","",RANK(B816,$B$2:$B$2501,0))</f>
        <v/>
      </c>
      <c r="D816">
        <f>IF(C816="","",C816&lt;=25)</f>
        <v/>
      </c>
      <c r="F816">
        <f>IF(A816="","",IF(AND(D816=TRUE,E816=""),"BUY",IF(AND(D816=FALSE,E816&lt;&gt;""),"SELL",IF(AND(D816=TRUE,E816&lt;&gt;""),"HOLD",""))))</f>
        <v/>
      </c>
      <c r="G816" s="12">
        <f>IF(D816=TRUE,4,0)</f>
        <v/>
      </c>
      <c r="H816">
        <f>IF(A816="","",BDP(A816&amp;" US Equity","GICS_SECTOR_NAME"))</f>
        <v/>
      </c>
    </row>
    <row r="817">
      <c r="A817">
        <f>'Factor Scores'!A817</f>
        <v/>
      </c>
      <c r="B817" s="10">
        <f>IF(A817="","",0.40*'Factor Scores'!C817+0.20*'Factor Scores'!E817+0.20*'Factor Scores'!G817+0.20*'Factor Scores'!H817)</f>
        <v/>
      </c>
      <c r="C817" s="12">
        <f>IF(B817="","",RANK(B817,$B$2:$B$2501,0))</f>
        <v/>
      </c>
      <c r="D817">
        <f>IF(C817="","",C817&lt;=25)</f>
        <v/>
      </c>
      <c r="F817">
        <f>IF(A817="","",IF(AND(D817=TRUE,E817=""),"BUY",IF(AND(D817=FALSE,E817&lt;&gt;""),"SELL",IF(AND(D817=TRUE,E817&lt;&gt;""),"HOLD",""))))</f>
        <v/>
      </c>
      <c r="G817" s="12">
        <f>IF(D817=TRUE,4,0)</f>
        <v/>
      </c>
      <c r="H817">
        <f>IF(A817="","",BDP(A817&amp;" US Equity","GICS_SECTOR_NAME"))</f>
        <v/>
      </c>
    </row>
    <row r="818">
      <c r="A818">
        <f>'Factor Scores'!A818</f>
        <v/>
      </c>
      <c r="B818" s="10">
        <f>IF(A818="","",0.40*'Factor Scores'!C818+0.20*'Factor Scores'!E818+0.20*'Factor Scores'!G818+0.20*'Factor Scores'!H818)</f>
        <v/>
      </c>
      <c r="C818" s="12">
        <f>IF(B818="","",RANK(B818,$B$2:$B$2501,0))</f>
        <v/>
      </c>
      <c r="D818">
        <f>IF(C818="","",C818&lt;=25)</f>
        <v/>
      </c>
      <c r="F818">
        <f>IF(A818="","",IF(AND(D818=TRUE,E818=""),"BUY",IF(AND(D818=FALSE,E818&lt;&gt;""),"SELL",IF(AND(D818=TRUE,E818&lt;&gt;""),"HOLD",""))))</f>
        <v/>
      </c>
      <c r="G818" s="12">
        <f>IF(D818=TRUE,4,0)</f>
        <v/>
      </c>
      <c r="H818">
        <f>IF(A818="","",BDP(A818&amp;" US Equity","GICS_SECTOR_NAME"))</f>
        <v/>
      </c>
    </row>
    <row r="819">
      <c r="A819">
        <f>'Factor Scores'!A819</f>
        <v/>
      </c>
      <c r="B819" s="10">
        <f>IF(A819="","",0.40*'Factor Scores'!C819+0.20*'Factor Scores'!E819+0.20*'Factor Scores'!G819+0.20*'Factor Scores'!H819)</f>
        <v/>
      </c>
      <c r="C819" s="12">
        <f>IF(B819="","",RANK(B819,$B$2:$B$2501,0))</f>
        <v/>
      </c>
      <c r="D819">
        <f>IF(C819="","",C819&lt;=25)</f>
        <v/>
      </c>
      <c r="F819">
        <f>IF(A819="","",IF(AND(D819=TRUE,E819=""),"BUY",IF(AND(D819=FALSE,E819&lt;&gt;""),"SELL",IF(AND(D819=TRUE,E819&lt;&gt;""),"HOLD",""))))</f>
        <v/>
      </c>
      <c r="G819" s="12">
        <f>IF(D819=TRUE,4,0)</f>
        <v/>
      </c>
      <c r="H819">
        <f>IF(A819="","",BDP(A819&amp;" US Equity","GICS_SECTOR_NAME"))</f>
        <v/>
      </c>
    </row>
    <row r="820">
      <c r="A820">
        <f>'Factor Scores'!A820</f>
        <v/>
      </c>
      <c r="B820" s="10">
        <f>IF(A820="","",0.40*'Factor Scores'!C820+0.20*'Factor Scores'!E820+0.20*'Factor Scores'!G820+0.20*'Factor Scores'!H820)</f>
        <v/>
      </c>
      <c r="C820" s="12">
        <f>IF(B820="","",RANK(B820,$B$2:$B$2501,0))</f>
        <v/>
      </c>
      <c r="D820">
        <f>IF(C820="","",C820&lt;=25)</f>
        <v/>
      </c>
      <c r="F820">
        <f>IF(A820="","",IF(AND(D820=TRUE,E820=""),"BUY",IF(AND(D820=FALSE,E820&lt;&gt;""),"SELL",IF(AND(D820=TRUE,E820&lt;&gt;""),"HOLD",""))))</f>
        <v/>
      </c>
      <c r="G820" s="12">
        <f>IF(D820=TRUE,4,0)</f>
        <v/>
      </c>
      <c r="H820">
        <f>IF(A820="","",BDP(A820&amp;" US Equity","GICS_SECTOR_NAME"))</f>
        <v/>
      </c>
    </row>
    <row r="821">
      <c r="A821">
        <f>'Factor Scores'!A821</f>
        <v/>
      </c>
      <c r="B821" s="10">
        <f>IF(A821="","",0.40*'Factor Scores'!C821+0.20*'Factor Scores'!E821+0.20*'Factor Scores'!G821+0.20*'Factor Scores'!H821)</f>
        <v/>
      </c>
      <c r="C821" s="12">
        <f>IF(B821="","",RANK(B821,$B$2:$B$2501,0))</f>
        <v/>
      </c>
      <c r="D821">
        <f>IF(C821="","",C821&lt;=25)</f>
        <v/>
      </c>
      <c r="F821">
        <f>IF(A821="","",IF(AND(D821=TRUE,E821=""),"BUY",IF(AND(D821=FALSE,E821&lt;&gt;""),"SELL",IF(AND(D821=TRUE,E821&lt;&gt;""),"HOLD",""))))</f>
        <v/>
      </c>
      <c r="G821" s="12">
        <f>IF(D821=TRUE,4,0)</f>
        <v/>
      </c>
      <c r="H821">
        <f>IF(A821="","",BDP(A821&amp;" US Equity","GICS_SECTOR_NAME"))</f>
        <v/>
      </c>
    </row>
    <row r="822">
      <c r="A822">
        <f>'Factor Scores'!A822</f>
        <v/>
      </c>
      <c r="B822" s="10">
        <f>IF(A822="","",0.40*'Factor Scores'!C822+0.20*'Factor Scores'!E822+0.20*'Factor Scores'!G822+0.20*'Factor Scores'!H822)</f>
        <v/>
      </c>
      <c r="C822" s="12">
        <f>IF(B822="","",RANK(B822,$B$2:$B$2501,0))</f>
        <v/>
      </c>
      <c r="D822">
        <f>IF(C822="","",C822&lt;=25)</f>
        <v/>
      </c>
      <c r="F822">
        <f>IF(A822="","",IF(AND(D822=TRUE,E822=""),"BUY",IF(AND(D822=FALSE,E822&lt;&gt;""),"SELL",IF(AND(D822=TRUE,E822&lt;&gt;""),"HOLD",""))))</f>
        <v/>
      </c>
      <c r="G822" s="12">
        <f>IF(D822=TRUE,4,0)</f>
        <v/>
      </c>
      <c r="H822">
        <f>IF(A822="","",BDP(A822&amp;" US Equity","GICS_SECTOR_NAME"))</f>
        <v/>
      </c>
    </row>
    <row r="823">
      <c r="A823">
        <f>'Factor Scores'!A823</f>
        <v/>
      </c>
      <c r="B823" s="10">
        <f>IF(A823="","",0.40*'Factor Scores'!C823+0.20*'Factor Scores'!E823+0.20*'Factor Scores'!G823+0.20*'Factor Scores'!H823)</f>
        <v/>
      </c>
      <c r="C823" s="12">
        <f>IF(B823="","",RANK(B823,$B$2:$B$2501,0))</f>
        <v/>
      </c>
      <c r="D823">
        <f>IF(C823="","",C823&lt;=25)</f>
        <v/>
      </c>
      <c r="F823">
        <f>IF(A823="","",IF(AND(D823=TRUE,E823=""),"BUY",IF(AND(D823=FALSE,E823&lt;&gt;""),"SELL",IF(AND(D823=TRUE,E823&lt;&gt;""),"HOLD",""))))</f>
        <v/>
      </c>
      <c r="G823" s="12">
        <f>IF(D823=TRUE,4,0)</f>
        <v/>
      </c>
      <c r="H823">
        <f>IF(A823="","",BDP(A823&amp;" US Equity","GICS_SECTOR_NAME"))</f>
        <v/>
      </c>
    </row>
    <row r="824">
      <c r="A824">
        <f>'Factor Scores'!A824</f>
        <v/>
      </c>
      <c r="B824" s="10">
        <f>IF(A824="","",0.40*'Factor Scores'!C824+0.20*'Factor Scores'!E824+0.20*'Factor Scores'!G824+0.20*'Factor Scores'!H824)</f>
        <v/>
      </c>
      <c r="C824" s="12">
        <f>IF(B824="","",RANK(B824,$B$2:$B$2501,0))</f>
        <v/>
      </c>
      <c r="D824">
        <f>IF(C824="","",C824&lt;=25)</f>
        <v/>
      </c>
      <c r="F824">
        <f>IF(A824="","",IF(AND(D824=TRUE,E824=""),"BUY",IF(AND(D824=FALSE,E824&lt;&gt;""),"SELL",IF(AND(D824=TRUE,E824&lt;&gt;""),"HOLD",""))))</f>
        <v/>
      </c>
      <c r="G824" s="12">
        <f>IF(D824=TRUE,4,0)</f>
        <v/>
      </c>
      <c r="H824">
        <f>IF(A824="","",BDP(A824&amp;" US Equity","GICS_SECTOR_NAME"))</f>
        <v/>
      </c>
    </row>
    <row r="825">
      <c r="A825">
        <f>'Factor Scores'!A825</f>
        <v/>
      </c>
      <c r="B825" s="10">
        <f>IF(A825="","",0.40*'Factor Scores'!C825+0.20*'Factor Scores'!E825+0.20*'Factor Scores'!G825+0.20*'Factor Scores'!H825)</f>
        <v/>
      </c>
      <c r="C825" s="12">
        <f>IF(B825="","",RANK(B825,$B$2:$B$2501,0))</f>
        <v/>
      </c>
      <c r="D825">
        <f>IF(C825="","",C825&lt;=25)</f>
        <v/>
      </c>
      <c r="F825">
        <f>IF(A825="","",IF(AND(D825=TRUE,E825=""),"BUY",IF(AND(D825=FALSE,E825&lt;&gt;""),"SELL",IF(AND(D825=TRUE,E825&lt;&gt;""),"HOLD",""))))</f>
        <v/>
      </c>
      <c r="G825" s="12">
        <f>IF(D825=TRUE,4,0)</f>
        <v/>
      </c>
      <c r="H825">
        <f>IF(A825="","",BDP(A825&amp;" US Equity","GICS_SECTOR_NAME"))</f>
        <v/>
      </c>
    </row>
    <row r="826">
      <c r="A826">
        <f>'Factor Scores'!A826</f>
        <v/>
      </c>
      <c r="B826" s="10">
        <f>IF(A826="","",0.40*'Factor Scores'!C826+0.20*'Factor Scores'!E826+0.20*'Factor Scores'!G826+0.20*'Factor Scores'!H826)</f>
        <v/>
      </c>
      <c r="C826" s="12">
        <f>IF(B826="","",RANK(B826,$B$2:$B$2501,0))</f>
        <v/>
      </c>
      <c r="D826">
        <f>IF(C826="","",C826&lt;=25)</f>
        <v/>
      </c>
      <c r="F826">
        <f>IF(A826="","",IF(AND(D826=TRUE,E826=""),"BUY",IF(AND(D826=FALSE,E826&lt;&gt;""),"SELL",IF(AND(D826=TRUE,E826&lt;&gt;""),"HOLD",""))))</f>
        <v/>
      </c>
      <c r="G826" s="12">
        <f>IF(D826=TRUE,4,0)</f>
        <v/>
      </c>
      <c r="H826">
        <f>IF(A826="","",BDP(A826&amp;" US Equity","GICS_SECTOR_NAME"))</f>
        <v/>
      </c>
    </row>
    <row r="827">
      <c r="A827">
        <f>'Factor Scores'!A827</f>
        <v/>
      </c>
      <c r="B827" s="10">
        <f>IF(A827="","",0.40*'Factor Scores'!C827+0.20*'Factor Scores'!E827+0.20*'Factor Scores'!G827+0.20*'Factor Scores'!H827)</f>
        <v/>
      </c>
      <c r="C827" s="12">
        <f>IF(B827="","",RANK(B827,$B$2:$B$2501,0))</f>
        <v/>
      </c>
      <c r="D827">
        <f>IF(C827="","",C827&lt;=25)</f>
        <v/>
      </c>
      <c r="F827">
        <f>IF(A827="","",IF(AND(D827=TRUE,E827=""),"BUY",IF(AND(D827=FALSE,E827&lt;&gt;""),"SELL",IF(AND(D827=TRUE,E827&lt;&gt;""),"HOLD",""))))</f>
        <v/>
      </c>
      <c r="G827" s="12">
        <f>IF(D827=TRUE,4,0)</f>
        <v/>
      </c>
      <c r="H827">
        <f>IF(A827="","",BDP(A827&amp;" US Equity","GICS_SECTOR_NAME"))</f>
        <v/>
      </c>
    </row>
    <row r="828">
      <c r="A828">
        <f>'Factor Scores'!A828</f>
        <v/>
      </c>
      <c r="B828" s="10">
        <f>IF(A828="","",0.40*'Factor Scores'!C828+0.20*'Factor Scores'!E828+0.20*'Factor Scores'!G828+0.20*'Factor Scores'!H828)</f>
        <v/>
      </c>
      <c r="C828" s="12">
        <f>IF(B828="","",RANK(B828,$B$2:$B$2501,0))</f>
        <v/>
      </c>
      <c r="D828">
        <f>IF(C828="","",C828&lt;=25)</f>
        <v/>
      </c>
      <c r="F828">
        <f>IF(A828="","",IF(AND(D828=TRUE,E828=""),"BUY",IF(AND(D828=FALSE,E828&lt;&gt;""),"SELL",IF(AND(D828=TRUE,E828&lt;&gt;""),"HOLD",""))))</f>
        <v/>
      </c>
      <c r="G828" s="12">
        <f>IF(D828=TRUE,4,0)</f>
        <v/>
      </c>
      <c r="H828">
        <f>IF(A828="","",BDP(A828&amp;" US Equity","GICS_SECTOR_NAME"))</f>
        <v/>
      </c>
    </row>
    <row r="829">
      <c r="A829">
        <f>'Factor Scores'!A829</f>
        <v/>
      </c>
      <c r="B829" s="10">
        <f>IF(A829="","",0.40*'Factor Scores'!C829+0.20*'Factor Scores'!E829+0.20*'Factor Scores'!G829+0.20*'Factor Scores'!H829)</f>
        <v/>
      </c>
      <c r="C829" s="12">
        <f>IF(B829="","",RANK(B829,$B$2:$B$2501,0))</f>
        <v/>
      </c>
      <c r="D829">
        <f>IF(C829="","",C829&lt;=25)</f>
        <v/>
      </c>
      <c r="F829">
        <f>IF(A829="","",IF(AND(D829=TRUE,E829=""),"BUY",IF(AND(D829=FALSE,E829&lt;&gt;""),"SELL",IF(AND(D829=TRUE,E829&lt;&gt;""),"HOLD",""))))</f>
        <v/>
      </c>
      <c r="G829" s="12">
        <f>IF(D829=TRUE,4,0)</f>
        <v/>
      </c>
      <c r="H829">
        <f>IF(A829="","",BDP(A829&amp;" US Equity","GICS_SECTOR_NAME"))</f>
        <v/>
      </c>
    </row>
    <row r="830">
      <c r="A830">
        <f>'Factor Scores'!A830</f>
        <v/>
      </c>
      <c r="B830" s="10">
        <f>IF(A830="","",0.40*'Factor Scores'!C830+0.20*'Factor Scores'!E830+0.20*'Factor Scores'!G830+0.20*'Factor Scores'!H830)</f>
        <v/>
      </c>
      <c r="C830" s="12">
        <f>IF(B830="","",RANK(B830,$B$2:$B$2501,0))</f>
        <v/>
      </c>
      <c r="D830">
        <f>IF(C830="","",C830&lt;=25)</f>
        <v/>
      </c>
      <c r="F830">
        <f>IF(A830="","",IF(AND(D830=TRUE,E830=""),"BUY",IF(AND(D830=FALSE,E830&lt;&gt;""),"SELL",IF(AND(D830=TRUE,E830&lt;&gt;""),"HOLD",""))))</f>
        <v/>
      </c>
      <c r="G830" s="12">
        <f>IF(D830=TRUE,4,0)</f>
        <v/>
      </c>
      <c r="H830">
        <f>IF(A830="","",BDP(A830&amp;" US Equity","GICS_SECTOR_NAME"))</f>
        <v/>
      </c>
    </row>
    <row r="831">
      <c r="A831">
        <f>'Factor Scores'!A831</f>
        <v/>
      </c>
      <c r="B831" s="10">
        <f>IF(A831="","",0.40*'Factor Scores'!C831+0.20*'Factor Scores'!E831+0.20*'Factor Scores'!G831+0.20*'Factor Scores'!H831)</f>
        <v/>
      </c>
      <c r="C831" s="12">
        <f>IF(B831="","",RANK(B831,$B$2:$B$2501,0))</f>
        <v/>
      </c>
      <c r="D831">
        <f>IF(C831="","",C831&lt;=25)</f>
        <v/>
      </c>
      <c r="F831">
        <f>IF(A831="","",IF(AND(D831=TRUE,E831=""),"BUY",IF(AND(D831=FALSE,E831&lt;&gt;""),"SELL",IF(AND(D831=TRUE,E831&lt;&gt;""),"HOLD",""))))</f>
        <v/>
      </c>
      <c r="G831" s="12">
        <f>IF(D831=TRUE,4,0)</f>
        <v/>
      </c>
      <c r="H831">
        <f>IF(A831="","",BDP(A831&amp;" US Equity","GICS_SECTOR_NAME"))</f>
        <v/>
      </c>
    </row>
    <row r="832">
      <c r="A832">
        <f>'Factor Scores'!A832</f>
        <v/>
      </c>
      <c r="B832" s="10">
        <f>IF(A832="","",0.40*'Factor Scores'!C832+0.20*'Factor Scores'!E832+0.20*'Factor Scores'!G832+0.20*'Factor Scores'!H832)</f>
        <v/>
      </c>
      <c r="C832" s="12">
        <f>IF(B832="","",RANK(B832,$B$2:$B$2501,0))</f>
        <v/>
      </c>
      <c r="D832">
        <f>IF(C832="","",C832&lt;=25)</f>
        <v/>
      </c>
      <c r="F832">
        <f>IF(A832="","",IF(AND(D832=TRUE,E832=""),"BUY",IF(AND(D832=FALSE,E832&lt;&gt;""),"SELL",IF(AND(D832=TRUE,E832&lt;&gt;""),"HOLD",""))))</f>
        <v/>
      </c>
      <c r="G832" s="12">
        <f>IF(D832=TRUE,4,0)</f>
        <v/>
      </c>
      <c r="H832">
        <f>IF(A832="","",BDP(A832&amp;" US Equity","GICS_SECTOR_NAME"))</f>
        <v/>
      </c>
    </row>
    <row r="833">
      <c r="A833">
        <f>'Factor Scores'!A833</f>
        <v/>
      </c>
      <c r="B833" s="10">
        <f>IF(A833="","",0.40*'Factor Scores'!C833+0.20*'Factor Scores'!E833+0.20*'Factor Scores'!G833+0.20*'Factor Scores'!H833)</f>
        <v/>
      </c>
      <c r="C833" s="12">
        <f>IF(B833="","",RANK(B833,$B$2:$B$2501,0))</f>
        <v/>
      </c>
      <c r="D833">
        <f>IF(C833="","",C833&lt;=25)</f>
        <v/>
      </c>
      <c r="F833">
        <f>IF(A833="","",IF(AND(D833=TRUE,E833=""),"BUY",IF(AND(D833=FALSE,E833&lt;&gt;""),"SELL",IF(AND(D833=TRUE,E833&lt;&gt;""),"HOLD",""))))</f>
        <v/>
      </c>
      <c r="G833" s="12">
        <f>IF(D833=TRUE,4,0)</f>
        <v/>
      </c>
      <c r="H833">
        <f>IF(A833="","",BDP(A833&amp;" US Equity","GICS_SECTOR_NAME"))</f>
        <v/>
      </c>
    </row>
    <row r="834">
      <c r="A834">
        <f>'Factor Scores'!A834</f>
        <v/>
      </c>
      <c r="B834" s="10">
        <f>IF(A834="","",0.40*'Factor Scores'!C834+0.20*'Factor Scores'!E834+0.20*'Factor Scores'!G834+0.20*'Factor Scores'!H834)</f>
        <v/>
      </c>
      <c r="C834" s="12">
        <f>IF(B834="","",RANK(B834,$B$2:$B$2501,0))</f>
        <v/>
      </c>
      <c r="D834">
        <f>IF(C834="","",C834&lt;=25)</f>
        <v/>
      </c>
      <c r="F834">
        <f>IF(A834="","",IF(AND(D834=TRUE,E834=""),"BUY",IF(AND(D834=FALSE,E834&lt;&gt;""),"SELL",IF(AND(D834=TRUE,E834&lt;&gt;""),"HOLD",""))))</f>
        <v/>
      </c>
      <c r="G834" s="12">
        <f>IF(D834=TRUE,4,0)</f>
        <v/>
      </c>
      <c r="H834">
        <f>IF(A834="","",BDP(A834&amp;" US Equity","GICS_SECTOR_NAME"))</f>
        <v/>
      </c>
    </row>
    <row r="835">
      <c r="A835">
        <f>'Factor Scores'!A835</f>
        <v/>
      </c>
      <c r="B835" s="10">
        <f>IF(A835="","",0.40*'Factor Scores'!C835+0.20*'Factor Scores'!E835+0.20*'Factor Scores'!G835+0.20*'Factor Scores'!H835)</f>
        <v/>
      </c>
      <c r="C835" s="12">
        <f>IF(B835="","",RANK(B835,$B$2:$B$2501,0))</f>
        <v/>
      </c>
      <c r="D835">
        <f>IF(C835="","",C835&lt;=25)</f>
        <v/>
      </c>
      <c r="F835">
        <f>IF(A835="","",IF(AND(D835=TRUE,E835=""),"BUY",IF(AND(D835=FALSE,E835&lt;&gt;""),"SELL",IF(AND(D835=TRUE,E835&lt;&gt;""),"HOLD",""))))</f>
        <v/>
      </c>
      <c r="G835" s="12">
        <f>IF(D835=TRUE,4,0)</f>
        <v/>
      </c>
      <c r="H835">
        <f>IF(A835="","",BDP(A835&amp;" US Equity","GICS_SECTOR_NAME"))</f>
        <v/>
      </c>
    </row>
    <row r="836">
      <c r="A836">
        <f>'Factor Scores'!A836</f>
        <v/>
      </c>
      <c r="B836" s="10">
        <f>IF(A836="","",0.40*'Factor Scores'!C836+0.20*'Factor Scores'!E836+0.20*'Factor Scores'!G836+0.20*'Factor Scores'!H836)</f>
        <v/>
      </c>
      <c r="C836" s="12">
        <f>IF(B836="","",RANK(B836,$B$2:$B$2501,0))</f>
        <v/>
      </c>
      <c r="D836">
        <f>IF(C836="","",C836&lt;=25)</f>
        <v/>
      </c>
      <c r="F836">
        <f>IF(A836="","",IF(AND(D836=TRUE,E836=""),"BUY",IF(AND(D836=FALSE,E836&lt;&gt;""),"SELL",IF(AND(D836=TRUE,E836&lt;&gt;""),"HOLD",""))))</f>
        <v/>
      </c>
      <c r="G836" s="12">
        <f>IF(D836=TRUE,4,0)</f>
        <v/>
      </c>
      <c r="H836">
        <f>IF(A836="","",BDP(A836&amp;" US Equity","GICS_SECTOR_NAME"))</f>
        <v/>
      </c>
    </row>
    <row r="837">
      <c r="A837">
        <f>'Factor Scores'!A837</f>
        <v/>
      </c>
      <c r="B837" s="10">
        <f>IF(A837="","",0.40*'Factor Scores'!C837+0.20*'Factor Scores'!E837+0.20*'Factor Scores'!G837+0.20*'Factor Scores'!H837)</f>
        <v/>
      </c>
      <c r="C837" s="12">
        <f>IF(B837="","",RANK(B837,$B$2:$B$2501,0))</f>
        <v/>
      </c>
      <c r="D837">
        <f>IF(C837="","",C837&lt;=25)</f>
        <v/>
      </c>
      <c r="F837">
        <f>IF(A837="","",IF(AND(D837=TRUE,E837=""),"BUY",IF(AND(D837=FALSE,E837&lt;&gt;""),"SELL",IF(AND(D837=TRUE,E837&lt;&gt;""),"HOLD",""))))</f>
        <v/>
      </c>
      <c r="G837" s="12">
        <f>IF(D837=TRUE,4,0)</f>
        <v/>
      </c>
      <c r="H837">
        <f>IF(A837="","",BDP(A837&amp;" US Equity","GICS_SECTOR_NAME"))</f>
        <v/>
      </c>
    </row>
    <row r="838">
      <c r="A838">
        <f>'Factor Scores'!A838</f>
        <v/>
      </c>
      <c r="B838" s="10">
        <f>IF(A838="","",0.40*'Factor Scores'!C838+0.20*'Factor Scores'!E838+0.20*'Factor Scores'!G838+0.20*'Factor Scores'!H838)</f>
        <v/>
      </c>
      <c r="C838" s="12">
        <f>IF(B838="","",RANK(B838,$B$2:$B$2501,0))</f>
        <v/>
      </c>
      <c r="D838">
        <f>IF(C838="","",C838&lt;=25)</f>
        <v/>
      </c>
      <c r="F838">
        <f>IF(A838="","",IF(AND(D838=TRUE,E838=""),"BUY",IF(AND(D838=FALSE,E838&lt;&gt;""),"SELL",IF(AND(D838=TRUE,E838&lt;&gt;""),"HOLD",""))))</f>
        <v/>
      </c>
      <c r="G838" s="12">
        <f>IF(D838=TRUE,4,0)</f>
        <v/>
      </c>
      <c r="H838">
        <f>IF(A838="","",BDP(A838&amp;" US Equity","GICS_SECTOR_NAME"))</f>
        <v/>
      </c>
    </row>
    <row r="839">
      <c r="A839">
        <f>'Factor Scores'!A839</f>
        <v/>
      </c>
      <c r="B839" s="10">
        <f>IF(A839="","",0.40*'Factor Scores'!C839+0.20*'Factor Scores'!E839+0.20*'Factor Scores'!G839+0.20*'Factor Scores'!H839)</f>
        <v/>
      </c>
      <c r="C839" s="12">
        <f>IF(B839="","",RANK(B839,$B$2:$B$2501,0))</f>
        <v/>
      </c>
      <c r="D839">
        <f>IF(C839="","",C839&lt;=25)</f>
        <v/>
      </c>
      <c r="F839">
        <f>IF(A839="","",IF(AND(D839=TRUE,E839=""),"BUY",IF(AND(D839=FALSE,E839&lt;&gt;""),"SELL",IF(AND(D839=TRUE,E839&lt;&gt;""),"HOLD",""))))</f>
        <v/>
      </c>
      <c r="G839" s="12">
        <f>IF(D839=TRUE,4,0)</f>
        <v/>
      </c>
      <c r="H839">
        <f>IF(A839="","",BDP(A839&amp;" US Equity","GICS_SECTOR_NAME"))</f>
        <v/>
      </c>
    </row>
    <row r="840">
      <c r="A840">
        <f>'Factor Scores'!A840</f>
        <v/>
      </c>
      <c r="B840" s="10">
        <f>IF(A840="","",0.40*'Factor Scores'!C840+0.20*'Factor Scores'!E840+0.20*'Factor Scores'!G840+0.20*'Factor Scores'!H840)</f>
        <v/>
      </c>
      <c r="C840" s="12">
        <f>IF(B840="","",RANK(B840,$B$2:$B$2501,0))</f>
        <v/>
      </c>
      <c r="D840">
        <f>IF(C840="","",C840&lt;=25)</f>
        <v/>
      </c>
      <c r="F840">
        <f>IF(A840="","",IF(AND(D840=TRUE,E840=""),"BUY",IF(AND(D840=FALSE,E840&lt;&gt;""),"SELL",IF(AND(D840=TRUE,E840&lt;&gt;""),"HOLD",""))))</f>
        <v/>
      </c>
      <c r="G840" s="12">
        <f>IF(D840=TRUE,4,0)</f>
        <v/>
      </c>
      <c r="H840">
        <f>IF(A840="","",BDP(A840&amp;" US Equity","GICS_SECTOR_NAME"))</f>
        <v/>
      </c>
    </row>
    <row r="841">
      <c r="A841">
        <f>'Factor Scores'!A841</f>
        <v/>
      </c>
      <c r="B841" s="10">
        <f>IF(A841="","",0.40*'Factor Scores'!C841+0.20*'Factor Scores'!E841+0.20*'Factor Scores'!G841+0.20*'Factor Scores'!H841)</f>
        <v/>
      </c>
      <c r="C841" s="12">
        <f>IF(B841="","",RANK(B841,$B$2:$B$2501,0))</f>
        <v/>
      </c>
      <c r="D841">
        <f>IF(C841="","",C841&lt;=25)</f>
        <v/>
      </c>
      <c r="F841">
        <f>IF(A841="","",IF(AND(D841=TRUE,E841=""),"BUY",IF(AND(D841=FALSE,E841&lt;&gt;""),"SELL",IF(AND(D841=TRUE,E841&lt;&gt;""),"HOLD",""))))</f>
        <v/>
      </c>
      <c r="G841" s="12">
        <f>IF(D841=TRUE,4,0)</f>
        <v/>
      </c>
      <c r="H841">
        <f>IF(A841="","",BDP(A841&amp;" US Equity","GICS_SECTOR_NAME"))</f>
        <v/>
      </c>
    </row>
    <row r="842">
      <c r="A842">
        <f>'Factor Scores'!A842</f>
        <v/>
      </c>
      <c r="B842" s="10">
        <f>IF(A842="","",0.40*'Factor Scores'!C842+0.20*'Factor Scores'!E842+0.20*'Factor Scores'!G842+0.20*'Factor Scores'!H842)</f>
        <v/>
      </c>
      <c r="C842" s="12">
        <f>IF(B842="","",RANK(B842,$B$2:$B$2501,0))</f>
        <v/>
      </c>
      <c r="D842">
        <f>IF(C842="","",C842&lt;=25)</f>
        <v/>
      </c>
      <c r="F842">
        <f>IF(A842="","",IF(AND(D842=TRUE,E842=""),"BUY",IF(AND(D842=FALSE,E842&lt;&gt;""),"SELL",IF(AND(D842=TRUE,E842&lt;&gt;""),"HOLD",""))))</f>
        <v/>
      </c>
      <c r="G842" s="12">
        <f>IF(D842=TRUE,4,0)</f>
        <v/>
      </c>
      <c r="H842">
        <f>IF(A842="","",BDP(A842&amp;" US Equity","GICS_SECTOR_NAME"))</f>
        <v/>
      </c>
    </row>
    <row r="843">
      <c r="A843">
        <f>'Factor Scores'!A843</f>
        <v/>
      </c>
      <c r="B843" s="10">
        <f>IF(A843="","",0.40*'Factor Scores'!C843+0.20*'Factor Scores'!E843+0.20*'Factor Scores'!G843+0.20*'Factor Scores'!H843)</f>
        <v/>
      </c>
      <c r="C843" s="12">
        <f>IF(B843="","",RANK(B843,$B$2:$B$2501,0))</f>
        <v/>
      </c>
      <c r="D843">
        <f>IF(C843="","",C843&lt;=25)</f>
        <v/>
      </c>
      <c r="F843">
        <f>IF(A843="","",IF(AND(D843=TRUE,E843=""),"BUY",IF(AND(D843=FALSE,E843&lt;&gt;""),"SELL",IF(AND(D843=TRUE,E843&lt;&gt;""),"HOLD",""))))</f>
        <v/>
      </c>
      <c r="G843" s="12">
        <f>IF(D843=TRUE,4,0)</f>
        <v/>
      </c>
      <c r="H843">
        <f>IF(A843="","",BDP(A843&amp;" US Equity","GICS_SECTOR_NAME"))</f>
        <v/>
      </c>
    </row>
    <row r="844">
      <c r="A844">
        <f>'Factor Scores'!A844</f>
        <v/>
      </c>
      <c r="B844" s="10">
        <f>IF(A844="","",0.40*'Factor Scores'!C844+0.20*'Factor Scores'!E844+0.20*'Factor Scores'!G844+0.20*'Factor Scores'!H844)</f>
        <v/>
      </c>
      <c r="C844" s="12">
        <f>IF(B844="","",RANK(B844,$B$2:$B$2501,0))</f>
        <v/>
      </c>
      <c r="D844">
        <f>IF(C844="","",C844&lt;=25)</f>
        <v/>
      </c>
      <c r="F844">
        <f>IF(A844="","",IF(AND(D844=TRUE,E844=""),"BUY",IF(AND(D844=FALSE,E844&lt;&gt;""),"SELL",IF(AND(D844=TRUE,E844&lt;&gt;""),"HOLD",""))))</f>
        <v/>
      </c>
      <c r="G844" s="12">
        <f>IF(D844=TRUE,4,0)</f>
        <v/>
      </c>
      <c r="H844">
        <f>IF(A844="","",BDP(A844&amp;" US Equity","GICS_SECTOR_NAME"))</f>
        <v/>
      </c>
    </row>
    <row r="845">
      <c r="A845">
        <f>'Factor Scores'!A845</f>
        <v/>
      </c>
      <c r="B845" s="10">
        <f>IF(A845="","",0.40*'Factor Scores'!C845+0.20*'Factor Scores'!E845+0.20*'Factor Scores'!G845+0.20*'Factor Scores'!H845)</f>
        <v/>
      </c>
      <c r="C845" s="12">
        <f>IF(B845="","",RANK(B845,$B$2:$B$2501,0))</f>
        <v/>
      </c>
      <c r="D845">
        <f>IF(C845="","",C845&lt;=25)</f>
        <v/>
      </c>
      <c r="F845">
        <f>IF(A845="","",IF(AND(D845=TRUE,E845=""),"BUY",IF(AND(D845=FALSE,E845&lt;&gt;""),"SELL",IF(AND(D845=TRUE,E845&lt;&gt;""),"HOLD",""))))</f>
        <v/>
      </c>
      <c r="G845" s="12">
        <f>IF(D845=TRUE,4,0)</f>
        <v/>
      </c>
      <c r="H845">
        <f>IF(A845="","",BDP(A845&amp;" US Equity","GICS_SECTOR_NAME"))</f>
        <v/>
      </c>
    </row>
    <row r="846">
      <c r="A846">
        <f>'Factor Scores'!A846</f>
        <v/>
      </c>
      <c r="B846" s="10">
        <f>IF(A846="","",0.40*'Factor Scores'!C846+0.20*'Factor Scores'!E846+0.20*'Factor Scores'!G846+0.20*'Factor Scores'!H846)</f>
        <v/>
      </c>
      <c r="C846" s="12">
        <f>IF(B846="","",RANK(B846,$B$2:$B$2501,0))</f>
        <v/>
      </c>
      <c r="D846">
        <f>IF(C846="","",C846&lt;=25)</f>
        <v/>
      </c>
      <c r="F846">
        <f>IF(A846="","",IF(AND(D846=TRUE,E846=""),"BUY",IF(AND(D846=FALSE,E846&lt;&gt;""),"SELL",IF(AND(D846=TRUE,E846&lt;&gt;""),"HOLD",""))))</f>
        <v/>
      </c>
      <c r="G846" s="12">
        <f>IF(D846=TRUE,4,0)</f>
        <v/>
      </c>
      <c r="H846">
        <f>IF(A846="","",BDP(A846&amp;" US Equity","GICS_SECTOR_NAME"))</f>
        <v/>
      </c>
    </row>
    <row r="847">
      <c r="A847">
        <f>'Factor Scores'!A847</f>
        <v/>
      </c>
      <c r="B847" s="10">
        <f>IF(A847="","",0.40*'Factor Scores'!C847+0.20*'Factor Scores'!E847+0.20*'Factor Scores'!G847+0.20*'Factor Scores'!H847)</f>
        <v/>
      </c>
      <c r="C847" s="12">
        <f>IF(B847="","",RANK(B847,$B$2:$B$2501,0))</f>
        <v/>
      </c>
      <c r="D847">
        <f>IF(C847="","",C847&lt;=25)</f>
        <v/>
      </c>
      <c r="F847">
        <f>IF(A847="","",IF(AND(D847=TRUE,E847=""),"BUY",IF(AND(D847=FALSE,E847&lt;&gt;""),"SELL",IF(AND(D847=TRUE,E847&lt;&gt;""),"HOLD",""))))</f>
        <v/>
      </c>
      <c r="G847" s="12">
        <f>IF(D847=TRUE,4,0)</f>
        <v/>
      </c>
      <c r="H847">
        <f>IF(A847="","",BDP(A847&amp;" US Equity","GICS_SECTOR_NAME"))</f>
        <v/>
      </c>
    </row>
    <row r="848">
      <c r="A848">
        <f>'Factor Scores'!A848</f>
        <v/>
      </c>
      <c r="B848" s="10">
        <f>IF(A848="","",0.40*'Factor Scores'!C848+0.20*'Factor Scores'!E848+0.20*'Factor Scores'!G848+0.20*'Factor Scores'!H848)</f>
        <v/>
      </c>
      <c r="C848" s="12">
        <f>IF(B848="","",RANK(B848,$B$2:$B$2501,0))</f>
        <v/>
      </c>
      <c r="D848">
        <f>IF(C848="","",C848&lt;=25)</f>
        <v/>
      </c>
      <c r="F848">
        <f>IF(A848="","",IF(AND(D848=TRUE,E848=""),"BUY",IF(AND(D848=FALSE,E848&lt;&gt;""),"SELL",IF(AND(D848=TRUE,E848&lt;&gt;""),"HOLD",""))))</f>
        <v/>
      </c>
      <c r="G848" s="12">
        <f>IF(D848=TRUE,4,0)</f>
        <v/>
      </c>
      <c r="H848">
        <f>IF(A848="","",BDP(A848&amp;" US Equity","GICS_SECTOR_NAME"))</f>
        <v/>
      </c>
    </row>
    <row r="849">
      <c r="A849">
        <f>'Factor Scores'!A849</f>
        <v/>
      </c>
      <c r="B849" s="10">
        <f>IF(A849="","",0.40*'Factor Scores'!C849+0.20*'Factor Scores'!E849+0.20*'Factor Scores'!G849+0.20*'Factor Scores'!H849)</f>
        <v/>
      </c>
      <c r="C849" s="12">
        <f>IF(B849="","",RANK(B849,$B$2:$B$2501,0))</f>
        <v/>
      </c>
      <c r="D849">
        <f>IF(C849="","",C849&lt;=25)</f>
        <v/>
      </c>
      <c r="F849">
        <f>IF(A849="","",IF(AND(D849=TRUE,E849=""),"BUY",IF(AND(D849=FALSE,E849&lt;&gt;""),"SELL",IF(AND(D849=TRUE,E849&lt;&gt;""),"HOLD",""))))</f>
        <v/>
      </c>
      <c r="G849" s="12">
        <f>IF(D849=TRUE,4,0)</f>
        <v/>
      </c>
      <c r="H849">
        <f>IF(A849="","",BDP(A849&amp;" US Equity","GICS_SECTOR_NAME"))</f>
        <v/>
      </c>
    </row>
    <row r="850">
      <c r="A850">
        <f>'Factor Scores'!A850</f>
        <v/>
      </c>
      <c r="B850" s="10">
        <f>IF(A850="","",0.40*'Factor Scores'!C850+0.20*'Factor Scores'!E850+0.20*'Factor Scores'!G850+0.20*'Factor Scores'!H850)</f>
        <v/>
      </c>
      <c r="C850" s="12">
        <f>IF(B850="","",RANK(B850,$B$2:$B$2501,0))</f>
        <v/>
      </c>
      <c r="D850">
        <f>IF(C850="","",C850&lt;=25)</f>
        <v/>
      </c>
      <c r="F850">
        <f>IF(A850="","",IF(AND(D850=TRUE,E850=""),"BUY",IF(AND(D850=FALSE,E850&lt;&gt;""),"SELL",IF(AND(D850=TRUE,E850&lt;&gt;""),"HOLD",""))))</f>
        <v/>
      </c>
      <c r="G850" s="12">
        <f>IF(D850=TRUE,4,0)</f>
        <v/>
      </c>
      <c r="H850">
        <f>IF(A850="","",BDP(A850&amp;" US Equity","GICS_SECTOR_NAME"))</f>
        <v/>
      </c>
    </row>
    <row r="851">
      <c r="A851">
        <f>'Factor Scores'!A851</f>
        <v/>
      </c>
      <c r="B851" s="10">
        <f>IF(A851="","",0.40*'Factor Scores'!C851+0.20*'Factor Scores'!E851+0.20*'Factor Scores'!G851+0.20*'Factor Scores'!H851)</f>
        <v/>
      </c>
      <c r="C851" s="12">
        <f>IF(B851="","",RANK(B851,$B$2:$B$2501,0))</f>
        <v/>
      </c>
      <c r="D851">
        <f>IF(C851="","",C851&lt;=25)</f>
        <v/>
      </c>
      <c r="F851">
        <f>IF(A851="","",IF(AND(D851=TRUE,E851=""),"BUY",IF(AND(D851=FALSE,E851&lt;&gt;""),"SELL",IF(AND(D851=TRUE,E851&lt;&gt;""),"HOLD",""))))</f>
        <v/>
      </c>
      <c r="G851" s="12">
        <f>IF(D851=TRUE,4,0)</f>
        <v/>
      </c>
      <c r="H851">
        <f>IF(A851="","",BDP(A851&amp;" US Equity","GICS_SECTOR_NAME"))</f>
        <v/>
      </c>
    </row>
    <row r="852">
      <c r="A852">
        <f>'Factor Scores'!A852</f>
        <v/>
      </c>
      <c r="B852" s="10">
        <f>IF(A852="","",0.40*'Factor Scores'!C852+0.20*'Factor Scores'!E852+0.20*'Factor Scores'!G852+0.20*'Factor Scores'!H852)</f>
        <v/>
      </c>
      <c r="C852" s="12">
        <f>IF(B852="","",RANK(B852,$B$2:$B$2501,0))</f>
        <v/>
      </c>
      <c r="D852">
        <f>IF(C852="","",C852&lt;=25)</f>
        <v/>
      </c>
      <c r="F852">
        <f>IF(A852="","",IF(AND(D852=TRUE,E852=""),"BUY",IF(AND(D852=FALSE,E852&lt;&gt;""),"SELL",IF(AND(D852=TRUE,E852&lt;&gt;""),"HOLD",""))))</f>
        <v/>
      </c>
      <c r="G852" s="12">
        <f>IF(D852=TRUE,4,0)</f>
        <v/>
      </c>
      <c r="H852">
        <f>IF(A852="","",BDP(A852&amp;" US Equity","GICS_SECTOR_NAME"))</f>
        <v/>
      </c>
    </row>
    <row r="853">
      <c r="A853">
        <f>'Factor Scores'!A853</f>
        <v/>
      </c>
      <c r="B853" s="10">
        <f>IF(A853="","",0.40*'Factor Scores'!C853+0.20*'Factor Scores'!E853+0.20*'Factor Scores'!G853+0.20*'Factor Scores'!H853)</f>
        <v/>
      </c>
      <c r="C853" s="12">
        <f>IF(B853="","",RANK(B853,$B$2:$B$2501,0))</f>
        <v/>
      </c>
      <c r="D853">
        <f>IF(C853="","",C853&lt;=25)</f>
        <v/>
      </c>
      <c r="F853">
        <f>IF(A853="","",IF(AND(D853=TRUE,E853=""),"BUY",IF(AND(D853=FALSE,E853&lt;&gt;""),"SELL",IF(AND(D853=TRUE,E853&lt;&gt;""),"HOLD",""))))</f>
        <v/>
      </c>
      <c r="G853" s="12">
        <f>IF(D853=TRUE,4,0)</f>
        <v/>
      </c>
      <c r="H853">
        <f>IF(A853="","",BDP(A853&amp;" US Equity","GICS_SECTOR_NAME"))</f>
        <v/>
      </c>
    </row>
    <row r="854">
      <c r="A854">
        <f>'Factor Scores'!A854</f>
        <v/>
      </c>
      <c r="B854" s="10">
        <f>IF(A854="","",0.40*'Factor Scores'!C854+0.20*'Factor Scores'!E854+0.20*'Factor Scores'!G854+0.20*'Factor Scores'!H854)</f>
        <v/>
      </c>
      <c r="C854" s="12">
        <f>IF(B854="","",RANK(B854,$B$2:$B$2501,0))</f>
        <v/>
      </c>
      <c r="D854">
        <f>IF(C854="","",C854&lt;=25)</f>
        <v/>
      </c>
      <c r="F854">
        <f>IF(A854="","",IF(AND(D854=TRUE,E854=""),"BUY",IF(AND(D854=FALSE,E854&lt;&gt;""),"SELL",IF(AND(D854=TRUE,E854&lt;&gt;""),"HOLD",""))))</f>
        <v/>
      </c>
      <c r="G854" s="12">
        <f>IF(D854=TRUE,4,0)</f>
        <v/>
      </c>
      <c r="H854">
        <f>IF(A854="","",BDP(A854&amp;" US Equity","GICS_SECTOR_NAME"))</f>
        <v/>
      </c>
    </row>
    <row r="855">
      <c r="A855">
        <f>'Factor Scores'!A855</f>
        <v/>
      </c>
      <c r="B855" s="10">
        <f>IF(A855="","",0.40*'Factor Scores'!C855+0.20*'Factor Scores'!E855+0.20*'Factor Scores'!G855+0.20*'Factor Scores'!H855)</f>
        <v/>
      </c>
      <c r="C855" s="12">
        <f>IF(B855="","",RANK(B855,$B$2:$B$2501,0))</f>
        <v/>
      </c>
      <c r="D855">
        <f>IF(C855="","",C855&lt;=25)</f>
        <v/>
      </c>
      <c r="F855">
        <f>IF(A855="","",IF(AND(D855=TRUE,E855=""),"BUY",IF(AND(D855=FALSE,E855&lt;&gt;""),"SELL",IF(AND(D855=TRUE,E855&lt;&gt;""),"HOLD",""))))</f>
        <v/>
      </c>
      <c r="G855" s="12">
        <f>IF(D855=TRUE,4,0)</f>
        <v/>
      </c>
      <c r="H855">
        <f>IF(A855="","",BDP(A855&amp;" US Equity","GICS_SECTOR_NAME"))</f>
        <v/>
      </c>
    </row>
    <row r="856">
      <c r="A856">
        <f>'Factor Scores'!A856</f>
        <v/>
      </c>
      <c r="B856" s="10">
        <f>IF(A856="","",0.40*'Factor Scores'!C856+0.20*'Factor Scores'!E856+0.20*'Factor Scores'!G856+0.20*'Factor Scores'!H856)</f>
        <v/>
      </c>
      <c r="C856" s="12">
        <f>IF(B856="","",RANK(B856,$B$2:$B$2501,0))</f>
        <v/>
      </c>
      <c r="D856">
        <f>IF(C856="","",C856&lt;=25)</f>
        <v/>
      </c>
      <c r="F856">
        <f>IF(A856="","",IF(AND(D856=TRUE,E856=""),"BUY",IF(AND(D856=FALSE,E856&lt;&gt;""),"SELL",IF(AND(D856=TRUE,E856&lt;&gt;""),"HOLD",""))))</f>
        <v/>
      </c>
      <c r="G856" s="12">
        <f>IF(D856=TRUE,4,0)</f>
        <v/>
      </c>
      <c r="H856">
        <f>IF(A856="","",BDP(A856&amp;" US Equity","GICS_SECTOR_NAME"))</f>
        <v/>
      </c>
    </row>
    <row r="857">
      <c r="A857">
        <f>'Factor Scores'!A857</f>
        <v/>
      </c>
      <c r="B857" s="10">
        <f>IF(A857="","",0.40*'Factor Scores'!C857+0.20*'Factor Scores'!E857+0.20*'Factor Scores'!G857+0.20*'Factor Scores'!H857)</f>
        <v/>
      </c>
      <c r="C857" s="12">
        <f>IF(B857="","",RANK(B857,$B$2:$B$2501,0))</f>
        <v/>
      </c>
      <c r="D857">
        <f>IF(C857="","",C857&lt;=25)</f>
        <v/>
      </c>
      <c r="F857">
        <f>IF(A857="","",IF(AND(D857=TRUE,E857=""),"BUY",IF(AND(D857=FALSE,E857&lt;&gt;""),"SELL",IF(AND(D857=TRUE,E857&lt;&gt;""),"HOLD",""))))</f>
        <v/>
      </c>
      <c r="G857" s="12">
        <f>IF(D857=TRUE,4,0)</f>
        <v/>
      </c>
      <c r="H857">
        <f>IF(A857="","",BDP(A857&amp;" US Equity","GICS_SECTOR_NAME"))</f>
        <v/>
      </c>
    </row>
    <row r="858">
      <c r="A858">
        <f>'Factor Scores'!A858</f>
        <v/>
      </c>
      <c r="B858" s="10">
        <f>IF(A858="","",0.40*'Factor Scores'!C858+0.20*'Factor Scores'!E858+0.20*'Factor Scores'!G858+0.20*'Factor Scores'!H858)</f>
        <v/>
      </c>
      <c r="C858" s="12">
        <f>IF(B858="","",RANK(B858,$B$2:$B$2501,0))</f>
        <v/>
      </c>
      <c r="D858">
        <f>IF(C858="","",C858&lt;=25)</f>
        <v/>
      </c>
      <c r="F858">
        <f>IF(A858="","",IF(AND(D858=TRUE,E858=""),"BUY",IF(AND(D858=FALSE,E858&lt;&gt;""),"SELL",IF(AND(D858=TRUE,E858&lt;&gt;""),"HOLD",""))))</f>
        <v/>
      </c>
      <c r="G858" s="12">
        <f>IF(D858=TRUE,4,0)</f>
        <v/>
      </c>
      <c r="H858">
        <f>IF(A858="","",BDP(A858&amp;" US Equity","GICS_SECTOR_NAME"))</f>
        <v/>
      </c>
    </row>
    <row r="859">
      <c r="A859">
        <f>'Factor Scores'!A859</f>
        <v/>
      </c>
      <c r="B859" s="10">
        <f>IF(A859="","",0.40*'Factor Scores'!C859+0.20*'Factor Scores'!E859+0.20*'Factor Scores'!G859+0.20*'Factor Scores'!H859)</f>
        <v/>
      </c>
      <c r="C859" s="12">
        <f>IF(B859="","",RANK(B859,$B$2:$B$2501,0))</f>
        <v/>
      </c>
      <c r="D859">
        <f>IF(C859="","",C859&lt;=25)</f>
        <v/>
      </c>
      <c r="F859">
        <f>IF(A859="","",IF(AND(D859=TRUE,E859=""),"BUY",IF(AND(D859=FALSE,E859&lt;&gt;""),"SELL",IF(AND(D859=TRUE,E859&lt;&gt;""),"HOLD",""))))</f>
        <v/>
      </c>
      <c r="G859" s="12">
        <f>IF(D859=TRUE,4,0)</f>
        <v/>
      </c>
      <c r="H859">
        <f>IF(A859="","",BDP(A859&amp;" US Equity","GICS_SECTOR_NAME"))</f>
        <v/>
      </c>
    </row>
    <row r="860">
      <c r="A860">
        <f>'Factor Scores'!A860</f>
        <v/>
      </c>
      <c r="B860" s="10">
        <f>IF(A860="","",0.40*'Factor Scores'!C860+0.20*'Factor Scores'!E860+0.20*'Factor Scores'!G860+0.20*'Factor Scores'!H860)</f>
        <v/>
      </c>
      <c r="C860" s="12">
        <f>IF(B860="","",RANK(B860,$B$2:$B$2501,0))</f>
        <v/>
      </c>
      <c r="D860">
        <f>IF(C860="","",C860&lt;=25)</f>
        <v/>
      </c>
      <c r="F860">
        <f>IF(A860="","",IF(AND(D860=TRUE,E860=""),"BUY",IF(AND(D860=FALSE,E860&lt;&gt;""),"SELL",IF(AND(D860=TRUE,E860&lt;&gt;""),"HOLD",""))))</f>
        <v/>
      </c>
      <c r="G860" s="12">
        <f>IF(D860=TRUE,4,0)</f>
        <v/>
      </c>
      <c r="H860">
        <f>IF(A860="","",BDP(A860&amp;" US Equity","GICS_SECTOR_NAME"))</f>
        <v/>
      </c>
    </row>
    <row r="861">
      <c r="A861">
        <f>'Factor Scores'!A861</f>
        <v/>
      </c>
      <c r="B861" s="10">
        <f>IF(A861="","",0.40*'Factor Scores'!C861+0.20*'Factor Scores'!E861+0.20*'Factor Scores'!G861+0.20*'Factor Scores'!H861)</f>
        <v/>
      </c>
      <c r="C861" s="12">
        <f>IF(B861="","",RANK(B861,$B$2:$B$2501,0))</f>
        <v/>
      </c>
      <c r="D861">
        <f>IF(C861="","",C861&lt;=25)</f>
        <v/>
      </c>
      <c r="F861">
        <f>IF(A861="","",IF(AND(D861=TRUE,E861=""),"BUY",IF(AND(D861=FALSE,E861&lt;&gt;""),"SELL",IF(AND(D861=TRUE,E861&lt;&gt;""),"HOLD",""))))</f>
        <v/>
      </c>
      <c r="G861" s="12">
        <f>IF(D861=TRUE,4,0)</f>
        <v/>
      </c>
      <c r="H861">
        <f>IF(A861="","",BDP(A861&amp;" US Equity","GICS_SECTOR_NAME"))</f>
        <v/>
      </c>
    </row>
    <row r="862">
      <c r="A862">
        <f>'Factor Scores'!A862</f>
        <v/>
      </c>
      <c r="B862" s="10">
        <f>IF(A862="","",0.40*'Factor Scores'!C862+0.20*'Factor Scores'!E862+0.20*'Factor Scores'!G862+0.20*'Factor Scores'!H862)</f>
        <v/>
      </c>
      <c r="C862" s="12">
        <f>IF(B862="","",RANK(B862,$B$2:$B$2501,0))</f>
        <v/>
      </c>
      <c r="D862">
        <f>IF(C862="","",C862&lt;=25)</f>
        <v/>
      </c>
      <c r="F862">
        <f>IF(A862="","",IF(AND(D862=TRUE,E862=""),"BUY",IF(AND(D862=FALSE,E862&lt;&gt;""),"SELL",IF(AND(D862=TRUE,E862&lt;&gt;""),"HOLD",""))))</f>
        <v/>
      </c>
      <c r="G862" s="12">
        <f>IF(D862=TRUE,4,0)</f>
        <v/>
      </c>
      <c r="H862">
        <f>IF(A862="","",BDP(A862&amp;" US Equity","GICS_SECTOR_NAME"))</f>
        <v/>
      </c>
    </row>
    <row r="863">
      <c r="A863">
        <f>'Factor Scores'!A863</f>
        <v/>
      </c>
      <c r="B863" s="10">
        <f>IF(A863="","",0.40*'Factor Scores'!C863+0.20*'Factor Scores'!E863+0.20*'Factor Scores'!G863+0.20*'Factor Scores'!H863)</f>
        <v/>
      </c>
      <c r="C863" s="12">
        <f>IF(B863="","",RANK(B863,$B$2:$B$2501,0))</f>
        <v/>
      </c>
      <c r="D863">
        <f>IF(C863="","",C863&lt;=25)</f>
        <v/>
      </c>
      <c r="F863">
        <f>IF(A863="","",IF(AND(D863=TRUE,E863=""),"BUY",IF(AND(D863=FALSE,E863&lt;&gt;""),"SELL",IF(AND(D863=TRUE,E863&lt;&gt;""),"HOLD",""))))</f>
        <v/>
      </c>
      <c r="G863" s="12">
        <f>IF(D863=TRUE,4,0)</f>
        <v/>
      </c>
      <c r="H863">
        <f>IF(A863="","",BDP(A863&amp;" US Equity","GICS_SECTOR_NAME"))</f>
        <v/>
      </c>
    </row>
    <row r="864">
      <c r="A864">
        <f>'Factor Scores'!A864</f>
        <v/>
      </c>
      <c r="B864" s="10">
        <f>IF(A864="","",0.40*'Factor Scores'!C864+0.20*'Factor Scores'!E864+0.20*'Factor Scores'!G864+0.20*'Factor Scores'!H864)</f>
        <v/>
      </c>
      <c r="C864" s="12">
        <f>IF(B864="","",RANK(B864,$B$2:$B$2501,0))</f>
        <v/>
      </c>
      <c r="D864">
        <f>IF(C864="","",C864&lt;=25)</f>
        <v/>
      </c>
      <c r="F864">
        <f>IF(A864="","",IF(AND(D864=TRUE,E864=""),"BUY",IF(AND(D864=FALSE,E864&lt;&gt;""),"SELL",IF(AND(D864=TRUE,E864&lt;&gt;""),"HOLD",""))))</f>
        <v/>
      </c>
      <c r="G864" s="12">
        <f>IF(D864=TRUE,4,0)</f>
        <v/>
      </c>
      <c r="H864">
        <f>IF(A864="","",BDP(A864&amp;" US Equity","GICS_SECTOR_NAME"))</f>
        <v/>
      </c>
    </row>
    <row r="865">
      <c r="A865">
        <f>'Factor Scores'!A865</f>
        <v/>
      </c>
      <c r="B865" s="10">
        <f>IF(A865="","",0.40*'Factor Scores'!C865+0.20*'Factor Scores'!E865+0.20*'Factor Scores'!G865+0.20*'Factor Scores'!H865)</f>
        <v/>
      </c>
      <c r="C865" s="12">
        <f>IF(B865="","",RANK(B865,$B$2:$B$2501,0))</f>
        <v/>
      </c>
      <c r="D865">
        <f>IF(C865="","",C865&lt;=25)</f>
        <v/>
      </c>
      <c r="F865">
        <f>IF(A865="","",IF(AND(D865=TRUE,E865=""),"BUY",IF(AND(D865=FALSE,E865&lt;&gt;""),"SELL",IF(AND(D865=TRUE,E865&lt;&gt;""),"HOLD",""))))</f>
        <v/>
      </c>
      <c r="G865" s="12">
        <f>IF(D865=TRUE,4,0)</f>
        <v/>
      </c>
      <c r="H865">
        <f>IF(A865="","",BDP(A865&amp;" US Equity","GICS_SECTOR_NAME"))</f>
        <v/>
      </c>
    </row>
    <row r="866">
      <c r="A866">
        <f>'Factor Scores'!A866</f>
        <v/>
      </c>
      <c r="B866" s="10">
        <f>IF(A866="","",0.40*'Factor Scores'!C866+0.20*'Factor Scores'!E866+0.20*'Factor Scores'!G866+0.20*'Factor Scores'!H866)</f>
        <v/>
      </c>
      <c r="C866" s="12">
        <f>IF(B866="","",RANK(B866,$B$2:$B$2501,0))</f>
        <v/>
      </c>
      <c r="D866">
        <f>IF(C866="","",C866&lt;=25)</f>
        <v/>
      </c>
      <c r="F866">
        <f>IF(A866="","",IF(AND(D866=TRUE,E866=""),"BUY",IF(AND(D866=FALSE,E866&lt;&gt;""),"SELL",IF(AND(D866=TRUE,E866&lt;&gt;""),"HOLD",""))))</f>
        <v/>
      </c>
      <c r="G866" s="12">
        <f>IF(D866=TRUE,4,0)</f>
        <v/>
      </c>
      <c r="H866">
        <f>IF(A866="","",BDP(A866&amp;" US Equity","GICS_SECTOR_NAME"))</f>
        <v/>
      </c>
    </row>
    <row r="867">
      <c r="A867">
        <f>'Factor Scores'!A867</f>
        <v/>
      </c>
      <c r="B867" s="10">
        <f>IF(A867="","",0.40*'Factor Scores'!C867+0.20*'Factor Scores'!E867+0.20*'Factor Scores'!G867+0.20*'Factor Scores'!H867)</f>
        <v/>
      </c>
      <c r="C867" s="12">
        <f>IF(B867="","",RANK(B867,$B$2:$B$2501,0))</f>
        <v/>
      </c>
      <c r="D867">
        <f>IF(C867="","",C867&lt;=25)</f>
        <v/>
      </c>
      <c r="F867">
        <f>IF(A867="","",IF(AND(D867=TRUE,E867=""),"BUY",IF(AND(D867=FALSE,E867&lt;&gt;""),"SELL",IF(AND(D867=TRUE,E867&lt;&gt;""),"HOLD",""))))</f>
        <v/>
      </c>
      <c r="G867" s="12">
        <f>IF(D867=TRUE,4,0)</f>
        <v/>
      </c>
      <c r="H867">
        <f>IF(A867="","",BDP(A867&amp;" US Equity","GICS_SECTOR_NAME"))</f>
        <v/>
      </c>
    </row>
    <row r="868">
      <c r="A868">
        <f>'Factor Scores'!A868</f>
        <v/>
      </c>
      <c r="B868" s="10">
        <f>IF(A868="","",0.40*'Factor Scores'!C868+0.20*'Factor Scores'!E868+0.20*'Factor Scores'!G868+0.20*'Factor Scores'!H868)</f>
        <v/>
      </c>
      <c r="C868" s="12">
        <f>IF(B868="","",RANK(B868,$B$2:$B$2501,0))</f>
        <v/>
      </c>
      <c r="D868">
        <f>IF(C868="","",C868&lt;=25)</f>
        <v/>
      </c>
      <c r="F868">
        <f>IF(A868="","",IF(AND(D868=TRUE,E868=""),"BUY",IF(AND(D868=FALSE,E868&lt;&gt;""),"SELL",IF(AND(D868=TRUE,E868&lt;&gt;""),"HOLD",""))))</f>
        <v/>
      </c>
      <c r="G868" s="12">
        <f>IF(D868=TRUE,4,0)</f>
        <v/>
      </c>
      <c r="H868">
        <f>IF(A868="","",BDP(A868&amp;" US Equity","GICS_SECTOR_NAME"))</f>
        <v/>
      </c>
    </row>
    <row r="869">
      <c r="A869">
        <f>'Factor Scores'!A869</f>
        <v/>
      </c>
      <c r="B869" s="10">
        <f>IF(A869="","",0.40*'Factor Scores'!C869+0.20*'Factor Scores'!E869+0.20*'Factor Scores'!G869+0.20*'Factor Scores'!H869)</f>
        <v/>
      </c>
      <c r="C869" s="12">
        <f>IF(B869="","",RANK(B869,$B$2:$B$2501,0))</f>
        <v/>
      </c>
      <c r="D869">
        <f>IF(C869="","",C869&lt;=25)</f>
        <v/>
      </c>
      <c r="F869">
        <f>IF(A869="","",IF(AND(D869=TRUE,E869=""),"BUY",IF(AND(D869=FALSE,E869&lt;&gt;""),"SELL",IF(AND(D869=TRUE,E869&lt;&gt;""),"HOLD",""))))</f>
        <v/>
      </c>
      <c r="G869" s="12">
        <f>IF(D869=TRUE,4,0)</f>
        <v/>
      </c>
      <c r="H869">
        <f>IF(A869="","",BDP(A869&amp;" US Equity","GICS_SECTOR_NAME"))</f>
        <v/>
      </c>
    </row>
    <row r="870">
      <c r="A870">
        <f>'Factor Scores'!A870</f>
        <v/>
      </c>
      <c r="B870" s="10">
        <f>IF(A870="","",0.40*'Factor Scores'!C870+0.20*'Factor Scores'!E870+0.20*'Factor Scores'!G870+0.20*'Factor Scores'!H870)</f>
        <v/>
      </c>
      <c r="C870" s="12">
        <f>IF(B870="","",RANK(B870,$B$2:$B$2501,0))</f>
        <v/>
      </c>
      <c r="D870">
        <f>IF(C870="","",C870&lt;=25)</f>
        <v/>
      </c>
      <c r="F870">
        <f>IF(A870="","",IF(AND(D870=TRUE,E870=""),"BUY",IF(AND(D870=FALSE,E870&lt;&gt;""),"SELL",IF(AND(D870=TRUE,E870&lt;&gt;""),"HOLD",""))))</f>
        <v/>
      </c>
      <c r="G870" s="12">
        <f>IF(D870=TRUE,4,0)</f>
        <v/>
      </c>
      <c r="H870">
        <f>IF(A870="","",BDP(A870&amp;" US Equity","GICS_SECTOR_NAME"))</f>
        <v/>
      </c>
    </row>
    <row r="871">
      <c r="A871">
        <f>'Factor Scores'!A871</f>
        <v/>
      </c>
      <c r="B871" s="10">
        <f>IF(A871="","",0.40*'Factor Scores'!C871+0.20*'Factor Scores'!E871+0.20*'Factor Scores'!G871+0.20*'Factor Scores'!H871)</f>
        <v/>
      </c>
      <c r="C871" s="12">
        <f>IF(B871="","",RANK(B871,$B$2:$B$2501,0))</f>
        <v/>
      </c>
      <c r="D871">
        <f>IF(C871="","",C871&lt;=25)</f>
        <v/>
      </c>
      <c r="F871">
        <f>IF(A871="","",IF(AND(D871=TRUE,E871=""),"BUY",IF(AND(D871=FALSE,E871&lt;&gt;""),"SELL",IF(AND(D871=TRUE,E871&lt;&gt;""),"HOLD",""))))</f>
        <v/>
      </c>
      <c r="G871" s="12">
        <f>IF(D871=TRUE,4,0)</f>
        <v/>
      </c>
      <c r="H871">
        <f>IF(A871="","",BDP(A871&amp;" US Equity","GICS_SECTOR_NAME"))</f>
        <v/>
      </c>
    </row>
    <row r="872">
      <c r="A872">
        <f>'Factor Scores'!A872</f>
        <v/>
      </c>
      <c r="B872" s="10">
        <f>IF(A872="","",0.40*'Factor Scores'!C872+0.20*'Factor Scores'!E872+0.20*'Factor Scores'!G872+0.20*'Factor Scores'!H872)</f>
        <v/>
      </c>
      <c r="C872" s="12">
        <f>IF(B872="","",RANK(B872,$B$2:$B$2501,0))</f>
        <v/>
      </c>
      <c r="D872">
        <f>IF(C872="","",C872&lt;=25)</f>
        <v/>
      </c>
      <c r="F872">
        <f>IF(A872="","",IF(AND(D872=TRUE,E872=""),"BUY",IF(AND(D872=FALSE,E872&lt;&gt;""),"SELL",IF(AND(D872=TRUE,E872&lt;&gt;""),"HOLD",""))))</f>
        <v/>
      </c>
      <c r="G872" s="12">
        <f>IF(D872=TRUE,4,0)</f>
        <v/>
      </c>
      <c r="H872">
        <f>IF(A872="","",BDP(A872&amp;" US Equity","GICS_SECTOR_NAME"))</f>
        <v/>
      </c>
    </row>
    <row r="873">
      <c r="A873">
        <f>'Factor Scores'!A873</f>
        <v/>
      </c>
      <c r="B873" s="10">
        <f>IF(A873="","",0.40*'Factor Scores'!C873+0.20*'Factor Scores'!E873+0.20*'Factor Scores'!G873+0.20*'Factor Scores'!H873)</f>
        <v/>
      </c>
      <c r="C873" s="12">
        <f>IF(B873="","",RANK(B873,$B$2:$B$2501,0))</f>
        <v/>
      </c>
      <c r="D873">
        <f>IF(C873="","",C873&lt;=25)</f>
        <v/>
      </c>
      <c r="F873">
        <f>IF(A873="","",IF(AND(D873=TRUE,E873=""),"BUY",IF(AND(D873=FALSE,E873&lt;&gt;""),"SELL",IF(AND(D873=TRUE,E873&lt;&gt;""),"HOLD",""))))</f>
        <v/>
      </c>
      <c r="G873" s="12">
        <f>IF(D873=TRUE,4,0)</f>
        <v/>
      </c>
      <c r="H873">
        <f>IF(A873="","",BDP(A873&amp;" US Equity","GICS_SECTOR_NAME"))</f>
        <v/>
      </c>
    </row>
    <row r="874">
      <c r="A874">
        <f>'Factor Scores'!A874</f>
        <v/>
      </c>
      <c r="B874" s="10">
        <f>IF(A874="","",0.40*'Factor Scores'!C874+0.20*'Factor Scores'!E874+0.20*'Factor Scores'!G874+0.20*'Factor Scores'!H874)</f>
        <v/>
      </c>
      <c r="C874" s="12">
        <f>IF(B874="","",RANK(B874,$B$2:$B$2501,0))</f>
        <v/>
      </c>
      <c r="D874">
        <f>IF(C874="","",C874&lt;=25)</f>
        <v/>
      </c>
      <c r="F874">
        <f>IF(A874="","",IF(AND(D874=TRUE,E874=""),"BUY",IF(AND(D874=FALSE,E874&lt;&gt;""),"SELL",IF(AND(D874=TRUE,E874&lt;&gt;""),"HOLD",""))))</f>
        <v/>
      </c>
      <c r="G874" s="12">
        <f>IF(D874=TRUE,4,0)</f>
        <v/>
      </c>
      <c r="H874">
        <f>IF(A874="","",BDP(A874&amp;" US Equity","GICS_SECTOR_NAME"))</f>
        <v/>
      </c>
    </row>
    <row r="875">
      <c r="A875">
        <f>'Factor Scores'!A875</f>
        <v/>
      </c>
      <c r="B875" s="10">
        <f>IF(A875="","",0.40*'Factor Scores'!C875+0.20*'Factor Scores'!E875+0.20*'Factor Scores'!G875+0.20*'Factor Scores'!H875)</f>
        <v/>
      </c>
      <c r="C875" s="12">
        <f>IF(B875="","",RANK(B875,$B$2:$B$2501,0))</f>
        <v/>
      </c>
      <c r="D875">
        <f>IF(C875="","",C875&lt;=25)</f>
        <v/>
      </c>
      <c r="F875">
        <f>IF(A875="","",IF(AND(D875=TRUE,E875=""),"BUY",IF(AND(D875=FALSE,E875&lt;&gt;""),"SELL",IF(AND(D875=TRUE,E875&lt;&gt;""),"HOLD",""))))</f>
        <v/>
      </c>
      <c r="G875" s="12">
        <f>IF(D875=TRUE,4,0)</f>
        <v/>
      </c>
      <c r="H875">
        <f>IF(A875="","",BDP(A875&amp;" US Equity","GICS_SECTOR_NAME"))</f>
        <v/>
      </c>
    </row>
    <row r="876">
      <c r="A876">
        <f>'Factor Scores'!A876</f>
        <v/>
      </c>
      <c r="B876" s="10">
        <f>IF(A876="","",0.40*'Factor Scores'!C876+0.20*'Factor Scores'!E876+0.20*'Factor Scores'!G876+0.20*'Factor Scores'!H876)</f>
        <v/>
      </c>
      <c r="C876" s="12">
        <f>IF(B876="","",RANK(B876,$B$2:$B$2501,0))</f>
        <v/>
      </c>
      <c r="D876">
        <f>IF(C876="","",C876&lt;=25)</f>
        <v/>
      </c>
      <c r="F876">
        <f>IF(A876="","",IF(AND(D876=TRUE,E876=""),"BUY",IF(AND(D876=FALSE,E876&lt;&gt;""),"SELL",IF(AND(D876=TRUE,E876&lt;&gt;""),"HOLD",""))))</f>
        <v/>
      </c>
      <c r="G876" s="12">
        <f>IF(D876=TRUE,4,0)</f>
        <v/>
      </c>
      <c r="H876">
        <f>IF(A876="","",BDP(A876&amp;" US Equity","GICS_SECTOR_NAME"))</f>
        <v/>
      </c>
    </row>
    <row r="877">
      <c r="A877">
        <f>'Factor Scores'!A877</f>
        <v/>
      </c>
      <c r="B877" s="10">
        <f>IF(A877="","",0.40*'Factor Scores'!C877+0.20*'Factor Scores'!E877+0.20*'Factor Scores'!G877+0.20*'Factor Scores'!H877)</f>
        <v/>
      </c>
      <c r="C877" s="12">
        <f>IF(B877="","",RANK(B877,$B$2:$B$2501,0))</f>
        <v/>
      </c>
      <c r="D877">
        <f>IF(C877="","",C877&lt;=25)</f>
        <v/>
      </c>
      <c r="F877">
        <f>IF(A877="","",IF(AND(D877=TRUE,E877=""),"BUY",IF(AND(D877=FALSE,E877&lt;&gt;""),"SELL",IF(AND(D877=TRUE,E877&lt;&gt;""),"HOLD",""))))</f>
        <v/>
      </c>
      <c r="G877" s="12">
        <f>IF(D877=TRUE,4,0)</f>
        <v/>
      </c>
      <c r="H877">
        <f>IF(A877="","",BDP(A877&amp;" US Equity","GICS_SECTOR_NAME"))</f>
        <v/>
      </c>
    </row>
    <row r="878">
      <c r="A878">
        <f>'Factor Scores'!A878</f>
        <v/>
      </c>
      <c r="B878" s="10">
        <f>IF(A878="","",0.40*'Factor Scores'!C878+0.20*'Factor Scores'!E878+0.20*'Factor Scores'!G878+0.20*'Factor Scores'!H878)</f>
        <v/>
      </c>
      <c r="C878" s="12">
        <f>IF(B878="","",RANK(B878,$B$2:$B$2501,0))</f>
        <v/>
      </c>
      <c r="D878">
        <f>IF(C878="","",C878&lt;=25)</f>
        <v/>
      </c>
      <c r="F878">
        <f>IF(A878="","",IF(AND(D878=TRUE,E878=""),"BUY",IF(AND(D878=FALSE,E878&lt;&gt;""),"SELL",IF(AND(D878=TRUE,E878&lt;&gt;""),"HOLD",""))))</f>
        <v/>
      </c>
      <c r="G878" s="12">
        <f>IF(D878=TRUE,4,0)</f>
        <v/>
      </c>
      <c r="H878">
        <f>IF(A878="","",BDP(A878&amp;" US Equity","GICS_SECTOR_NAME"))</f>
        <v/>
      </c>
    </row>
    <row r="879">
      <c r="A879">
        <f>'Factor Scores'!A879</f>
        <v/>
      </c>
      <c r="B879" s="10">
        <f>IF(A879="","",0.40*'Factor Scores'!C879+0.20*'Factor Scores'!E879+0.20*'Factor Scores'!G879+0.20*'Factor Scores'!H879)</f>
        <v/>
      </c>
      <c r="C879" s="12">
        <f>IF(B879="","",RANK(B879,$B$2:$B$2501,0))</f>
        <v/>
      </c>
      <c r="D879">
        <f>IF(C879="","",C879&lt;=25)</f>
        <v/>
      </c>
      <c r="F879">
        <f>IF(A879="","",IF(AND(D879=TRUE,E879=""),"BUY",IF(AND(D879=FALSE,E879&lt;&gt;""),"SELL",IF(AND(D879=TRUE,E879&lt;&gt;""),"HOLD",""))))</f>
        <v/>
      </c>
      <c r="G879" s="12">
        <f>IF(D879=TRUE,4,0)</f>
        <v/>
      </c>
      <c r="H879">
        <f>IF(A879="","",BDP(A879&amp;" US Equity","GICS_SECTOR_NAME"))</f>
        <v/>
      </c>
    </row>
    <row r="880">
      <c r="A880">
        <f>'Factor Scores'!A880</f>
        <v/>
      </c>
      <c r="B880" s="10">
        <f>IF(A880="","",0.40*'Factor Scores'!C880+0.20*'Factor Scores'!E880+0.20*'Factor Scores'!G880+0.20*'Factor Scores'!H880)</f>
        <v/>
      </c>
      <c r="C880" s="12">
        <f>IF(B880="","",RANK(B880,$B$2:$B$2501,0))</f>
        <v/>
      </c>
      <c r="D880">
        <f>IF(C880="","",C880&lt;=25)</f>
        <v/>
      </c>
      <c r="F880">
        <f>IF(A880="","",IF(AND(D880=TRUE,E880=""),"BUY",IF(AND(D880=FALSE,E880&lt;&gt;""),"SELL",IF(AND(D880=TRUE,E880&lt;&gt;""),"HOLD",""))))</f>
        <v/>
      </c>
      <c r="G880" s="12">
        <f>IF(D880=TRUE,4,0)</f>
        <v/>
      </c>
      <c r="H880">
        <f>IF(A880="","",BDP(A880&amp;" US Equity","GICS_SECTOR_NAME"))</f>
        <v/>
      </c>
    </row>
    <row r="881">
      <c r="A881">
        <f>'Factor Scores'!A881</f>
        <v/>
      </c>
      <c r="B881" s="10">
        <f>IF(A881="","",0.40*'Factor Scores'!C881+0.20*'Factor Scores'!E881+0.20*'Factor Scores'!G881+0.20*'Factor Scores'!H881)</f>
        <v/>
      </c>
      <c r="C881" s="12">
        <f>IF(B881="","",RANK(B881,$B$2:$B$2501,0))</f>
        <v/>
      </c>
      <c r="D881">
        <f>IF(C881="","",C881&lt;=25)</f>
        <v/>
      </c>
      <c r="F881">
        <f>IF(A881="","",IF(AND(D881=TRUE,E881=""),"BUY",IF(AND(D881=FALSE,E881&lt;&gt;""),"SELL",IF(AND(D881=TRUE,E881&lt;&gt;""),"HOLD",""))))</f>
        <v/>
      </c>
      <c r="G881" s="12">
        <f>IF(D881=TRUE,4,0)</f>
        <v/>
      </c>
      <c r="H881">
        <f>IF(A881="","",BDP(A881&amp;" US Equity","GICS_SECTOR_NAME"))</f>
        <v/>
      </c>
    </row>
    <row r="882">
      <c r="A882">
        <f>'Factor Scores'!A882</f>
        <v/>
      </c>
      <c r="B882" s="10">
        <f>IF(A882="","",0.40*'Factor Scores'!C882+0.20*'Factor Scores'!E882+0.20*'Factor Scores'!G882+0.20*'Factor Scores'!H882)</f>
        <v/>
      </c>
      <c r="C882" s="12">
        <f>IF(B882="","",RANK(B882,$B$2:$B$2501,0))</f>
        <v/>
      </c>
      <c r="D882">
        <f>IF(C882="","",C882&lt;=25)</f>
        <v/>
      </c>
      <c r="F882">
        <f>IF(A882="","",IF(AND(D882=TRUE,E882=""),"BUY",IF(AND(D882=FALSE,E882&lt;&gt;""),"SELL",IF(AND(D882=TRUE,E882&lt;&gt;""),"HOLD",""))))</f>
        <v/>
      </c>
      <c r="G882" s="12">
        <f>IF(D882=TRUE,4,0)</f>
        <v/>
      </c>
      <c r="H882">
        <f>IF(A882="","",BDP(A882&amp;" US Equity","GICS_SECTOR_NAME"))</f>
        <v/>
      </c>
    </row>
    <row r="883">
      <c r="A883">
        <f>'Factor Scores'!A883</f>
        <v/>
      </c>
      <c r="B883" s="10">
        <f>IF(A883="","",0.40*'Factor Scores'!C883+0.20*'Factor Scores'!E883+0.20*'Factor Scores'!G883+0.20*'Factor Scores'!H883)</f>
        <v/>
      </c>
      <c r="C883" s="12">
        <f>IF(B883="","",RANK(B883,$B$2:$B$2501,0))</f>
        <v/>
      </c>
      <c r="D883">
        <f>IF(C883="","",C883&lt;=25)</f>
        <v/>
      </c>
      <c r="F883">
        <f>IF(A883="","",IF(AND(D883=TRUE,E883=""),"BUY",IF(AND(D883=FALSE,E883&lt;&gt;""),"SELL",IF(AND(D883=TRUE,E883&lt;&gt;""),"HOLD",""))))</f>
        <v/>
      </c>
      <c r="G883" s="12">
        <f>IF(D883=TRUE,4,0)</f>
        <v/>
      </c>
      <c r="H883">
        <f>IF(A883="","",BDP(A883&amp;" US Equity","GICS_SECTOR_NAME"))</f>
        <v/>
      </c>
    </row>
    <row r="884">
      <c r="A884">
        <f>'Factor Scores'!A884</f>
        <v/>
      </c>
      <c r="B884" s="10">
        <f>IF(A884="","",0.40*'Factor Scores'!C884+0.20*'Factor Scores'!E884+0.20*'Factor Scores'!G884+0.20*'Factor Scores'!H884)</f>
        <v/>
      </c>
      <c r="C884" s="12">
        <f>IF(B884="","",RANK(B884,$B$2:$B$2501,0))</f>
        <v/>
      </c>
      <c r="D884">
        <f>IF(C884="","",C884&lt;=25)</f>
        <v/>
      </c>
      <c r="F884">
        <f>IF(A884="","",IF(AND(D884=TRUE,E884=""),"BUY",IF(AND(D884=FALSE,E884&lt;&gt;""),"SELL",IF(AND(D884=TRUE,E884&lt;&gt;""),"HOLD",""))))</f>
        <v/>
      </c>
      <c r="G884" s="12">
        <f>IF(D884=TRUE,4,0)</f>
        <v/>
      </c>
      <c r="H884">
        <f>IF(A884="","",BDP(A884&amp;" US Equity","GICS_SECTOR_NAME"))</f>
        <v/>
      </c>
    </row>
    <row r="885">
      <c r="A885">
        <f>'Factor Scores'!A885</f>
        <v/>
      </c>
      <c r="B885" s="10">
        <f>IF(A885="","",0.40*'Factor Scores'!C885+0.20*'Factor Scores'!E885+0.20*'Factor Scores'!G885+0.20*'Factor Scores'!H885)</f>
        <v/>
      </c>
      <c r="C885" s="12">
        <f>IF(B885="","",RANK(B885,$B$2:$B$2501,0))</f>
        <v/>
      </c>
      <c r="D885">
        <f>IF(C885="","",C885&lt;=25)</f>
        <v/>
      </c>
      <c r="F885">
        <f>IF(A885="","",IF(AND(D885=TRUE,E885=""),"BUY",IF(AND(D885=FALSE,E885&lt;&gt;""),"SELL",IF(AND(D885=TRUE,E885&lt;&gt;""),"HOLD",""))))</f>
        <v/>
      </c>
      <c r="G885" s="12">
        <f>IF(D885=TRUE,4,0)</f>
        <v/>
      </c>
      <c r="H885">
        <f>IF(A885="","",BDP(A885&amp;" US Equity","GICS_SECTOR_NAME"))</f>
        <v/>
      </c>
    </row>
    <row r="886">
      <c r="A886">
        <f>'Factor Scores'!A886</f>
        <v/>
      </c>
      <c r="B886" s="10">
        <f>IF(A886="","",0.40*'Factor Scores'!C886+0.20*'Factor Scores'!E886+0.20*'Factor Scores'!G886+0.20*'Factor Scores'!H886)</f>
        <v/>
      </c>
      <c r="C886" s="12">
        <f>IF(B886="","",RANK(B886,$B$2:$B$2501,0))</f>
        <v/>
      </c>
      <c r="D886">
        <f>IF(C886="","",C886&lt;=25)</f>
        <v/>
      </c>
      <c r="F886">
        <f>IF(A886="","",IF(AND(D886=TRUE,E886=""),"BUY",IF(AND(D886=FALSE,E886&lt;&gt;""),"SELL",IF(AND(D886=TRUE,E886&lt;&gt;""),"HOLD",""))))</f>
        <v/>
      </c>
      <c r="G886" s="12">
        <f>IF(D886=TRUE,4,0)</f>
        <v/>
      </c>
      <c r="H886">
        <f>IF(A886="","",BDP(A886&amp;" US Equity","GICS_SECTOR_NAME"))</f>
        <v/>
      </c>
    </row>
    <row r="887">
      <c r="A887">
        <f>'Factor Scores'!A887</f>
        <v/>
      </c>
      <c r="B887" s="10">
        <f>IF(A887="","",0.40*'Factor Scores'!C887+0.20*'Factor Scores'!E887+0.20*'Factor Scores'!G887+0.20*'Factor Scores'!H887)</f>
        <v/>
      </c>
      <c r="C887" s="12">
        <f>IF(B887="","",RANK(B887,$B$2:$B$2501,0))</f>
        <v/>
      </c>
      <c r="D887">
        <f>IF(C887="","",C887&lt;=25)</f>
        <v/>
      </c>
      <c r="F887">
        <f>IF(A887="","",IF(AND(D887=TRUE,E887=""),"BUY",IF(AND(D887=FALSE,E887&lt;&gt;""),"SELL",IF(AND(D887=TRUE,E887&lt;&gt;""),"HOLD",""))))</f>
        <v/>
      </c>
      <c r="G887" s="12">
        <f>IF(D887=TRUE,4,0)</f>
        <v/>
      </c>
      <c r="H887">
        <f>IF(A887="","",BDP(A887&amp;" US Equity","GICS_SECTOR_NAME"))</f>
        <v/>
      </c>
    </row>
    <row r="888">
      <c r="A888">
        <f>'Factor Scores'!A888</f>
        <v/>
      </c>
      <c r="B888" s="10">
        <f>IF(A888="","",0.40*'Factor Scores'!C888+0.20*'Factor Scores'!E888+0.20*'Factor Scores'!G888+0.20*'Factor Scores'!H888)</f>
        <v/>
      </c>
      <c r="C888" s="12">
        <f>IF(B888="","",RANK(B888,$B$2:$B$2501,0))</f>
        <v/>
      </c>
      <c r="D888">
        <f>IF(C888="","",C888&lt;=25)</f>
        <v/>
      </c>
      <c r="F888">
        <f>IF(A888="","",IF(AND(D888=TRUE,E888=""),"BUY",IF(AND(D888=FALSE,E888&lt;&gt;""),"SELL",IF(AND(D888=TRUE,E888&lt;&gt;""),"HOLD",""))))</f>
        <v/>
      </c>
      <c r="G888" s="12">
        <f>IF(D888=TRUE,4,0)</f>
        <v/>
      </c>
      <c r="H888">
        <f>IF(A888="","",BDP(A888&amp;" US Equity","GICS_SECTOR_NAME"))</f>
        <v/>
      </c>
    </row>
    <row r="889">
      <c r="A889">
        <f>'Factor Scores'!A889</f>
        <v/>
      </c>
      <c r="B889" s="10">
        <f>IF(A889="","",0.40*'Factor Scores'!C889+0.20*'Factor Scores'!E889+0.20*'Factor Scores'!G889+0.20*'Factor Scores'!H889)</f>
        <v/>
      </c>
      <c r="C889" s="12">
        <f>IF(B889="","",RANK(B889,$B$2:$B$2501,0))</f>
        <v/>
      </c>
      <c r="D889">
        <f>IF(C889="","",C889&lt;=25)</f>
        <v/>
      </c>
      <c r="F889">
        <f>IF(A889="","",IF(AND(D889=TRUE,E889=""),"BUY",IF(AND(D889=FALSE,E889&lt;&gt;""),"SELL",IF(AND(D889=TRUE,E889&lt;&gt;""),"HOLD",""))))</f>
        <v/>
      </c>
      <c r="G889" s="12">
        <f>IF(D889=TRUE,4,0)</f>
        <v/>
      </c>
      <c r="H889">
        <f>IF(A889="","",BDP(A889&amp;" US Equity","GICS_SECTOR_NAME"))</f>
        <v/>
      </c>
    </row>
    <row r="890">
      <c r="A890">
        <f>'Factor Scores'!A890</f>
        <v/>
      </c>
      <c r="B890" s="10">
        <f>IF(A890="","",0.40*'Factor Scores'!C890+0.20*'Factor Scores'!E890+0.20*'Factor Scores'!G890+0.20*'Factor Scores'!H890)</f>
        <v/>
      </c>
      <c r="C890" s="12">
        <f>IF(B890="","",RANK(B890,$B$2:$B$2501,0))</f>
        <v/>
      </c>
      <c r="D890">
        <f>IF(C890="","",C890&lt;=25)</f>
        <v/>
      </c>
      <c r="F890">
        <f>IF(A890="","",IF(AND(D890=TRUE,E890=""),"BUY",IF(AND(D890=FALSE,E890&lt;&gt;""),"SELL",IF(AND(D890=TRUE,E890&lt;&gt;""),"HOLD",""))))</f>
        <v/>
      </c>
      <c r="G890" s="12">
        <f>IF(D890=TRUE,4,0)</f>
        <v/>
      </c>
      <c r="H890">
        <f>IF(A890="","",BDP(A890&amp;" US Equity","GICS_SECTOR_NAME"))</f>
        <v/>
      </c>
    </row>
    <row r="891">
      <c r="A891">
        <f>'Factor Scores'!A891</f>
        <v/>
      </c>
      <c r="B891" s="10">
        <f>IF(A891="","",0.40*'Factor Scores'!C891+0.20*'Factor Scores'!E891+0.20*'Factor Scores'!G891+0.20*'Factor Scores'!H891)</f>
        <v/>
      </c>
      <c r="C891" s="12">
        <f>IF(B891="","",RANK(B891,$B$2:$B$2501,0))</f>
        <v/>
      </c>
      <c r="D891">
        <f>IF(C891="","",C891&lt;=25)</f>
        <v/>
      </c>
      <c r="F891">
        <f>IF(A891="","",IF(AND(D891=TRUE,E891=""),"BUY",IF(AND(D891=FALSE,E891&lt;&gt;""),"SELL",IF(AND(D891=TRUE,E891&lt;&gt;""),"HOLD",""))))</f>
        <v/>
      </c>
      <c r="G891" s="12">
        <f>IF(D891=TRUE,4,0)</f>
        <v/>
      </c>
      <c r="H891">
        <f>IF(A891="","",BDP(A891&amp;" US Equity","GICS_SECTOR_NAME"))</f>
        <v/>
      </c>
    </row>
    <row r="892">
      <c r="A892">
        <f>'Factor Scores'!A892</f>
        <v/>
      </c>
      <c r="B892" s="10">
        <f>IF(A892="","",0.40*'Factor Scores'!C892+0.20*'Factor Scores'!E892+0.20*'Factor Scores'!G892+0.20*'Factor Scores'!H892)</f>
        <v/>
      </c>
      <c r="C892" s="12">
        <f>IF(B892="","",RANK(B892,$B$2:$B$2501,0))</f>
        <v/>
      </c>
      <c r="D892">
        <f>IF(C892="","",C892&lt;=25)</f>
        <v/>
      </c>
      <c r="F892">
        <f>IF(A892="","",IF(AND(D892=TRUE,E892=""),"BUY",IF(AND(D892=FALSE,E892&lt;&gt;""),"SELL",IF(AND(D892=TRUE,E892&lt;&gt;""),"HOLD",""))))</f>
        <v/>
      </c>
      <c r="G892" s="12">
        <f>IF(D892=TRUE,4,0)</f>
        <v/>
      </c>
      <c r="H892">
        <f>IF(A892="","",BDP(A892&amp;" US Equity","GICS_SECTOR_NAME"))</f>
        <v/>
      </c>
    </row>
    <row r="893">
      <c r="A893">
        <f>'Factor Scores'!A893</f>
        <v/>
      </c>
      <c r="B893" s="10">
        <f>IF(A893="","",0.40*'Factor Scores'!C893+0.20*'Factor Scores'!E893+0.20*'Factor Scores'!G893+0.20*'Factor Scores'!H893)</f>
        <v/>
      </c>
      <c r="C893" s="12">
        <f>IF(B893="","",RANK(B893,$B$2:$B$2501,0))</f>
        <v/>
      </c>
      <c r="D893">
        <f>IF(C893="","",C893&lt;=25)</f>
        <v/>
      </c>
      <c r="F893">
        <f>IF(A893="","",IF(AND(D893=TRUE,E893=""),"BUY",IF(AND(D893=FALSE,E893&lt;&gt;""),"SELL",IF(AND(D893=TRUE,E893&lt;&gt;""),"HOLD",""))))</f>
        <v/>
      </c>
      <c r="G893" s="12">
        <f>IF(D893=TRUE,4,0)</f>
        <v/>
      </c>
      <c r="H893">
        <f>IF(A893="","",BDP(A893&amp;" US Equity","GICS_SECTOR_NAME"))</f>
        <v/>
      </c>
    </row>
    <row r="894">
      <c r="A894">
        <f>'Factor Scores'!A894</f>
        <v/>
      </c>
      <c r="B894" s="10">
        <f>IF(A894="","",0.40*'Factor Scores'!C894+0.20*'Factor Scores'!E894+0.20*'Factor Scores'!G894+0.20*'Factor Scores'!H894)</f>
        <v/>
      </c>
      <c r="C894" s="12">
        <f>IF(B894="","",RANK(B894,$B$2:$B$2501,0))</f>
        <v/>
      </c>
      <c r="D894">
        <f>IF(C894="","",C894&lt;=25)</f>
        <v/>
      </c>
      <c r="F894">
        <f>IF(A894="","",IF(AND(D894=TRUE,E894=""),"BUY",IF(AND(D894=FALSE,E894&lt;&gt;""),"SELL",IF(AND(D894=TRUE,E894&lt;&gt;""),"HOLD",""))))</f>
        <v/>
      </c>
      <c r="G894" s="12">
        <f>IF(D894=TRUE,4,0)</f>
        <v/>
      </c>
      <c r="H894">
        <f>IF(A894="","",BDP(A894&amp;" US Equity","GICS_SECTOR_NAME"))</f>
        <v/>
      </c>
    </row>
    <row r="895">
      <c r="A895">
        <f>'Factor Scores'!A895</f>
        <v/>
      </c>
      <c r="B895" s="10">
        <f>IF(A895="","",0.40*'Factor Scores'!C895+0.20*'Factor Scores'!E895+0.20*'Factor Scores'!G895+0.20*'Factor Scores'!H895)</f>
        <v/>
      </c>
      <c r="C895" s="12">
        <f>IF(B895="","",RANK(B895,$B$2:$B$2501,0))</f>
        <v/>
      </c>
      <c r="D895">
        <f>IF(C895="","",C895&lt;=25)</f>
        <v/>
      </c>
      <c r="F895">
        <f>IF(A895="","",IF(AND(D895=TRUE,E895=""),"BUY",IF(AND(D895=FALSE,E895&lt;&gt;""),"SELL",IF(AND(D895=TRUE,E895&lt;&gt;""),"HOLD",""))))</f>
        <v/>
      </c>
      <c r="G895" s="12">
        <f>IF(D895=TRUE,4,0)</f>
        <v/>
      </c>
      <c r="H895">
        <f>IF(A895="","",BDP(A895&amp;" US Equity","GICS_SECTOR_NAME"))</f>
        <v/>
      </c>
    </row>
    <row r="896">
      <c r="A896">
        <f>'Factor Scores'!A896</f>
        <v/>
      </c>
      <c r="B896" s="10">
        <f>IF(A896="","",0.40*'Factor Scores'!C896+0.20*'Factor Scores'!E896+0.20*'Factor Scores'!G896+0.20*'Factor Scores'!H896)</f>
        <v/>
      </c>
      <c r="C896" s="12">
        <f>IF(B896="","",RANK(B896,$B$2:$B$2501,0))</f>
        <v/>
      </c>
      <c r="D896">
        <f>IF(C896="","",C896&lt;=25)</f>
        <v/>
      </c>
      <c r="F896">
        <f>IF(A896="","",IF(AND(D896=TRUE,E896=""),"BUY",IF(AND(D896=FALSE,E896&lt;&gt;""),"SELL",IF(AND(D896=TRUE,E896&lt;&gt;""),"HOLD",""))))</f>
        <v/>
      </c>
      <c r="G896" s="12">
        <f>IF(D896=TRUE,4,0)</f>
        <v/>
      </c>
      <c r="H896">
        <f>IF(A896="","",BDP(A896&amp;" US Equity","GICS_SECTOR_NAME"))</f>
        <v/>
      </c>
    </row>
    <row r="897">
      <c r="A897">
        <f>'Factor Scores'!A897</f>
        <v/>
      </c>
      <c r="B897" s="10">
        <f>IF(A897="","",0.40*'Factor Scores'!C897+0.20*'Factor Scores'!E897+0.20*'Factor Scores'!G897+0.20*'Factor Scores'!H897)</f>
        <v/>
      </c>
      <c r="C897" s="12">
        <f>IF(B897="","",RANK(B897,$B$2:$B$2501,0))</f>
        <v/>
      </c>
      <c r="D897">
        <f>IF(C897="","",C897&lt;=25)</f>
        <v/>
      </c>
      <c r="F897">
        <f>IF(A897="","",IF(AND(D897=TRUE,E897=""),"BUY",IF(AND(D897=FALSE,E897&lt;&gt;""),"SELL",IF(AND(D897=TRUE,E897&lt;&gt;""),"HOLD",""))))</f>
        <v/>
      </c>
      <c r="G897" s="12">
        <f>IF(D897=TRUE,4,0)</f>
        <v/>
      </c>
      <c r="H897">
        <f>IF(A897="","",BDP(A897&amp;" US Equity","GICS_SECTOR_NAME"))</f>
        <v/>
      </c>
    </row>
    <row r="898">
      <c r="A898">
        <f>'Factor Scores'!A898</f>
        <v/>
      </c>
      <c r="B898" s="10">
        <f>IF(A898="","",0.40*'Factor Scores'!C898+0.20*'Factor Scores'!E898+0.20*'Factor Scores'!G898+0.20*'Factor Scores'!H898)</f>
        <v/>
      </c>
      <c r="C898" s="12">
        <f>IF(B898="","",RANK(B898,$B$2:$B$2501,0))</f>
        <v/>
      </c>
      <c r="D898">
        <f>IF(C898="","",C898&lt;=25)</f>
        <v/>
      </c>
      <c r="F898">
        <f>IF(A898="","",IF(AND(D898=TRUE,E898=""),"BUY",IF(AND(D898=FALSE,E898&lt;&gt;""),"SELL",IF(AND(D898=TRUE,E898&lt;&gt;""),"HOLD",""))))</f>
        <v/>
      </c>
      <c r="G898" s="12">
        <f>IF(D898=TRUE,4,0)</f>
        <v/>
      </c>
      <c r="H898">
        <f>IF(A898="","",BDP(A898&amp;" US Equity","GICS_SECTOR_NAME"))</f>
        <v/>
      </c>
    </row>
    <row r="899">
      <c r="A899">
        <f>'Factor Scores'!A899</f>
        <v/>
      </c>
      <c r="B899" s="10">
        <f>IF(A899="","",0.40*'Factor Scores'!C899+0.20*'Factor Scores'!E899+0.20*'Factor Scores'!G899+0.20*'Factor Scores'!H899)</f>
        <v/>
      </c>
      <c r="C899" s="12">
        <f>IF(B899="","",RANK(B899,$B$2:$B$2501,0))</f>
        <v/>
      </c>
      <c r="D899">
        <f>IF(C899="","",C899&lt;=25)</f>
        <v/>
      </c>
      <c r="F899">
        <f>IF(A899="","",IF(AND(D899=TRUE,E899=""),"BUY",IF(AND(D899=FALSE,E899&lt;&gt;""),"SELL",IF(AND(D899=TRUE,E899&lt;&gt;""),"HOLD",""))))</f>
        <v/>
      </c>
      <c r="G899" s="12">
        <f>IF(D899=TRUE,4,0)</f>
        <v/>
      </c>
      <c r="H899">
        <f>IF(A899="","",BDP(A899&amp;" US Equity","GICS_SECTOR_NAME"))</f>
        <v/>
      </c>
    </row>
    <row r="900">
      <c r="A900">
        <f>'Factor Scores'!A900</f>
        <v/>
      </c>
      <c r="B900" s="10">
        <f>IF(A900="","",0.40*'Factor Scores'!C900+0.20*'Factor Scores'!E900+0.20*'Factor Scores'!G900+0.20*'Factor Scores'!H900)</f>
        <v/>
      </c>
      <c r="C900" s="12">
        <f>IF(B900="","",RANK(B900,$B$2:$B$2501,0))</f>
        <v/>
      </c>
      <c r="D900">
        <f>IF(C900="","",C900&lt;=25)</f>
        <v/>
      </c>
      <c r="F900">
        <f>IF(A900="","",IF(AND(D900=TRUE,E900=""),"BUY",IF(AND(D900=FALSE,E900&lt;&gt;""),"SELL",IF(AND(D900=TRUE,E900&lt;&gt;""),"HOLD",""))))</f>
        <v/>
      </c>
      <c r="G900" s="12">
        <f>IF(D900=TRUE,4,0)</f>
        <v/>
      </c>
      <c r="H900">
        <f>IF(A900="","",BDP(A900&amp;" US Equity","GICS_SECTOR_NAME"))</f>
        <v/>
      </c>
    </row>
    <row r="901">
      <c r="A901">
        <f>'Factor Scores'!A901</f>
        <v/>
      </c>
      <c r="B901" s="10">
        <f>IF(A901="","",0.40*'Factor Scores'!C901+0.20*'Factor Scores'!E901+0.20*'Factor Scores'!G901+0.20*'Factor Scores'!H901)</f>
        <v/>
      </c>
      <c r="C901" s="12">
        <f>IF(B901="","",RANK(B901,$B$2:$B$2501,0))</f>
        <v/>
      </c>
      <c r="D901">
        <f>IF(C901="","",C901&lt;=25)</f>
        <v/>
      </c>
      <c r="F901">
        <f>IF(A901="","",IF(AND(D901=TRUE,E901=""),"BUY",IF(AND(D901=FALSE,E901&lt;&gt;""),"SELL",IF(AND(D901=TRUE,E901&lt;&gt;""),"HOLD",""))))</f>
        <v/>
      </c>
      <c r="G901" s="12">
        <f>IF(D901=TRUE,4,0)</f>
        <v/>
      </c>
      <c r="H901">
        <f>IF(A901="","",BDP(A901&amp;" US Equity","GICS_SECTOR_NAME"))</f>
        <v/>
      </c>
    </row>
    <row r="902">
      <c r="A902">
        <f>'Factor Scores'!A902</f>
        <v/>
      </c>
      <c r="B902" s="10">
        <f>IF(A902="","",0.40*'Factor Scores'!C902+0.20*'Factor Scores'!E902+0.20*'Factor Scores'!G902+0.20*'Factor Scores'!H902)</f>
        <v/>
      </c>
      <c r="C902" s="12">
        <f>IF(B902="","",RANK(B902,$B$2:$B$2501,0))</f>
        <v/>
      </c>
      <c r="D902">
        <f>IF(C902="","",C902&lt;=25)</f>
        <v/>
      </c>
      <c r="F902">
        <f>IF(A902="","",IF(AND(D902=TRUE,E902=""),"BUY",IF(AND(D902=FALSE,E902&lt;&gt;""),"SELL",IF(AND(D902=TRUE,E902&lt;&gt;""),"HOLD",""))))</f>
        <v/>
      </c>
      <c r="G902" s="12">
        <f>IF(D902=TRUE,4,0)</f>
        <v/>
      </c>
      <c r="H902">
        <f>IF(A902="","",BDP(A902&amp;" US Equity","GICS_SECTOR_NAME"))</f>
        <v/>
      </c>
    </row>
    <row r="903">
      <c r="A903">
        <f>'Factor Scores'!A903</f>
        <v/>
      </c>
      <c r="B903" s="10">
        <f>IF(A903="","",0.40*'Factor Scores'!C903+0.20*'Factor Scores'!E903+0.20*'Factor Scores'!G903+0.20*'Factor Scores'!H903)</f>
        <v/>
      </c>
      <c r="C903" s="12">
        <f>IF(B903="","",RANK(B903,$B$2:$B$2501,0))</f>
        <v/>
      </c>
      <c r="D903">
        <f>IF(C903="","",C903&lt;=25)</f>
        <v/>
      </c>
      <c r="F903">
        <f>IF(A903="","",IF(AND(D903=TRUE,E903=""),"BUY",IF(AND(D903=FALSE,E903&lt;&gt;""),"SELL",IF(AND(D903=TRUE,E903&lt;&gt;""),"HOLD",""))))</f>
        <v/>
      </c>
      <c r="G903" s="12">
        <f>IF(D903=TRUE,4,0)</f>
        <v/>
      </c>
      <c r="H903">
        <f>IF(A903="","",BDP(A903&amp;" US Equity","GICS_SECTOR_NAME"))</f>
        <v/>
      </c>
    </row>
    <row r="904">
      <c r="A904">
        <f>'Factor Scores'!A904</f>
        <v/>
      </c>
      <c r="B904" s="10">
        <f>IF(A904="","",0.40*'Factor Scores'!C904+0.20*'Factor Scores'!E904+0.20*'Factor Scores'!G904+0.20*'Factor Scores'!H904)</f>
        <v/>
      </c>
      <c r="C904" s="12">
        <f>IF(B904="","",RANK(B904,$B$2:$B$2501,0))</f>
        <v/>
      </c>
      <c r="D904">
        <f>IF(C904="","",C904&lt;=25)</f>
        <v/>
      </c>
      <c r="F904">
        <f>IF(A904="","",IF(AND(D904=TRUE,E904=""),"BUY",IF(AND(D904=FALSE,E904&lt;&gt;""),"SELL",IF(AND(D904=TRUE,E904&lt;&gt;""),"HOLD",""))))</f>
        <v/>
      </c>
      <c r="G904" s="12">
        <f>IF(D904=TRUE,4,0)</f>
        <v/>
      </c>
      <c r="H904">
        <f>IF(A904="","",BDP(A904&amp;" US Equity","GICS_SECTOR_NAME"))</f>
        <v/>
      </c>
    </row>
    <row r="905">
      <c r="A905">
        <f>'Factor Scores'!A905</f>
        <v/>
      </c>
      <c r="B905" s="10">
        <f>IF(A905="","",0.40*'Factor Scores'!C905+0.20*'Factor Scores'!E905+0.20*'Factor Scores'!G905+0.20*'Factor Scores'!H905)</f>
        <v/>
      </c>
      <c r="C905" s="12">
        <f>IF(B905="","",RANK(B905,$B$2:$B$2501,0))</f>
        <v/>
      </c>
      <c r="D905">
        <f>IF(C905="","",C905&lt;=25)</f>
        <v/>
      </c>
      <c r="F905">
        <f>IF(A905="","",IF(AND(D905=TRUE,E905=""),"BUY",IF(AND(D905=FALSE,E905&lt;&gt;""),"SELL",IF(AND(D905=TRUE,E905&lt;&gt;""),"HOLD",""))))</f>
        <v/>
      </c>
      <c r="G905" s="12">
        <f>IF(D905=TRUE,4,0)</f>
        <v/>
      </c>
      <c r="H905">
        <f>IF(A905="","",BDP(A905&amp;" US Equity","GICS_SECTOR_NAME"))</f>
        <v/>
      </c>
    </row>
    <row r="906">
      <c r="A906">
        <f>'Factor Scores'!A906</f>
        <v/>
      </c>
      <c r="B906" s="10">
        <f>IF(A906="","",0.40*'Factor Scores'!C906+0.20*'Factor Scores'!E906+0.20*'Factor Scores'!G906+0.20*'Factor Scores'!H906)</f>
        <v/>
      </c>
      <c r="C906" s="12">
        <f>IF(B906="","",RANK(B906,$B$2:$B$2501,0))</f>
        <v/>
      </c>
      <c r="D906">
        <f>IF(C906="","",C906&lt;=25)</f>
        <v/>
      </c>
      <c r="F906">
        <f>IF(A906="","",IF(AND(D906=TRUE,E906=""),"BUY",IF(AND(D906=FALSE,E906&lt;&gt;""),"SELL",IF(AND(D906=TRUE,E906&lt;&gt;""),"HOLD",""))))</f>
        <v/>
      </c>
      <c r="G906" s="12">
        <f>IF(D906=TRUE,4,0)</f>
        <v/>
      </c>
      <c r="H906">
        <f>IF(A906="","",BDP(A906&amp;" US Equity","GICS_SECTOR_NAME"))</f>
        <v/>
      </c>
    </row>
    <row r="907">
      <c r="A907">
        <f>'Factor Scores'!A907</f>
        <v/>
      </c>
      <c r="B907" s="10">
        <f>IF(A907="","",0.40*'Factor Scores'!C907+0.20*'Factor Scores'!E907+0.20*'Factor Scores'!G907+0.20*'Factor Scores'!H907)</f>
        <v/>
      </c>
      <c r="C907" s="12">
        <f>IF(B907="","",RANK(B907,$B$2:$B$2501,0))</f>
        <v/>
      </c>
      <c r="D907">
        <f>IF(C907="","",C907&lt;=25)</f>
        <v/>
      </c>
      <c r="F907">
        <f>IF(A907="","",IF(AND(D907=TRUE,E907=""),"BUY",IF(AND(D907=FALSE,E907&lt;&gt;""),"SELL",IF(AND(D907=TRUE,E907&lt;&gt;""),"HOLD",""))))</f>
        <v/>
      </c>
      <c r="G907" s="12">
        <f>IF(D907=TRUE,4,0)</f>
        <v/>
      </c>
      <c r="H907">
        <f>IF(A907="","",BDP(A907&amp;" US Equity","GICS_SECTOR_NAME"))</f>
        <v/>
      </c>
    </row>
    <row r="908">
      <c r="A908">
        <f>'Factor Scores'!A908</f>
        <v/>
      </c>
      <c r="B908" s="10">
        <f>IF(A908="","",0.40*'Factor Scores'!C908+0.20*'Factor Scores'!E908+0.20*'Factor Scores'!G908+0.20*'Factor Scores'!H908)</f>
        <v/>
      </c>
      <c r="C908" s="12">
        <f>IF(B908="","",RANK(B908,$B$2:$B$2501,0))</f>
        <v/>
      </c>
      <c r="D908">
        <f>IF(C908="","",C908&lt;=25)</f>
        <v/>
      </c>
      <c r="F908">
        <f>IF(A908="","",IF(AND(D908=TRUE,E908=""),"BUY",IF(AND(D908=FALSE,E908&lt;&gt;""),"SELL",IF(AND(D908=TRUE,E908&lt;&gt;""),"HOLD",""))))</f>
        <v/>
      </c>
      <c r="G908" s="12">
        <f>IF(D908=TRUE,4,0)</f>
        <v/>
      </c>
      <c r="H908">
        <f>IF(A908="","",BDP(A908&amp;" US Equity","GICS_SECTOR_NAME"))</f>
        <v/>
      </c>
    </row>
    <row r="909">
      <c r="A909">
        <f>'Factor Scores'!A909</f>
        <v/>
      </c>
      <c r="B909" s="10">
        <f>IF(A909="","",0.40*'Factor Scores'!C909+0.20*'Factor Scores'!E909+0.20*'Factor Scores'!G909+0.20*'Factor Scores'!H909)</f>
        <v/>
      </c>
      <c r="C909" s="12">
        <f>IF(B909="","",RANK(B909,$B$2:$B$2501,0))</f>
        <v/>
      </c>
      <c r="D909">
        <f>IF(C909="","",C909&lt;=25)</f>
        <v/>
      </c>
      <c r="F909">
        <f>IF(A909="","",IF(AND(D909=TRUE,E909=""),"BUY",IF(AND(D909=FALSE,E909&lt;&gt;""),"SELL",IF(AND(D909=TRUE,E909&lt;&gt;""),"HOLD",""))))</f>
        <v/>
      </c>
      <c r="G909" s="12">
        <f>IF(D909=TRUE,4,0)</f>
        <v/>
      </c>
      <c r="H909">
        <f>IF(A909="","",BDP(A909&amp;" US Equity","GICS_SECTOR_NAME"))</f>
        <v/>
      </c>
    </row>
    <row r="910">
      <c r="A910">
        <f>'Factor Scores'!A910</f>
        <v/>
      </c>
      <c r="B910" s="10">
        <f>IF(A910="","",0.40*'Factor Scores'!C910+0.20*'Factor Scores'!E910+0.20*'Factor Scores'!G910+0.20*'Factor Scores'!H910)</f>
        <v/>
      </c>
      <c r="C910" s="12">
        <f>IF(B910="","",RANK(B910,$B$2:$B$2501,0))</f>
        <v/>
      </c>
      <c r="D910">
        <f>IF(C910="","",C910&lt;=25)</f>
        <v/>
      </c>
      <c r="F910">
        <f>IF(A910="","",IF(AND(D910=TRUE,E910=""),"BUY",IF(AND(D910=FALSE,E910&lt;&gt;""),"SELL",IF(AND(D910=TRUE,E910&lt;&gt;""),"HOLD",""))))</f>
        <v/>
      </c>
      <c r="G910" s="12">
        <f>IF(D910=TRUE,4,0)</f>
        <v/>
      </c>
      <c r="H910">
        <f>IF(A910="","",BDP(A910&amp;" US Equity","GICS_SECTOR_NAME"))</f>
        <v/>
      </c>
    </row>
    <row r="911">
      <c r="A911">
        <f>'Factor Scores'!A911</f>
        <v/>
      </c>
      <c r="B911" s="10">
        <f>IF(A911="","",0.40*'Factor Scores'!C911+0.20*'Factor Scores'!E911+0.20*'Factor Scores'!G911+0.20*'Factor Scores'!H911)</f>
        <v/>
      </c>
      <c r="C911" s="12">
        <f>IF(B911="","",RANK(B911,$B$2:$B$2501,0))</f>
        <v/>
      </c>
      <c r="D911">
        <f>IF(C911="","",C911&lt;=25)</f>
        <v/>
      </c>
      <c r="F911">
        <f>IF(A911="","",IF(AND(D911=TRUE,E911=""),"BUY",IF(AND(D911=FALSE,E911&lt;&gt;""),"SELL",IF(AND(D911=TRUE,E911&lt;&gt;""),"HOLD",""))))</f>
        <v/>
      </c>
      <c r="G911" s="12">
        <f>IF(D911=TRUE,4,0)</f>
        <v/>
      </c>
      <c r="H911">
        <f>IF(A911="","",BDP(A911&amp;" US Equity","GICS_SECTOR_NAME"))</f>
        <v/>
      </c>
    </row>
    <row r="912">
      <c r="A912">
        <f>'Factor Scores'!A912</f>
        <v/>
      </c>
      <c r="B912" s="10">
        <f>IF(A912="","",0.40*'Factor Scores'!C912+0.20*'Factor Scores'!E912+0.20*'Factor Scores'!G912+0.20*'Factor Scores'!H912)</f>
        <v/>
      </c>
      <c r="C912" s="12">
        <f>IF(B912="","",RANK(B912,$B$2:$B$2501,0))</f>
        <v/>
      </c>
      <c r="D912">
        <f>IF(C912="","",C912&lt;=25)</f>
        <v/>
      </c>
      <c r="F912">
        <f>IF(A912="","",IF(AND(D912=TRUE,E912=""),"BUY",IF(AND(D912=FALSE,E912&lt;&gt;""),"SELL",IF(AND(D912=TRUE,E912&lt;&gt;""),"HOLD",""))))</f>
        <v/>
      </c>
      <c r="G912" s="12">
        <f>IF(D912=TRUE,4,0)</f>
        <v/>
      </c>
      <c r="H912">
        <f>IF(A912="","",BDP(A912&amp;" US Equity","GICS_SECTOR_NAME"))</f>
        <v/>
      </c>
    </row>
    <row r="913">
      <c r="A913">
        <f>'Factor Scores'!A913</f>
        <v/>
      </c>
      <c r="B913" s="10">
        <f>IF(A913="","",0.40*'Factor Scores'!C913+0.20*'Factor Scores'!E913+0.20*'Factor Scores'!G913+0.20*'Factor Scores'!H913)</f>
        <v/>
      </c>
      <c r="C913" s="12">
        <f>IF(B913="","",RANK(B913,$B$2:$B$2501,0))</f>
        <v/>
      </c>
      <c r="D913">
        <f>IF(C913="","",C913&lt;=25)</f>
        <v/>
      </c>
      <c r="F913">
        <f>IF(A913="","",IF(AND(D913=TRUE,E913=""),"BUY",IF(AND(D913=FALSE,E913&lt;&gt;""),"SELL",IF(AND(D913=TRUE,E913&lt;&gt;""),"HOLD",""))))</f>
        <v/>
      </c>
      <c r="G913" s="12">
        <f>IF(D913=TRUE,4,0)</f>
        <v/>
      </c>
      <c r="H913">
        <f>IF(A913="","",BDP(A913&amp;" US Equity","GICS_SECTOR_NAME"))</f>
        <v/>
      </c>
    </row>
    <row r="914">
      <c r="A914">
        <f>'Factor Scores'!A914</f>
        <v/>
      </c>
      <c r="B914" s="10">
        <f>IF(A914="","",0.40*'Factor Scores'!C914+0.20*'Factor Scores'!E914+0.20*'Factor Scores'!G914+0.20*'Factor Scores'!H914)</f>
        <v/>
      </c>
      <c r="C914" s="12">
        <f>IF(B914="","",RANK(B914,$B$2:$B$2501,0))</f>
        <v/>
      </c>
      <c r="D914">
        <f>IF(C914="","",C914&lt;=25)</f>
        <v/>
      </c>
      <c r="F914">
        <f>IF(A914="","",IF(AND(D914=TRUE,E914=""),"BUY",IF(AND(D914=FALSE,E914&lt;&gt;""),"SELL",IF(AND(D914=TRUE,E914&lt;&gt;""),"HOLD",""))))</f>
        <v/>
      </c>
      <c r="G914" s="12">
        <f>IF(D914=TRUE,4,0)</f>
        <v/>
      </c>
      <c r="H914">
        <f>IF(A914="","",BDP(A914&amp;" US Equity","GICS_SECTOR_NAME"))</f>
        <v/>
      </c>
    </row>
    <row r="915">
      <c r="A915">
        <f>'Factor Scores'!A915</f>
        <v/>
      </c>
      <c r="B915" s="10">
        <f>IF(A915="","",0.40*'Factor Scores'!C915+0.20*'Factor Scores'!E915+0.20*'Factor Scores'!G915+0.20*'Factor Scores'!H915)</f>
        <v/>
      </c>
      <c r="C915" s="12">
        <f>IF(B915="","",RANK(B915,$B$2:$B$2501,0))</f>
        <v/>
      </c>
      <c r="D915">
        <f>IF(C915="","",C915&lt;=25)</f>
        <v/>
      </c>
      <c r="F915">
        <f>IF(A915="","",IF(AND(D915=TRUE,E915=""),"BUY",IF(AND(D915=FALSE,E915&lt;&gt;""),"SELL",IF(AND(D915=TRUE,E915&lt;&gt;""),"HOLD",""))))</f>
        <v/>
      </c>
      <c r="G915" s="12">
        <f>IF(D915=TRUE,4,0)</f>
        <v/>
      </c>
      <c r="H915">
        <f>IF(A915="","",BDP(A915&amp;" US Equity","GICS_SECTOR_NAME"))</f>
        <v/>
      </c>
    </row>
    <row r="916">
      <c r="A916">
        <f>'Factor Scores'!A916</f>
        <v/>
      </c>
      <c r="B916" s="10">
        <f>IF(A916="","",0.40*'Factor Scores'!C916+0.20*'Factor Scores'!E916+0.20*'Factor Scores'!G916+0.20*'Factor Scores'!H916)</f>
        <v/>
      </c>
      <c r="C916" s="12">
        <f>IF(B916="","",RANK(B916,$B$2:$B$2501,0))</f>
        <v/>
      </c>
      <c r="D916">
        <f>IF(C916="","",C916&lt;=25)</f>
        <v/>
      </c>
      <c r="F916">
        <f>IF(A916="","",IF(AND(D916=TRUE,E916=""),"BUY",IF(AND(D916=FALSE,E916&lt;&gt;""),"SELL",IF(AND(D916=TRUE,E916&lt;&gt;""),"HOLD",""))))</f>
        <v/>
      </c>
      <c r="G916" s="12">
        <f>IF(D916=TRUE,4,0)</f>
        <v/>
      </c>
      <c r="H916">
        <f>IF(A916="","",BDP(A916&amp;" US Equity","GICS_SECTOR_NAME"))</f>
        <v/>
      </c>
    </row>
    <row r="917">
      <c r="A917">
        <f>'Factor Scores'!A917</f>
        <v/>
      </c>
      <c r="B917" s="10">
        <f>IF(A917="","",0.40*'Factor Scores'!C917+0.20*'Factor Scores'!E917+0.20*'Factor Scores'!G917+0.20*'Factor Scores'!H917)</f>
        <v/>
      </c>
      <c r="C917" s="12">
        <f>IF(B917="","",RANK(B917,$B$2:$B$2501,0))</f>
        <v/>
      </c>
      <c r="D917">
        <f>IF(C917="","",C917&lt;=25)</f>
        <v/>
      </c>
      <c r="F917">
        <f>IF(A917="","",IF(AND(D917=TRUE,E917=""),"BUY",IF(AND(D917=FALSE,E917&lt;&gt;""),"SELL",IF(AND(D917=TRUE,E917&lt;&gt;""),"HOLD",""))))</f>
        <v/>
      </c>
      <c r="G917" s="12">
        <f>IF(D917=TRUE,4,0)</f>
        <v/>
      </c>
      <c r="H917">
        <f>IF(A917="","",BDP(A917&amp;" US Equity","GICS_SECTOR_NAME"))</f>
        <v/>
      </c>
    </row>
    <row r="918">
      <c r="A918">
        <f>'Factor Scores'!A918</f>
        <v/>
      </c>
      <c r="B918" s="10">
        <f>IF(A918="","",0.40*'Factor Scores'!C918+0.20*'Factor Scores'!E918+0.20*'Factor Scores'!G918+0.20*'Factor Scores'!H918)</f>
        <v/>
      </c>
      <c r="C918" s="12">
        <f>IF(B918="","",RANK(B918,$B$2:$B$2501,0))</f>
        <v/>
      </c>
      <c r="D918">
        <f>IF(C918="","",C918&lt;=25)</f>
        <v/>
      </c>
      <c r="F918">
        <f>IF(A918="","",IF(AND(D918=TRUE,E918=""),"BUY",IF(AND(D918=FALSE,E918&lt;&gt;""),"SELL",IF(AND(D918=TRUE,E918&lt;&gt;""),"HOLD",""))))</f>
        <v/>
      </c>
      <c r="G918" s="12">
        <f>IF(D918=TRUE,4,0)</f>
        <v/>
      </c>
      <c r="H918">
        <f>IF(A918="","",BDP(A918&amp;" US Equity","GICS_SECTOR_NAME"))</f>
        <v/>
      </c>
    </row>
    <row r="919">
      <c r="A919">
        <f>'Factor Scores'!A919</f>
        <v/>
      </c>
      <c r="B919" s="10">
        <f>IF(A919="","",0.40*'Factor Scores'!C919+0.20*'Factor Scores'!E919+0.20*'Factor Scores'!G919+0.20*'Factor Scores'!H919)</f>
        <v/>
      </c>
      <c r="C919" s="12">
        <f>IF(B919="","",RANK(B919,$B$2:$B$2501,0))</f>
        <v/>
      </c>
      <c r="D919">
        <f>IF(C919="","",C919&lt;=25)</f>
        <v/>
      </c>
      <c r="F919">
        <f>IF(A919="","",IF(AND(D919=TRUE,E919=""),"BUY",IF(AND(D919=FALSE,E919&lt;&gt;""),"SELL",IF(AND(D919=TRUE,E919&lt;&gt;""),"HOLD",""))))</f>
        <v/>
      </c>
      <c r="G919" s="12">
        <f>IF(D919=TRUE,4,0)</f>
        <v/>
      </c>
      <c r="H919">
        <f>IF(A919="","",BDP(A919&amp;" US Equity","GICS_SECTOR_NAME"))</f>
        <v/>
      </c>
    </row>
    <row r="920">
      <c r="A920">
        <f>'Factor Scores'!A920</f>
        <v/>
      </c>
      <c r="B920" s="10">
        <f>IF(A920="","",0.40*'Factor Scores'!C920+0.20*'Factor Scores'!E920+0.20*'Factor Scores'!G920+0.20*'Factor Scores'!H920)</f>
        <v/>
      </c>
      <c r="C920" s="12">
        <f>IF(B920="","",RANK(B920,$B$2:$B$2501,0))</f>
        <v/>
      </c>
      <c r="D920">
        <f>IF(C920="","",C920&lt;=25)</f>
        <v/>
      </c>
      <c r="F920">
        <f>IF(A920="","",IF(AND(D920=TRUE,E920=""),"BUY",IF(AND(D920=FALSE,E920&lt;&gt;""),"SELL",IF(AND(D920=TRUE,E920&lt;&gt;""),"HOLD",""))))</f>
        <v/>
      </c>
      <c r="G920" s="12">
        <f>IF(D920=TRUE,4,0)</f>
        <v/>
      </c>
      <c r="H920">
        <f>IF(A920="","",BDP(A920&amp;" US Equity","GICS_SECTOR_NAME"))</f>
        <v/>
      </c>
    </row>
    <row r="921">
      <c r="A921">
        <f>'Factor Scores'!A921</f>
        <v/>
      </c>
      <c r="B921" s="10">
        <f>IF(A921="","",0.40*'Factor Scores'!C921+0.20*'Factor Scores'!E921+0.20*'Factor Scores'!G921+0.20*'Factor Scores'!H921)</f>
        <v/>
      </c>
      <c r="C921" s="12">
        <f>IF(B921="","",RANK(B921,$B$2:$B$2501,0))</f>
        <v/>
      </c>
      <c r="D921">
        <f>IF(C921="","",C921&lt;=25)</f>
        <v/>
      </c>
      <c r="F921">
        <f>IF(A921="","",IF(AND(D921=TRUE,E921=""),"BUY",IF(AND(D921=FALSE,E921&lt;&gt;""),"SELL",IF(AND(D921=TRUE,E921&lt;&gt;""),"HOLD",""))))</f>
        <v/>
      </c>
      <c r="G921" s="12">
        <f>IF(D921=TRUE,4,0)</f>
        <v/>
      </c>
      <c r="H921">
        <f>IF(A921="","",BDP(A921&amp;" US Equity","GICS_SECTOR_NAME"))</f>
        <v/>
      </c>
    </row>
    <row r="922">
      <c r="A922">
        <f>'Factor Scores'!A922</f>
        <v/>
      </c>
      <c r="B922" s="10">
        <f>IF(A922="","",0.40*'Factor Scores'!C922+0.20*'Factor Scores'!E922+0.20*'Factor Scores'!G922+0.20*'Factor Scores'!H922)</f>
        <v/>
      </c>
      <c r="C922" s="12">
        <f>IF(B922="","",RANK(B922,$B$2:$B$2501,0))</f>
        <v/>
      </c>
      <c r="D922">
        <f>IF(C922="","",C922&lt;=25)</f>
        <v/>
      </c>
      <c r="F922">
        <f>IF(A922="","",IF(AND(D922=TRUE,E922=""),"BUY",IF(AND(D922=FALSE,E922&lt;&gt;""),"SELL",IF(AND(D922=TRUE,E922&lt;&gt;""),"HOLD",""))))</f>
        <v/>
      </c>
      <c r="G922" s="12">
        <f>IF(D922=TRUE,4,0)</f>
        <v/>
      </c>
      <c r="H922">
        <f>IF(A922="","",BDP(A922&amp;" US Equity","GICS_SECTOR_NAME"))</f>
        <v/>
      </c>
    </row>
    <row r="923">
      <c r="A923">
        <f>'Factor Scores'!A923</f>
        <v/>
      </c>
      <c r="B923" s="10">
        <f>IF(A923="","",0.40*'Factor Scores'!C923+0.20*'Factor Scores'!E923+0.20*'Factor Scores'!G923+0.20*'Factor Scores'!H923)</f>
        <v/>
      </c>
      <c r="C923" s="12">
        <f>IF(B923="","",RANK(B923,$B$2:$B$2501,0))</f>
        <v/>
      </c>
      <c r="D923">
        <f>IF(C923="","",C923&lt;=25)</f>
        <v/>
      </c>
      <c r="F923">
        <f>IF(A923="","",IF(AND(D923=TRUE,E923=""),"BUY",IF(AND(D923=FALSE,E923&lt;&gt;""),"SELL",IF(AND(D923=TRUE,E923&lt;&gt;""),"HOLD",""))))</f>
        <v/>
      </c>
      <c r="G923" s="12">
        <f>IF(D923=TRUE,4,0)</f>
        <v/>
      </c>
      <c r="H923">
        <f>IF(A923="","",BDP(A923&amp;" US Equity","GICS_SECTOR_NAME"))</f>
        <v/>
      </c>
    </row>
    <row r="924">
      <c r="A924">
        <f>'Factor Scores'!A924</f>
        <v/>
      </c>
      <c r="B924" s="10">
        <f>IF(A924="","",0.40*'Factor Scores'!C924+0.20*'Factor Scores'!E924+0.20*'Factor Scores'!G924+0.20*'Factor Scores'!H924)</f>
        <v/>
      </c>
      <c r="C924" s="12">
        <f>IF(B924="","",RANK(B924,$B$2:$B$2501,0))</f>
        <v/>
      </c>
      <c r="D924">
        <f>IF(C924="","",C924&lt;=25)</f>
        <v/>
      </c>
      <c r="F924">
        <f>IF(A924="","",IF(AND(D924=TRUE,E924=""),"BUY",IF(AND(D924=FALSE,E924&lt;&gt;""),"SELL",IF(AND(D924=TRUE,E924&lt;&gt;""),"HOLD",""))))</f>
        <v/>
      </c>
      <c r="G924" s="12">
        <f>IF(D924=TRUE,4,0)</f>
        <v/>
      </c>
      <c r="H924">
        <f>IF(A924="","",BDP(A924&amp;" US Equity","GICS_SECTOR_NAME"))</f>
        <v/>
      </c>
    </row>
    <row r="925">
      <c r="A925">
        <f>'Factor Scores'!A925</f>
        <v/>
      </c>
      <c r="B925" s="10">
        <f>IF(A925="","",0.40*'Factor Scores'!C925+0.20*'Factor Scores'!E925+0.20*'Factor Scores'!G925+0.20*'Factor Scores'!H925)</f>
        <v/>
      </c>
      <c r="C925" s="12">
        <f>IF(B925="","",RANK(B925,$B$2:$B$2501,0))</f>
        <v/>
      </c>
      <c r="D925">
        <f>IF(C925="","",C925&lt;=25)</f>
        <v/>
      </c>
      <c r="F925">
        <f>IF(A925="","",IF(AND(D925=TRUE,E925=""),"BUY",IF(AND(D925=FALSE,E925&lt;&gt;""),"SELL",IF(AND(D925=TRUE,E925&lt;&gt;""),"HOLD",""))))</f>
        <v/>
      </c>
      <c r="G925" s="12">
        <f>IF(D925=TRUE,4,0)</f>
        <v/>
      </c>
      <c r="H925">
        <f>IF(A925="","",BDP(A925&amp;" US Equity","GICS_SECTOR_NAME"))</f>
        <v/>
      </c>
    </row>
    <row r="926">
      <c r="A926">
        <f>'Factor Scores'!A926</f>
        <v/>
      </c>
      <c r="B926" s="10">
        <f>IF(A926="","",0.40*'Factor Scores'!C926+0.20*'Factor Scores'!E926+0.20*'Factor Scores'!G926+0.20*'Factor Scores'!H926)</f>
        <v/>
      </c>
      <c r="C926" s="12">
        <f>IF(B926="","",RANK(B926,$B$2:$B$2501,0))</f>
        <v/>
      </c>
      <c r="D926">
        <f>IF(C926="","",C926&lt;=25)</f>
        <v/>
      </c>
      <c r="F926">
        <f>IF(A926="","",IF(AND(D926=TRUE,E926=""),"BUY",IF(AND(D926=FALSE,E926&lt;&gt;""),"SELL",IF(AND(D926=TRUE,E926&lt;&gt;""),"HOLD",""))))</f>
        <v/>
      </c>
      <c r="G926" s="12">
        <f>IF(D926=TRUE,4,0)</f>
        <v/>
      </c>
      <c r="H926">
        <f>IF(A926="","",BDP(A926&amp;" US Equity","GICS_SECTOR_NAME"))</f>
        <v/>
      </c>
    </row>
    <row r="927">
      <c r="A927">
        <f>'Factor Scores'!A927</f>
        <v/>
      </c>
      <c r="B927" s="10">
        <f>IF(A927="","",0.40*'Factor Scores'!C927+0.20*'Factor Scores'!E927+0.20*'Factor Scores'!G927+0.20*'Factor Scores'!H927)</f>
        <v/>
      </c>
      <c r="C927" s="12">
        <f>IF(B927="","",RANK(B927,$B$2:$B$2501,0))</f>
        <v/>
      </c>
      <c r="D927">
        <f>IF(C927="","",C927&lt;=25)</f>
        <v/>
      </c>
      <c r="F927">
        <f>IF(A927="","",IF(AND(D927=TRUE,E927=""),"BUY",IF(AND(D927=FALSE,E927&lt;&gt;""),"SELL",IF(AND(D927=TRUE,E927&lt;&gt;""),"HOLD",""))))</f>
        <v/>
      </c>
      <c r="G927" s="12">
        <f>IF(D927=TRUE,4,0)</f>
        <v/>
      </c>
      <c r="H927">
        <f>IF(A927="","",BDP(A927&amp;" US Equity","GICS_SECTOR_NAME"))</f>
        <v/>
      </c>
    </row>
    <row r="928">
      <c r="A928">
        <f>'Factor Scores'!A928</f>
        <v/>
      </c>
      <c r="B928" s="10">
        <f>IF(A928="","",0.40*'Factor Scores'!C928+0.20*'Factor Scores'!E928+0.20*'Factor Scores'!G928+0.20*'Factor Scores'!H928)</f>
        <v/>
      </c>
      <c r="C928" s="12">
        <f>IF(B928="","",RANK(B928,$B$2:$B$2501,0))</f>
        <v/>
      </c>
      <c r="D928">
        <f>IF(C928="","",C928&lt;=25)</f>
        <v/>
      </c>
      <c r="F928">
        <f>IF(A928="","",IF(AND(D928=TRUE,E928=""),"BUY",IF(AND(D928=FALSE,E928&lt;&gt;""),"SELL",IF(AND(D928=TRUE,E928&lt;&gt;""),"HOLD",""))))</f>
        <v/>
      </c>
      <c r="G928" s="12">
        <f>IF(D928=TRUE,4,0)</f>
        <v/>
      </c>
      <c r="H928">
        <f>IF(A928="","",BDP(A928&amp;" US Equity","GICS_SECTOR_NAME"))</f>
        <v/>
      </c>
    </row>
    <row r="929">
      <c r="A929">
        <f>'Factor Scores'!A929</f>
        <v/>
      </c>
      <c r="B929" s="10">
        <f>IF(A929="","",0.40*'Factor Scores'!C929+0.20*'Factor Scores'!E929+0.20*'Factor Scores'!G929+0.20*'Factor Scores'!H929)</f>
        <v/>
      </c>
      <c r="C929" s="12">
        <f>IF(B929="","",RANK(B929,$B$2:$B$2501,0))</f>
        <v/>
      </c>
      <c r="D929">
        <f>IF(C929="","",C929&lt;=25)</f>
        <v/>
      </c>
      <c r="F929">
        <f>IF(A929="","",IF(AND(D929=TRUE,E929=""),"BUY",IF(AND(D929=FALSE,E929&lt;&gt;""),"SELL",IF(AND(D929=TRUE,E929&lt;&gt;""),"HOLD",""))))</f>
        <v/>
      </c>
      <c r="G929" s="12">
        <f>IF(D929=TRUE,4,0)</f>
        <v/>
      </c>
      <c r="H929">
        <f>IF(A929="","",BDP(A929&amp;" US Equity","GICS_SECTOR_NAME"))</f>
        <v/>
      </c>
    </row>
    <row r="930">
      <c r="A930">
        <f>'Factor Scores'!A930</f>
        <v/>
      </c>
      <c r="B930" s="10">
        <f>IF(A930="","",0.40*'Factor Scores'!C930+0.20*'Factor Scores'!E930+0.20*'Factor Scores'!G930+0.20*'Factor Scores'!H930)</f>
        <v/>
      </c>
      <c r="C930" s="12">
        <f>IF(B930="","",RANK(B930,$B$2:$B$2501,0))</f>
        <v/>
      </c>
      <c r="D930">
        <f>IF(C930="","",C930&lt;=25)</f>
        <v/>
      </c>
      <c r="F930">
        <f>IF(A930="","",IF(AND(D930=TRUE,E930=""),"BUY",IF(AND(D930=FALSE,E930&lt;&gt;""),"SELL",IF(AND(D930=TRUE,E930&lt;&gt;""),"HOLD",""))))</f>
        <v/>
      </c>
      <c r="G930" s="12">
        <f>IF(D930=TRUE,4,0)</f>
        <v/>
      </c>
      <c r="H930">
        <f>IF(A930="","",BDP(A930&amp;" US Equity","GICS_SECTOR_NAME"))</f>
        <v/>
      </c>
    </row>
    <row r="931">
      <c r="A931">
        <f>'Factor Scores'!A931</f>
        <v/>
      </c>
      <c r="B931" s="10">
        <f>IF(A931="","",0.40*'Factor Scores'!C931+0.20*'Factor Scores'!E931+0.20*'Factor Scores'!G931+0.20*'Factor Scores'!H931)</f>
        <v/>
      </c>
      <c r="C931" s="12">
        <f>IF(B931="","",RANK(B931,$B$2:$B$2501,0))</f>
        <v/>
      </c>
      <c r="D931">
        <f>IF(C931="","",C931&lt;=25)</f>
        <v/>
      </c>
      <c r="F931">
        <f>IF(A931="","",IF(AND(D931=TRUE,E931=""),"BUY",IF(AND(D931=FALSE,E931&lt;&gt;""),"SELL",IF(AND(D931=TRUE,E931&lt;&gt;""),"HOLD",""))))</f>
        <v/>
      </c>
      <c r="G931" s="12">
        <f>IF(D931=TRUE,4,0)</f>
        <v/>
      </c>
      <c r="H931">
        <f>IF(A931="","",BDP(A931&amp;" US Equity","GICS_SECTOR_NAME"))</f>
        <v/>
      </c>
    </row>
    <row r="932">
      <c r="A932">
        <f>'Factor Scores'!A932</f>
        <v/>
      </c>
      <c r="B932" s="10">
        <f>IF(A932="","",0.40*'Factor Scores'!C932+0.20*'Factor Scores'!E932+0.20*'Factor Scores'!G932+0.20*'Factor Scores'!H932)</f>
        <v/>
      </c>
      <c r="C932" s="12">
        <f>IF(B932="","",RANK(B932,$B$2:$B$2501,0))</f>
        <v/>
      </c>
      <c r="D932">
        <f>IF(C932="","",C932&lt;=25)</f>
        <v/>
      </c>
      <c r="F932">
        <f>IF(A932="","",IF(AND(D932=TRUE,E932=""),"BUY",IF(AND(D932=FALSE,E932&lt;&gt;""),"SELL",IF(AND(D932=TRUE,E932&lt;&gt;""),"HOLD",""))))</f>
        <v/>
      </c>
      <c r="G932" s="12">
        <f>IF(D932=TRUE,4,0)</f>
        <v/>
      </c>
      <c r="H932">
        <f>IF(A932="","",BDP(A932&amp;" US Equity","GICS_SECTOR_NAME"))</f>
        <v/>
      </c>
    </row>
    <row r="933">
      <c r="A933">
        <f>'Factor Scores'!A933</f>
        <v/>
      </c>
      <c r="B933" s="10">
        <f>IF(A933="","",0.40*'Factor Scores'!C933+0.20*'Factor Scores'!E933+0.20*'Factor Scores'!G933+0.20*'Factor Scores'!H933)</f>
        <v/>
      </c>
      <c r="C933" s="12">
        <f>IF(B933="","",RANK(B933,$B$2:$B$2501,0))</f>
        <v/>
      </c>
      <c r="D933">
        <f>IF(C933="","",C933&lt;=25)</f>
        <v/>
      </c>
      <c r="F933">
        <f>IF(A933="","",IF(AND(D933=TRUE,E933=""),"BUY",IF(AND(D933=FALSE,E933&lt;&gt;""),"SELL",IF(AND(D933=TRUE,E933&lt;&gt;""),"HOLD",""))))</f>
        <v/>
      </c>
      <c r="G933" s="12">
        <f>IF(D933=TRUE,4,0)</f>
        <v/>
      </c>
      <c r="H933">
        <f>IF(A933="","",BDP(A933&amp;" US Equity","GICS_SECTOR_NAME"))</f>
        <v/>
      </c>
    </row>
    <row r="934">
      <c r="A934">
        <f>'Factor Scores'!A934</f>
        <v/>
      </c>
      <c r="B934" s="10">
        <f>IF(A934="","",0.40*'Factor Scores'!C934+0.20*'Factor Scores'!E934+0.20*'Factor Scores'!G934+0.20*'Factor Scores'!H934)</f>
        <v/>
      </c>
      <c r="C934" s="12">
        <f>IF(B934="","",RANK(B934,$B$2:$B$2501,0))</f>
        <v/>
      </c>
      <c r="D934">
        <f>IF(C934="","",C934&lt;=25)</f>
        <v/>
      </c>
      <c r="F934">
        <f>IF(A934="","",IF(AND(D934=TRUE,E934=""),"BUY",IF(AND(D934=FALSE,E934&lt;&gt;""),"SELL",IF(AND(D934=TRUE,E934&lt;&gt;""),"HOLD",""))))</f>
        <v/>
      </c>
      <c r="G934" s="12">
        <f>IF(D934=TRUE,4,0)</f>
        <v/>
      </c>
      <c r="H934">
        <f>IF(A934="","",BDP(A934&amp;" US Equity","GICS_SECTOR_NAME"))</f>
        <v/>
      </c>
    </row>
    <row r="935">
      <c r="A935">
        <f>'Factor Scores'!A935</f>
        <v/>
      </c>
      <c r="B935" s="10">
        <f>IF(A935="","",0.40*'Factor Scores'!C935+0.20*'Factor Scores'!E935+0.20*'Factor Scores'!G935+0.20*'Factor Scores'!H935)</f>
        <v/>
      </c>
      <c r="C935" s="12">
        <f>IF(B935="","",RANK(B935,$B$2:$B$2501,0))</f>
        <v/>
      </c>
      <c r="D935">
        <f>IF(C935="","",C935&lt;=25)</f>
        <v/>
      </c>
      <c r="F935">
        <f>IF(A935="","",IF(AND(D935=TRUE,E935=""),"BUY",IF(AND(D935=FALSE,E935&lt;&gt;""),"SELL",IF(AND(D935=TRUE,E935&lt;&gt;""),"HOLD",""))))</f>
        <v/>
      </c>
      <c r="G935" s="12">
        <f>IF(D935=TRUE,4,0)</f>
        <v/>
      </c>
      <c r="H935">
        <f>IF(A935="","",BDP(A935&amp;" US Equity","GICS_SECTOR_NAME"))</f>
        <v/>
      </c>
    </row>
    <row r="936">
      <c r="A936">
        <f>'Factor Scores'!A936</f>
        <v/>
      </c>
      <c r="B936" s="10">
        <f>IF(A936="","",0.40*'Factor Scores'!C936+0.20*'Factor Scores'!E936+0.20*'Factor Scores'!G936+0.20*'Factor Scores'!H936)</f>
        <v/>
      </c>
      <c r="C936" s="12">
        <f>IF(B936="","",RANK(B936,$B$2:$B$2501,0))</f>
        <v/>
      </c>
      <c r="D936">
        <f>IF(C936="","",C936&lt;=25)</f>
        <v/>
      </c>
      <c r="F936">
        <f>IF(A936="","",IF(AND(D936=TRUE,E936=""),"BUY",IF(AND(D936=FALSE,E936&lt;&gt;""),"SELL",IF(AND(D936=TRUE,E936&lt;&gt;""),"HOLD",""))))</f>
        <v/>
      </c>
      <c r="G936" s="12">
        <f>IF(D936=TRUE,4,0)</f>
        <v/>
      </c>
      <c r="H936">
        <f>IF(A936="","",BDP(A936&amp;" US Equity","GICS_SECTOR_NAME"))</f>
        <v/>
      </c>
    </row>
    <row r="937">
      <c r="A937">
        <f>'Factor Scores'!A937</f>
        <v/>
      </c>
      <c r="B937" s="10">
        <f>IF(A937="","",0.40*'Factor Scores'!C937+0.20*'Factor Scores'!E937+0.20*'Factor Scores'!G937+0.20*'Factor Scores'!H937)</f>
        <v/>
      </c>
      <c r="C937" s="12">
        <f>IF(B937="","",RANK(B937,$B$2:$B$2501,0))</f>
        <v/>
      </c>
      <c r="D937">
        <f>IF(C937="","",C937&lt;=25)</f>
        <v/>
      </c>
      <c r="F937">
        <f>IF(A937="","",IF(AND(D937=TRUE,E937=""),"BUY",IF(AND(D937=FALSE,E937&lt;&gt;""),"SELL",IF(AND(D937=TRUE,E937&lt;&gt;""),"HOLD",""))))</f>
        <v/>
      </c>
      <c r="G937" s="12">
        <f>IF(D937=TRUE,4,0)</f>
        <v/>
      </c>
      <c r="H937">
        <f>IF(A937="","",BDP(A937&amp;" US Equity","GICS_SECTOR_NAME"))</f>
        <v/>
      </c>
    </row>
    <row r="938">
      <c r="A938">
        <f>'Factor Scores'!A938</f>
        <v/>
      </c>
      <c r="B938" s="10">
        <f>IF(A938="","",0.40*'Factor Scores'!C938+0.20*'Factor Scores'!E938+0.20*'Factor Scores'!G938+0.20*'Factor Scores'!H938)</f>
        <v/>
      </c>
      <c r="C938" s="12">
        <f>IF(B938="","",RANK(B938,$B$2:$B$2501,0))</f>
        <v/>
      </c>
      <c r="D938">
        <f>IF(C938="","",C938&lt;=25)</f>
        <v/>
      </c>
      <c r="F938">
        <f>IF(A938="","",IF(AND(D938=TRUE,E938=""),"BUY",IF(AND(D938=FALSE,E938&lt;&gt;""),"SELL",IF(AND(D938=TRUE,E938&lt;&gt;""),"HOLD",""))))</f>
        <v/>
      </c>
      <c r="G938" s="12">
        <f>IF(D938=TRUE,4,0)</f>
        <v/>
      </c>
      <c r="H938">
        <f>IF(A938="","",BDP(A938&amp;" US Equity","GICS_SECTOR_NAME"))</f>
        <v/>
      </c>
    </row>
    <row r="939">
      <c r="A939">
        <f>'Factor Scores'!A939</f>
        <v/>
      </c>
      <c r="B939" s="10">
        <f>IF(A939="","",0.40*'Factor Scores'!C939+0.20*'Factor Scores'!E939+0.20*'Factor Scores'!G939+0.20*'Factor Scores'!H939)</f>
        <v/>
      </c>
      <c r="C939" s="12">
        <f>IF(B939="","",RANK(B939,$B$2:$B$2501,0))</f>
        <v/>
      </c>
      <c r="D939">
        <f>IF(C939="","",C939&lt;=25)</f>
        <v/>
      </c>
      <c r="F939">
        <f>IF(A939="","",IF(AND(D939=TRUE,E939=""),"BUY",IF(AND(D939=FALSE,E939&lt;&gt;""),"SELL",IF(AND(D939=TRUE,E939&lt;&gt;""),"HOLD",""))))</f>
        <v/>
      </c>
      <c r="G939" s="12">
        <f>IF(D939=TRUE,4,0)</f>
        <v/>
      </c>
      <c r="H939">
        <f>IF(A939="","",BDP(A939&amp;" US Equity","GICS_SECTOR_NAME"))</f>
        <v/>
      </c>
    </row>
    <row r="940">
      <c r="A940">
        <f>'Factor Scores'!A940</f>
        <v/>
      </c>
      <c r="B940" s="10">
        <f>IF(A940="","",0.40*'Factor Scores'!C940+0.20*'Factor Scores'!E940+0.20*'Factor Scores'!G940+0.20*'Factor Scores'!H940)</f>
        <v/>
      </c>
      <c r="C940" s="12">
        <f>IF(B940="","",RANK(B940,$B$2:$B$2501,0))</f>
        <v/>
      </c>
      <c r="D940">
        <f>IF(C940="","",C940&lt;=25)</f>
        <v/>
      </c>
      <c r="F940">
        <f>IF(A940="","",IF(AND(D940=TRUE,E940=""),"BUY",IF(AND(D940=FALSE,E940&lt;&gt;""),"SELL",IF(AND(D940=TRUE,E940&lt;&gt;""),"HOLD",""))))</f>
        <v/>
      </c>
      <c r="G940" s="12">
        <f>IF(D940=TRUE,4,0)</f>
        <v/>
      </c>
      <c r="H940">
        <f>IF(A940="","",BDP(A940&amp;" US Equity","GICS_SECTOR_NAME"))</f>
        <v/>
      </c>
    </row>
    <row r="941">
      <c r="A941">
        <f>'Factor Scores'!A941</f>
        <v/>
      </c>
      <c r="B941" s="10">
        <f>IF(A941="","",0.40*'Factor Scores'!C941+0.20*'Factor Scores'!E941+0.20*'Factor Scores'!G941+0.20*'Factor Scores'!H941)</f>
        <v/>
      </c>
      <c r="C941" s="12">
        <f>IF(B941="","",RANK(B941,$B$2:$B$2501,0))</f>
        <v/>
      </c>
      <c r="D941">
        <f>IF(C941="","",C941&lt;=25)</f>
        <v/>
      </c>
      <c r="F941">
        <f>IF(A941="","",IF(AND(D941=TRUE,E941=""),"BUY",IF(AND(D941=FALSE,E941&lt;&gt;""),"SELL",IF(AND(D941=TRUE,E941&lt;&gt;""),"HOLD",""))))</f>
        <v/>
      </c>
      <c r="G941" s="12">
        <f>IF(D941=TRUE,4,0)</f>
        <v/>
      </c>
      <c r="H941">
        <f>IF(A941="","",BDP(A941&amp;" US Equity","GICS_SECTOR_NAME"))</f>
        <v/>
      </c>
    </row>
    <row r="942">
      <c r="A942">
        <f>'Factor Scores'!A942</f>
        <v/>
      </c>
      <c r="B942" s="10">
        <f>IF(A942="","",0.40*'Factor Scores'!C942+0.20*'Factor Scores'!E942+0.20*'Factor Scores'!G942+0.20*'Factor Scores'!H942)</f>
        <v/>
      </c>
      <c r="C942" s="12">
        <f>IF(B942="","",RANK(B942,$B$2:$B$2501,0))</f>
        <v/>
      </c>
      <c r="D942">
        <f>IF(C942="","",C942&lt;=25)</f>
        <v/>
      </c>
      <c r="F942">
        <f>IF(A942="","",IF(AND(D942=TRUE,E942=""),"BUY",IF(AND(D942=FALSE,E942&lt;&gt;""),"SELL",IF(AND(D942=TRUE,E942&lt;&gt;""),"HOLD",""))))</f>
        <v/>
      </c>
      <c r="G942" s="12">
        <f>IF(D942=TRUE,4,0)</f>
        <v/>
      </c>
      <c r="H942">
        <f>IF(A942="","",BDP(A942&amp;" US Equity","GICS_SECTOR_NAME"))</f>
        <v/>
      </c>
    </row>
    <row r="943">
      <c r="A943">
        <f>'Factor Scores'!A943</f>
        <v/>
      </c>
      <c r="B943" s="10">
        <f>IF(A943="","",0.40*'Factor Scores'!C943+0.20*'Factor Scores'!E943+0.20*'Factor Scores'!G943+0.20*'Factor Scores'!H943)</f>
        <v/>
      </c>
      <c r="C943" s="12">
        <f>IF(B943="","",RANK(B943,$B$2:$B$2501,0))</f>
        <v/>
      </c>
      <c r="D943">
        <f>IF(C943="","",C943&lt;=25)</f>
        <v/>
      </c>
      <c r="F943">
        <f>IF(A943="","",IF(AND(D943=TRUE,E943=""),"BUY",IF(AND(D943=FALSE,E943&lt;&gt;""),"SELL",IF(AND(D943=TRUE,E943&lt;&gt;""),"HOLD",""))))</f>
        <v/>
      </c>
      <c r="G943" s="12">
        <f>IF(D943=TRUE,4,0)</f>
        <v/>
      </c>
      <c r="H943">
        <f>IF(A943="","",BDP(A943&amp;" US Equity","GICS_SECTOR_NAME"))</f>
        <v/>
      </c>
    </row>
    <row r="944">
      <c r="A944">
        <f>'Factor Scores'!A944</f>
        <v/>
      </c>
      <c r="B944" s="10">
        <f>IF(A944="","",0.40*'Factor Scores'!C944+0.20*'Factor Scores'!E944+0.20*'Factor Scores'!G944+0.20*'Factor Scores'!H944)</f>
        <v/>
      </c>
      <c r="C944" s="12">
        <f>IF(B944="","",RANK(B944,$B$2:$B$2501,0))</f>
        <v/>
      </c>
      <c r="D944">
        <f>IF(C944="","",C944&lt;=25)</f>
        <v/>
      </c>
      <c r="F944">
        <f>IF(A944="","",IF(AND(D944=TRUE,E944=""),"BUY",IF(AND(D944=FALSE,E944&lt;&gt;""),"SELL",IF(AND(D944=TRUE,E944&lt;&gt;""),"HOLD",""))))</f>
        <v/>
      </c>
      <c r="G944" s="12">
        <f>IF(D944=TRUE,4,0)</f>
        <v/>
      </c>
      <c r="H944">
        <f>IF(A944="","",BDP(A944&amp;" US Equity","GICS_SECTOR_NAME"))</f>
        <v/>
      </c>
    </row>
    <row r="945">
      <c r="A945">
        <f>'Factor Scores'!A945</f>
        <v/>
      </c>
      <c r="B945" s="10">
        <f>IF(A945="","",0.40*'Factor Scores'!C945+0.20*'Factor Scores'!E945+0.20*'Factor Scores'!G945+0.20*'Factor Scores'!H945)</f>
        <v/>
      </c>
      <c r="C945" s="12">
        <f>IF(B945="","",RANK(B945,$B$2:$B$2501,0))</f>
        <v/>
      </c>
      <c r="D945">
        <f>IF(C945="","",C945&lt;=25)</f>
        <v/>
      </c>
      <c r="F945">
        <f>IF(A945="","",IF(AND(D945=TRUE,E945=""),"BUY",IF(AND(D945=FALSE,E945&lt;&gt;""),"SELL",IF(AND(D945=TRUE,E945&lt;&gt;""),"HOLD",""))))</f>
        <v/>
      </c>
      <c r="G945" s="12">
        <f>IF(D945=TRUE,4,0)</f>
        <v/>
      </c>
      <c r="H945">
        <f>IF(A945="","",BDP(A945&amp;" US Equity","GICS_SECTOR_NAME"))</f>
        <v/>
      </c>
    </row>
    <row r="946">
      <c r="A946">
        <f>'Factor Scores'!A946</f>
        <v/>
      </c>
      <c r="B946" s="10">
        <f>IF(A946="","",0.40*'Factor Scores'!C946+0.20*'Factor Scores'!E946+0.20*'Factor Scores'!G946+0.20*'Factor Scores'!H946)</f>
        <v/>
      </c>
      <c r="C946" s="12">
        <f>IF(B946="","",RANK(B946,$B$2:$B$2501,0))</f>
        <v/>
      </c>
      <c r="D946">
        <f>IF(C946="","",C946&lt;=25)</f>
        <v/>
      </c>
      <c r="F946">
        <f>IF(A946="","",IF(AND(D946=TRUE,E946=""),"BUY",IF(AND(D946=FALSE,E946&lt;&gt;""),"SELL",IF(AND(D946=TRUE,E946&lt;&gt;""),"HOLD",""))))</f>
        <v/>
      </c>
      <c r="G946" s="12">
        <f>IF(D946=TRUE,4,0)</f>
        <v/>
      </c>
      <c r="H946">
        <f>IF(A946="","",BDP(A946&amp;" US Equity","GICS_SECTOR_NAME"))</f>
        <v/>
      </c>
    </row>
    <row r="947">
      <c r="A947">
        <f>'Factor Scores'!A947</f>
        <v/>
      </c>
      <c r="B947" s="10">
        <f>IF(A947="","",0.40*'Factor Scores'!C947+0.20*'Factor Scores'!E947+0.20*'Factor Scores'!G947+0.20*'Factor Scores'!H947)</f>
        <v/>
      </c>
      <c r="C947" s="12">
        <f>IF(B947="","",RANK(B947,$B$2:$B$2501,0))</f>
        <v/>
      </c>
      <c r="D947">
        <f>IF(C947="","",C947&lt;=25)</f>
        <v/>
      </c>
      <c r="F947">
        <f>IF(A947="","",IF(AND(D947=TRUE,E947=""),"BUY",IF(AND(D947=FALSE,E947&lt;&gt;""),"SELL",IF(AND(D947=TRUE,E947&lt;&gt;""),"HOLD",""))))</f>
        <v/>
      </c>
      <c r="G947" s="12">
        <f>IF(D947=TRUE,4,0)</f>
        <v/>
      </c>
      <c r="H947">
        <f>IF(A947="","",BDP(A947&amp;" US Equity","GICS_SECTOR_NAME"))</f>
        <v/>
      </c>
    </row>
    <row r="948">
      <c r="A948">
        <f>'Factor Scores'!A948</f>
        <v/>
      </c>
      <c r="B948" s="10">
        <f>IF(A948="","",0.40*'Factor Scores'!C948+0.20*'Factor Scores'!E948+0.20*'Factor Scores'!G948+0.20*'Factor Scores'!H948)</f>
        <v/>
      </c>
      <c r="C948" s="12">
        <f>IF(B948="","",RANK(B948,$B$2:$B$2501,0))</f>
        <v/>
      </c>
      <c r="D948">
        <f>IF(C948="","",C948&lt;=25)</f>
        <v/>
      </c>
      <c r="F948">
        <f>IF(A948="","",IF(AND(D948=TRUE,E948=""),"BUY",IF(AND(D948=FALSE,E948&lt;&gt;""),"SELL",IF(AND(D948=TRUE,E948&lt;&gt;""),"HOLD",""))))</f>
        <v/>
      </c>
      <c r="G948" s="12">
        <f>IF(D948=TRUE,4,0)</f>
        <v/>
      </c>
      <c r="H948">
        <f>IF(A948="","",BDP(A948&amp;" US Equity","GICS_SECTOR_NAME"))</f>
        <v/>
      </c>
    </row>
    <row r="949">
      <c r="A949">
        <f>'Factor Scores'!A949</f>
        <v/>
      </c>
      <c r="B949" s="10">
        <f>IF(A949="","",0.40*'Factor Scores'!C949+0.20*'Factor Scores'!E949+0.20*'Factor Scores'!G949+0.20*'Factor Scores'!H949)</f>
        <v/>
      </c>
      <c r="C949" s="12">
        <f>IF(B949="","",RANK(B949,$B$2:$B$2501,0))</f>
        <v/>
      </c>
      <c r="D949">
        <f>IF(C949="","",C949&lt;=25)</f>
        <v/>
      </c>
      <c r="F949">
        <f>IF(A949="","",IF(AND(D949=TRUE,E949=""),"BUY",IF(AND(D949=FALSE,E949&lt;&gt;""),"SELL",IF(AND(D949=TRUE,E949&lt;&gt;""),"HOLD",""))))</f>
        <v/>
      </c>
      <c r="G949" s="12">
        <f>IF(D949=TRUE,4,0)</f>
        <v/>
      </c>
      <c r="H949">
        <f>IF(A949="","",BDP(A949&amp;" US Equity","GICS_SECTOR_NAME"))</f>
        <v/>
      </c>
    </row>
    <row r="950">
      <c r="A950">
        <f>'Factor Scores'!A950</f>
        <v/>
      </c>
      <c r="B950" s="10">
        <f>IF(A950="","",0.40*'Factor Scores'!C950+0.20*'Factor Scores'!E950+0.20*'Factor Scores'!G950+0.20*'Factor Scores'!H950)</f>
        <v/>
      </c>
      <c r="C950" s="12">
        <f>IF(B950="","",RANK(B950,$B$2:$B$2501,0))</f>
        <v/>
      </c>
      <c r="D950">
        <f>IF(C950="","",C950&lt;=25)</f>
        <v/>
      </c>
      <c r="F950">
        <f>IF(A950="","",IF(AND(D950=TRUE,E950=""),"BUY",IF(AND(D950=FALSE,E950&lt;&gt;""),"SELL",IF(AND(D950=TRUE,E950&lt;&gt;""),"HOLD",""))))</f>
        <v/>
      </c>
      <c r="G950" s="12">
        <f>IF(D950=TRUE,4,0)</f>
        <v/>
      </c>
      <c r="H950">
        <f>IF(A950="","",BDP(A950&amp;" US Equity","GICS_SECTOR_NAME"))</f>
        <v/>
      </c>
    </row>
    <row r="951">
      <c r="A951">
        <f>'Factor Scores'!A951</f>
        <v/>
      </c>
      <c r="B951" s="10">
        <f>IF(A951="","",0.40*'Factor Scores'!C951+0.20*'Factor Scores'!E951+0.20*'Factor Scores'!G951+0.20*'Factor Scores'!H951)</f>
        <v/>
      </c>
      <c r="C951" s="12">
        <f>IF(B951="","",RANK(B951,$B$2:$B$2501,0))</f>
        <v/>
      </c>
      <c r="D951">
        <f>IF(C951="","",C951&lt;=25)</f>
        <v/>
      </c>
      <c r="F951">
        <f>IF(A951="","",IF(AND(D951=TRUE,E951=""),"BUY",IF(AND(D951=FALSE,E951&lt;&gt;""),"SELL",IF(AND(D951=TRUE,E951&lt;&gt;""),"HOLD",""))))</f>
        <v/>
      </c>
      <c r="G951" s="12">
        <f>IF(D951=TRUE,4,0)</f>
        <v/>
      </c>
      <c r="H951">
        <f>IF(A951="","",BDP(A951&amp;" US Equity","GICS_SECTOR_NAME"))</f>
        <v/>
      </c>
    </row>
    <row r="952">
      <c r="A952">
        <f>'Factor Scores'!A952</f>
        <v/>
      </c>
      <c r="B952" s="10">
        <f>IF(A952="","",0.40*'Factor Scores'!C952+0.20*'Factor Scores'!E952+0.20*'Factor Scores'!G952+0.20*'Factor Scores'!H952)</f>
        <v/>
      </c>
      <c r="C952" s="12">
        <f>IF(B952="","",RANK(B952,$B$2:$B$2501,0))</f>
        <v/>
      </c>
      <c r="D952">
        <f>IF(C952="","",C952&lt;=25)</f>
        <v/>
      </c>
      <c r="F952">
        <f>IF(A952="","",IF(AND(D952=TRUE,E952=""),"BUY",IF(AND(D952=FALSE,E952&lt;&gt;""),"SELL",IF(AND(D952=TRUE,E952&lt;&gt;""),"HOLD",""))))</f>
        <v/>
      </c>
      <c r="G952" s="12">
        <f>IF(D952=TRUE,4,0)</f>
        <v/>
      </c>
      <c r="H952">
        <f>IF(A952="","",BDP(A952&amp;" US Equity","GICS_SECTOR_NAME"))</f>
        <v/>
      </c>
    </row>
    <row r="953">
      <c r="A953">
        <f>'Factor Scores'!A953</f>
        <v/>
      </c>
      <c r="B953" s="10">
        <f>IF(A953="","",0.40*'Factor Scores'!C953+0.20*'Factor Scores'!E953+0.20*'Factor Scores'!G953+0.20*'Factor Scores'!H953)</f>
        <v/>
      </c>
      <c r="C953" s="12">
        <f>IF(B953="","",RANK(B953,$B$2:$B$2501,0))</f>
        <v/>
      </c>
      <c r="D953">
        <f>IF(C953="","",C953&lt;=25)</f>
        <v/>
      </c>
      <c r="F953">
        <f>IF(A953="","",IF(AND(D953=TRUE,E953=""),"BUY",IF(AND(D953=FALSE,E953&lt;&gt;""),"SELL",IF(AND(D953=TRUE,E953&lt;&gt;""),"HOLD",""))))</f>
        <v/>
      </c>
      <c r="G953" s="12">
        <f>IF(D953=TRUE,4,0)</f>
        <v/>
      </c>
      <c r="H953">
        <f>IF(A953="","",BDP(A953&amp;" US Equity","GICS_SECTOR_NAME"))</f>
        <v/>
      </c>
    </row>
    <row r="954">
      <c r="A954">
        <f>'Factor Scores'!A954</f>
        <v/>
      </c>
      <c r="B954" s="10">
        <f>IF(A954="","",0.40*'Factor Scores'!C954+0.20*'Factor Scores'!E954+0.20*'Factor Scores'!G954+0.20*'Factor Scores'!H954)</f>
        <v/>
      </c>
      <c r="C954" s="12">
        <f>IF(B954="","",RANK(B954,$B$2:$B$2501,0))</f>
        <v/>
      </c>
      <c r="D954">
        <f>IF(C954="","",C954&lt;=25)</f>
        <v/>
      </c>
      <c r="F954">
        <f>IF(A954="","",IF(AND(D954=TRUE,E954=""),"BUY",IF(AND(D954=FALSE,E954&lt;&gt;""),"SELL",IF(AND(D954=TRUE,E954&lt;&gt;""),"HOLD",""))))</f>
        <v/>
      </c>
      <c r="G954" s="12">
        <f>IF(D954=TRUE,4,0)</f>
        <v/>
      </c>
      <c r="H954">
        <f>IF(A954="","",BDP(A954&amp;" US Equity","GICS_SECTOR_NAME"))</f>
        <v/>
      </c>
    </row>
    <row r="955">
      <c r="A955">
        <f>'Factor Scores'!A955</f>
        <v/>
      </c>
      <c r="B955" s="10">
        <f>IF(A955="","",0.40*'Factor Scores'!C955+0.20*'Factor Scores'!E955+0.20*'Factor Scores'!G955+0.20*'Factor Scores'!H955)</f>
        <v/>
      </c>
      <c r="C955" s="12">
        <f>IF(B955="","",RANK(B955,$B$2:$B$2501,0))</f>
        <v/>
      </c>
      <c r="D955">
        <f>IF(C955="","",C955&lt;=25)</f>
        <v/>
      </c>
      <c r="F955">
        <f>IF(A955="","",IF(AND(D955=TRUE,E955=""),"BUY",IF(AND(D955=FALSE,E955&lt;&gt;""),"SELL",IF(AND(D955=TRUE,E955&lt;&gt;""),"HOLD",""))))</f>
        <v/>
      </c>
      <c r="G955" s="12">
        <f>IF(D955=TRUE,4,0)</f>
        <v/>
      </c>
      <c r="H955">
        <f>IF(A955="","",BDP(A955&amp;" US Equity","GICS_SECTOR_NAME"))</f>
        <v/>
      </c>
    </row>
    <row r="956">
      <c r="A956">
        <f>'Factor Scores'!A956</f>
        <v/>
      </c>
      <c r="B956" s="10">
        <f>IF(A956="","",0.40*'Factor Scores'!C956+0.20*'Factor Scores'!E956+0.20*'Factor Scores'!G956+0.20*'Factor Scores'!H956)</f>
        <v/>
      </c>
      <c r="C956" s="12">
        <f>IF(B956="","",RANK(B956,$B$2:$B$2501,0))</f>
        <v/>
      </c>
      <c r="D956">
        <f>IF(C956="","",C956&lt;=25)</f>
        <v/>
      </c>
      <c r="F956">
        <f>IF(A956="","",IF(AND(D956=TRUE,E956=""),"BUY",IF(AND(D956=FALSE,E956&lt;&gt;""),"SELL",IF(AND(D956=TRUE,E956&lt;&gt;""),"HOLD",""))))</f>
        <v/>
      </c>
      <c r="G956" s="12">
        <f>IF(D956=TRUE,4,0)</f>
        <v/>
      </c>
      <c r="H956">
        <f>IF(A956="","",BDP(A956&amp;" US Equity","GICS_SECTOR_NAME"))</f>
        <v/>
      </c>
    </row>
    <row r="957">
      <c r="A957">
        <f>'Factor Scores'!A957</f>
        <v/>
      </c>
      <c r="B957" s="10">
        <f>IF(A957="","",0.40*'Factor Scores'!C957+0.20*'Factor Scores'!E957+0.20*'Factor Scores'!G957+0.20*'Factor Scores'!H957)</f>
        <v/>
      </c>
      <c r="C957" s="12">
        <f>IF(B957="","",RANK(B957,$B$2:$B$2501,0))</f>
        <v/>
      </c>
      <c r="D957">
        <f>IF(C957="","",C957&lt;=25)</f>
        <v/>
      </c>
      <c r="F957">
        <f>IF(A957="","",IF(AND(D957=TRUE,E957=""),"BUY",IF(AND(D957=FALSE,E957&lt;&gt;""),"SELL",IF(AND(D957=TRUE,E957&lt;&gt;""),"HOLD",""))))</f>
        <v/>
      </c>
      <c r="G957" s="12">
        <f>IF(D957=TRUE,4,0)</f>
        <v/>
      </c>
      <c r="H957">
        <f>IF(A957="","",BDP(A957&amp;" US Equity","GICS_SECTOR_NAME"))</f>
        <v/>
      </c>
    </row>
    <row r="958">
      <c r="A958">
        <f>'Factor Scores'!A958</f>
        <v/>
      </c>
      <c r="B958" s="10">
        <f>IF(A958="","",0.40*'Factor Scores'!C958+0.20*'Factor Scores'!E958+0.20*'Factor Scores'!G958+0.20*'Factor Scores'!H958)</f>
        <v/>
      </c>
      <c r="C958" s="12">
        <f>IF(B958="","",RANK(B958,$B$2:$B$2501,0))</f>
        <v/>
      </c>
      <c r="D958">
        <f>IF(C958="","",C958&lt;=25)</f>
        <v/>
      </c>
      <c r="F958">
        <f>IF(A958="","",IF(AND(D958=TRUE,E958=""),"BUY",IF(AND(D958=FALSE,E958&lt;&gt;""),"SELL",IF(AND(D958=TRUE,E958&lt;&gt;""),"HOLD",""))))</f>
        <v/>
      </c>
      <c r="G958" s="12">
        <f>IF(D958=TRUE,4,0)</f>
        <v/>
      </c>
      <c r="H958">
        <f>IF(A958="","",BDP(A958&amp;" US Equity","GICS_SECTOR_NAME"))</f>
        <v/>
      </c>
    </row>
    <row r="959">
      <c r="A959">
        <f>'Factor Scores'!A959</f>
        <v/>
      </c>
      <c r="B959" s="10">
        <f>IF(A959="","",0.40*'Factor Scores'!C959+0.20*'Factor Scores'!E959+0.20*'Factor Scores'!G959+0.20*'Factor Scores'!H959)</f>
        <v/>
      </c>
      <c r="C959" s="12">
        <f>IF(B959="","",RANK(B959,$B$2:$B$2501,0))</f>
        <v/>
      </c>
      <c r="D959">
        <f>IF(C959="","",C959&lt;=25)</f>
        <v/>
      </c>
      <c r="F959">
        <f>IF(A959="","",IF(AND(D959=TRUE,E959=""),"BUY",IF(AND(D959=FALSE,E959&lt;&gt;""),"SELL",IF(AND(D959=TRUE,E959&lt;&gt;""),"HOLD",""))))</f>
        <v/>
      </c>
      <c r="G959" s="12">
        <f>IF(D959=TRUE,4,0)</f>
        <v/>
      </c>
      <c r="H959">
        <f>IF(A959="","",BDP(A959&amp;" US Equity","GICS_SECTOR_NAME"))</f>
        <v/>
      </c>
    </row>
    <row r="960">
      <c r="A960">
        <f>'Factor Scores'!A960</f>
        <v/>
      </c>
      <c r="B960" s="10">
        <f>IF(A960="","",0.40*'Factor Scores'!C960+0.20*'Factor Scores'!E960+0.20*'Factor Scores'!G960+0.20*'Factor Scores'!H960)</f>
        <v/>
      </c>
      <c r="C960" s="12">
        <f>IF(B960="","",RANK(B960,$B$2:$B$2501,0))</f>
        <v/>
      </c>
      <c r="D960">
        <f>IF(C960="","",C960&lt;=25)</f>
        <v/>
      </c>
      <c r="F960">
        <f>IF(A960="","",IF(AND(D960=TRUE,E960=""),"BUY",IF(AND(D960=FALSE,E960&lt;&gt;""),"SELL",IF(AND(D960=TRUE,E960&lt;&gt;""),"HOLD",""))))</f>
        <v/>
      </c>
      <c r="G960" s="12">
        <f>IF(D960=TRUE,4,0)</f>
        <v/>
      </c>
      <c r="H960">
        <f>IF(A960="","",BDP(A960&amp;" US Equity","GICS_SECTOR_NAME"))</f>
        <v/>
      </c>
    </row>
    <row r="961">
      <c r="A961">
        <f>'Factor Scores'!A961</f>
        <v/>
      </c>
      <c r="B961" s="10">
        <f>IF(A961="","",0.40*'Factor Scores'!C961+0.20*'Factor Scores'!E961+0.20*'Factor Scores'!G961+0.20*'Factor Scores'!H961)</f>
        <v/>
      </c>
      <c r="C961" s="12">
        <f>IF(B961="","",RANK(B961,$B$2:$B$2501,0))</f>
        <v/>
      </c>
      <c r="D961">
        <f>IF(C961="","",C961&lt;=25)</f>
        <v/>
      </c>
      <c r="F961">
        <f>IF(A961="","",IF(AND(D961=TRUE,E961=""),"BUY",IF(AND(D961=FALSE,E961&lt;&gt;""),"SELL",IF(AND(D961=TRUE,E961&lt;&gt;""),"HOLD",""))))</f>
        <v/>
      </c>
      <c r="G961" s="12">
        <f>IF(D961=TRUE,4,0)</f>
        <v/>
      </c>
      <c r="H961">
        <f>IF(A961="","",BDP(A961&amp;" US Equity","GICS_SECTOR_NAME"))</f>
        <v/>
      </c>
    </row>
    <row r="962">
      <c r="A962">
        <f>'Factor Scores'!A962</f>
        <v/>
      </c>
      <c r="B962" s="10">
        <f>IF(A962="","",0.40*'Factor Scores'!C962+0.20*'Factor Scores'!E962+0.20*'Factor Scores'!G962+0.20*'Factor Scores'!H962)</f>
        <v/>
      </c>
      <c r="C962" s="12">
        <f>IF(B962="","",RANK(B962,$B$2:$B$2501,0))</f>
        <v/>
      </c>
      <c r="D962">
        <f>IF(C962="","",C962&lt;=25)</f>
        <v/>
      </c>
      <c r="F962">
        <f>IF(A962="","",IF(AND(D962=TRUE,E962=""),"BUY",IF(AND(D962=FALSE,E962&lt;&gt;""),"SELL",IF(AND(D962=TRUE,E962&lt;&gt;""),"HOLD",""))))</f>
        <v/>
      </c>
      <c r="G962" s="12">
        <f>IF(D962=TRUE,4,0)</f>
        <v/>
      </c>
      <c r="H962">
        <f>IF(A962="","",BDP(A962&amp;" US Equity","GICS_SECTOR_NAME"))</f>
        <v/>
      </c>
    </row>
    <row r="963">
      <c r="A963">
        <f>'Factor Scores'!A963</f>
        <v/>
      </c>
      <c r="B963" s="10">
        <f>IF(A963="","",0.40*'Factor Scores'!C963+0.20*'Factor Scores'!E963+0.20*'Factor Scores'!G963+0.20*'Factor Scores'!H963)</f>
        <v/>
      </c>
      <c r="C963" s="12">
        <f>IF(B963="","",RANK(B963,$B$2:$B$2501,0))</f>
        <v/>
      </c>
      <c r="D963">
        <f>IF(C963="","",C963&lt;=25)</f>
        <v/>
      </c>
      <c r="F963">
        <f>IF(A963="","",IF(AND(D963=TRUE,E963=""),"BUY",IF(AND(D963=FALSE,E963&lt;&gt;""),"SELL",IF(AND(D963=TRUE,E963&lt;&gt;""),"HOLD",""))))</f>
        <v/>
      </c>
      <c r="G963" s="12">
        <f>IF(D963=TRUE,4,0)</f>
        <v/>
      </c>
      <c r="H963">
        <f>IF(A963="","",BDP(A963&amp;" US Equity","GICS_SECTOR_NAME"))</f>
        <v/>
      </c>
    </row>
    <row r="964">
      <c r="A964">
        <f>'Factor Scores'!A964</f>
        <v/>
      </c>
      <c r="B964" s="10">
        <f>IF(A964="","",0.40*'Factor Scores'!C964+0.20*'Factor Scores'!E964+0.20*'Factor Scores'!G964+0.20*'Factor Scores'!H964)</f>
        <v/>
      </c>
      <c r="C964" s="12">
        <f>IF(B964="","",RANK(B964,$B$2:$B$2501,0))</f>
        <v/>
      </c>
      <c r="D964">
        <f>IF(C964="","",C964&lt;=25)</f>
        <v/>
      </c>
      <c r="F964">
        <f>IF(A964="","",IF(AND(D964=TRUE,E964=""),"BUY",IF(AND(D964=FALSE,E964&lt;&gt;""),"SELL",IF(AND(D964=TRUE,E964&lt;&gt;""),"HOLD",""))))</f>
        <v/>
      </c>
      <c r="G964" s="12">
        <f>IF(D964=TRUE,4,0)</f>
        <v/>
      </c>
      <c r="H964">
        <f>IF(A964="","",BDP(A964&amp;" US Equity","GICS_SECTOR_NAME"))</f>
        <v/>
      </c>
    </row>
    <row r="965">
      <c r="A965">
        <f>'Factor Scores'!A965</f>
        <v/>
      </c>
      <c r="B965" s="10">
        <f>IF(A965="","",0.40*'Factor Scores'!C965+0.20*'Factor Scores'!E965+0.20*'Factor Scores'!G965+0.20*'Factor Scores'!H965)</f>
        <v/>
      </c>
      <c r="C965" s="12">
        <f>IF(B965="","",RANK(B965,$B$2:$B$2501,0))</f>
        <v/>
      </c>
      <c r="D965">
        <f>IF(C965="","",C965&lt;=25)</f>
        <v/>
      </c>
      <c r="F965">
        <f>IF(A965="","",IF(AND(D965=TRUE,E965=""),"BUY",IF(AND(D965=FALSE,E965&lt;&gt;""),"SELL",IF(AND(D965=TRUE,E965&lt;&gt;""),"HOLD",""))))</f>
        <v/>
      </c>
      <c r="G965" s="12">
        <f>IF(D965=TRUE,4,0)</f>
        <v/>
      </c>
      <c r="H965">
        <f>IF(A965="","",BDP(A965&amp;" US Equity","GICS_SECTOR_NAME"))</f>
        <v/>
      </c>
    </row>
    <row r="966">
      <c r="A966">
        <f>'Factor Scores'!A966</f>
        <v/>
      </c>
      <c r="B966" s="10">
        <f>IF(A966="","",0.40*'Factor Scores'!C966+0.20*'Factor Scores'!E966+0.20*'Factor Scores'!G966+0.20*'Factor Scores'!H966)</f>
        <v/>
      </c>
      <c r="C966" s="12">
        <f>IF(B966="","",RANK(B966,$B$2:$B$2501,0))</f>
        <v/>
      </c>
      <c r="D966">
        <f>IF(C966="","",C966&lt;=25)</f>
        <v/>
      </c>
      <c r="F966">
        <f>IF(A966="","",IF(AND(D966=TRUE,E966=""),"BUY",IF(AND(D966=FALSE,E966&lt;&gt;""),"SELL",IF(AND(D966=TRUE,E966&lt;&gt;""),"HOLD",""))))</f>
        <v/>
      </c>
      <c r="G966" s="12">
        <f>IF(D966=TRUE,4,0)</f>
        <v/>
      </c>
      <c r="H966">
        <f>IF(A966="","",BDP(A966&amp;" US Equity","GICS_SECTOR_NAME"))</f>
        <v/>
      </c>
    </row>
    <row r="967">
      <c r="A967">
        <f>'Factor Scores'!A967</f>
        <v/>
      </c>
      <c r="B967" s="10">
        <f>IF(A967="","",0.40*'Factor Scores'!C967+0.20*'Factor Scores'!E967+0.20*'Factor Scores'!G967+0.20*'Factor Scores'!H967)</f>
        <v/>
      </c>
      <c r="C967" s="12">
        <f>IF(B967="","",RANK(B967,$B$2:$B$2501,0))</f>
        <v/>
      </c>
      <c r="D967">
        <f>IF(C967="","",C967&lt;=25)</f>
        <v/>
      </c>
      <c r="F967">
        <f>IF(A967="","",IF(AND(D967=TRUE,E967=""),"BUY",IF(AND(D967=FALSE,E967&lt;&gt;""),"SELL",IF(AND(D967=TRUE,E967&lt;&gt;""),"HOLD",""))))</f>
        <v/>
      </c>
      <c r="G967" s="12">
        <f>IF(D967=TRUE,4,0)</f>
        <v/>
      </c>
      <c r="H967">
        <f>IF(A967="","",BDP(A967&amp;" US Equity","GICS_SECTOR_NAME"))</f>
        <v/>
      </c>
    </row>
    <row r="968">
      <c r="A968">
        <f>'Factor Scores'!A968</f>
        <v/>
      </c>
      <c r="B968" s="10">
        <f>IF(A968="","",0.40*'Factor Scores'!C968+0.20*'Factor Scores'!E968+0.20*'Factor Scores'!G968+0.20*'Factor Scores'!H968)</f>
        <v/>
      </c>
      <c r="C968" s="12">
        <f>IF(B968="","",RANK(B968,$B$2:$B$2501,0))</f>
        <v/>
      </c>
      <c r="D968">
        <f>IF(C968="","",C968&lt;=25)</f>
        <v/>
      </c>
      <c r="F968">
        <f>IF(A968="","",IF(AND(D968=TRUE,E968=""),"BUY",IF(AND(D968=FALSE,E968&lt;&gt;""),"SELL",IF(AND(D968=TRUE,E968&lt;&gt;""),"HOLD",""))))</f>
        <v/>
      </c>
      <c r="G968" s="12">
        <f>IF(D968=TRUE,4,0)</f>
        <v/>
      </c>
      <c r="H968">
        <f>IF(A968="","",BDP(A968&amp;" US Equity","GICS_SECTOR_NAME"))</f>
        <v/>
      </c>
    </row>
    <row r="969">
      <c r="A969">
        <f>'Factor Scores'!A969</f>
        <v/>
      </c>
      <c r="B969" s="10">
        <f>IF(A969="","",0.40*'Factor Scores'!C969+0.20*'Factor Scores'!E969+0.20*'Factor Scores'!G969+0.20*'Factor Scores'!H969)</f>
        <v/>
      </c>
      <c r="C969" s="12">
        <f>IF(B969="","",RANK(B969,$B$2:$B$2501,0))</f>
        <v/>
      </c>
      <c r="D969">
        <f>IF(C969="","",C969&lt;=25)</f>
        <v/>
      </c>
      <c r="F969">
        <f>IF(A969="","",IF(AND(D969=TRUE,E969=""),"BUY",IF(AND(D969=FALSE,E969&lt;&gt;""),"SELL",IF(AND(D969=TRUE,E969&lt;&gt;""),"HOLD",""))))</f>
        <v/>
      </c>
      <c r="G969" s="12">
        <f>IF(D969=TRUE,4,0)</f>
        <v/>
      </c>
      <c r="H969">
        <f>IF(A969="","",BDP(A969&amp;" US Equity","GICS_SECTOR_NAME"))</f>
        <v/>
      </c>
    </row>
    <row r="970">
      <c r="A970">
        <f>'Factor Scores'!A970</f>
        <v/>
      </c>
      <c r="B970" s="10">
        <f>IF(A970="","",0.40*'Factor Scores'!C970+0.20*'Factor Scores'!E970+0.20*'Factor Scores'!G970+0.20*'Factor Scores'!H970)</f>
        <v/>
      </c>
      <c r="C970" s="12">
        <f>IF(B970="","",RANK(B970,$B$2:$B$2501,0))</f>
        <v/>
      </c>
      <c r="D970">
        <f>IF(C970="","",C970&lt;=25)</f>
        <v/>
      </c>
      <c r="F970">
        <f>IF(A970="","",IF(AND(D970=TRUE,E970=""),"BUY",IF(AND(D970=FALSE,E970&lt;&gt;""),"SELL",IF(AND(D970=TRUE,E970&lt;&gt;""),"HOLD",""))))</f>
        <v/>
      </c>
      <c r="G970" s="12">
        <f>IF(D970=TRUE,4,0)</f>
        <v/>
      </c>
      <c r="H970">
        <f>IF(A970="","",BDP(A970&amp;" US Equity","GICS_SECTOR_NAME"))</f>
        <v/>
      </c>
    </row>
    <row r="971">
      <c r="A971">
        <f>'Factor Scores'!A971</f>
        <v/>
      </c>
      <c r="B971" s="10">
        <f>IF(A971="","",0.40*'Factor Scores'!C971+0.20*'Factor Scores'!E971+0.20*'Factor Scores'!G971+0.20*'Factor Scores'!H971)</f>
        <v/>
      </c>
      <c r="C971" s="12">
        <f>IF(B971="","",RANK(B971,$B$2:$B$2501,0))</f>
        <v/>
      </c>
      <c r="D971">
        <f>IF(C971="","",C971&lt;=25)</f>
        <v/>
      </c>
      <c r="F971">
        <f>IF(A971="","",IF(AND(D971=TRUE,E971=""),"BUY",IF(AND(D971=FALSE,E971&lt;&gt;""),"SELL",IF(AND(D971=TRUE,E971&lt;&gt;""),"HOLD",""))))</f>
        <v/>
      </c>
      <c r="G971" s="12">
        <f>IF(D971=TRUE,4,0)</f>
        <v/>
      </c>
      <c r="H971">
        <f>IF(A971="","",BDP(A971&amp;" US Equity","GICS_SECTOR_NAME"))</f>
        <v/>
      </c>
    </row>
    <row r="972">
      <c r="A972">
        <f>'Factor Scores'!A972</f>
        <v/>
      </c>
      <c r="B972" s="10">
        <f>IF(A972="","",0.40*'Factor Scores'!C972+0.20*'Factor Scores'!E972+0.20*'Factor Scores'!G972+0.20*'Factor Scores'!H972)</f>
        <v/>
      </c>
      <c r="C972" s="12">
        <f>IF(B972="","",RANK(B972,$B$2:$B$2501,0))</f>
        <v/>
      </c>
      <c r="D972">
        <f>IF(C972="","",C972&lt;=25)</f>
        <v/>
      </c>
      <c r="F972">
        <f>IF(A972="","",IF(AND(D972=TRUE,E972=""),"BUY",IF(AND(D972=FALSE,E972&lt;&gt;""),"SELL",IF(AND(D972=TRUE,E972&lt;&gt;""),"HOLD",""))))</f>
        <v/>
      </c>
      <c r="G972" s="12">
        <f>IF(D972=TRUE,4,0)</f>
        <v/>
      </c>
      <c r="H972">
        <f>IF(A972="","",BDP(A972&amp;" US Equity","GICS_SECTOR_NAME"))</f>
        <v/>
      </c>
    </row>
    <row r="973">
      <c r="A973">
        <f>'Factor Scores'!A973</f>
        <v/>
      </c>
      <c r="B973" s="10">
        <f>IF(A973="","",0.40*'Factor Scores'!C973+0.20*'Factor Scores'!E973+0.20*'Factor Scores'!G973+0.20*'Factor Scores'!H973)</f>
        <v/>
      </c>
      <c r="C973" s="12">
        <f>IF(B973="","",RANK(B973,$B$2:$B$2501,0))</f>
        <v/>
      </c>
      <c r="D973">
        <f>IF(C973="","",C973&lt;=25)</f>
        <v/>
      </c>
      <c r="F973">
        <f>IF(A973="","",IF(AND(D973=TRUE,E973=""),"BUY",IF(AND(D973=FALSE,E973&lt;&gt;""),"SELL",IF(AND(D973=TRUE,E973&lt;&gt;""),"HOLD",""))))</f>
        <v/>
      </c>
      <c r="G973" s="12">
        <f>IF(D973=TRUE,4,0)</f>
        <v/>
      </c>
      <c r="H973">
        <f>IF(A973="","",BDP(A973&amp;" US Equity","GICS_SECTOR_NAME"))</f>
        <v/>
      </c>
    </row>
    <row r="974">
      <c r="A974">
        <f>'Factor Scores'!A974</f>
        <v/>
      </c>
      <c r="B974" s="10">
        <f>IF(A974="","",0.40*'Factor Scores'!C974+0.20*'Factor Scores'!E974+0.20*'Factor Scores'!G974+0.20*'Factor Scores'!H974)</f>
        <v/>
      </c>
      <c r="C974" s="12">
        <f>IF(B974="","",RANK(B974,$B$2:$B$2501,0))</f>
        <v/>
      </c>
      <c r="D974">
        <f>IF(C974="","",C974&lt;=25)</f>
        <v/>
      </c>
      <c r="F974">
        <f>IF(A974="","",IF(AND(D974=TRUE,E974=""),"BUY",IF(AND(D974=FALSE,E974&lt;&gt;""),"SELL",IF(AND(D974=TRUE,E974&lt;&gt;""),"HOLD",""))))</f>
        <v/>
      </c>
      <c r="G974" s="12">
        <f>IF(D974=TRUE,4,0)</f>
        <v/>
      </c>
      <c r="H974">
        <f>IF(A974="","",BDP(A974&amp;" US Equity","GICS_SECTOR_NAME"))</f>
        <v/>
      </c>
    </row>
    <row r="975">
      <c r="A975">
        <f>'Factor Scores'!A975</f>
        <v/>
      </c>
      <c r="B975" s="10">
        <f>IF(A975="","",0.40*'Factor Scores'!C975+0.20*'Factor Scores'!E975+0.20*'Factor Scores'!G975+0.20*'Factor Scores'!H975)</f>
        <v/>
      </c>
      <c r="C975" s="12">
        <f>IF(B975="","",RANK(B975,$B$2:$B$2501,0))</f>
        <v/>
      </c>
      <c r="D975">
        <f>IF(C975="","",C975&lt;=25)</f>
        <v/>
      </c>
      <c r="F975">
        <f>IF(A975="","",IF(AND(D975=TRUE,E975=""),"BUY",IF(AND(D975=FALSE,E975&lt;&gt;""),"SELL",IF(AND(D975=TRUE,E975&lt;&gt;""),"HOLD",""))))</f>
        <v/>
      </c>
      <c r="G975" s="12">
        <f>IF(D975=TRUE,4,0)</f>
        <v/>
      </c>
      <c r="H975">
        <f>IF(A975="","",BDP(A975&amp;" US Equity","GICS_SECTOR_NAME"))</f>
        <v/>
      </c>
    </row>
    <row r="976">
      <c r="A976">
        <f>'Factor Scores'!A976</f>
        <v/>
      </c>
      <c r="B976" s="10">
        <f>IF(A976="","",0.40*'Factor Scores'!C976+0.20*'Factor Scores'!E976+0.20*'Factor Scores'!G976+0.20*'Factor Scores'!H976)</f>
        <v/>
      </c>
      <c r="C976" s="12">
        <f>IF(B976="","",RANK(B976,$B$2:$B$2501,0))</f>
        <v/>
      </c>
      <c r="D976">
        <f>IF(C976="","",C976&lt;=25)</f>
        <v/>
      </c>
      <c r="F976">
        <f>IF(A976="","",IF(AND(D976=TRUE,E976=""),"BUY",IF(AND(D976=FALSE,E976&lt;&gt;""),"SELL",IF(AND(D976=TRUE,E976&lt;&gt;""),"HOLD",""))))</f>
        <v/>
      </c>
      <c r="G976" s="12">
        <f>IF(D976=TRUE,4,0)</f>
        <v/>
      </c>
      <c r="H976">
        <f>IF(A976="","",BDP(A976&amp;" US Equity","GICS_SECTOR_NAME"))</f>
        <v/>
      </c>
    </row>
    <row r="977">
      <c r="A977">
        <f>'Factor Scores'!A977</f>
        <v/>
      </c>
      <c r="B977" s="10">
        <f>IF(A977="","",0.40*'Factor Scores'!C977+0.20*'Factor Scores'!E977+0.20*'Factor Scores'!G977+0.20*'Factor Scores'!H977)</f>
        <v/>
      </c>
      <c r="C977" s="12">
        <f>IF(B977="","",RANK(B977,$B$2:$B$2501,0))</f>
        <v/>
      </c>
      <c r="D977">
        <f>IF(C977="","",C977&lt;=25)</f>
        <v/>
      </c>
      <c r="F977">
        <f>IF(A977="","",IF(AND(D977=TRUE,E977=""),"BUY",IF(AND(D977=FALSE,E977&lt;&gt;""),"SELL",IF(AND(D977=TRUE,E977&lt;&gt;""),"HOLD",""))))</f>
        <v/>
      </c>
      <c r="G977" s="12">
        <f>IF(D977=TRUE,4,0)</f>
        <v/>
      </c>
      <c r="H977">
        <f>IF(A977="","",BDP(A977&amp;" US Equity","GICS_SECTOR_NAME"))</f>
        <v/>
      </c>
    </row>
    <row r="978">
      <c r="A978">
        <f>'Factor Scores'!A978</f>
        <v/>
      </c>
      <c r="B978" s="10">
        <f>IF(A978="","",0.40*'Factor Scores'!C978+0.20*'Factor Scores'!E978+0.20*'Factor Scores'!G978+0.20*'Factor Scores'!H978)</f>
        <v/>
      </c>
      <c r="C978" s="12">
        <f>IF(B978="","",RANK(B978,$B$2:$B$2501,0))</f>
        <v/>
      </c>
      <c r="D978">
        <f>IF(C978="","",C978&lt;=25)</f>
        <v/>
      </c>
      <c r="F978">
        <f>IF(A978="","",IF(AND(D978=TRUE,E978=""),"BUY",IF(AND(D978=FALSE,E978&lt;&gt;""),"SELL",IF(AND(D978=TRUE,E978&lt;&gt;""),"HOLD",""))))</f>
        <v/>
      </c>
      <c r="G978" s="12">
        <f>IF(D978=TRUE,4,0)</f>
        <v/>
      </c>
      <c r="H978">
        <f>IF(A978="","",BDP(A978&amp;" US Equity","GICS_SECTOR_NAME"))</f>
        <v/>
      </c>
    </row>
    <row r="979">
      <c r="A979">
        <f>'Factor Scores'!A979</f>
        <v/>
      </c>
      <c r="B979" s="10">
        <f>IF(A979="","",0.40*'Factor Scores'!C979+0.20*'Factor Scores'!E979+0.20*'Factor Scores'!G979+0.20*'Factor Scores'!H979)</f>
        <v/>
      </c>
      <c r="C979" s="12">
        <f>IF(B979="","",RANK(B979,$B$2:$B$2501,0))</f>
        <v/>
      </c>
      <c r="D979">
        <f>IF(C979="","",C979&lt;=25)</f>
        <v/>
      </c>
      <c r="F979">
        <f>IF(A979="","",IF(AND(D979=TRUE,E979=""),"BUY",IF(AND(D979=FALSE,E979&lt;&gt;""),"SELL",IF(AND(D979=TRUE,E979&lt;&gt;""),"HOLD",""))))</f>
        <v/>
      </c>
      <c r="G979" s="12">
        <f>IF(D979=TRUE,4,0)</f>
        <v/>
      </c>
      <c r="H979">
        <f>IF(A979="","",BDP(A979&amp;" US Equity","GICS_SECTOR_NAME"))</f>
        <v/>
      </c>
    </row>
    <row r="980">
      <c r="A980">
        <f>'Factor Scores'!A980</f>
        <v/>
      </c>
      <c r="B980" s="10">
        <f>IF(A980="","",0.40*'Factor Scores'!C980+0.20*'Factor Scores'!E980+0.20*'Factor Scores'!G980+0.20*'Factor Scores'!H980)</f>
        <v/>
      </c>
      <c r="C980" s="12">
        <f>IF(B980="","",RANK(B980,$B$2:$B$2501,0))</f>
        <v/>
      </c>
      <c r="D980">
        <f>IF(C980="","",C980&lt;=25)</f>
        <v/>
      </c>
      <c r="F980">
        <f>IF(A980="","",IF(AND(D980=TRUE,E980=""),"BUY",IF(AND(D980=FALSE,E980&lt;&gt;""),"SELL",IF(AND(D980=TRUE,E980&lt;&gt;""),"HOLD",""))))</f>
        <v/>
      </c>
      <c r="G980" s="12">
        <f>IF(D980=TRUE,4,0)</f>
        <v/>
      </c>
      <c r="H980">
        <f>IF(A980="","",BDP(A980&amp;" US Equity","GICS_SECTOR_NAME"))</f>
        <v/>
      </c>
    </row>
    <row r="981">
      <c r="A981">
        <f>'Factor Scores'!A981</f>
        <v/>
      </c>
      <c r="B981" s="10">
        <f>IF(A981="","",0.40*'Factor Scores'!C981+0.20*'Factor Scores'!E981+0.20*'Factor Scores'!G981+0.20*'Factor Scores'!H981)</f>
        <v/>
      </c>
      <c r="C981" s="12">
        <f>IF(B981="","",RANK(B981,$B$2:$B$2501,0))</f>
        <v/>
      </c>
      <c r="D981">
        <f>IF(C981="","",C981&lt;=25)</f>
        <v/>
      </c>
      <c r="F981">
        <f>IF(A981="","",IF(AND(D981=TRUE,E981=""),"BUY",IF(AND(D981=FALSE,E981&lt;&gt;""),"SELL",IF(AND(D981=TRUE,E981&lt;&gt;""),"HOLD",""))))</f>
        <v/>
      </c>
      <c r="G981" s="12">
        <f>IF(D981=TRUE,4,0)</f>
        <v/>
      </c>
      <c r="H981">
        <f>IF(A981="","",BDP(A981&amp;" US Equity","GICS_SECTOR_NAME"))</f>
        <v/>
      </c>
    </row>
    <row r="982">
      <c r="A982">
        <f>'Factor Scores'!A982</f>
        <v/>
      </c>
      <c r="B982" s="10">
        <f>IF(A982="","",0.40*'Factor Scores'!C982+0.20*'Factor Scores'!E982+0.20*'Factor Scores'!G982+0.20*'Factor Scores'!H982)</f>
        <v/>
      </c>
      <c r="C982" s="12">
        <f>IF(B982="","",RANK(B982,$B$2:$B$2501,0))</f>
        <v/>
      </c>
      <c r="D982">
        <f>IF(C982="","",C982&lt;=25)</f>
        <v/>
      </c>
      <c r="F982">
        <f>IF(A982="","",IF(AND(D982=TRUE,E982=""),"BUY",IF(AND(D982=FALSE,E982&lt;&gt;""),"SELL",IF(AND(D982=TRUE,E982&lt;&gt;""),"HOLD",""))))</f>
        <v/>
      </c>
      <c r="G982" s="12">
        <f>IF(D982=TRUE,4,0)</f>
        <v/>
      </c>
      <c r="H982">
        <f>IF(A982="","",BDP(A982&amp;" US Equity","GICS_SECTOR_NAME"))</f>
        <v/>
      </c>
    </row>
    <row r="983">
      <c r="A983">
        <f>'Factor Scores'!A983</f>
        <v/>
      </c>
      <c r="B983" s="10">
        <f>IF(A983="","",0.40*'Factor Scores'!C983+0.20*'Factor Scores'!E983+0.20*'Factor Scores'!G983+0.20*'Factor Scores'!H983)</f>
        <v/>
      </c>
      <c r="C983" s="12">
        <f>IF(B983="","",RANK(B983,$B$2:$B$2501,0))</f>
        <v/>
      </c>
      <c r="D983">
        <f>IF(C983="","",C983&lt;=25)</f>
        <v/>
      </c>
      <c r="F983">
        <f>IF(A983="","",IF(AND(D983=TRUE,E983=""),"BUY",IF(AND(D983=FALSE,E983&lt;&gt;""),"SELL",IF(AND(D983=TRUE,E983&lt;&gt;""),"HOLD",""))))</f>
        <v/>
      </c>
      <c r="G983" s="12">
        <f>IF(D983=TRUE,4,0)</f>
        <v/>
      </c>
      <c r="H983">
        <f>IF(A983="","",BDP(A983&amp;" US Equity","GICS_SECTOR_NAME"))</f>
        <v/>
      </c>
    </row>
    <row r="984">
      <c r="A984">
        <f>'Factor Scores'!A984</f>
        <v/>
      </c>
      <c r="B984" s="10">
        <f>IF(A984="","",0.40*'Factor Scores'!C984+0.20*'Factor Scores'!E984+0.20*'Factor Scores'!G984+0.20*'Factor Scores'!H984)</f>
        <v/>
      </c>
      <c r="C984" s="12">
        <f>IF(B984="","",RANK(B984,$B$2:$B$2501,0))</f>
        <v/>
      </c>
      <c r="D984">
        <f>IF(C984="","",C984&lt;=25)</f>
        <v/>
      </c>
      <c r="F984">
        <f>IF(A984="","",IF(AND(D984=TRUE,E984=""),"BUY",IF(AND(D984=FALSE,E984&lt;&gt;""),"SELL",IF(AND(D984=TRUE,E984&lt;&gt;""),"HOLD",""))))</f>
        <v/>
      </c>
      <c r="G984" s="12">
        <f>IF(D984=TRUE,4,0)</f>
        <v/>
      </c>
      <c r="H984">
        <f>IF(A984="","",BDP(A984&amp;" US Equity","GICS_SECTOR_NAME"))</f>
        <v/>
      </c>
    </row>
    <row r="985">
      <c r="A985">
        <f>'Factor Scores'!A985</f>
        <v/>
      </c>
      <c r="B985" s="10">
        <f>IF(A985="","",0.40*'Factor Scores'!C985+0.20*'Factor Scores'!E985+0.20*'Factor Scores'!G985+0.20*'Factor Scores'!H985)</f>
        <v/>
      </c>
      <c r="C985" s="12">
        <f>IF(B985="","",RANK(B985,$B$2:$B$2501,0))</f>
        <v/>
      </c>
      <c r="D985">
        <f>IF(C985="","",C985&lt;=25)</f>
        <v/>
      </c>
      <c r="F985">
        <f>IF(A985="","",IF(AND(D985=TRUE,E985=""),"BUY",IF(AND(D985=FALSE,E985&lt;&gt;""),"SELL",IF(AND(D985=TRUE,E985&lt;&gt;""),"HOLD",""))))</f>
        <v/>
      </c>
      <c r="G985" s="12">
        <f>IF(D985=TRUE,4,0)</f>
        <v/>
      </c>
      <c r="H985">
        <f>IF(A985="","",BDP(A985&amp;" US Equity","GICS_SECTOR_NAME"))</f>
        <v/>
      </c>
    </row>
    <row r="986">
      <c r="A986">
        <f>'Factor Scores'!A986</f>
        <v/>
      </c>
      <c r="B986" s="10">
        <f>IF(A986="","",0.40*'Factor Scores'!C986+0.20*'Factor Scores'!E986+0.20*'Factor Scores'!G986+0.20*'Factor Scores'!H986)</f>
        <v/>
      </c>
      <c r="C986" s="12">
        <f>IF(B986="","",RANK(B986,$B$2:$B$2501,0))</f>
        <v/>
      </c>
      <c r="D986">
        <f>IF(C986="","",C986&lt;=25)</f>
        <v/>
      </c>
      <c r="F986">
        <f>IF(A986="","",IF(AND(D986=TRUE,E986=""),"BUY",IF(AND(D986=FALSE,E986&lt;&gt;""),"SELL",IF(AND(D986=TRUE,E986&lt;&gt;""),"HOLD",""))))</f>
        <v/>
      </c>
      <c r="G986" s="12">
        <f>IF(D986=TRUE,4,0)</f>
        <v/>
      </c>
      <c r="H986">
        <f>IF(A986="","",BDP(A986&amp;" US Equity","GICS_SECTOR_NAME"))</f>
        <v/>
      </c>
    </row>
    <row r="987">
      <c r="A987">
        <f>'Factor Scores'!A987</f>
        <v/>
      </c>
      <c r="B987" s="10">
        <f>IF(A987="","",0.40*'Factor Scores'!C987+0.20*'Factor Scores'!E987+0.20*'Factor Scores'!G987+0.20*'Factor Scores'!H987)</f>
        <v/>
      </c>
      <c r="C987" s="12">
        <f>IF(B987="","",RANK(B987,$B$2:$B$2501,0))</f>
        <v/>
      </c>
      <c r="D987">
        <f>IF(C987="","",C987&lt;=25)</f>
        <v/>
      </c>
      <c r="F987">
        <f>IF(A987="","",IF(AND(D987=TRUE,E987=""),"BUY",IF(AND(D987=FALSE,E987&lt;&gt;""),"SELL",IF(AND(D987=TRUE,E987&lt;&gt;""),"HOLD",""))))</f>
        <v/>
      </c>
      <c r="G987" s="12">
        <f>IF(D987=TRUE,4,0)</f>
        <v/>
      </c>
      <c r="H987">
        <f>IF(A987="","",BDP(A987&amp;" US Equity","GICS_SECTOR_NAME"))</f>
        <v/>
      </c>
    </row>
    <row r="988">
      <c r="A988">
        <f>'Factor Scores'!A988</f>
        <v/>
      </c>
      <c r="B988" s="10">
        <f>IF(A988="","",0.40*'Factor Scores'!C988+0.20*'Factor Scores'!E988+0.20*'Factor Scores'!G988+0.20*'Factor Scores'!H988)</f>
        <v/>
      </c>
      <c r="C988" s="12">
        <f>IF(B988="","",RANK(B988,$B$2:$B$2501,0))</f>
        <v/>
      </c>
      <c r="D988">
        <f>IF(C988="","",C988&lt;=25)</f>
        <v/>
      </c>
      <c r="F988">
        <f>IF(A988="","",IF(AND(D988=TRUE,E988=""),"BUY",IF(AND(D988=FALSE,E988&lt;&gt;""),"SELL",IF(AND(D988=TRUE,E988&lt;&gt;""),"HOLD",""))))</f>
        <v/>
      </c>
      <c r="G988" s="12">
        <f>IF(D988=TRUE,4,0)</f>
        <v/>
      </c>
      <c r="H988">
        <f>IF(A988="","",BDP(A988&amp;" US Equity","GICS_SECTOR_NAME"))</f>
        <v/>
      </c>
    </row>
    <row r="989">
      <c r="A989">
        <f>'Factor Scores'!A989</f>
        <v/>
      </c>
      <c r="B989" s="10">
        <f>IF(A989="","",0.40*'Factor Scores'!C989+0.20*'Factor Scores'!E989+0.20*'Factor Scores'!G989+0.20*'Factor Scores'!H989)</f>
        <v/>
      </c>
      <c r="C989" s="12">
        <f>IF(B989="","",RANK(B989,$B$2:$B$2501,0))</f>
        <v/>
      </c>
      <c r="D989">
        <f>IF(C989="","",C989&lt;=25)</f>
        <v/>
      </c>
      <c r="F989">
        <f>IF(A989="","",IF(AND(D989=TRUE,E989=""),"BUY",IF(AND(D989=FALSE,E989&lt;&gt;""),"SELL",IF(AND(D989=TRUE,E989&lt;&gt;""),"HOLD",""))))</f>
        <v/>
      </c>
      <c r="G989" s="12">
        <f>IF(D989=TRUE,4,0)</f>
        <v/>
      </c>
      <c r="H989">
        <f>IF(A989="","",BDP(A989&amp;" US Equity","GICS_SECTOR_NAME"))</f>
        <v/>
      </c>
    </row>
    <row r="990">
      <c r="A990">
        <f>'Factor Scores'!A990</f>
        <v/>
      </c>
      <c r="B990" s="10">
        <f>IF(A990="","",0.40*'Factor Scores'!C990+0.20*'Factor Scores'!E990+0.20*'Factor Scores'!G990+0.20*'Factor Scores'!H990)</f>
        <v/>
      </c>
      <c r="C990" s="12">
        <f>IF(B990="","",RANK(B990,$B$2:$B$2501,0))</f>
        <v/>
      </c>
      <c r="D990">
        <f>IF(C990="","",C990&lt;=25)</f>
        <v/>
      </c>
      <c r="F990">
        <f>IF(A990="","",IF(AND(D990=TRUE,E990=""),"BUY",IF(AND(D990=FALSE,E990&lt;&gt;""),"SELL",IF(AND(D990=TRUE,E990&lt;&gt;""),"HOLD",""))))</f>
        <v/>
      </c>
      <c r="G990" s="12">
        <f>IF(D990=TRUE,4,0)</f>
        <v/>
      </c>
      <c r="H990">
        <f>IF(A990="","",BDP(A990&amp;" US Equity","GICS_SECTOR_NAME"))</f>
        <v/>
      </c>
    </row>
    <row r="991">
      <c r="A991">
        <f>'Factor Scores'!A991</f>
        <v/>
      </c>
      <c r="B991" s="10">
        <f>IF(A991="","",0.40*'Factor Scores'!C991+0.20*'Factor Scores'!E991+0.20*'Factor Scores'!G991+0.20*'Factor Scores'!H991)</f>
        <v/>
      </c>
      <c r="C991" s="12">
        <f>IF(B991="","",RANK(B991,$B$2:$B$2501,0))</f>
        <v/>
      </c>
      <c r="D991">
        <f>IF(C991="","",C991&lt;=25)</f>
        <v/>
      </c>
      <c r="F991">
        <f>IF(A991="","",IF(AND(D991=TRUE,E991=""),"BUY",IF(AND(D991=FALSE,E991&lt;&gt;""),"SELL",IF(AND(D991=TRUE,E991&lt;&gt;""),"HOLD",""))))</f>
        <v/>
      </c>
      <c r="G991" s="12">
        <f>IF(D991=TRUE,4,0)</f>
        <v/>
      </c>
      <c r="H991">
        <f>IF(A991="","",BDP(A991&amp;" US Equity","GICS_SECTOR_NAME"))</f>
        <v/>
      </c>
    </row>
    <row r="992">
      <c r="A992">
        <f>'Factor Scores'!A992</f>
        <v/>
      </c>
      <c r="B992" s="10">
        <f>IF(A992="","",0.40*'Factor Scores'!C992+0.20*'Factor Scores'!E992+0.20*'Factor Scores'!G992+0.20*'Factor Scores'!H992)</f>
        <v/>
      </c>
      <c r="C992" s="12">
        <f>IF(B992="","",RANK(B992,$B$2:$B$2501,0))</f>
        <v/>
      </c>
      <c r="D992">
        <f>IF(C992="","",C992&lt;=25)</f>
        <v/>
      </c>
      <c r="F992">
        <f>IF(A992="","",IF(AND(D992=TRUE,E992=""),"BUY",IF(AND(D992=FALSE,E992&lt;&gt;""),"SELL",IF(AND(D992=TRUE,E992&lt;&gt;""),"HOLD",""))))</f>
        <v/>
      </c>
      <c r="G992" s="12">
        <f>IF(D992=TRUE,4,0)</f>
        <v/>
      </c>
      <c r="H992">
        <f>IF(A992="","",BDP(A992&amp;" US Equity","GICS_SECTOR_NAME"))</f>
        <v/>
      </c>
    </row>
    <row r="993">
      <c r="A993">
        <f>'Factor Scores'!A993</f>
        <v/>
      </c>
      <c r="B993" s="10">
        <f>IF(A993="","",0.40*'Factor Scores'!C993+0.20*'Factor Scores'!E993+0.20*'Factor Scores'!G993+0.20*'Factor Scores'!H993)</f>
        <v/>
      </c>
      <c r="C993" s="12">
        <f>IF(B993="","",RANK(B993,$B$2:$B$2501,0))</f>
        <v/>
      </c>
      <c r="D993">
        <f>IF(C993="","",C993&lt;=25)</f>
        <v/>
      </c>
      <c r="F993">
        <f>IF(A993="","",IF(AND(D993=TRUE,E993=""),"BUY",IF(AND(D993=FALSE,E993&lt;&gt;""),"SELL",IF(AND(D993=TRUE,E993&lt;&gt;""),"HOLD",""))))</f>
        <v/>
      </c>
      <c r="G993" s="12">
        <f>IF(D993=TRUE,4,0)</f>
        <v/>
      </c>
      <c r="H993">
        <f>IF(A993="","",BDP(A993&amp;" US Equity","GICS_SECTOR_NAME"))</f>
        <v/>
      </c>
    </row>
    <row r="994">
      <c r="A994">
        <f>'Factor Scores'!A994</f>
        <v/>
      </c>
      <c r="B994" s="10">
        <f>IF(A994="","",0.40*'Factor Scores'!C994+0.20*'Factor Scores'!E994+0.20*'Factor Scores'!G994+0.20*'Factor Scores'!H994)</f>
        <v/>
      </c>
      <c r="C994" s="12">
        <f>IF(B994="","",RANK(B994,$B$2:$B$2501,0))</f>
        <v/>
      </c>
      <c r="D994">
        <f>IF(C994="","",C994&lt;=25)</f>
        <v/>
      </c>
      <c r="F994">
        <f>IF(A994="","",IF(AND(D994=TRUE,E994=""),"BUY",IF(AND(D994=FALSE,E994&lt;&gt;""),"SELL",IF(AND(D994=TRUE,E994&lt;&gt;""),"HOLD",""))))</f>
        <v/>
      </c>
      <c r="G994" s="12">
        <f>IF(D994=TRUE,4,0)</f>
        <v/>
      </c>
      <c r="H994">
        <f>IF(A994="","",BDP(A994&amp;" US Equity","GICS_SECTOR_NAME"))</f>
        <v/>
      </c>
    </row>
    <row r="995">
      <c r="A995">
        <f>'Factor Scores'!A995</f>
        <v/>
      </c>
      <c r="B995" s="10">
        <f>IF(A995="","",0.40*'Factor Scores'!C995+0.20*'Factor Scores'!E995+0.20*'Factor Scores'!G995+0.20*'Factor Scores'!H995)</f>
        <v/>
      </c>
      <c r="C995" s="12">
        <f>IF(B995="","",RANK(B995,$B$2:$B$2501,0))</f>
        <v/>
      </c>
      <c r="D995">
        <f>IF(C995="","",C995&lt;=25)</f>
        <v/>
      </c>
      <c r="F995">
        <f>IF(A995="","",IF(AND(D995=TRUE,E995=""),"BUY",IF(AND(D995=FALSE,E995&lt;&gt;""),"SELL",IF(AND(D995=TRUE,E995&lt;&gt;""),"HOLD",""))))</f>
        <v/>
      </c>
      <c r="G995" s="12">
        <f>IF(D995=TRUE,4,0)</f>
        <v/>
      </c>
      <c r="H995">
        <f>IF(A995="","",BDP(A995&amp;" US Equity","GICS_SECTOR_NAME"))</f>
        <v/>
      </c>
    </row>
    <row r="996">
      <c r="A996">
        <f>'Factor Scores'!A996</f>
        <v/>
      </c>
      <c r="B996" s="10">
        <f>IF(A996="","",0.40*'Factor Scores'!C996+0.20*'Factor Scores'!E996+0.20*'Factor Scores'!G996+0.20*'Factor Scores'!H996)</f>
        <v/>
      </c>
      <c r="C996" s="12">
        <f>IF(B996="","",RANK(B996,$B$2:$B$2501,0))</f>
        <v/>
      </c>
      <c r="D996">
        <f>IF(C996="","",C996&lt;=25)</f>
        <v/>
      </c>
      <c r="F996">
        <f>IF(A996="","",IF(AND(D996=TRUE,E996=""),"BUY",IF(AND(D996=FALSE,E996&lt;&gt;""),"SELL",IF(AND(D996=TRUE,E996&lt;&gt;""),"HOLD",""))))</f>
        <v/>
      </c>
      <c r="G996" s="12">
        <f>IF(D996=TRUE,4,0)</f>
        <v/>
      </c>
      <c r="H996">
        <f>IF(A996="","",BDP(A996&amp;" US Equity","GICS_SECTOR_NAME"))</f>
        <v/>
      </c>
    </row>
    <row r="997">
      <c r="A997">
        <f>'Factor Scores'!A997</f>
        <v/>
      </c>
      <c r="B997" s="10">
        <f>IF(A997="","",0.40*'Factor Scores'!C997+0.20*'Factor Scores'!E997+0.20*'Factor Scores'!G997+0.20*'Factor Scores'!H997)</f>
        <v/>
      </c>
      <c r="C997" s="12">
        <f>IF(B997="","",RANK(B997,$B$2:$B$2501,0))</f>
        <v/>
      </c>
      <c r="D997">
        <f>IF(C997="","",C997&lt;=25)</f>
        <v/>
      </c>
      <c r="F997">
        <f>IF(A997="","",IF(AND(D997=TRUE,E997=""),"BUY",IF(AND(D997=FALSE,E997&lt;&gt;""),"SELL",IF(AND(D997=TRUE,E997&lt;&gt;""),"HOLD",""))))</f>
        <v/>
      </c>
      <c r="G997" s="12">
        <f>IF(D997=TRUE,4,0)</f>
        <v/>
      </c>
      <c r="H997">
        <f>IF(A997="","",BDP(A997&amp;" US Equity","GICS_SECTOR_NAME"))</f>
        <v/>
      </c>
    </row>
    <row r="998">
      <c r="A998">
        <f>'Factor Scores'!A998</f>
        <v/>
      </c>
      <c r="B998" s="10">
        <f>IF(A998="","",0.40*'Factor Scores'!C998+0.20*'Factor Scores'!E998+0.20*'Factor Scores'!G998+0.20*'Factor Scores'!H998)</f>
        <v/>
      </c>
      <c r="C998" s="12">
        <f>IF(B998="","",RANK(B998,$B$2:$B$2501,0))</f>
        <v/>
      </c>
      <c r="D998">
        <f>IF(C998="","",C998&lt;=25)</f>
        <v/>
      </c>
      <c r="F998">
        <f>IF(A998="","",IF(AND(D998=TRUE,E998=""),"BUY",IF(AND(D998=FALSE,E998&lt;&gt;""),"SELL",IF(AND(D998=TRUE,E998&lt;&gt;""),"HOLD",""))))</f>
        <v/>
      </c>
      <c r="G998" s="12">
        <f>IF(D998=TRUE,4,0)</f>
        <v/>
      </c>
      <c r="H998">
        <f>IF(A998="","",BDP(A998&amp;" US Equity","GICS_SECTOR_NAME"))</f>
        <v/>
      </c>
    </row>
    <row r="999">
      <c r="A999">
        <f>'Factor Scores'!A999</f>
        <v/>
      </c>
      <c r="B999" s="10">
        <f>IF(A999="","",0.40*'Factor Scores'!C999+0.20*'Factor Scores'!E999+0.20*'Factor Scores'!G999+0.20*'Factor Scores'!H999)</f>
        <v/>
      </c>
      <c r="C999" s="12">
        <f>IF(B999="","",RANK(B999,$B$2:$B$2501,0))</f>
        <v/>
      </c>
      <c r="D999">
        <f>IF(C999="","",C999&lt;=25)</f>
        <v/>
      </c>
      <c r="F999">
        <f>IF(A999="","",IF(AND(D999=TRUE,E999=""),"BUY",IF(AND(D999=FALSE,E999&lt;&gt;""),"SELL",IF(AND(D999=TRUE,E999&lt;&gt;""),"HOLD",""))))</f>
        <v/>
      </c>
      <c r="G999" s="12">
        <f>IF(D999=TRUE,4,0)</f>
        <v/>
      </c>
      <c r="H999">
        <f>IF(A999="","",BDP(A999&amp;" US Equity","GICS_SECTOR_NAME"))</f>
        <v/>
      </c>
    </row>
    <row r="1000">
      <c r="A1000">
        <f>'Factor Scores'!A1000</f>
        <v/>
      </c>
      <c r="B1000" s="10">
        <f>IF(A1000="","",0.40*'Factor Scores'!C1000+0.20*'Factor Scores'!E1000+0.20*'Factor Scores'!G1000+0.20*'Factor Scores'!H1000)</f>
        <v/>
      </c>
      <c r="C1000" s="12">
        <f>IF(B1000="","",RANK(B1000,$B$2:$B$2501,0))</f>
        <v/>
      </c>
      <c r="D1000">
        <f>IF(C1000="","",C1000&lt;=25)</f>
        <v/>
      </c>
      <c r="F1000">
        <f>IF(A1000="","",IF(AND(D1000=TRUE,E1000=""),"BUY",IF(AND(D1000=FALSE,E1000&lt;&gt;""),"SELL",IF(AND(D1000=TRUE,E1000&lt;&gt;""),"HOLD",""))))</f>
        <v/>
      </c>
      <c r="G1000" s="12">
        <f>IF(D1000=TRUE,4,0)</f>
        <v/>
      </c>
      <c r="H1000">
        <f>IF(A1000="","",BDP(A1000&amp;" US Equity","GICS_SECTOR_NAME"))</f>
        <v/>
      </c>
    </row>
    <row r="1001">
      <c r="A1001">
        <f>'Factor Scores'!A1001</f>
        <v/>
      </c>
      <c r="B1001" s="10">
        <f>IF(A1001="","",0.40*'Factor Scores'!C1001+0.20*'Factor Scores'!E1001+0.20*'Factor Scores'!G1001+0.20*'Factor Scores'!H1001)</f>
        <v/>
      </c>
      <c r="C1001" s="12">
        <f>IF(B1001="","",RANK(B1001,$B$2:$B$2501,0))</f>
        <v/>
      </c>
      <c r="D1001">
        <f>IF(C1001="","",C1001&lt;=25)</f>
        <v/>
      </c>
      <c r="F1001">
        <f>IF(A1001="","",IF(AND(D1001=TRUE,E1001=""),"BUY",IF(AND(D1001=FALSE,E1001&lt;&gt;""),"SELL",IF(AND(D1001=TRUE,E1001&lt;&gt;""),"HOLD",""))))</f>
        <v/>
      </c>
      <c r="G1001" s="12">
        <f>IF(D1001=TRUE,4,0)</f>
        <v/>
      </c>
      <c r="H1001">
        <f>IF(A1001="","",BDP(A1001&amp;" US Equity","GICS_SECTOR_NAME"))</f>
        <v/>
      </c>
    </row>
    <row r="1002">
      <c r="A1002">
        <f>'Factor Scores'!A1002</f>
        <v/>
      </c>
      <c r="B1002" s="10">
        <f>IF(A1002="","",0.40*'Factor Scores'!C1002+0.20*'Factor Scores'!E1002+0.20*'Factor Scores'!G1002+0.20*'Factor Scores'!H1002)</f>
        <v/>
      </c>
      <c r="C1002" s="12">
        <f>IF(B1002="","",RANK(B1002,$B$2:$B$2501,0))</f>
        <v/>
      </c>
      <c r="D1002">
        <f>IF(C1002="","",C1002&lt;=25)</f>
        <v/>
      </c>
      <c r="F1002">
        <f>IF(A1002="","",IF(AND(D1002=TRUE,E1002=""),"BUY",IF(AND(D1002=FALSE,E1002&lt;&gt;""),"SELL",IF(AND(D1002=TRUE,E1002&lt;&gt;""),"HOLD",""))))</f>
        <v/>
      </c>
      <c r="G1002" s="12">
        <f>IF(D1002=TRUE,4,0)</f>
        <v/>
      </c>
      <c r="H1002">
        <f>IF(A1002="","",BDP(A1002&amp;" US Equity","GICS_SECTOR_NAME"))</f>
        <v/>
      </c>
    </row>
    <row r="1003">
      <c r="A1003">
        <f>'Factor Scores'!A1003</f>
        <v/>
      </c>
      <c r="B1003" s="10">
        <f>IF(A1003="","",0.40*'Factor Scores'!C1003+0.20*'Factor Scores'!E1003+0.20*'Factor Scores'!G1003+0.20*'Factor Scores'!H1003)</f>
        <v/>
      </c>
      <c r="C1003" s="12">
        <f>IF(B1003="","",RANK(B1003,$B$2:$B$2501,0))</f>
        <v/>
      </c>
      <c r="D1003">
        <f>IF(C1003="","",C1003&lt;=25)</f>
        <v/>
      </c>
      <c r="F1003">
        <f>IF(A1003="","",IF(AND(D1003=TRUE,E1003=""),"BUY",IF(AND(D1003=FALSE,E1003&lt;&gt;""),"SELL",IF(AND(D1003=TRUE,E1003&lt;&gt;""),"HOLD",""))))</f>
        <v/>
      </c>
      <c r="G1003" s="12">
        <f>IF(D1003=TRUE,4,0)</f>
        <v/>
      </c>
      <c r="H1003">
        <f>IF(A1003="","",BDP(A1003&amp;" US Equity","GICS_SECTOR_NAME"))</f>
        <v/>
      </c>
    </row>
    <row r="1004">
      <c r="A1004">
        <f>'Factor Scores'!A1004</f>
        <v/>
      </c>
      <c r="B1004" s="10">
        <f>IF(A1004="","",0.40*'Factor Scores'!C1004+0.20*'Factor Scores'!E1004+0.20*'Factor Scores'!G1004+0.20*'Factor Scores'!H1004)</f>
        <v/>
      </c>
      <c r="C1004" s="12">
        <f>IF(B1004="","",RANK(B1004,$B$2:$B$2501,0))</f>
        <v/>
      </c>
      <c r="D1004">
        <f>IF(C1004="","",C1004&lt;=25)</f>
        <v/>
      </c>
      <c r="F1004">
        <f>IF(A1004="","",IF(AND(D1004=TRUE,E1004=""),"BUY",IF(AND(D1004=FALSE,E1004&lt;&gt;""),"SELL",IF(AND(D1004=TRUE,E1004&lt;&gt;""),"HOLD",""))))</f>
        <v/>
      </c>
      <c r="G1004" s="12">
        <f>IF(D1004=TRUE,4,0)</f>
        <v/>
      </c>
      <c r="H1004">
        <f>IF(A1004="","",BDP(A1004&amp;" US Equity","GICS_SECTOR_NAME"))</f>
        <v/>
      </c>
    </row>
    <row r="1005">
      <c r="A1005">
        <f>'Factor Scores'!A1005</f>
        <v/>
      </c>
      <c r="B1005" s="10">
        <f>IF(A1005="","",0.40*'Factor Scores'!C1005+0.20*'Factor Scores'!E1005+0.20*'Factor Scores'!G1005+0.20*'Factor Scores'!H1005)</f>
        <v/>
      </c>
      <c r="C1005" s="12">
        <f>IF(B1005="","",RANK(B1005,$B$2:$B$2501,0))</f>
        <v/>
      </c>
      <c r="D1005">
        <f>IF(C1005="","",C1005&lt;=25)</f>
        <v/>
      </c>
      <c r="F1005">
        <f>IF(A1005="","",IF(AND(D1005=TRUE,E1005=""),"BUY",IF(AND(D1005=FALSE,E1005&lt;&gt;""),"SELL",IF(AND(D1005=TRUE,E1005&lt;&gt;""),"HOLD",""))))</f>
        <v/>
      </c>
      <c r="G1005" s="12">
        <f>IF(D1005=TRUE,4,0)</f>
        <v/>
      </c>
      <c r="H1005">
        <f>IF(A1005="","",BDP(A1005&amp;" US Equity","GICS_SECTOR_NAME"))</f>
        <v/>
      </c>
    </row>
    <row r="1006">
      <c r="A1006">
        <f>'Factor Scores'!A1006</f>
        <v/>
      </c>
      <c r="B1006" s="10">
        <f>IF(A1006="","",0.40*'Factor Scores'!C1006+0.20*'Factor Scores'!E1006+0.20*'Factor Scores'!G1006+0.20*'Factor Scores'!H1006)</f>
        <v/>
      </c>
      <c r="C1006" s="12">
        <f>IF(B1006="","",RANK(B1006,$B$2:$B$2501,0))</f>
        <v/>
      </c>
      <c r="D1006">
        <f>IF(C1006="","",C1006&lt;=25)</f>
        <v/>
      </c>
      <c r="F1006">
        <f>IF(A1006="","",IF(AND(D1006=TRUE,E1006=""),"BUY",IF(AND(D1006=FALSE,E1006&lt;&gt;""),"SELL",IF(AND(D1006=TRUE,E1006&lt;&gt;""),"HOLD",""))))</f>
        <v/>
      </c>
      <c r="G1006" s="12">
        <f>IF(D1006=TRUE,4,0)</f>
        <v/>
      </c>
      <c r="H1006">
        <f>IF(A1006="","",BDP(A1006&amp;" US Equity","GICS_SECTOR_NAME"))</f>
        <v/>
      </c>
    </row>
    <row r="1007">
      <c r="A1007">
        <f>'Factor Scores'!A1007</f>
        <v/>
      </c>
      <c r="B1007" s="10">
        <f>IF(A1007="","",0.40*'Factor Scores'!C1007+0.20*'Factor Scores'!E1007+0.20*'Factor Scores'!G1007+0.20*'Factor Scores'!H1007)</f>
        <v/>
      </c>
      <c r="C1007" s="12">
        <f>IF(B1007="","",RANK(B1007,$B$2:$B$2501,0))</f>
        <v/>
      </c>
      <c r="D1007">
        <f>IF(C1007="","",C1007&lt;=25)</f>
        <v/>
      </c>
      <c r="F1007">
        <f>IF(A1007="","",IF(AND(D1007=TRUE,E1007=""),"BUY",IF(AND(D1007=FALSE,E1007&lt;&gt;""),"SELL",IF(AND(D1007=TRUE,E1007&lt;&gt;""),"HOLD",""))))</f>
        <v/>
      </c>
      <c r="G1007" s="12">
        <f>IF(D1007=TRUE,4,0)</f>
        <v/>
      </c>
      <c r="H1007">
        <f>IF(A1007="","",BDP(A1007&amp;" US Equity","GICS_SECTOR_NAME"))</f>
        <v/>
      </c>
    </row>
    <row r="1008">
      <c r="A1008">
        <f>'Factor Scores'!A1008</f>
        <v/>
      </c>
      <c r="B1008" s="10">
        <f>IF(A1008="","",0.40*'Factor Scores'!C1008+0.20*'Factor Scores'!E1008+0.20*'Factor Scores'!G1008+0.20*'Factor Scores'!H1008)</f>
        <v/>
      </c>
      <c r="C1008" s="12">
        <f>IF(B1008="","",RANK(B1008,$B$2:$B$2501,0))</f>
        <v/>
      </c>
      <c r="D1008">
        <f>IF(C1008="","",C1008&lt;=25)</f>
        <v/>
      </c>
      <c r="F1008">
        <f>IF(A1008="","",IF(AND(D1008=TRUE,E1008=""),"BUY",IF(AND(D1008=FALSE,E1008&lt;&gt;""),"SELL",IF(AND(D1008=TRUE,E1008&lt;&gt;""),"HOLD",""))))</f>
        <v/>
      </c>
      <c r="G1008" s="12">
        <f>IF(D1008=TRUE,4,0)</f>
        <v/>
      </c>
      <c r="H1008">
        <f>IF(A1008="","",BDP(A1008&amp;" US Equity","GICS_SECTOR_NAME"))</f>
        <v/>
      </c>
    </row>
    <row r="1009">
      <c r="A1009">
        <f>'Factor Scores'!A1009</f>
        <v/>
      </c>
      <c r="B1009" s="10">
        <f>IF(A1009="","",0.40*'Factor Scores'!C1009+0.20*'Factor Scores'!E1009+0.20*'Factor Scores'!G1009+0.20*'Factor Scores'!H1009)</f>
        <v/>
      </c>
      <c r="C1009" s="12">
        <f>IF(B1009="","",RANK(B1009,$B$2:$B$2501,0))</f>
        <v/>
      </c>
      <c r="D1009">
        <f>IF(C1009="","",C1009&lt;=25)</f>
        <v/>
      </c>
      <c r="F1009">
        <f>IF(A1009="","",IF(AND(D1009=TRUE,E1009=""),"BUY",IF(AND(D1009=FALSE,E1009&lt;&gt;""),"SELL",IF(AND(D1009=TRUE,E1009&lt;&gt;""),"HOLD",""))))</f>
        <v/>
      </c>
      <c r="G1009" s="12">
        <f>IF(D1009=TRUE,4,0)</f>
        <v/>
      </c>
      <c r="H1009">
        <f>IF(A1009="","",BDP(A1009&amp;" US Equity","GICS_SECTOR_NAME"))</f>
        <v/>
      </c>
    </row>
    <row r="1010">
      <c r="A1010">
        <f>'Factor Scores'!A1010</f>
        <v/>
      </c>
      <c r="B1010" s="10">
        <f>IF(A1010="","",0.40*'Factor Scores'!C1010+0.20*'Factor Scores'!E1010+0.20*'Factor Scores'!G1010+0.20*'Factor Scores'!H1010)</f>
        <v/>
      </c>
      <c r="C1010" s="12">
        <f>IF(B1010="","",RANK(B1010,$B$2:$B$2501,0))</f>
        <v/>
      </c>
      <c r="D1010">
        <f>IF(C1010="","",C1010&lt;=25)</f>
        <v/>
      </c>
      <c r="F1010">
        <f>IF(A1010="","",IF(AND(D1010=TRUE,E1010=""),"BUY",IF(AND(D1010=FALSE,E1010&lt;&gt;""),"SELL",IF(AND(D1010=TRUE,E1010&lt;&gt;""),"HOLD",""))))</f>
        <v/>
      </c>
      <c r="G1010" s="12">
        <f>IF(D1010=TRUE,4,0)</f>
        <v/>
      </c>
      <c r="H1010">
        <f>IF(A1010="","",BDP(A1010&amp;" US Equity","GICS_SECTOR_NAME"))</f>
        <v/>
      </c>
    </row>
    <row r="1011">
      <c r="A1011">
        <f>'Factor Scores'!A1011</f>
        <v/>
      </c>
      <c r="B1011" s="10">
        <f>IF(A1011="","",0.40*'Factor Scores'!C1011+0.20*'Factor Scores'!E1011+0.20*'Factor Scores'!G1011+0.20*'Factor Scores'!H1011)</f>
        <v/>
      </c>
      <c r="C1011" s="12">
        <f>IF(B1011="","",RANK(B1011,$B$2:$B$2501,0))</f>
        <v/>
      </c>
      <c r="D1011">
        <f>IF(C1011="","",C1011&lt;=25)</f>
        <v/>
      </c>
      <c r="F1011">
        <f>IF(A1011="","",IF(AND(D1011=TRUE,E1011=""),"BUY",IF(AND(D1011=FALSE,E1011&lt;&gt;""),"SELL",IF(AND(D1011=TRUE,E1011&lt;&gt;""),"HOLD",""))))</f>
        <v/>
      </c>
      <c r="G1011" s="12">
        <f>IF(D1011=TRUE,4,0)</f>
        <v/>
      </c>
      <c r="H1011">
        <f>IF(A1011="","",BDP(A1011&amp;" US Equity","GICS_SECTOR_NAME"))</f>
        <v/>
      </c>
    </row>
    <row r="1012">
      <c r="A1012">
        <f>'Factor Scores'!A1012</f>
        <v/>
      </c>
      <c r="B1012" s="10">
        <f>IF(A1012="","",0.40*'Factor Scores'!C1012+0.20*'Factor Scores'!E1012+0.20*'Factor Scores'!G1012+0.20*'Factor Scores'!H1012)</f>
        <v/>
      </c>
      <c r="C1012" s="12">
        <f>IF(B1012="","",RANK(B1012,$B$2:$B$2501,0))</f>
        <v/>
      </c>
      <c r="D1012">
        <f>IF(C1012="","",C1012&lt;=25)</f>
        <v/>
      </c>
      <c r="F1012">
        <f>IF(A1012="","",IF(AND(D1012=TRUE,E1012=""),"BUY",IF(AND(D1012=FALSE,E1012&lt;&gt;""),"SELL",IF(AND(D1012=TRUE,E1012&lt;&gt;""),"HOLD",""))))</f>
        <v/>
      </c>
      <c r="G1012" s="12">
        <f>IF(D1012=TRUE,4,0)</f>
        <v/>
      </c>
      <c r="H1012">
        <f>IF(A1012="","",BDP(A1012&amp;" US Equity","GICS_SECTOR_NAME"))</f>
        <v/>
      </c>
    </row>
    <row r="1013">
      <c r="A1013">
        <f>'Factor Scores'!A1013</f>
        <v/>
      </c>
      <c r="B1013" s="10">
        <f>IF(A1013="","",0.40*'Factor Scores'!C1013+0.20*'Factor Scores'!E1013+0.20*'Factor Scores'!G1013+0.20*'Factor Scores'!H1013)</f>
        <v/>
      </c>
      <c r="C1013" s="12">
        <f>IF(B1013="","",RANK(B1013,$B$2:$B$2501,0))</f>
        <v/>
      </c>
      <c r="D1013">
        <f>IF(C1013="","",C1013&lt;=25)</f>
        <v/>
      </c>
      <c r="F1013">
        <f>IF(A1013="","",IF(AND(D1013=TRUE,E1013=""),"BUY",IF(AND(D1013=FALSE,E1013&lt;&gt;""),"SELL",IF(AND(D1013=TRUE,E1013&lt;&gt;""),"HOLD",""))))</f>
        <v/>
      </c>
      <c r="G1013" s="12">
        <f>IF(D1013=TRUE,4,0)</f>
        <v/>
      </c>
      <c r="H1013">
        <f>IF(A1013="","",BDP(A1013&amp;" US Equity","GICS_SECTOR_NAME"))</f>
        <v/>
      </c>
    </row>
    <row r="1014">
      <c r="A1014">
        <f>'Factor Scores'!A1014</f>
        <v/>
      </c>
      <c r="B1014" s="10">
        <f>IF(A1014="","",0.40*'Factor Scores'!C1014+0.20*'Factor Scores'!E1014+0.20*'Factor Scores'!G1014+0.20*'Factor Scores'!H1014)</f>
        <v/>
      </c>
      <c r="C1014" s="12">
        <f>IF(B1014="","",RANK(B1014,$B$2:$B$2501,0))</f>
        <v/>
      </c>
      <c r="D1014">
        <f>IF(C1014="","",C1014&lt;=25)</f>
        <v/>
      </c>
      <c r="F1014">
        <f>IF(A1014="","",IF(AND(D1014=TRUE,E1014=""),"BUY",IF(AND(D1014=FALSE,E1014&lt;&gt;""),"SELL",IF(AND(D1014=TRUE,E1014&lt;&gt;""),"HOLD",""))))</f>
        <v/>
      </c>
      <c r="G1014" s="12">
        <f>IF(D1014=TRUE,4,0)</f>
        <v/>
      </c>
      <c r="H1014">
        <f>IF(A1014="","",BDP(A1014&amp;" US Equity","GICS_SECTOR_NAME"))</f>
        <v/>
      </c>
    </row>
    <row r="1015">
      <c r="A1015">
        <f>'Factor Scores'!A1015</f>
        <v/>
      </c>
      <c r="B1015" s="10">
        <f>IF(A1015="","",0.40*'Factor Scores'!C1015+0.20*'Factor Scores'!E1015+0.20*'Factor Scores'!G1015+0.20*'Factor Scores'!H1015)</f>
        <v/>
      </c>
      <c r="C1015" s="12">
        <f>IF(B1015="","",RANK(B1015,$B$2:$B$2501,0))</f>
        <v/>
      </c>
      <c r="D1015">
        <f>IF(C1015="","",C1015&lt;=25)</f>
        <v/>
      </c>
      <c r="F1015">
        <f>IF(A1015="","",IF(AND(D1015=TRUE,E1015=""),"BUY",IF(AND(D1015=FALSE,E1015&lt;&gt;""),"SELL",IF(AND(D1015=TRUE,E1015&lt;&gt;""),"HOLD",""))))</f>
        <v/>
      </c>
      <c r="G1015" s="12">
        <f>IF(D1015=TRUE,4,0)</f>
        <v/>
      </c>
      <c r="H1015">
        <f>IF(A1015="","",BDP(A1015&amp;" US Equity","GICS_SECTOR_NAME"))</f>
        <v/>
      </c>
    </row>
    <row r="1016">
      <c r="A1016">
        <f>'Factor Scores'!A1016</f>
        <v/>
      </c>
      <c r="B1016" s="10">
        <f>IF(A1016="","",0.40*'Factor Scores'!C1016+0.20*'Factor Scores'!E1016+0.20*'Factor Scores'!G1016+0.20*'Factor Scores'!H1016)</f>
        <v/>
      </c>
      <c r="C1016" s="12">
        <f>IF(B1016="","",RANK(B1016,$B$2:$B$2501,0))</f>
        <v/>
      </c>
      <c r="D1016">
        <f>IF(C1016="","",C1016&lt;=25)</f>
        <v/>
      </c>
      <c r="F1016">
        <f>IF(A1016="","",IF(AND(D1016=TRUE,E1016=""),"BUY",IF(AND(D1016=FALSE,E1016&lt;&gt;""),"SELL",IF(AND(D1016=TRUE,E1016&lt;&gt;""),"HOLD",""))))</f>
        <v/>
      </c>
      <c r="G1016" s="12">
        <f>IF(D1016=TRUE,4,0)</f>
        <v/>
      </c>
      <c r="H1016">
        <f>IF(A1016="","",BDP(A1016&amp;" US Equity","GICS_SECTOR_NAME"))</f>
        <v/>
      </c>
    </row>
    <row r="1017">
      <c r="A1017">
        <f>'Factor Scores'!A1017</f>
        <v/>
      </c>
      <c r="B1017" s="10">
        <f>IF(A1017="","",0.40*'Factor Scores'!C1017+0.20*'Factor Scores'!E1017+0.20*'Factor Scores'!G1017+0.20*'Factor Scores'!H1017)</f>
        <v/>
      </c>
      <c r="C1017" s="12">
        <f>IF(B1017="","",RANK(B1017,$B$2:$B$2501,0))</f>
        <v/>
      </c>
      <c r="D1017">
        <f>IF(C1017="","",C1017&lt;=25)</f>
        <v/>
      </c>
      <c r="F1017">
        <f>IF(A1017="","",IF(AND(D1017=TRUE,E1017=""),"BUY",IF(AND(D1017=FALSE,E1017&lt;&gt;""),"SELL",IF(AND(D1017=TRUE,E1017&lt;&gt;""),"HOLD",""))))</f>
        <v/>
      </c>
      <c r="G1017" s="12">
        <f>IF(D1017=TRUE,4,0)</f>
        <v/>
      </c>
      <c r="H1017">
        <f>IF(A1017="","",BDP(A1017&amp;" US Equity","GICS_SECTOR_NAME"))</f>
        <v/>
      </c>
    </row>
    <row r="1018">
      <c r="A1018">
        <f>'Factor Scores'!A1018</f>
        <v/>
      </c>
      <c r="B1018" s="10">
        <f>IF(A1018="","",0.40*'Factor Scores'!C1018+0.20*'Factor Scores'!E1018+0.20*'Factor Scores'!G1018+0.20*'Factor Scores'!H1018)</f>
        <v/>
      </c>
      <c r="C1018" s="12">
        <f>IF(B1018="","",RANK(B1018,$B$2:$B$2501,0))</f>
        <v/>
      </c>
      <c r="D1018">
        <f>IF(C1018="","",C1018&lt;=25)</f>
        <v/>
      </c>
      <c r="F1018">
        <f>IF(A1018="","",IF(AND(D1018=TRUE,E1018=""),"BUY",IF(AND(D1018=FALSE,E1018&lt;&gt;""),"SELL",IF(AND(D1018=TRUE,E1018&lt;&gt;""),"HOLD",""))))</f>
        <v/>
      </c>
      <c r="G1018" s="12">
        <f>IF(D1018=TRUE,4,0)</f>
        <v/>
      </c>
      <c r="H1018">
        <f>IF(A1018="","",BDP(A1018&amp;" US Equity","GICS_SECTOR_NAME"))</f>
        <v/>
      </c>
    </row>
    <row r="1019">
      <c r="A1019">
        <f>'Factor Scores'!A1019</f>
        <v/>
      </c>
      <c r="B1019" s="10">
        <f>IF(A1019="","",0.40*'Factor Scores'!C1019+0.20*'Factor Scores'!E1019+0.20*'Factor Scores'!G1019+0.20*'Factor Scores'!H1019)</f>
        <v/>
      </c>
      <c r="C1019" s="12">
        <f>IF(B1019="","",RANK(B1019,$B$2:$B$2501,0))</f>
        <v/>
      </c>
      <c r="D1019">
        <f>IF(C1019="","",C1019&lt;=25)</f>
        <v/>
      </c>
      <c r="F1019">
        <f>IF(A1019="","",IF(AND(D1019=TRUE,E1019=""),"BUY",IF(AND(D1019=FALSE,E1019&lt;&gt;""),"SELL",IF(AND(D1019=TRUE,E1019&lt;&gt;""),"HOLD",""))))</f>
        <v/>
      </c>
      <c r="G1019" s="12">
        <f>IF(D1019=TRUE,4,0)</f>
        <v/>
      </c>
      <c r="H1019">
        <f>IF(A1019="","",BDP(A1019&amp;" US Equity","GICS_SECTOR_NAME"))</f>
        <v/>
      </c>
    </row>
    <row r="1020">
      <c r="A1020">
        <f>'Factor Scores'!A1020</f>
        <v/>
      </c>
      <c r="B1020" s="10">
        <f>IF(A1020="","",0.40*'Factor Scores'!C1020+0.20*'Factor Scores'!E1020+0.20*'Factor Scores'!G1020+0.20*'Factor Scores'!H1020)</f>
        <v/>
      </c>
      <c r="C1020" s="12">
        <f>IF(B1020="","",RANK(B1020,$B$2:$B$2501,0))</f>
        <v/>
      </c>
      <c r="D1020">
        <f>IF(C1020="","",C1020&lt;=25)</f>
        <v/>
      </c>
      <c r="F1020">
        <f>IF(A1020="","",IF(AND(D1020=TRUE,E1020=""),"BUY",IF(AND(D1020=FALSE,E1020&lt;&gt;""),"SELL",IF(AND(D1020=TRUE,E1020&lt;&gt;""),"HOLD",""))))</f>
        <v/>
      </c>
      <c r="G1020" s="12">
        <f>IF(D1020=TRUE,4,0)</f>
        <v/>
      </c>
      <c r="H1020">
        <f>IF(A1020="","",BDP(A1020&amp;" US Equity","GICS_SECTOR_NAME"))</f>
        <v/>
      </c>
    </row>
    <row r="1021">
      <c r="A1021">
        <f>'Factor Scores'!A1021</f>
        <v/>
      </c>
      <c r="B1021" s="10">
        <f>IF(A1021="","",0.40*'Factor Scores'!C1021+0.20*'Factor Scores'!E1021+0.20*'Factor Scores'!G1021+0.20*'Factor Scores'!H1021)</f>
        <v/>
      </c>
      <c r="C1021" s="12">
        <f>IF(B1021="","",RANK(B1021,$B$2:$B$2501,0))</f>
        <v/>
      </c>
      <c r="D1021">
        <f>IF(C1021="","",C1021&lt;=25)</f>
        <v/>
      </c>
      <c r="F1021">
        <f>IF(A1021="","",IF(AND(D1021=TRUE,E1021=""),"BUY",IF(AND(D1021=FALSE,E1021&lt;&gt;""),"SELL",IF(AND(D1021=TRUE,E1021&lt;&gt;""),"HOLD",""))))</f>
        <v/>
      </c>
      <c r="G1021" s="12">
        <f>IF(D1021=TRUE,4,0)</f>
        <v/>
      </c>
      <c r="H1021">
        <f>IF(A1021="","",BDP(A1021&amp;" US Equity","GICS_SECTOR_NAME"))</f>
        <v/>
      </c>
    </row>
    <row r="1022">
      <c r="A1022">
        <f>'Factor Scores'!A1022</f>
        <v/>
      </c>
      <c r="B1022" s="10">
        <f>IF(A1022="","",0.40*'Factor Scores'!C1022+0.20*'Factor Scores'!E1022+0.20*'Factor Scores'!G1022+0.20*'Factor Scores'!H1022)</f>
        <v/>
      </c>
      <c r="C1022" s="12">
        <f>IF(B1022="","",RANK(B1022,$B$2:$B$2501,0))</f>
        <v/>
      </c>
      <c r="D1022">
        <f>IF(C1022="","",C1022&lt;=25)</f>
        <v/>
      </c>
      <c r="F1022">
        <f>IF(A1022="","",IF(AND(D1022=TRUE,E1022=""),"BUY",IF(AND(D1022=FALSE,E1022&lt;&gt;""),"SELL",IF(AND(D1022=TRUE,E1022&lt;&gt;""),"HOLD",""))))</f>
        <v/>
      </c>
      <c r="G1022" s="12">
        <f>IF(D1022=TRUE,4,0)</f>
        <v/>
      </c>
      <c r="H1022">
        <f>IF(A1022="","",BDP(A1022&amp;" US Equity","GICS_SECTOR_NAME"))</f>
        <v/>
      </c>
    </row>
    <row r="1023">
      <c r="A1023">
        <f>'Factor Scores'!A1023</f>
        <v/>
      </c>
      <c r="B1023" s="10">
        <f>IF(A1023="","",0.40*'Factor Scores'!C1023+0.20*'Factor Scores'!E1023+0.20*'Factor Scores'!G1023+0.20*'Factor Scores'!H1023)</f>
        <v/>
      </c>
      <c r="C1023" s="12">
        <f>IF(B1023="","",RANK(B1023,$B$2:$B$2501,0))</f>
        <v/>
      </c>
      <c r="D1023">
        <f>IF(C1023="","",C1023&lt;=25)</f>
        <v/>
      </c>
      <c r="F1023">
        <f>IF(A1023="","",IF(AND(D1023=TRUE,E1023=""),"BUY",IF(AND(D1023=FALSE,E1023&lt;&gt;""),"SELL",IF(AND(D1023=TRUE,E1023&lt;&gt;""),"HOLD",""))))</f>
        <v/>
      </c>
      <c r="G1023" s="12">
        <f>IF(D1023=TRUE,4,0)</f>
        <v/>
      </c>
      <c r="H1023">
        <f>IF(A1023="","",BDP(A1023&amp;" US Equity","GICS_SECTOR_NAME"))</f>
        <v/>
      </c>
    </row>
    <row r="1024">
      <c r="A1024">
        <f>'Factor Scores'!A1024</f>
        <v/>
      </c>
      <c r="B1024" s="10">
        <f>IF(A1024="","",0.40*'Factor Scores'!C1024+0.20*'Factor Scores'!E1024+0.20*'Factor Scores'!G1024+0.20*'Factor Scores'!H1024)</f>
        <v/>
      </c>
      <c r="C1024" s="12">
        <f>IF(B1024="","",RANK(B1024,$B$2:$B$2501,0))</f>
        <v/>
      </c>
      <c r="D1024">
        <f>IF(C1024="","",C1024&lt;=25)</f>
        <v/>
      </c>
      <c r="F1024">
        <f>IF(A1024="","",IF(AND(D1024=TRUE,E1024=""),"BUY",IF(AND(D1024=FALSE,E1024&lt;&gt;""),"SELL",IF(AND(D1024=TRUE,E1024&lt;&gt;""),"HOLD",""))))</f>
        <v/>
      </c>
      <c r="G1024" s="12">
        <f>IF(D1024=TRUE,4,0)</f>
        <v/>
      </c>
      <c r="H1024">
        <f>IF(A1024="","",BDP(A1024&amp;" US Equity","GICS_SECTOR_NAME"))</f>
        <v/>
      </c>
    </row>
    <row r="1025">
      <c r="A1025">
        <f>'Factor Scores'!A1025</f>
        <v/>
      </c>
      <c r="B1025" s="10">
        <f>IF(A1025="","",0.40*'Factor Scores'!C1025+0.20*'Factor Scores'!E1025+0.20*'Factor Scores'!G1025+0.20*'Factor Scores'!H1025)</f>
        <v/>
      </c>
      <c r="C1025" s="12">
        <f>IF(B1025="","",RANK(B1025,$B$2:$B$2501,0))</f>
        <v/>
      </c>
      <c r="D1025">
        <f>IF(C1025="","",C1025&lt;=25)</f>
        <v/>
      </c>
      <c r="F1025">
        <f>IF(A1025="","",IF(AND(D1025=TRUE,E1025=""),"BUY",IF(AND(D1025=FALSE,E1025&lt;&gt;""),"SELL",IF(AND(D1025=TRUE,E1025&lt;&gt;""),"HOLD",""))))</f>
        <v/>
      </c>
      <c r="G1025" s="12">
        <f>IF(D1025=TRUE,4,0)</f>
        <v/>
      </c>
      <c r="H1025">
        <f>IF(A1025="","",BDP(A1025&amp;" US Equity","GICS_SECTOR_NAME"))</f>
        <v/>
      </c>
    </row>
    <row r="1026">
      <c r="A1026">
        <f>'Factor Scores'!A1026</f>
        <v/>
      </c>
      <c r="B1026" s="10">
        <f>IF(A1026="","",0.40*'Factor Scores'!C1026+0.20*'Factor Scores'!E1026+0.20*'Factor Scores'!G1026+0.20*'Factor Scores'!H1026)</f>
        <v/>
      </c>
      <c r="C1026" s="12">
        <f>IF(B1026="","",RANK(B1026,$B$2:$B$2501,0))</f>
        <v/>
      </c>
      <c r="D1026">
        <f>IF(C1026="","",C1026&lt;=25)</f>
        <v/>
      </c>
      <c r="F1026">
        <f>IF(A1026="","",IF(AND(D1026=TRUE,E1026=""),"BUY",IF(AND(D1026=FALSE,E1026&lt;&gt;""),"SELL",IF(AND(D1026=TRUE,E1026&lt;&gt;""),"HOLD",""))))</f>
        <v/>
      </c>
      <c r="G1026" s="12">
        <f>IF(D1026=TRUE,4,0)</f>
        <v/>
      </c>
      <c r="H1026">
        <f>IF(A1026="","",BDP(A1026&amp;" US Equity","GICS_SECTOR_NAME"))</f>
        <v/>
      </c>
    </row>
    <row r="1027">
      <c r="A1027">
        <f>'Factor Scores'!A1027</f>
        <v/>
      </c>
      <c r="B1027" s="10">
        <f>IF(A1027="","",0.40*'Factor Scores'!C1027+0.20*'Factor Scores'!E1027+0.20*'Factor Scores'!G1027+0.20*'Factor Scores'!H1027)</f>
        <v/>
      </c>
      <c r="C1027" s="12">
        <f>IF(B1027="","",RANK(B1027,$B$2:$B$2501,0))</f>
        <v/>
      </c>
      <c r="D1027">
        <f>IF(C1027="","",C1027&lt;=25)</f>
        <v/>
      </c>
      <c r="F1027">
        <f>IF(A1027="","",IF(AND(D1027=TRUE,E1027=""),"BUY",IF(AND(D1027=FALSE,E1027&lt;&gt;""),"SELL",IF(AND(D1027=TRUE,E1027&lt;&gt;""),"HOLD",""))))</f>
        <v/>
      </c>
      <c r="G1027" s="12">
        <f>IF(D1027=TRUE,4,0)</f>
        <v/>
      </c>
      <c r="H1027">
        <f>IF(A1027="","",BDP(A1027&amp;" US Equity","GICS_SECTOR_NAME"))</f>
        <v/>
      </c>
    </row>
    <row r="1028">
      <c r="A1028">
        <f>'Factor Scores'!A1028</f>
        <v/>
      </c>
      <c r="B1028" s="10">
        <f>IF(A1028="","",0.40*'Factor Scores'!C1028+0.20*'Factor Scores'!E1028+0.20*'Factor Scores'!G1028+0.20*'Factor Scores'!H1028)</f>
        <v/>
      </c>
      <c r="C1028" s="12">
        <f>IF(B1028="","",RANK(B1028,$B$2:$B$2501,0))</f>
        <v/>
      </c>
      <c r="D1028">
        <f>IF(C1028="","",C1028&lt;=25)</f>
        <v/>
      </c>
      <c r="F1028">
        <f>IF(A1028="","",IF(AND(D1028=TRUE,E1028=""),"BUY",IF(AND(D1028=FALSE,E1028&lt;&gt;""),"SELL",IF(AND(D1028=TRUE,E1028&lt;&gt;""),"HOLD",""))))</f>
        <v/>
      </c>
      <c r="G1028" s="12">
        <f>IF(D1028=TRUE,4,0)</f>
        <v/>
      </c>
      <c r="H1028">
        <f>IF(A1028="","",BDP(A1028&amp;" US Equity","GICS_SECTOR_NAME"))</f>
        <v/>
      </c>
    </row>
    <row r="1029">
      <c r="A1029">
        <f>'Factor Scores'!A1029</f>
        <v/>
      </c>
      <c r="B1029" s="10">
        <f>IF(A1029="","",0.40*'Factor Scores'!C1029+0.20*'Factor Scores'!E1029+0.20*'Factor Scores'!G1029+0.20*'Factor Scores'!H1029)</f>
        <v/>
      </c>
      <c r="C1029" s="12">
        <f>IF(B1029="","",RANK(B1029,$B$2:$B$2501,0))</f>
        <v/>
      </c>
      <c r="D1029">
        <f>IF(C1029="","",C1029&lt;=25)</f>
        <v/>
      </c>
      <c r="F1029">
        <f>IF(A1029="","",IF(AND(D1029=TRUE,E1029=""),"BUY",IF(AND(D1029=FALSE,E1029&lt;&gt;""),"SELL",IF(AND(D1029=TRUE,E1029&lt;&gt;""),"HOLD",""))))</f>
        <v/>
      </c>
      <c r="G1029" s="12">
        <f>IF(D1029=TRUE,4,0)</f>
        <v/>
      </c>
      <c r="H1029">
        <f>IF(A1029="","",BDP(A1029&amp;" US Equity","GICS_SECTOR_NAME"))</f>
        <v/>
      </c>
    </row>
    <row r="1030">
      <c r="A1030">
        <f>'Factor Scores'!A1030</f>
        <v/>
      </c>
      <c r="B1030" s="10">
        <f>IF(A1030="","",0.40*'Factor Scores'!C1030+0.20*'Factor Scores'!E1030+0.20*'Factor Scores'!G1030+0.20*'Factor Scores'!H1030)</f>
        <v/>
      </c>
      <c r="C1030" s="12">
        <f>IF(B1030="","",RANK(B1030,$B$2:$B$2501,0))</f>
        <v/>
      </c>
      <c r="D1030">
        <f>IF(C1030="","",C1030&lt;=25)</f>
        <v/>
      </c>
      <c r="F1030">
        <f>IF(A1030="","",IF(AND(D1030=TRUE,E1030=""),"BUY",IF(AND(D1030=FALSE,E1030&lt;&gt;""),"SELL",IF(AND(D1030=TRUE,E1030&lt;&gt;""),"HOLD",""))))</f>
        <v/>
      </c>
      <c r="G1030" s="12">
        <f>IF(D1030=TRUE,4,0)</f>
        <v/>
      </c>
      <c r="H1030">
        <f>IF(A1030="","",BDP(A1030&amp;" US Equity","GICS_SECTOR_NAME"))</f>
        <v/>
      </c>
    </row>
    <row r="1031">
      <c r="A1031">
        <f>'Factor Scores'!A1031</f>
        <v/>
      </c>
      <c r="B1031" s="10">
        <f>IF(A1031="","",0.40*'Factor Scores'!C1031+0.20*'Factor Scores'!E1031+0.20*'Factor Scores'!G1031+0.20*'Factor Scores'!H1031)</f>
        <v/>
      </c>
      <c r="C1031" s="12">
        <f>IF(B1031="","",RANK(B1031,$B$2:$B$2501,0))</f>
        <v/>
      </c>
      <c r="D1031">
        <f>IF(C1031="","",C1031&lt;=25)</f>
        <v/>
      </c>
      <c r="F1031">
        <f>IF(A1031="","",IF(AND(D1031=TRUE,E1031=""),"BUY",IF(AND(D1031=FALSE,E1031&lt;&gt;""),"SELL",IF(AND(D1031=TRUE,E1031&lt;&gt;""),"HOLD",""))))</f>
        <v/>
      </c>
      <c r="G1031" s="12">
        <f>IF(D1031=TRUE,4,0)</f>
        <v/>
      </c>
      <c r="H1031">
        <f>IF(A1031="","",BDP(A1031&amp;" US Equity","GICS_SECTOR_NAME"))</f>
        <v/>
      </c>
    </row>
    <row r="1032">
      <c r="A1032">
        <f>'Factor Scores'!A1032</f>
        <v/>
      </c>
      <c r="B1032" s="10">
        <f>IF(A1032="","",0.40*'Factor Scores'!C1032+0.20*'Factor Scores'!E1032+0.20*'Factor Scores'!G1032+0.20*'Factor Scores'!H1032)</f>
        <v/>
      </c>
      <c r="C1032" s="12">
        <f>IF(B1032="","",RANK(B1032,$B$2:$B$2501,0))</f>
        <v/>
      </c>
      <c r="D1032">
        <f>IF(C1032="","",C1032&lt;=25)</f>
        <v/>
      </c>
      <c r="F1032">
        <f>IF(A1032="","",IF(AND(D1032=TRUE,E1032=""),"BUY",IF(AND(D1032=FALSE,E1032&lt;&gt;""),"SELL",IF(AND(D1032=TRUE,E1032&lt;&gt;""),"HOLD",""))))</f>
        <v/>
      </c>
      <c r="G1032" s="12">
        <f>IF(D1032=TRUE,4,0)</f>
        <v/>
      </c>
      <c r="H1032">
        <f>IF(A1032="","",BDP(A1032&amp;" US Equity","GICS_SECTOR_NAME"))</f>
        <v/>
      </c>
    </row>
    <row r="1033">
      <c r="A1033">
        <f>'Factor Scores'!A1033</f>
        <v/>
      </c>
      <c r="B1033" s="10">
        <f>IF(A1033="","",0.40*'Factor Scores'!C1033+0.20*'Factor Scores'!E1033+0.20*'Factor Scores'!G1033+0.20*'Factor Scores'!H1033)</f>
        <v/>
      </c>
      <c r="C1033" s="12">
        <f>IF(B1033="","",RANK(B1033,$B$2:$B$2501,0))</f>
        <v/>
      </c>
      <c r="D1033">
        <f>IF(C1033="","",C1033&lt;=25)</f>
        <v/>
      </c>
      <c r="F1033">
        <f>IF(A1033="","",IF(AND(D1033=TRUE,E1033=""),"BUY",IF(AND(D1033=FALSE,E1033&lt;&gt;""),"SELL",IF(AND(D1033=TRUE,E1033&lt;&gt;""),"HOLD",""))))</f>
        <v/>
      </c>
      <c r="G1033" s="12">
        <f>IF(D1033=TRUE,4,0)</f>
        <v/>
      </c>
      <c r="H1033">
        <f>IF(A1033="","",BDP(A1033&amp;" US Equity","GICS_SECTOR_NAME"))</f>
        <v/>
      </c>
    </row>
    <row r="1034">
      <c r="A1034">
        <f>'Factor Scores'!A1034</f>
        <v/>
      </c>
      <c r="B1034" s="10">
        <f>IF(A1034="","",0.40*'Factor Scores'!C1034+0.20*'Factor Scores'!E1034+0.20*'Factor Scores'!G1034+0.20*'Factor Scores'!H1034)</f>
        <v/>
      </c>
      <c r="C1034" s="12">
        <f>IF(B1034="","",RANK(B1034,$B$2:$B$2501,0))</f>
        <v/>
      </c>
      <c r="D1034">
        <f>IF(C1034="","",C1034&lt;=25)</f>
        <v/>
      </c>
      <c r="F1034">
        <f>IF(A1034="","",IF(AND(D1034=TRUE,E1034=""),"BUY",IF(AND(D1034=FALSE,E1034&lt;&gt;""),"SELL",IF(AND(D1034=TRUE,E1034&lt;&gt;""),"HOLD",""))))</f>
        <v/>
      </c>
      <c r="G1034" s="12">
        <f>IF(D1034=TRUE,4,0)</f>
        <v/>
      </c>
      <c r="H1034">
        <f>IF(A1034="","",BDP(A1034&amp;" US Equity","GICS_SECTOR_NAME"))</f>
        <v/>
      </c>
    </row>
    <row r="1035">
      <c r="A1035">
        <f>'Factor Scores'!A1035</f>
        <v/>
      </c>
      <c r="B1035" s="10">
        <f>IF(A1035="","",0.40*'Factor Scores'!C1035+0.20*'Factor Scores'!E1035+0.20*'Factor Scores'!G1035+0.20*'Factor Scores'!H1035)</f>
        <v/>
      </c>
      <c r="C1035" s="12">
        <f>IF(B1035="","",RANK(B1035,$B$2:$B$2501,0))</f>
        <v/>
      </c>
      <c r="D1035">
        <f>IF(C1035="","",C1035&lt;=25)</f>
        <v/>
      </c>
      <c r="F1035">
        <f>IF(A1035="","",IF(AND(D1035=TRUE,E1035=""),"BUY",IF(AND(D1035=FALSE,E1035&lt;&gt;""),"SELL",IF(AND(D1035=TRUE,E1035&lt;&gt;""),"HOLD",""))))</f>
        <v/>
      </c>
      <c r="G1035" s="12">
        <f>IF(D1035=TRUE,4,0)</f>
        <v/>
      </c>
      <c r="H1035">
        <f>IF(A1035="","",BDP(A1035&amp;" US Equity","GICS_SECTOR_NAME"))</f>
        <v/>
      </c>
    </row>
    <row r="1036">
      <c r="A1036">
        <f>'Factor Scores'!A1036</f>
        <v/>
      </c>
      <c r="B1036" s="10">
        <f>IF(A1036="","",0.40*'Factor Scores'!C1036+0.20*'Factor Scores'!E1036+0.20*'Factor Scores'!G1036+0.20*'Factor Scores'!H1036)</f>
        <v/>
      </c>
      <c r="C1036" s="12">
        <f>IF(B1036="","",RANK(B1036,$B$2:$B$2501,0))</f>
        <v/>
      </c>
      <c r="D1036">
        <f>IF(C1036="","",C1036&lt;=25)</f>
        <v/>
      </c>
      <c r="F1036">
        <f>IF(A1036="","",IF(AND(D1036=TRUE,E1036=""),"BUY",IF(AND(D1036=FALSE,E1036&lt;&gt;""),"SELL",IF(AND(D1036=TRUE,E1036&lt;&gt;""),"HOLD",""))))</f>
        <v/>
      </c>
      <c r="G1036" s="12">
        <f>IF(D1036=TRUE,4,0)</f>
        <v/>
      </c>
      <c r="H1036">
        <f>IF(A1036="","",BDP(A1036&amp;" US Equity","GICS_SECTOR_NAME"))</f>
        <v/>
      </c>
    </row>
    <row r="1037">
      <c r="A1037">
        <f>'Factor Scores'!A1037</f>
        <v/>
      </c>
      <c r="B1037" s="10">
        <f>IF(A1037="","",0.40*'Factor Scores'!C1037+0.20*'Factor Scores'!E1037+0.20*'Factor Scores'!G1037+0.20*'Factor Scores'!H1037)</f>
        <v/>
      </c>
      <c r="C1037" s="12">
        <f>IF(B1037="","",RANK(B1037,$B$2:$B$2501,0))</f>
        <v/>
      </c>
      <c r="D1037">
        <f>IF(C1037="","",C1037&lt;=25)</f>
        <v/>
      </c>
      <c r="F1037">
        <f>IF(A1037="","",IF(AND(D1037=TRUE,E1037=""),"BUY",IF(AND(D1037=FALSE,E1037&lt;&gt;""),"SELL",IF(AND(D1037=TRUE,E1037&lt;&gt;""),"HOLD",""))))</f>
        <v/>
      </c>
      <c r="G1037" s="12">
        <f>IF(D1037=TRUE,4,0)</f>
        <v/>
      </c>
      <c r="H1037">
        <f>IF(A1037="","",BDP(A1037&amp;" US Equity","GICS_SECTOR_NAME"))</f>
        <v/>
      </c>
    </row>
    <row r="1038">
      <c r="A1038">
        <f>'Factor Scores'!A1038</f>
        <v/>
      </c>
      <c r="B1038" s="10">
        <f>IF(A1038="","",0.40*'Factor Scores'!C1038+0.20*'Factor Scores'!E1038+0.20*'Factor Scores'!G1038+0.20*'Factor Scores'!H1038)</f>
        <v/>
      </c>
      <c r="C1038" s="12">
        <f>IF(B1038="","",RANK(B1038,$B$2:$B$2501,0))</f>
        <v/>
      </c>
      <c r="D1038">
        <f>IF(C1038="","",C1038&lt;=25)</f>
        <v/>
      </c>
      <c r="F1038">
        <f>IF(A1038="","",IF(AND(D1038=TRUE,E1038=""),"BUY",IF(AND(D1038=FALSE,E1038&lt;&gt;""),"SELL",IF(AND(D1038=TRUE,E1038&lt;&gt;""),"HOLD",""))))</f>
        <v/>
      </c>
      <c r="G1038" s="12">
        <f>IF(D1038=TRUE,4,0)</f>
        <v/>
      </c>
      <c r="H1038">
        <f>IF(A1038="","",BDP(A1038&amp;" US Equity","GICS_SECTOR_NAME"))</f>
        <v/>
      </c>
    </row>
    <row r="1039">
      <c r="A1039">
        <f>'Factor Scores'!A1039</f>
        <v/>
      </c>
      <c r="B1039" s="10">
        <f>IF(A1039="","",0.40*'Factor Scores'!C1039+0.20*'Factor Scores'!E1039+0.20*'Factor Scores'!G1039+0.20*'Factor Scores'!H1039)</f>
        <v/>
      </c>
      <c r="C1039" s="12">
        <f>IF(B1039="","",RANK(B1039,$B$2:$B$2501,0))</f>
        <v/>
      </c>
      <c r="D1039">
        <f>IF(C1039="","",C1039&lt;=25)</f>
        <v/>
      </c>
      <c r="F1039">
        <f>IF(A1039="","",IF(AND(D1039=TRUE,E1039=""),"BUY",IF(AND(D1039=FALSE,E1039&lt;&gt;""),"SELL",IF(AND(D1039=TRUE,E1039&lt;&gt;""),"HOLD",""))))</f>
        <v/>
      </c>
      <c r="G1039" s="12">
        <f>IF(D1039=TRUE,4,0)</f>
        <v/>
      </c>
      <c r="H1039">
        <f>IF(A1039="","",BDP(A1039&amp;" US Equity","GICS_SECTOR_NAME"))</f>
        <v/>
      </c>
    </row>
    <row r="1040">
      <c r="A1040">
        <f>'Factor Scores'!A1040</f>
        <v/>
      </c>
      <c r="B1040" s="10">
        <f>IF(A1040="","",0.40*'Factor Scores'!C1040+0.20*'Factor Scores'!E1040+0.20*'Factor Scores'!G1040+0.20*'Factor Scores'!H1040)</f>
        <v/>
      </c>
      <c r="C1040" s="12">
        <f>IF(B1040="","",RANK(B1040,$B$2:$B$2501,0))</f>
        <v/>
      </c>
      <c r="D1040">
        <f>IF(C1040="","",C1040&lt;=25)</f>
        <v/>
      </c>
      <c r="F1040">
        <f>IF(A1040="","",IF(AND(D1040=TRUE,E1040=""),"BUY",IF(AND(D1040=FALSE,E1040&lt;&gt;""),"SELL",IF(AND(D1040=TRUE,E1040&lt;&gt;""),"HOLD",""))))</f>
        <v/>
      </c>
      <c r="G1040" s="12">
        <f>IF(D1040=TRUE,4,0)</f>
        <v/>
      </c>
      <c r="H1040">
        <f>IF(A1040="","",BDP(A1040&amp;" US Equity","GICS_SECTOR_NAME"))</f>
        <v/>
      </c>
    </row>
    <row r="1041">
      <c r="A1041">
        <f>'Factor Scores'!A1041</f>
        <v/>
      </c>
      <c r="B1041" s="10">
        <f>IF(A1041="","",0.40*'Factor Scores'!C1041+0.20*'Factor Scores'!E1041+0.20*'Factor Scores'!G1041+0.20*'Factor Scores'!H1041)</f>
        <v/>
      </c>
      <c r="C1041" s="12">
        <f>IF(B1041="","",RANK(B1041,$B$2:$B$2501,0))</f>
        <v/>
      </c>
      <c r="D1041">
        <f>IF(C1041="","",C1041&lt;=25)</f>
        <v/>
      </c>
      <c r="F1041">
        <f>IF(A1041="","",IF(AND(D1041=TRUE,E1041=""),"BUY",IF(AND(D1041=FALSE,E1041&lt;&gt;""),"SELL",IF(AND(D1041=TRUE,E1041&lt;&gt;""),"HOLD",""))))</f>
        <v/>
      </c>
      <c r="G1041" s="12">
        <f>IF(D1041=TRUE,4,0)</f>
        <v/>
      </c>
      <c r="H1041">
        <f>IF(A1041="","",BDP(A1041&amp;" US Equity","GICS_SECTOR_NAME"))</f>
        <v/>
      </c>
    </row>
    <row r="1042">
      <c r="A1042">
        <f>'Factor Scores'!A1042</f>
        <v/>
      </c>
      <c r="B1042" s="10">
        <f>IF(A1042="","",0.40*'Factor Scores'!C1042+0.20*'Factor Scores'!E1042+0.20*'Factor Scores'!G1042+0.20*'Factor Scores'!H1042)</f>
        <v/>
      </c>
      <c r="C1042" s="12">
        <f>IF(B1042="","",RANK(B1042,$B$2:$B$2501,0))</f>
        <v/>
      </c>
      <c r="D1042">
        <f>IF(C1042="","",C1042&lt;=25)</f>
        <v/>
      </c>
      <c r="F1042">
        <f>IF(A1042="","",IF(AND(D1042=TRUE,E1042=""),"BUY",IF(AND(D1042=FALSE,E1042&lt;&gt;""),"SELL",IF(AND(D1042=TRUE,E1042&lt;&gt;""),"HOLD",""))))</f>
        <v/>
      </c>
      <c r="G1042" s="12">
        <f>IF(D1042=TRUE,4,0)</f>
        <v/>
      </c>
      <c r="H1042">
        <f>IF(A1042="","",BDP(A1042&amp;" US Equity","GICS_SECTOR_NAME"))</f>
        <v/>
      </c>
    </row>
    <row r="1043">
      <c r="A1043">
        <f>'Factor Scores'!A1043</f>
        <v/>
      </c>
      <c r="B1043" s="10">
        <f>IF(A1043="","",0.40*'Factor Scores'!C1043+0.20*'Factor Scores'!E1043+0.20*'Factor Scores'!G1043+0.20*'Factor Scores'!H1043)</f>
        <v/>
      </c>
      <c r="C1043" s="12">
        <f>IF(B1043="","",RANK(B1043,$B$2:$B$2501,0))</f>
        <v/>
      </c>
      <c r="D1043">
        <f>IF(C1043="","",C1043&lt;=25)</f>
        <v/>
      </c>
      <c r="F1043">
        <f>IF(A1043="","",IF(AND(D1043=TRUE,E1043=""),"BUY",IF(AND(D1043=FALSE,E1043&lt;&gt;""),"SELL",IF(AND(D1043=TRUE,E1043&lt;&gt;""),"HOLD",""))))</f>
        <v/>
      </c>
      <c r="G1043" s="12">
        <f>IF(D1043=TRUE,4,0)</f>
        <v/>
      </c>
      <c r="H1043">
        <f>IF(A1043="","",BDP(A1043&amp;" US Equity","GICS_SECTOR_NAME"))</f>
        <v/>
      </c>
    </row>
    <row r="1044">
      <c r="A1044">
        <f>'Factor Scores'!A1044</f>
        <v/>
      </c>
      <c r="B1044" s="10">
        <f>IF(A1044="","",0.40*'Factor Scores'!C1044+0.20*'Factor Scores'!E1044+0.20*'Factor Scores'!G1044+0.20*'Factor Scores'!H1044)</f>
        <v/>
      </c>
      <c r="C1044" s="12">
        <f>IF(B1044="","",RANK(B1044,$B$2:$B$2501,0))</f>
        <v/>
      </c>
      <c r="D1044">
        <f>IF(C1044="","",C1044&lt;=25)</f>
        <v/>
      </c>
      <c r="F1044">
        <f>IF(A1044="","",IF(AND(D1044=TRUE,E1044=""),"BUY",IF(AND(D1044=FALSE,E1044&lt;&gt;""),"SELL",IF(AND(D1044=TRUE,E1044&lt;&gt;""),"HOLD",""))))</f>
        <v/>
      </c>
      <c r="G1044" s="12">
        <f>IF(D1044=TRUE,4,0)</f>
        <v/>
      </c>
      <c r="H1044">
        <f>IF(A1044="","",BDP(A1044&amp;" US Equity","GICS_SECTOR_NAME"))</f>
        <v/>
      </c>
    </row>
    <row r="1045">
      <c r="A1045">
        <f>'Factor Scores'!A1045</f>
        <v/>
      </c>
      <c r="B1045" s="10">
        <f>IF(A1045="","",0.40*'Factor Scores'!C1045+0.20*'Factor Scores'!E1045+0.20*'Factor Scores'!G1045+0.20*'Factor Scores'!H1045)</f>
        <v/>
      </c>
      <c r="C1045" s="12">
        <f>IF(B1045="","",RANK(B1045,$B$2:$B$2501,0))</f>
        <v/>
      </c>
      <c r="D1045">
        <f>IF(C1045="","",C1045&lt;=25)</f>
        <v/>
      </c>
      <c r="F1045">
        <f>IF(A1045="","",IF(AND(D1045=TRUE,E1045=""),"BUY",IF(AND(D1045=FALSE,E1045&lt;&gt;""),"SELL",IF(AND(D1045=TRUE,E1045&lt;&gt;""),"HOLD",""))))</f>
        <v/>
      </c>
      <c r="G1045" s="12">
        <f>IF(D1045=TRUE,4,0)</f>
        <v/>
      </c>
      <c r="H1045">
        <f>IF(A1045="","",BDP(A1045&amp;" US Equity","GICS_SECTOR_NAME"))</f>
        <v/>
      </c>
    </row>
    <row r="1046">
      <c r="A1046">
        <f>'Factor Scores'!A1046</f>
        <v/>
      </c>
      <c r="B1046" s="10">
        <f>IF(A1046="","",0.40*'Factor Scores'!C1046+0.20*'Factor Scores'!E1046+0.20*'Factor Scores'!G1046+0.20*'Factor Scores'!H1046)</f>
        <v/>
      </c>
      <c r="C1046" s="12">
        <f>IF(B1046="","",RANK(B1046,$B$2:$B$2501,0))</f>
        <v/>
      </c>
      <c r="D1046">
        <f>IF(C1046="","",C1046&lt;=25)</f>
        <v/>
      </c>
      <c r="F1046">
        <f>IF(A1046="","",IF(AND(D1046=TRUE,E1046=""),"BUY",IF(AND(D1046=FALSE,E1046&lt;&gt;""),"SELL",IF(AND(D1046=TRUE,E1046&lt;&gt;""),"HOLD",""))))</f>
        <v/>
      </c>
      <c r="G1046" s="12">
        <f>IF(D1046=TRUE,4,0)</f>
        <v/>
      </c>
      <c r="H1046">
        <f>IF(A1046="","",BDP(A1046&amp;" US Equity","GICS_SECTOR_NAME"))</f>
        <v/>
      </c>
    </row>
    <row r="1047">
      <c r="A1047">
        <f>'Factor Scores'!A1047</f>
        <v/>
      </c>
      <c r="B1047" s="10">
        <f>IF(A1047="","",0.40*'Factor Scores'!C1047+0.20*'Factor Scores'!E1047+0.20*'Factor Scores'!G1047+0.20*'Factor Scores'!H1047)</f>
        <v/>
      </c>
      <c r="C1047" s="12">
        <f>IF(B1047="","",RANK(B1047,$B$2:$B$2501,0))</f>
        <v/>
      </c>
      <c r="D1047">
        <f>IF(C1047="","",C1047&lt;=25)</f>
        <v/>
      </c>
      <c r="F1047">
        <f>IF(A1047="","",IF(AND(D1047=TRUE,E1047=""),"BUY",IF(AND(D1047=FALSE,E1047&lt;&gt;""),"SELL",IF(AND(D1047=TRUE,E1047&lt;&gt;""),"HOLD",""))))</f>
        <v/>
      </c>
      <c r="G1047" s="12">
        <f>IF(D1047=TRUE,4,0)</f>
        <v/>
      </c>
      <c r="H1047">
        <f>IF(A1047="","",BDP(A1047&amp;" US Equity","GICS_SECTOR_NAME"))</f>
        <v/>
      </c>
    </row>
    <row r="1048">
      <c r="A1048">
        <f>'Factor Scores'!A1048</f>
        <v/>
      </c>
      <c r="B1048" s="10">
        <f>IF(A1048="","",0.40*'Factor Scores'!C1048+0.20*'Factor Scores'!E1048+0.20*'Factor Scores'!G1048+0.20*'Factor Scores'!H1048)</f>
        <v/>
      </c>
      <c r="C1048" s="12">
        <f>IF(B1048="","",RANK(B1048,$B$2:$B$2501,0))</f>
        <v/>
      </c>
      <c r="D1048">
        <f>IF(C1048="","",C1048&lt;=25)</f>
        <v/>
      </c>
      <c r="F1048">
        <f>IF(A1048="","",IF(AND(D1048=TRUE,E1048=""),"BUY",IF(AND(D1048=FALSE,E1048&lt;&gt;""),"SELL",IF(AND(D1048=TRUE,E1048&lt;&gt;""),"HOLD",""))))</f>
        <v/>
      </c>
      <c r="G1048" s="12">
        <f>IF(D1048=TRUE,4,0)</f>
        <v/>
      </c>
      <c r="H1048">
        <f>IF(A1048="","",BDP(A1048&amp;" US Equity","GICS_SECTOR_NAME"))</f>
        <v/>
      </c>
    </row>
    <row r="1049">
      <c r="A1049">
        <f>'Factor Scores'!A1049</f>
        <v/>
      </c>
      <c r="B1049" s="10">
        <f>IF(A1049="","",0.40*'Factor Scores'!C1049+0.20*'Factor Scores'!E1049+0.20*'Factor Scores'!G1049+0.20*'Factor Scores'!H1049)</f>
        <v/>
      </c>
      <c r="C1049" s="12">
        <f>IF(B1049="","",RANK(B1049,$B$2:$B$2501,0))</f>
        <v/>
      </c>
      <c r="D1049">
        <f>IF(C1049="","",C1049&lt;=25)</f>
        <v/>
      </c>
      <c r="F1049">
        <f>IF(A1049="","",IF(AND(D1049=TRUE,E1049=""),"BUY",IF(AND(D1049=FALSE,E1049&lt;&gt;""),"SELL",IF(AND(D1049=TRUE,E1049&lt;&gt;""),"HOLD",""))))</f>
        <v/>
      </c>
      <c r="G1049" s="12">
        <f>IF(D1049=TRUE,4,0)</f>
        <v/>
      </c>
      <c r="H1049">
        <f>IF(A1049="","",BDP(A1049&amp;" US Equity","GICS_SECTOR_NAME"))</f>
        <v/>
      </c>
    </row>
    <row r="1050">
      <c r="A1050">
        <f>'Factor Scores'!A1050</f>
        <v/>
      </c>
      <c r="B1050" s="10">
        <f>IF(A1050="","",0.40*'Factor Scores'!C1050+0.20*'Factor Scores'!E1050+0.20*'Factor Scores'!G1050+0.20*'Factor Scores'!H1050)</f>
        <v/>
      </c>
      <c r="C1050" s="12">
        <f>IF(B1050="","",RANK(B1050,$B$2:$B$2501,0))</f>
        <v/>
      </c>
      <c r="D1050">
        <f>IF(C1050="","",C1050&lt;=25)</f>
        <v/>
      </c>
      <c r="F1050">
        <f>IF(A1050="","",IF(AND(D1050=TRUE,E1050=""),"BUY",IF(AND(D1050=FALSE,E1050&lt;&gt;""),"SELL",IF(AND(D1050=TRUE,E1050&lt;&gt;""),"HOLD",""))))</f>
        <v/>
      </c>
      <c r="G1050" s="12">
        <f>IF(D1050=TRUE,4,0)</f>
        <v/>
      </c>
      <c r="H1050">
        <f>IF(A1050="","",BDP(A1050&amp;" US Equity","GICS_SECTOR_NAME"))</f>
        <v/>
      </c>
    </row>
    <row r="1051">
      <c r="A1051">
        <f>'Factor Scores'!A1051</f>
        <v/>
      </c>
      <c r="B1051" s="10">
        <f>IF(A1051="","",0.40*'Factor Scores'!C1051+0.20*'Factor Scores'!E1051+0.20*'Factor Scores'!G1051+0.20*'Factor Scores'!H1051)</f>
        <v/>
      </c>
      <c r="C1051" s="12">
        <f>IF(B1051="","",RANK(B1051,$B$2:$B$2501,0))</f>
        <v/>
      </c>
      <c r="D1051">
        <f>IF(C1051="","",C1051&lt;=25)</f>
        <v/>
      </c>
      <c r="F1051">
        <f>IF(A1051="","",IF(AND(D1051=TRUE,E1051=""),"BUY",IF(AND(D1051=FALSE,E1051&lt;&gt;""),"SELL",IF(AND(D1051=TRUE,E1051&lt;&gt;""),"HOLD",""))))</f>
        <v/>
      </c>
      <c r="G1051" s="12">
        <f>IF(D1051=TRUE,4,0)</f>
        <v/>
      </c>
      <c r="H1051">
        <f>IF(A1051="","",BDP(A1051&amp;" US Equity","GICS_SECTOR_NAME"))</f>
        <v/>
      </c>
    </row>
    <row r="1052">
      <c r="A1052">
        <f>'Factor Scores'!A1052</f>
        <v/>
      </c>
      <c r="B1052" s="10">
        <f>IF(A1052="","",0.40*'Factor Scores'!C1052+0.20*'Factor Scores'!E1052+0.20*'Factor Scores'!G1052+0.20*'Factor Scores'!H1052)</f>
        <v/>
      </c>
      <c r="C1052" s="12">
        <f>IF(B1052="","",RANK(B1052,$B$2:$B$2501,0))</f>
        <v/>
      </c>
      <c r="D1052">
        <f>IF(C1052="","",C1052&lt;=25)</f>
        <v/>
      </c>
      <c r="F1052">
        <f>IF(A1052="","",IF(AND(D1052=TRUE,E1052=""),"BUY",IF(AND(D1052=FALSE,E1052&lt;&gt;""),"SELL",IF(AND(D1052=TRUE,E1052&lt;&gt;""),"HOLD",""))))</f>
        <v/>
      </c>
      <c r="G1052" s="12">
        <f>IF(D1052=TRUE,4,0)</f>
        <v/>
      </c>
      <c r="H1052">
        <f>IF(A1052="","",BDP(A1052&amp;" US Equity","GICS_SECTOR_NAME"))</f>
        <v/>
      </c>
    </row>
    <row r="1053">
      <c r="A1053">
        <f>'Factor Scores'!A1053</f>
        <v/>
      </c>
      <c r="B1053" s="10">
        <f>IF(A1053="","",0.40*'Factor Scores'!C1053+0.20*'Factor Scores'!E1053+0.20*'Factor Scores'!G1053+0.20*'Factor Scores'!H1053)</f>
        <v/>
      </c>
      <c r="C1053" s="12">
        <f>IF(B1053="","",RANK(B1053,$B$2:$B$2501,0))</f>
        <v/>
      </c>
      <c r="D1053">
        <f>IF(C1053="","",C1053&lt;=25)</f>
        <v/>
      </c>
      <c r="F1053">
        <f>IF(A1053="","",IF(AND(D1053=TRUE,E1053=""),"BUY",IF(AND(D1053=FALSE,E1053&lt;&gt;""),"SELL",IF(AND(D1053=TRUE,E1053&lt;&gt;""),"HOLD",""))))</f>
        <v/>
      </c>
      <c r="G1053" s="12">
        <f>IF(D1053=TRUE,4,0)</f>
        <v/>
      </c>
      <c r="H1053">
        <f>IF(A1053="","",BDP(A1053&amp;" US Equity","GICS_SECTOR_NAME"))</f>
        <v/>
      </c>
    </row>
    <row r="1054">
      <c r="A1054">
        <f>'Factor Scores'!A1054</f>
        <v/>
      </c>
      <c r="B1054" s="10">
        <f>IF(A1054="","",0.40*'Factor Scores'!C1054+0.20*'Factor Scores'!E1054+0.20*'Factor Scores'!G1054+0.20*'Factor Scores'!H1054)</f>
        <v/>
      </c>
      <c r="C1054" s="12">
        <f>IF(B1054="","",RANK(B1054,$B$2:$B$2501,0))</f>
        <v/>
      </c>
      <c r="D1054">
        <f>IF(C1054="","",C1054&lt;=25)</f>
        <v/>
      </c>
      <c r="F1054">
        <f>IF(A1054="","",IF(AND(D1054=TRUE,E1054=""),"BUY",IF(AND(D1054=FALSE,E1054&lt;&gt;""),"SELL",IF(AND(D1054=TRUE,E1054&lt;&gt;""),"HOLD",""))))</f>
        <v/>
      </c>
      <c r="G1054" s="12">
        <f>IF(D1054=TRUE,4,0)</f>
        <v/>
      </c>
      <c r="H1054">
        <f>IF(A1054="","",BDP(A1054&amp;" US Equity","GICS_SECTOR_NAME"))</f>
        <v/>
      </c>
    </row>
    <row r="1055">
      <c r="A1055">
        <f>'Factor Scores'!A1055</f>
        <v/>
      </c>
      <c r="B1055" s="10">
        <f>IF(A1055="","",0.40*'Factor Scores'!C1055+0.20*'Factor Scores'!E1055+0.20*'Factor Scores'!G1055+0.20*'Factor Scores'!H1055)</f>
        <v/>
      </c>
      <c r="C1055" s="12">
        <f>IF(B1055="","",RANK(B1055,$B$2:$B$2501,0))</f>
        <v/>
      </c>
      <c r="D1055">
        <f>IF(C1055="","",C1055&lt;=25)</f>
        <v/>
      </c>
      <c r="F1055">
        <f>IF(A1055="","",IF(AND(D1055=TRUE,E1055=""),"BUY",IF(AND(D1055=FALSE,E1055&lt;&gt;""),"SELL",IF(AND(D1055=TRUE,E1055&lt;&gt;""),"HOLD",""))))</f>
        <v/>
      </c>
      <c r="G1055" s="12">
        <f>IF(D1055=TRUE,4,0)</f>
        <v/>
      </c>
      <c r="H1055">
        <f>IF(A1055="","",BDP(A1055&amp;" US Equity","GICS_SECTOR_NAME"))</f>
        <v/>
      </c>
    </row>
    <row r="1056">
      <c r="A1056">
        <f>'Factor Scores'!A1056</f>
        <v/>
      </c>
      <c r="B1056" s="10">
        <f>IF(A1056="","",0.40*'Factor Scores'!C1056+0.20*'Factor Scores'!E1056+0.20*'Factor Scores'!G1056+0.20*'Factor Scores'!H1056)</f>
        <v/>
      </c>
      <c r="C1056" s="12">
        <f>IF(B1056="","",RANK(B1056,$B$2:$B$2501,0))</f>
        <v/>
      </c>
      <c r="D1056">
        <f>IF(C1056="","",C1056&lt;=25)</f>
        <v/>
      </c>
      <c r="F1056">
        <f>IF(A1056="","",IF(AND(D1056=TRUE,E1056=""),"BUY",IF(AND(D1056=FALSE,E1056&lt;&gt;""),"SELL",IF(AND(D1056=TRUE,E1056&lt;&gt;""),"HOLD",""))))</f>
        <v/>
      </c>
      <c r="G1056" s="12">
        <f>IF(D1056=TRUE,4,0)</f>
        <v/>
      </c>
      <c r="H1056">
        <f>IF(A1056="","",BDP(A1056&amp;" US Equity","GICS_SECTOR_NAME"))</f>
        <v/>
      </c>
    </row>
    <row r="1057">
      <c r="A1057">
        <f>'Factor Scores'!A1057</f>
        <v/>
      </c>
      <c r="B1057" s="10">
        <f>IF(A1057="","",0.40*'Factor Scores'!C1057+0.20*'Factor Scores'!E1057+0.20*'Factor Scores'!G1057+0.20*'Factor Scores'!H1057)</f>
        <v/>
      </c>
      <c r="C1057" s="12">
        <f>IF(B1057="","",RANK(B1057,$B$2:$B$2501,0))</f>
        <v/>
      </c>
      <c r="D1057">
        <f>IF(C1057="","",C1057&lt;=25)</f>
        <v/>
      </c>
      <c r="F1057">
        <f>IF(A1057="","",IF(AND(D1057=TRUE,E1057=""),"BUY",IF(AND(D1057=FALSE,E1057&lt;&gt;""),"SELL",IF(AND(D1057=TRUE,E1057&lt;&gt;""),"HOLD",""))))</f>
        <v/>
      </c>
      <c r="G1057" s="12">
        <f>IF(D1057=TRUE,4,0)</f>
        <v/>
      </c>
      <c r="H1057">
        <f>IF(A1057="","",BDP(A1057&amp;" US Equity","GICS_SECTOR_NAME"))</f>
        <v/>
      </c>
    </row>
    <row r="1058">
      <c r="A1058">
        <f>'Factor Scores'!A1058</f>
        <v/>
      </c>
      <c r="B1058" s="10">
        <f>IF(A1058="","",0.40*'Factor Scores'!C1058+0.20*'Factor Scores'!E1058+0.20*'Factor Scores'!G1058+0.20*'Factor Scores'!H1058)</f>
        <v/>
      </c>
      <c r="C1058" s="12">
        <f>IF(B1058="","",RANK(B1058,$B$2:$B$2501,0))</f>
        <v/>
      </c>
      <c r="D1058">
        <f>IF(C1058="","",C1058&lt;=25)</f>
        <v/>
      </c>
      <c r="F1058">
        <f>IF(A1058="","",IF(AND(D1058=TRUE,E1058=""),"BUY",IF(AND(D1058=FALSE,E1058&lt;&gt;""),"SELL",IF(AND(D1058=TRUE,E1058&lt;&gt;""),"HOLD",""))))</f>
        <v/>
      </c>
      <c r="G1058" s="12">
        <f>IF(D1058=TRUE,4,0)</f>
        <v/>
      </c>
      <c r="H1058">
        <f>IF(A1058="","",BDP(A1058&amp;" US Equity","GICS_SECTOR_NAME"))</f>
        <v/>
      </c>
    </row>
    <row r="1059">
      <c r="A1059">
        <f>'Factor Scores'!A1059</f>
        <v/>
      </c>
      <c r="B1059" s="10">
        <f>IF(A1059="","",0.40*'Factor Scores'!C1059+0.20*'Factor Scores'!E1059+0.20*'Factor Scores'!G1059+0.20*'Factor Scores'!H1059)</f>
        <v/>
      </c>
      <c r="C1059" s="12">
        <f>IF(B1059="","",RANK(B1059,$B$2:$B$2501,0))</f>
        <v/>
      </c>
      <c r="D1059">
        <f>IF(C1059="","",C1059&lt;=25)</f>
        <v/>
      </c>
      <c r="F1059">
        <f>IF(A1059="","",IF(AND(D1059=TRUE,E1059=""),"BUY",IF(AND(D1059=FALSE,E1059&lt;&gt;""),"SELL",IF(AND(D1059=TRUE,E1059&lt;&gt;""),"HOLD",""))))</f>
        <v/>
      </c>
      <c r="G1059" s="12">
        <f>IF(D1059=TRUE,4,0)</f>
        <v/>
      </c>
      <c r="H1059">
        <f>IF(A1059="","",BDP(A1059&amp;" US Equity","GICS_SECTOR_NAME"))</f>
        <v/>
      </c>
    </row>
    <row r="1060">
      <c r="A1060">
        <f>'Factor Scores'!A1060</f>
        <v/>
      </c>
      <c r="B1060" s="10">
        <f>IF(A1060="","",0.40*'Factor Scores'!C1060+0.20*'Factor Scores'!E1060+0.20*'Factor Scores'!G1060+0.20*'Factor Scores'!H1060)</f>
        <v/>
      </c>
      <c r="C1060" s="12">
        <f>IF(B1060="","",RANK(B1060,$B$2:$B$2501,0))</f>
        <v/>
      </c>
      <c r="D1060">
        <f>IF(C1060="","",C1060&lt;=25)</f>
        <v/>
      </c>
      <c r="F1060">
        <f>IF(A1060="","",IF(AND(D1060=TRUE,E1060=""),"BUY",IF(AND(D1060=FALSE,E1060&lt;&gt;""),"SELL",IF(AND(D1060=TRUE,E1060&lt;&gt;""),"HOLD",""))))</f>
        <v/>
      </c>
      <c r="G1060" s="12">
        <f>IF(D1060=TRUE,4,0)</f>
        <v/>
      </c>
      <c r="H1060">
        <f>IF(A1060="","",BDP(A1060&amp;" US Equity","GICS_SECTOR_NAME"))</f>
        <v/>
      </c>
    </row>
    <row r="1061">
      <c r="A1061">
        <f>'Factor Scores'!A1061</f>
        <v/>
      </c>
      <c r="B1061" s="10">
        <f>IF(A1061="","",0.40*'Factor Scores'!C1061+0.20*'Factor Scores'!E1061+0.20*'Factor Scores'!G1061+0.20*'Factor Scores'!H1061)</f>
        <v/>
      </c>
      <c r="C1061" s="12">
        <f>IF(B1061="","",RANK(B1061,$B$2:$B$2501,0))</f>
        <v/>
      </c>
      <c r="D1061">
        <f>IF(C1061="","",C1061&lt;=25)</f>
        <v/>
      </c>
      <c r="F1061">
        <f>IF(A1061="","",IF(AND(D1061=TRUE,E1061=""),"BUY",IF(AND(D1061=FALSE,E1061&lt;&gt;""),"SELL",IF(AND(D1061=TRUE,E1061&lt;&gt;""),"HOLD",""))))</f>
        <v/>
      </c>
      <c r="G1061" s="12">
        <f>IF(D1061=TRUE,4,0)</f>
        <v/>
      </c>
      <c r="H1061">
        <f>IF(A1061="","",BDP(A1061&amp;" US Equity","GICS_SECTOR_NAME"))</f>
        <v/>
      </c>
    </row>
    <row r="1062">
      <c r="A1062">
        <f>'Factor Scores'!A1062</f>
        <v/>
      </c>
      <c r="B1062" s="10">
        <f>IF(A1062="","",0.40*'Factor Scores'!C1062+0.20*'Factor Scores'!E1062+0.20*'Factor Scores'!G1062+0.20*'Factor Scores'!H1062)</f>
        <v/>
      </c>
      <c r="C1062" s="12">
        <f>IF(B1062="","",RANK(B1062,$B$2:$B$2501,0))</f>
        <v/>
      </c>
      <c r="D1062">
        <f>IF(C1062="","",C1062&lt;=25)</f>
        <v/>
      </c>
      <c r="F1062">
        <f>IF(A1062="","",IF(AND(D1062=TRUE,E1062=""),"BUY",IF(AND(D1062=FALSE,E1062&lt;&gt;""),"SELL",IF(AND(D1062=TRUE,E1062&lt;&gt;""),"HOLD",""))))</f>
        <v/>
      </c>
      <c r="G1062" s="12">
        <f>IF(D1062=TRUE,4,0)</f>
        <v/>
      </c>
      <c r="H1062">
        <f>IF(A1062="","",BDP(A1062&amp;" US Equity","GICS_SECTOR_NAME"))</f>
        <v/>
      </c>
    </row>
    <row r="1063">
      <c r="A1063">
        <f>'Factor Scores'!A1063</f>
        <v/>
      </c>
      <c r="B1063" s="10">
        <f>IF(A1063="","",0.40*'Factor Scores'!C1063+0.20*'Factor Scores'!E1063+0.20*'Factor Scores'!G1063+0.20*'Factor Scores'!H1063)</f>
        <v/>
      </c>
      <c r="C1063" s="12">
        <f>IF(B1063="","",RANK(B1063,$B$2:$B$2501,0))</f>
        <v/>
      </c>
      <c r="D1063">
        <f>IF(C1063="","",C1063&lt;=25)</f>
        <v/>
      </c>
      <c r="F1063">
        <f>IF(A1063="","",IF(AND(D1063=TRUE,E1063=""),"BUY",IF(AND(D1063=FALSE,E1063&lt;&gt;""),"SELL",IF(AND(D1063=TRUE,E1063&lt;&gt;""),"HOLD",""))))</f>
        <v/>
      </c>
      <c r="G1063" s="12">
        <f>IF(D1063=TRUE,4,0)</f>
        <v/>
      </c>
      <c r="H1063">
        <f>IF(A1063="","",BDP(A1063&amp;" US Equity","GICS_SECTOR_NAME"))</f>
        <v/>
      </c>
    </row>
    <row r="1064">
      <c r="A1064">
        <f>'Factor Scores'!A1064</f>
        <v/>
      </c>
      <c r="B1064" s="10">
        <f>IF(A1064="","",0.40*'Factor Scores'!C1064+0.20*'Factor Scores'!E1064+0.20*'Factor Scores'!G1064+0.20*'Factor Scores'!H1064)</f>
        <v/>
      </c>
      <c r="C1064" s="12">
        <f>IF(B1064="","",RANK(B1064,$B$2:$B$2501,0))</f>
        <v/>
      </c>
      <c r="D1064">
        <f>IF(C1064="","",C1064&lt;=25)</f>
        <v/>
      </c>
      <c r="F1064">
        <f>IF(A1064="","",IF(AND(D1064=TRUE,E1064=""),"BUY",IF(AND(D1064=FALSE,E1064&lt;&gt;""),"SELL",IF(AND(D1064=TRUE,E1064&lt;&gt;""),"HOLD",""))))</f>
        <v/>
      </c>
      <c r="G1064" s="12">
        <f>IF(D1064=TRUE,4,0)</f>
        <v/>
      </c>
      <c r="H1064">
        <f>IF(A1064="","",BDP(A1064&amp;" US Equity","GICS_SECTOR_NAME"))</f>
        <v/>
      </c>
    </row>
    <row r="1065">
      <c r="A1065">
        <f>'Factor Scores'!A1065</f>
        <v/>
      </c>
      <c r="B1065" s="10">
        <f>IF(A1065="","",0.40*'Factor Scores'!C1065+0.20*'Factor Scores'!E1065+0.20*'Factor Scores'!G1065+0.20*'Factor Scores'!H1065)</f>
        <v/>
      </c>
      <c r="C1065" s="12">
        <f>IF(B1065="","",RANK(B1065,$B$2:$B$2501,0))</f>
        <v/>
      </c>
      <c r="D1065">
        <f>IF(C1065="","",C1065&lt;=25)</f>
        <v/>
      </c>
      <c r="F1065">
        <f>IF(A1065="","",IF(AND(D1065=TRUE,E1065=""),"BUY",IF(AND(D1065=FALSE,E1065&lt;&gt;""),"SELL",IF(AND(D1065=TRUE,E1065&lt;&gt;""),"HOLD",""))))</f>
        <v/>
      </c>
      <c r="G1065" s="12">
        <f>IF(D1065=TRUE,4,0)</f>
        <v/>
      </c>
      <c r="H1065">
        <f>IF(A1065="","",BDP(A1065&amp;" US Equity","GICS_SECTOR_NAME"))</f>
        <v/>
      </c>
    </row>
    <row r="1066">
      <c r="A1066">
        <f>'Factor Scores'!A1066</f>
        <v/>
      </c>
      <c r="B1066" s="10">
        <f>IF(A1066="","",0.40*'Factor Scores'!C1066+0.20*'Factor Scores'!E1066+0.20*'Factor Scores'!G1066+0.20*'Factor Scores'!H1066)</f>
        <v/>
      </c>
      <c r="C1066" s="12">
        <f>IF(B1066="","",RANK(B1066,$B$2:$B$2501,0))</f>
        <v/>
      </c>
      <c r="D1066">
        <f>IF(C1066="","",C1066&lt;=25)</f>
        <v/>
      </c>
      <c r="F1066">
        <f>IF(A1066="","",IF(AND(D1066=TRUE,E1066=""),"BUY",IF(AND(D1066=FALSE,E1066&lt;&gt;""),"SELL",IF(AND(D1066=TRUE,E1066&lt;&gt;""),"HOLD",""))))</f>
        <v/>
      </c>
      <c r="G1066" s="12">
        <f>IF(D1066=TRUE,4,0)</f>
        <v/>
      </c>
      <c r="H1066">
        <f>IF(A1066="","",BDP(A1066&amp;" US Equity","GICS_SECTOR_NAME"))</f>
        <v/>
      </c>
    </row>
    <row r="1067">
      <c r="A1067">
        <f>'Factor Scores'!A1067</f>
        <v/>
      </c>
      <c r="B1067" s="10">
        <f>IF(A1067="","",0.40*'Factor Scores'!C1067+0.20*'Factor Scores'!E1067+0.20*'Factor Scores'!G1067+0.20*'Factor Scores'!H1067)</f>
        <v/>
      </c>
      <c r="C1067" s="12">
        <f>IF(B1067="","",RANK(B1067,$B$2:$B$2501,0))</f>
        <v/>
      </c>
      <c r="D1067">
        <f>IF(C1067="","",C1067&lt;=25)</f>
        <v/>
      </c>
      <c r="F1067">
        <f>IF(A1067="","",IF(AND(D1067=TRUE,E1067=""),"BUY",IF(AND(D1067=FALSE,E1067&lt;&gt;""),"SELL",IF(AND(D1067=TRUE,E1067&lt;&gt;""),"HOLD",""))))</f>
        <v/>
      </c>
      <c r="G1067" s="12">
        <f>IF(D1067=TRUE,4,0)</f>
        <v/>
      </c>
      <c r="H1067">
        <f>IF(A1067="","",BDP(A1067&amp;" US Equity","GICS_SECTOR_NAME"))</f>
        <v/>
      </c>
    </row>
    <row r="1068">
      <c r="A1068">
        <f>'Factor Scores'!A1068</f>
        <v/>
      </c>
      <c r="B1068" s="10">
        <f>IF(A1068="","",0.40*'Factor Scores'!C1068+0.20*'Factor Scores'!E1068+0.20*'Factor Scores'!G1068+0.20*'Factor Scores'!H1068)</f>
        <v/>
      </c>
      <c r="C1068" s="12">
        <f>IF(B1068="","",RANK(B1068,$B$2:$B$2501,0))</f>
        <v/>
      </c>
      <c r="D1068">
        <f>IF(C1068="","",C1068&lt;=25)</f>
        <v/>
      </c>
      <c r="F1068">
        <f>IF(A1068="","",IF(AND(D1068=TRUE,E1068=""),"BUY",IF(AND(D1068=FALSE,E1068&lt;&gt;""),"SELL",IF(AND(D1068=TRUE,E1068&lt;&gt;""),"HOLD",""))))</f>
        <v/>
      </c>
      <c r="G1068" s="12">
        <f>IF(D1068=TRUE,4,0)</f>
        <v/>
      </c>
      <c r="H1068">
        <f>IF(A1068="","",BDP(A1068&amp;" US Equity","GICS_SECTOR_NAME"))</f>
        <v/>
      </c>
    </row>
    <row r="1069">
      <c r="A1069">
        <f>'Factor Scores'!A1069</f>
        <v/>
      </c>
      <c r="B1069" s="10">
        <f>IF(A1069="","",0.40*'Factor Scores'!C1069+0.20*'Factor Scores'!E1069+0.20*'Factor Scores'!G1069+0.20*'Factor Scores'!H1069)</f>
        <v/>
      </c>
      <c r="C1069" s="12">
        <f>IF(B1069="","",RANK(B1069,$B$2:$B$2501,0))</f>
        <v/>
      </c>
      <c r="D1069">
        <f>IF(C1069="","",C1069&lt;=25)</f>
        <v/>
      </c>
      <c r="F1069">
        <f>IF(A1069="","",IF(AND(D1069=TRUE,E1069=""),"BUY",IF(AND(D1069=FALSE,E1069&lt;&gt;""),"SELL",IF(AND(D1069=TRUE,E1069&lt;&gt;""),"HOLD",""))))</f>
        <v/>
      </c>
      <c r="G1069" s="12">
        <f>IF(D1069=TRUE,4,0)</f>
        <v/>
      </c>
      <c r="H1069">
        <f>IF(A1069="","",BDP(A1069&amp;" US Equity","GICS_SECTOR_NAME"))</f>
        <v/>
      </c>
    </row>
    <row r="1070">
      <c r="A1070">
        <f>'Factor Scores'!A1070</f>
        <v/>
      </c>
      <c r="B1070" s="10">
        <f>IF(A1070="","",0.40*'Factor Scores'!C1070+0.20*'Factor Scores'!E1070+0.20*'Factor Scores'!G1070+0.20*'Factor Scores'!H1070)</f>
        <v/>
      </c>
      <c r="C1070" s="12">
        <f>IF(B1070="","",RANK(B1070,$B$2:$B$2501,0))</f>
        <v/>
      </c>
      <c r="D1070">
        <f>IF(C1070="","",C1070&lt;=25)</f>
        <v/>
      </c>
      <c r="F1070">
        <f>IF(A1070="","",IF(AND(D1070=TRUE,E1070=""),"BUY",IF(AND(D1070=FALSE,E1070&lt;&gt;""),"SELL",IF(AND(D1070=TRUE,E1070&lt;&gt;""),"HOLD",""))))</f>
        <v/>
      </c>
      <c r="G1070" s="12">
        <f>IF(D1070=TRUE,4,0)</f>
        <v/>
      </c>
      <c r="H1070">
        <f>IF(A1070="","",BDP(A1070&amp;" US Equity","GICS_SECTOR_NAME"))</f>
        <v/>
      </c>
    </row>
    <row r="1071">
      <c r="A1071">
        <f>'Factor Scores'!A1071</f>
        <v/>
      </c>
      <c r="B1071" s="10">
        <f>IF(A1071="","",0.40*'Factor Scores'!C1071+0.20*'Factor Scores'!E1071+0.20*'Factor Scores'!G1071+0.20*'Factor Scores'!H1071)</f>
        <v/>
      </c>
      <c r="C1071" s="12">
        <f>IF(B1071="","",RANK(B1071,$B$2:$B$2501,0))</f>
        <v/>
      </c>
      <c r="D1071">
        <f>IF(C1071="","",C1071&lt;=25)</f>
        <v/>
      </c>
      <c r="F1071">
        <f>IF(A1071="","",IF(AND(D1071=TRUE,E1071=""),"BUY",IF(AND(D1071=FALSE,E1071&lt;&gt;""),"SELL",IF(AND(D1071=TRUE,E1071&lt;&gt;""),"HOLD",""))))</f>
        <v/>
      </c>
      <c r="G1071" s="12">
        <f>IF(D1071=TRUE,4,0)</f>
        <v/>
      </c>
      <c r="H1071">
        <f>IF(A1071="","",BDP(A1071&amp;" US Equity","GICS_SECTOR_NAME"))</f>
        <v/>
      </c>
    </row>
    <row r="1072">
      <c r="A1072">
        <f>'Factor Scores'!A1072</f>
        <v/>
      </c>
      <c r="B1072" s="10">
        <f>IF(A1072="","",0.40*'Factor Scores'!C1072+0.20*'Factor Scores'!E1072+0.20*'Factor Scores'!G1072+0.20*'Factor Scores'!H1072)</f>
        <v/>
      </c>
      <c r="C1072" s="12">
        <f>IF(B1072="","",RANK(B1072,$B$2:$B$2501,0))</f>
        <v/>
      </c>
      <c r="D1072">
        <f>IF(C1072="","",C1072&lt;=25)</f>
        <v/>
      </c>
      <c r="F1072">
        <f>IF(A1072="","",IF(AND(D1072=TRUE,E1072=""),"BUY",IF(AND(D1072=FALSE,E1072&lt;&gt;""),"SELL",IF(AND(D1072=TRUE,E1072&lt;&gt;""),"HOLD",""))))</f>
        <v/>
      </c>
      <c r="G1072" s="12">
        <f>IF(D1072=TRUE,4,0)</f>
        <v/>
      </c>
      <c r="H1072">
        <f>IF(A1072="","",BDP(A1072&amp;" US Equity","GICS_SECTOR_NAME"))</f>
        <v/>
      </c>
    </row>
    <row r="1073">
      <c r="A1073">
        <f>'Factor Scores'!A1073</f>
        <v/>
      </c>
      <c r="B1073" s="10">
        <f>IF(A1073="","",0.40*'Factor Scores'!C1073+0.20*'Factor Scores'!E1073+0.20*'Factor Scores'!G1073+0.20*'Factor Scores'!H1073)</f>
        <v/>
      </c>
      <c r="C1073" s="12">
        <f>IF(B1073="","",RANK(B1073,$B$2:$B$2501,0))</f>
        <v/>
      </c>
      <c r="D1073">
        <f>IF(C1073="","",C1073&lt;=25)</f>
        <v/>
      </c>
      <c r="F1073">
        <f>IF(A1073="","",IF(AND(D1073=TRUE,E1073=""),"BUY",IF(AND(D1073=FALSE,E1073&lt;&gt;""),"SELL",IF(AND(D1073=TRUE,E1073&lt;&gt;""),"HOLD",""))))</f>
        <v/>
      </c>
      <c r="G1073" s="12">
        <f>IF(D1073=TRUE,4,0)</f>
        <v/>
      </c>
      <c r="H1073">
        <f>IF(A1073="","",BDP(A1073&amp;" US Equity","GICS_SECTOR_NAME"))</f>
        <v/>
      </c>
    </row>
    <row r="1074">
      <c r="A1074">
        <f>'Factor Scores'!A1074</f>
        <v/>
      </c>
      <c r="B1074" s="10">
        <f>IF(A1074="","",0.40*'Factor Scores'!C1074+0.20*'Factor Scores'!E1074+0.20*'Factor Scores'!G1074+0.20*'Factor Scores'!H1074)</f>
        <v/>
      </c>
      <c r="C1074" s="12">
        <f>IF(B1074="","",RANK(B1074,$B$2:$B$2501,0))</f>
        <v/>
      </c>
      <c r="D1074">
        <f>IF(C1074="","",C1074&lt;=25)</f>
        <v/>
      </c>
      <c r="F1074">
        <f>IF(A1074="","",IF(AND(D1074=TRUE,E1074=""),"BUY",IF(AND(D1074=FALSE,E1074&lt;&gt;""),"SELL",IF(AND(D1074=TRUE,E1074&lt;&gt;""),"HOLD",""))))</f>
        <v/>
      </c>
      <c r="G1074" s="12">
        <f>IF(D1074=TRUE,4,0)</f>
        <v/>
      </c>
      <c r="H1074">
        <f>IF(A1074="","",BDP(A1074&amp;" US Equity","GICS_SECTOR_NAME"))</f>
        <v/>
      </c>
    </row>
    <row r="1075">
      <c r="A1075">
        <f>'Factor Scores'!A1075</f>
        <v/>
      </c>
      <c r="B1075" s="10">
        <f>IF(A1075="","",0.40*'Factor Scores'!C1075+0.20*'Factor Scores'!E1075+0.20*'Factor Scores'!G1075+0.20*'Factor Scores'!H1075)</f>
        <v/>
      </c>
      <c r="C1075" s="12">
        <f>IF(B1075="","",RANK(B1075,$B$2:$B$2501,0))</f>
        <v/>
      </c>
      <c r="D1075">
        <f>IF(C1075="","",C1075&lt;=25)</f>
        <v/>
      </c>
      <c r="F1075">
        <f>IF(A1075="","",IF(AND(D1075=TRUE,E1075=""),"BUY",IF(AND(D1075=FALSE,E1075&lt;&gt;""),"SELL",IF(AND(D1075=TRUE,E1075&lt;&gt;""),"HOLD",""))))</f>
        <v/>
      </c>
      <c r="G1075" s="12">
        <f>IF(D1075=TRUE,4,0)</f>
        <v/>
      </c>
      <c r="H1075">
        <f>IF(A1075="","",BDP(A1075&amp;" US Equity","GICS_SECTOR_NAME"))</f>
        <v/>
      </c>
    </row>
    <row r="1076">
      <c r="A1076">
        <f>'Factor Scores'!A1076</f>
        <v/>
      </c>
      <c r="B1076" s="10">
        <f>IF(A1076="","",0.40*'Factor Scores'!C1076+0.20*'Factor Scores'!E1076+0.20*'Factor Scores'!G1076+0.20*'Factor Scores'!H1076)</f>
        <v/>
      </c>
      <c r="C1076" s="12">
        <f>IF(B1076="","",RANK(B1076,$B$2:$B$2501,0))</f>
        <v/>
      </c>
      <c r="D1076">
        <f>IF(C1076="","",C1076&lt;=25)</f>
        <v/>
      </c>
      <c r="F1076">
        <f>IF(A1076="","",IF(AND(D1076=TRUE,E1076=""),"BUY",IF(AND(D1076=FALSE,E1076&lt;&gt;""),"SELL",IF(AND(D1076=TRUE,E1076&lt;&gt;""),"HOLD",""))))</f>
        <v/>
      </c>
      <c r="G1076" s="12">
        <f>IF(D1076=TRUE,4,0)</f>
        <v/>
      </c>
      <c r="H1076">
        <f>IF(A1076="","",BDP(A1076&amp;" US Equity","GICS_SECTOR_NAME"))</f>
        <v/>
      </c>
    </row>
    <row r="1077">
      <c r="A1077">
        <f>'Factor Scores'!A1077</f>
        <v/>
      </c>
      <c r="B1077" s="10">
        <f>IF(A1077="","",0.40*'Factor Scores'!C1077+0.20*'Factor Scores'!E1077+0.20*'Factor Scores'!G1077+0.20*'Factor Scores'!H1077)</f>
        <v/>
      </c>
      <c r="C1077" s="12">
        <f>IF(B1077="","",RANK(B1077,$B$2:$B$2501,0))</f>
        <v/>
      </c>
      <c r="D1077">
        <f>IF(C1077="","",C1077&lt;=25)</f>
        <v/>
      </c>
      <c r="F1077">
        <f>IF(A1077="","",IF(AND(D1077=TRUE,E1077=""),"BUY",IF(AND(D1077=FALSE,E1077&lt;&gt;""),"SELL",IF(AND(D1077=TRUE,E1077&lt;&gt;""),"HOLD",""))))</f>
        <v/>
      </c>
      <c r="G1077" s="12">
        <f>IF(D1077=TRUE,4,0)</f>
        <v/>
      </c>
      <c r="H1077">
        <f>IF(A1077="","",BDP(A1077&amp;" US Equity","GICS_SECTOR_NAME"))</f>
        <v/>
      </c>
    </row>
    <row r="1078">
      <c r="A1078">
        <f>'Factor Scores'!A1078</f>
        <v/>
      </c>
      <c r="B1078" s="10">
        <f>IF(A1078="","",0.40*'Factor Scores'!C1078+0.20*'Factor Scores'!E1078+0.20*'Factor Scores'!G1078+0.20*'Factor Scores'!H1078)</f>
        <v/>
      </c>
      <c r="C1078" s="12">
        <f>IF(B1078="","",RANK(B1078,$B$2:$B$2501,0))</f>
        <v/>
      </c>
      <c r="D1078">
        <f>IF(C1078="","",C1078&lt;=25)</f>
        <v/>
      </c>
      <c r="F1078">
        <f>IF(A1078="","",IF(AND(D1078=TRUE,E1078=""),"BUY",IF(AND(D1078=FALSE,E1078&lt;&gt;""),"SELL",IF(AND(D1078=TRUE,E1078&lt;&gt;""),"HOLD",""))))</f>
        <v/>
      </c>
      <c r="G1078" s="12">
        <f>IF(D1078=TRUE,4,0)</f>
        <v/>
      </c>
      <c r="H1078">
        <f>IF(A1078="","",BDP(A1078&amp;" US Equity","GICS_SECTOR_NAME"))</f>
        <v/>
      </c>
    </row>
    <row r="1079">
      <c r="A1079">
        <f>'Factor Scores'!A1079</f>
        <v/>
      </c>
      <c r="B1079" s="10">
        <f>IF(A1079="","",0.40*'Factor Scores'!C1079+0.20*'Factor Scores'!E1079+0.20*'Factor Scores'!G1079+0.20*'Factor Scores'!H1079)</f>
        <v/>
      </c>
      <c r="C1079" s="12">
        <f>IF(B1079="","",RANK(B1079,$B$2:$B$2501,0))</f>
        <v/>
      </c>
      <c r="D1079">
        <f>IF(C1079="","",C1079&lt;=25)</f>
        <v/>
      </c>
      <c r="F1079">
        <f>IF(A1079="","",IF(AND(D1079=TRUE,E1079=""),"BUY",IF(AND(D1079=FALSE,E1079&lt;&gt;""),"SELL",IF(AND(D1079=TRUE,E1079&lt;&gt;""),"HOLD",""))))</f>
        <v/>
      </c>
      <c r="G1079" s="12">
        <f>IF(D1079=TRUE,4,0)</f>
        <v/>
      </c>
      <c r="H1079">
        <f>IF(A1079="","",BDP(A1079&amp;" US Equity","GICS_SECTOR_NAME"))</f>
        <v/>
      </c>
    </row>
    <row r="1080">
      <c r="A1080">
        <f>'Factor Scores'!A1080</f>
        <v/>
      </c>
      <c r="B1080" s="10">
        <f>IF(A1080="","",0.40*'Factor Scores'!C1080+0.20*'Factor Scores'!E1080+0.20*'Factor Scores'!G1080+0.20*'Factor Scores'!H1080)</f>
        <v/>
      </c>
      <c r="C1080" s="12">
        <f>IF(B1080="","",RANK(B1080,$B$2:$B$2501,0))</f>
        <v/>
      </c>
      <c r="D1080">
        <f>IF(C1080="","",C1080&lt;=25)</f>
        <v/>
      </c>
      <c r="F1080">
        <f>IF(A1080="","",IF(AND(D1080=TRUE,E1080=""),"BUY",IF(AND(D1080=FALSE,E1080&lt;&gt;""),"SELL",IF(AND(D1080=TRUE,E1080&lt;&gt;""),"HOLD",""))))</f>
        <v/>
      </c>
      <c r="G1080" s="12">
        <f>IF(D1080=TRUE,4,0)</f>
        <v/>
      </c>
      <c r="H1080">
        <f>IF(A1080="","",BDP(A1080&amp;" US Equity","GICS_SECTOR_NAME"))</f>
        <v/>
      </c>
    </row>
    <row r="1081">
      <c r="A1081">
        <f>'Factor Scores'!A1081</f>
        <v/>
      </c>
      <c r="B1081" s="10">
        <f>IF(A1081="","",0.40*'Factor Scores'!C1081+0.20*'Factor Scores'!E1081+0.20*'Factor Scores'!G1081+0.20*'Factor Scores'!H1081)</f>
        <v/>
      </c>
      <c r="C1081" s="12">
        <f>IF(B1081="","",RANK(B1081,$B$2:$B$2501,0))</f>
        <v/>
      </c>
      <c r="D1081">
        <f>IF(C1081="","",C1081&lt;=25)</f>
        <v/>
      </c>
      <c r="F1081">
        <f>IF(A1081="","",IF(AND(D1081=TRUE,E1081=""),"BUY",IF(AND(D1081=FALSE,E1081&lt;&gt;""),"SELL",IF(AND(D1081=TRUE,E1081&lt;&gt;""),"HOLD",""))))</f>
        <v/>
      </c>
      <c r="G1081" s="12">
        <f>IF(D1081=TRUE,4,0)</f>
        <v/>
      </c>
      <c r="H1081">
        <f>IF(A1081="","",BDP(A1081&amp;" US Equity","GICS_SECTOR_NAME"))</f>
        <v/>
      </c>
    </row>
    <row r="1082">
      <c r="A1082">
        <f>'Factor Scores'!A1082</f>
        <v/>
      </c>
      <c r="B1082" s="10">
        <f>IF(A1082="","",0.40*'Factor Scores'!C1082+0.20*'Factor Scores'!E1082+0.20*'Factor Scores'!G1082+0.20*'Factor Scores'!H1082)</f>
        <v/>
      </c>
      <c r="C1082" s="12">
        <f>IF(B1082="","",RANK(B1082,$B$2:$B$2501,0))</f>
        <v/>
      </c>
      <c r="D1082">
        <f>IF(C1082="","",C1082&lt;=25)</f>
        <v/>
      </c>
      <c r="F1082">
        <f>IF(A1082="","",IF(AND(D1082=TRUE,E1082=""),"BUY",IF(AND(D1082=FALSE,E1082&lt;&gt;""),"SELL",IF(AND(D1082=TRUE,E1082&lt;&gt;""),"HOLD",""))))</f>
        <v/>
      </c>
      <c r="G1082" s="12">
        <f>IF(D1082=TRUE,4,0)</f>
        <v/>
      </c>
      <c r="H1082">
        <f>IF(A1082="","",BDP(A1082&amp;" US Equity","GICS_SECTOR_NAME"))</f>
        <v/>
      </c>
    </row>
    <row r="1083">
      <c r="A1083">
        <f>'Factor Scores'!A1083</f>
        <v/>
      </c>
      <c r="B1083" s="10">
        <f>IF(A1083="","",0.40*'Factor Scores'!C1083+0.20*'Factor Scores'!E1083+0.20*'Factor Scores'!G1083+0.20*'Factor Scores'!H1083)</f>
        <v/>
      </c>
      <c r="C1083" s="12">
        <f>IF(B1083="","",RANK(B1083,$B$2:$B$2501,0))</f>
        <v/>
      </c>
      <c r="D1083">
        <f>IF(C1083="","",C1083&lt;=25)</f>
        <v/>
      </c>
      <c r="F1083">
        <f>IF(A1083="","",IF(AND(D1083=TRUE,E1083=""),"BUY",IF(AND(D1083=FALSE,E1083&lt;&gt;""),"SELL",IF(AND(D1083=TRUE,E1083&lt;&gt;""),"HOLD",""))))</f>
        <v/>
      </c>
      <c r="G1083" s="12">
        <f>IF(D1083=TRUE,4,0)</f>
        <v/>
      </c>
      <c r="H1083">
        <f>IF(A1083="","",BDP(A1083&amp;" US Equity","GICS_SECTOR_NAME"))</f>
        <v/>
      </c>
    </row>
    <row r="1084">
      <c r="A1084">
        <f>'Factor Scores'!A1084</f>
        <v/>
      </c>
      <c r="B1084" s="10">
        <f>IF(A1084="","",0.40*'Factor Scores'!C1084+0.20*'Factor Scores'!E1084+0.20*'Factor Scores'!G1084+0.20*'Factor Scores'!H1084)</f>
        <v/>
      </c>
      <c r="C1084" s="12">
        <f>IF(B1084="","",RANK(B1084,$B$2:$B$2501,0))</f>
        <v/>
      </c>
      <c r="D1084">
        <f>IF(C1084="","",C1084&lt;=25)</f>
        <v/>
      </c>
      <c r="F1084">
        <f>IF(A1084="","",IF(AND(D1084=TRUE,E1084=""),"BUY",IF(AND(D1084=FALSE,E1084&lt;&gt;""),"SELL",IF(AND(D1084=TRUE,E1084&lt;&gt;""),"HOLD",""))))</f>
        <v/>
      </c>
      <c r="G1084" s="12">
        <f>IF(D1084=TRUE,4,0)</f>
        <v/>
      </c>
      <c r="H1084">
        <f>IF(A1084="","",BDP(A1084&amp;" US Equity","GICS_SECTOR_NAME"))</f>
        <v/>
      </c>
    </row>
    <row r="1085">
      <c r="A1085">
        <f>'Factor Scores'!A1085</f>
        <v/>
      </c>
      <c r="B1085" s="10">
        <f>IF(A1085="","",0.40*'Factor Scores'!C1085+0.20*'Factor Scores'!E1085+0.20*'Factor Scores'!G1085+0.20*'Factor Scores'!H1085)</f>
        <v/>
      </c>
      <c r="C1085" s="12">
        <f>IF(B1085="","",RANK(B1085,$B$2:$B$2501,0))</f>
        <v/>
      </c>
      <c r="D1085">
        <f>IF(C1085="","",C1085&lt;=25)</f>
        <v/>
      </c>
      <c r="F1085">
        <f>IF(A1085="","",IF(AND(D1085=TRUE,E1085=""),"BUY",IF(AND(D1085=FALSE,E1085&lt;&gt;""),"SELL",IF(AND(D1085=TRUE,E1085&lt;&gt;""),"HOLD",""))))</f>
        <v/>
      </c>
      <c r="G1085" s="12">
        <f>IF(D1085=TRUE,4,0)</f>
        <v/>
      </c>
      <c r="H1085">
        <f>IF(A1085="","",BDP(A1085&amp;" US Equity","GICS_SECTOR_NAME"))</f>
        <v/>
      </c>
    </row>
    <row r="1086">
      <c r="A1086">
        <f>'Factor Scores'!A1086</f>
        <v/>
      </c>
      <c r="B1086" s="10">
        <f>IF(A1086="","",0.40*'Factor Scores'!C1086+0.20*'Factor Scores'!E1086+0.20*'Factor Scores'!G1086+0.20*'Factor Scores'!H1086)</f>
        <v/>
      </c>
      <c r="C1086" s="12">
        <f>IF(B1086="","",RANK(B1086,$B$2:$B$2501,0))</f>
        <v/>
      </c>
      <c r="D1086">
        <f>IF(C1086="","",C1086&lt;=25)</f>
        <v/>
      </c>
      <c r="F1086">
        <f>IF(A1086="","",IF(AND(D1086=TRUE,E1086=""),"BUY",IF(AND(D1086=FALSE,E1086&lt;&gt;""),"SELL",IF(AND(D1086=TRUE,E1086&lt;&gt;""),"HOLD",""))))</f>
        <v/>
      </c>
      <c r="G1086" s="12">
        <f>IF(D1086=TRUE,4,0)</f>
        <v/>
      </c>
      <c r="H1086">
        <f>IF(A1086="","",BDP(A1086&amp;" US Equity","GICS_SECTOR_NAME"))</f>
        <v/>
      </c>
    </row>
    <row r="1087">
      <c r="A1087">
        <f>'Factor Scores'!A1087</f>
        <v/>
      </c>
      <c r="B1087" s="10">
        <f>IF(A1087="","",0.40*'Factor Scores'!C1087+0.20*'Factor Scores'!E1087+0.20*'Factor Scores'!G1087+0.20*'Factor Scores'!H1087)</f>
        <v/>
      </c>
      <c r="C1087" s="12">
        <f>IF(B1087="","",RANK(B1087,$B$2:$B$2501,0))</f>
        <v/>
      </c>
      <c r="D1087">
        <f>IF(C1087="","",C1087&lt;=25)</f>
        <v/>
      </c>
      <c r="F1087">
        <f>IF(A1087="","",IF(AND(D1087=TRUE,E1087=""),"BUY",IF(AND(D1087=FALSE,E1087&lt;&gt;""),"SELL",IF(AND(D1087=TRUE,E1087&lt;&gt;""),"HOLD",""))))</f>
        <v/>
      </c>
      <c r="G1087" s="12">
        <f>IF(D1087=TRUE,4,0)</f>
        <v/>
      </c>
      <c r="H1087">
        <f>IF(A1087="","",BDP(A1087&amp;" US Equity","GICS_SECTOR_NAME"))</f>
        <v/>
      </c>
    </row>
    <row r="1088">
      <c r="A1088">
        <f>'Factor Scores'!A1088</f>
        <v/>
      </c>
      <c r="B1088" s="10">
        <f>IF(A1088="","",0.40*'Factor Scores'!C1088+0.20*'Factor Scores'!E1088+0.20*'Factor Scores'!G1088+0.20*'Factor Scores'!H1088)</f>
        <v/>
      </c>
      <c r="C1088" s="12">
        <f>IF(B1088="","",RANK(B1088,$B$2:$B$2501,0))</f>
        <v/>
      </c>
      <c r="D1088">
        <f>IF(C1088="","",C1088&lt;=25)</f>
        <v/>
      </c>
      <c r="F1088">
        <f>IF(A1088="","",IF(AND(D1088=TRUE,E1088=""),"BUY",IF(AND(D1088=FALSE,E1088&lt;&gt;""),"SELL",IF(AND(D1088=TRUE,E1088&lt;&gt;""),"HOLD",""))))</f>
        <v/>
      </c>
      <c r="G1088" s="12">
        <f>IF(D1088=TRUE,4,0)</f>
        <v/>
      </c>
      <c r="H1088">
        <f>IF(A1088="","",BDP(A1088&amp;" US Equity","GICS_SECTOR_NAME"))</f>
        <v/>
      </c>
    </row>
    <row r="1089">
      <c r="A1089">
        <f>'Factor Scores'!A1089</f>
        <v/>
      </c>
      <c r="B1089" s="10">
        <f>IF(A1089="","",0.40*'Factor Scores'!C1089+0.20*'Factor Scores'!E1089+0.20*'Factor Scores'!G1089+0.20*'Factor Scores'!H1089)</f>
        <v/>
      </c>
      <c r="C1089" s="12">
        <f>IF(B1089="","",RANK(B1089,$B$2:$B$2501,0))</f>
        <v/>
      </c>
      <c r="D1089">
        <f>IF(C1089="","",C1089&lt;=25)</f>
        <v/>
      </c>
      <c r="F1089">
        <f>IF(A1089="","",IF(AND(D1089=TRUE,E1089=""),"BUY",IF(AND(D1089=FALSE,E1089&lt;&gt;""),"SELL",IF(AND(D1089=TRUE,E1089&lt;&gt;""),"HOLD",""))))</f>
        <v/>
      </c>
      <c r="G1089" s="12">
        <f>IF(D1089=TRUE,4,0)</f>
        <v/>
      </c>
      <c r="H1089">
        <f>IF(A1089="","",BDP(A1089&amp;" US Equity","GICS_SECTOR_NAME"))</f>
        <v/>
      </c>
    </row>
    <row r="1090">
      <c r="A1090">
        <f>'Factor Scores'!A1090</f>
        <v/>
      </c>
      <c r="B1090" s="10">
        <f>IF(A1090="","",0.40*'Factor Scores'!C1090+0.20*'Factor Scores'!E1090+0.20*'Factor Scores'!G1090+0.20*'Factor Scores'!H1090)</f>
        <v/>
      </c>
      <c r="C1090" s="12">
        <f>IF(B1090="","",RANK(B1090,$B$2:$B$2501,0))</f>
        <v/>
      </c>
      <c r="D1090">
        <f>IF(C1090="","",C1090&lt;=25)</f>
        <v/>
      </c>
      <c r="F1090">
        <f>IF(A1090="","",IF(AND(D1090=TRUE,E1090=""),"BUY",IF(AND(D1090=FALSE,E1090&lt;&gt;""),"SELL",IF(AND(D1090=TRUE,E1090&lt;&gt;""),"HOLD",""))))</f>
        <v/>
      </c>
      <c r="G1090" s="12">
        <f>IF(D1090=TRUE,4,0)</f>
        <v/>
      </c>
      <c r="H1090">
        <f>IF(A1090="","",BDP(A1090&amp;" US Equity","GICS_SECTOR_NAME"))</f>
        <v/>
      </c>
    </row>
    <row r="1091">
      <c r="A1091">
        <f>'Factor Scores'!A1091</f>
        <v/>
      </c>
      <c r="B1091" s="10">
        <f>IF(A1091="","",0.40*'Factor Scores'!C1091+0.20*'Factor Scores'!E1091+0.20*'Factor Scores'!G1091+0.20*'Factor Scores'!H1091)</f>
        <v/>
      </c>
      <c r="C1091" s="12">
        <f>IF(B1091="","",RANK(B1091,$B$2:$B$2501,0))</f>
        <v/>
      </c>
      <c r="D1091">
        <f>IF(C1091="","",C1091&lt;=25)</f>
        <v/>
      </c>
      <c r="F1091">
        <f>IF(A1091="","",IF(AND(D1091=TRUE,E1091=""),"BUY",IF(AND(D1091=FALSE,E1091&lt;&gt;""),"SELL",IF(AND(D1091=TRUE,E1091&lt;&gt;""),"HOLD",""))))</f>
        <v/>
      </c>
      <c r="G1091" s="12">
        <f>IF(D1091=TRUE,4,0)</f>
        <v/>
      </c>
      <c r="H1091">
        <f>IF(A1091="","",BDP(A1091&amp;" US Equity","GICS_SECTOR_NAME"))</f>
        <v/>
      </c>
    </row>
    <row r="1092">
      <c r="A1092">
        <f>'Factor Scores'!A1092</f>
        <v/>
      </c>
      <c r="B1092" s="10">
        <f>IF(A1092="","",0.40*'Factor Scores'!C1092+0.20*'Factor Scores'!E1092+0.20*'Factor Scores'!G1092+0.20*'Factor Scores'!H1092)</f>
        <v/>
      </c>
      <c r="C1092" s="12">
        <f>IF(B1092="","",RANK(B1092,$B$2:$B$2501,0))</f>
        <v/>
      </c>
      <c r="D1092">
        <f>IF(C1092="","",C1092&lt;=25)</f>
        <v/>
      </c>
      <c r="F1092">
        <f>IF(A1092="","",IF(AND(D1092=TRUE,E1092=""),"BUY",IF(AND(D1092=FALSE,E1092&lt;&gt;""),"SELL",IF(AND(D1092=TRUE,E1092&lt;&gt;""),"HOLD",""))))</f>
        <v/>
      </c>
      <c r="G1092" s="12">
        <f>IF(D1092=TRUE,4,0)</f>
        <v/>
      </c>
      <c r="H1092">
        <f>IF(A1092="","",BDP(A1092&amp;" US Equity","GICS_SECTOR_NAME"))</f>
        <v/>
      </c>
    </row>
    <row r="1093">
      <c r="A1093">
        <f>'Factor Scores'!A1093</f>
        <v/>
      </c>
      <c r="B1093" s="10">
        <f>IF(A1093="","",0.40*'Factor Scores'!C1093+0.20*'Factor Scores'!E1093+0.20*'Factor Scores'!G1093+0.20*'Factor Scores'!H1093)</f>
        <v/>
      </c>
      <c r="C1093" s="12">
        <f>IF(B1093="","",RANK(B1093,$B$2:$B$2501,0))</f>
        <v/>
      </c>
      <c r="D1093">
        <f>IF(C1093="","",C1093&lt;=25)</f>
        <v/>
      </c>
      <c r="F1093">
        <f>IF(A1093="","",IF(AND(D1093=TRUE,E1093=""),"BUY",IF(AND(D1093=FALSE,E1093&lt;&gt;""),"SELL",IF(AND(D1093=TRUE,E1093&lt;&gt;""),"HOLD",""))))</f>
        <v/>
      </c>
      <c r="G1093" s="12">
        <f>IF(D1093=TRUE,4,0)</f>
        <v/>
      </c>
      <c r="H1093">
        <f>IF(A1093="","",BDP(A1093&amp;" US Equity","GICS_SECTOR_NAME"))</f>
        <v/>
      </c>
    </row>
    <row r="1094">
      <c r="A1094">
        <f>'Factor Scores'!A1094</f>
        <v/>
      </c>
      <c r="B1094" s="10">
        <f>IF(A1094="","",0.40*'Factor Scores'!C1094+0.20*'Factor Scores'!E1094+0.20*'Factor Scores'!G1094+0.20*'Factor Scores'!H1094)</f>
        <v/>
      </c>
      <c r="C1094" s="12">
        <f>IF(B1094="","",RANK(B1094,$B$2:$B$2501,0))</f>
        <v/>
      </c>
      <c r="D1094">
        <f>IF(C1094="","",C1094&lt;=25)</f>
        <v/>
      </c>
      <c r="F1094">
        <f>IF(A1094="","",IF(AND(D1094=TRUE,E1094=""),"BUY",IF(AND(D1094=FALSE,E1094&lt;&gt;""),"SELL",IF(AND(D1094=TRUE,E1094&lt;&gt;""),"HOLD",""))))</f>
        <v/>
      </c>
      <c r="G1094" s="12">
        <f>IF(D1094=TRUE,4,0)</f>
        <v/>
      </c>
      <c r="H1094">
        <f>IF(A1094="","",BDP(A1094&amp;" US Equity","GICS_SECTOR_NAME"))</f>
        <v/>
      </c>
    </row>
    <row r="1095">
      <c r="A1095">
        <f>'Factor Scores'!A1095</f>
        <v/>
      </c>
      <c r="B1095" s="10">
        <f>IF(A1095="","",0.40*'Factor Scores'!C1095+0.20*'Factor Scores'!E1095+0.20*'Factor Scores'!G1095+0.20*'Factor Scores'!H1095)</f>
        <v/>
      </c>
      <c r="C1095" s="12">
        <f>IF(B1095="","",RANK(B1095,$B$2:$B$2501,0))</f>
        <v/>
      </c>
      <c r="D1095">
        <f>IF(C1095="","",C1095&lt;=25)</f>
        <v/>
      </c>
      <c r="F1095">
        <f>IF(A1095="","",IF(AND(D1095=TRUE,E1095=""),"BUY",IF(AND(D1095=FALSE,E1095&lt;&gt;""),"SELL",IF(AND(D1095=TRUE,E1095&lt;&gt;""),"HOLD",""))))</f>
        <v/>
      </c>
      <c r="G1095" s="12">
        <f>IF(D1095=TRUE,4,0)</f>
        <v/>
      </c>
      <c r="H1095">
        <f>IF(A1095="","",BDP(A1095&amp;" US Equity","GICS_SECTOR_NAME"))</f>
        <v/>
      </c>
    </row>
    <row r="1096">
      <c r="A1096">
        <f>'Factor Scores'!A1096</f>
        <v/>
      </c>
      <c r="B1096" s="10">
        <f>IF(A1096="","",0.40*'Factor Scores'!C1096+0.20*'Factor Scores'!E1096+0.20*'Factor Scores'!G1096+0.20*'Factor Scores'!H1096)</f>
        <v/>
      </c>
      <c r="C1096" s="12">
        <f>IF(B1096="","",RANK(B1096,$B$2:$B$2501,0))</f>
        <v/>
      </c>
      <c r="D1096">
        <f>IF(C1096="","",C1096&lt;=25)</f>
        <v/>
      </c>
      <c r="F1096">
        <f>IF(A1096="","",IF(AND(D1096=TRUE,E1096=""),"BUY",IF(AND(D1096=FALSE,E1096&lt;&gt;""),"SELL",IF(AND(D1096=TRUE,E1096&lt;&gt;""),"HOLD",""))))</f>
        <v/>
      </c>
      <c r="G1096" s="12">
        <f>IF(D1096=TRUE,4,0)</f>
        <v/>
      </c>
      <c r="H1096">
        <f>IF(A1096="","",BDP(A1096&amp;" US Equity","GICS_SECTOR_NAME"))</f>
        <v/>
      </c>
    </row>
    <row r="1097">
      <c r="A1097">
        <f>'Factor Scores'!A1097</f>
        <v/>
      </c>
      <c r="B1097" s="10">
        <f>IF(A1097="","",0.40*'Factor Scores'!C1097+0.20*'Factor Scores'!E1097+0.20*'Factor Scores'!G1097+0.20*'Factor Scores'!H1097)</f>
        <v/>
      </c>
      <c r="C1097" s="12">
        <f>IF(B1097="","",RANK(B1097,$B$2:$B$2501,0))</f>
        <v/>
      </c>
      <c r="D1097">
        <f>IF(C1097="","",C1097&lt;=25)</f>
        <v/>
      </c>
      <c r="F1097">
        <f>IF(A1097="","",IF(AND(D1097=TRUE,E1097=""),"BUY",IF(AND(D1097=FALSE,E1097&lt;&gt;""),"SELL",IF(AND(D1097=TRUE,E1097&lt;&gt;""),"HOLD",""))))</f>
        <v/>
      </c>
      <c r="G1097" s="12">
        <f>IF(D1097=TRUE,4,0)</f>
        <v/>
      </c>
      <c r="H1097">
        <f>IF(A1097="","",BDP(A1097&amp;" US Equity","GICS_SECTOR_NAME"))</f>
        <v/>
      </c>
    </row>
    <row r="1098">
      <c r="A1098">
        <f>'Factor Scores'!A1098</f>
        <v/>
      </c>
      <c r="B1098" s="10">
        <f>IF(A1098="","",0.40*'Factor Scores'!C1098+0.20*'Factor Scores'!E1098+0.20*'Factor Scores'!G1098+0.20*'Factor Scores'!H1098)</f>
        <v/>
      </c>
      <c r="C1098" s="12">
        <f>IF(B1098="","",RANK(B1098,$B$2:$B$2501,0))</f>
        <v/>
      </c>
      <c r="D1098">
        <f>IF(C1098="","",C1098&lt;=25)</f>
        <v/>
      </c>
      <c r="F1098">
        <f>IF(A1098="","",IF(AND(D1098=TRUE,E1098=""),"BUY",IF(AND(D1098=FALSE,E1098&lt;&gt;""),"SELL",IF(AND(D1098=TRUE,E1098&lt;&gt;""),"HOLD",""))))</f>
        <v/>
      </c>
      <c r="G1098" s="12">
        <f>IF(D1098=TRUE,4,0)</f>
        <v/>
      </c>
      <c r="H1098">
        <f>IF(A1098="","",BDP(A1098&amp;" US Equity","GICS_SECTOR_NAME"))</f>
        <v/>
      </c>
    </row>
    <row r="1099">
      <c r="A1099">
        <f>'Factor Scores'!A1099</f>
        <v/>
      </c>
      <c r="B1099" s="10">
        <f>IF(A1099="","",0.40*'Factor Scores'!C1099+0.20*'Factor Scores'!E1099+0.20*'Factor Scores'!G1099+0.20*'Factor Scores'!H1099)</f>
        <v/>
      </c>
      <c r="C1099" s="12">
        <f>IF(B1099="","",RANK(B1099,$B$2:$B$2501,0))</f>
        <v/>
      </c>
      <c r="D1099">
        <f>IF(C1099="","",C1099&lt;=25)</f>
        <v/>
      </c>
      <c r="F1099">
        <f>IF(A1099="","",IF(AND(D1099=TRUE,E1099=""),"BUY",IF(AND(D1099=FALSE,E1099&lt;&gt;""),"SELL",IF(AND(D1099=TRUE,E1099&lt;&gt;""),"HOLD",""))))</f>
        <v/>
      </c>
      <c r="G1099" s="12">
        <f>IF(D1099=TRUE,4,0)</f>
        <v/>
      </c>
      <c r="H1099">
        <f>IF(A1099="","",BDP(A1099&amp;" US Equity","GICS_SECTOR_NAME"))</f>
        <v/>
      </c>
    </row>
    <row r="1100">
      <c r="A1100">
        <f>'Factor Scores'!A1100</f>
        <v/>
      </c>
      <c r="B1100" s="10">
        <f>IF(A1100="","",0.40*'Factor Scores'!C1100+0.20*'Factor Scores'!E1100+0.20*'Factor Scores'!G1100+0.20*'Factor Scores'!H1100)</f>
        <v/>
      </c>
      <c r="C1100" s="12">
        <f>IF(B1100="","",RANK(B1100,$B$2:$B$2501,0))</f>
        <v/>
      </c>
      <c r="D1100">
        <f>IF(C1100="","",C1100&lt;=25)</f>
        <v/>
      </c>
      <c r="F1100">
        <f>IF(A1100="","",IF(AND(D1100=TRUE,E1100=""),"BUY",IF(AND(D1100=FALSE,E1100&lt;&gt;""),"SELL",IF(AND(D1100=TRUE,E1100&lt;&gt;""),"HOLD",""))))</f>
        <v/>
      </c>
      <c r="G1100" s="12">
        <f>IF(D1100=TRUE,4,0)</f>
        <v/>
      </c>
      <c r="H1100">
        <f>IF(A1100="","",BDP(A1100&amp;" US Equity","GICS_SECTOR_NAME"))</f>
        <v/>
      </c>
    </row>
    <row r="1101">
      <c r="A1101">
        <f>'Factor Scores'!A1101</f>
        <v/>
      </c>
      <c r="B1101" s="10">
        <f>IF(A1101="","",0.40*'Factor Scores'!C1101+0.20*'Factor Scores'!E1101+0.20*'Factor Scores'!G1101+0.20*'Factor Scores'!H1101)</f>
        <v/>
      </c>
      <c r="C1101" s="12">
        <f>IF(B1101="","",RANK(B1101,$B$2:$B$2501,0))</f>
        <v/>
      </c>
      <c r="D1101">
        <f>IF(C1101="","",C1101&lt;=25)</f>
        <v/>
      </c>
      <c r="F1101">
        <f>IF(A1101="","",IF(AND(D1101=TRUE,E1101=""),"BUY",IF(AND(D1101=FALSE,E1101&lt;&gt;""),"SELL",IF(AND(D1101=TRUE,E1101&lt;&gt;""),"HOLD",""))))</f>
        <v/>
      </c>
      <c r="G1101" s="12">
        <f>IF(D1101=TRUE,4,0)</f>
        <v/>
      </c>
      <c r="H1101">
        <f>IF(A1101="","",BDP(A1101&amp;" US Equity","GICS_SECTOR_NAME"))</f>
        <v/>
      </c>
    </row>
    <row r="1102">
      <c r="A1102">
        <f>'Factor Scores'!A1102</f>
        <v/>
      </c>
      <c r="B1102" s="10">
        <f>IF(A1102="","",0.40*'Factor Scores'!C1102+0.20*'Factor Scores'!E1102+0.20*'Factor Scores'!G1102+0.20*'Factor Scores'!H1102)</f>
        <v/>
      </c>
      <c r="C1102" s="12">
        <f>IF(B1102="","",RANK(B1102,$B$2:$B$2501,0))</f>
        <v/>
      </c>
      <c r="D1102">
        <f>IF(C1102="","",C1102&lt;=25)</f>
        <v/>
      </c>
      <c r="F1102">
        <f>IF(A1102="","",IF(AND(D1102=TRUE,E1102=""),"BUY",IF(AND(D1102=FALSE,E1102&lt;&gt;""),"SELL",IF(AND(D1102=TRUE,E1102&lt;&gt;""),"HOLD",""))))</f>
        <v/>
      </c>
      <c r="G1102" s="12">
        <f>IF(D1102=TRUE,4,0)</f>
        <v/>
      </c>
      <c r="H1102">
        <f>IF(A1102="","",BDP(A1102&amp;" US Equity","GICS_SECTOR_NAME"))</f>
        <v/>
      </c>
    </row>
    <row r="1103">
      <c r="A1103">
        <f>'Factor Scores'!A1103</f>
        <v/>
      </c>
      <c r="B1103" s="10">
        <f>IF(A1103="","",0.40*'Factor Scores'!C1103+0.20*'Factor Scores'!E1103+0.20*'Factor Scores'!G1103+0.20*'Factor Scores'!H1103)</f>
        <v/>
      </c>
      <c r="C1103" s="12">
        <f>IF(B1103="","",RANK(B1103,$B$2:$B$2501,0))</f>
        <v/>
      </c>
      <c r="D1103">
        <f>IF(C1103="","",C1103&lt;=25)</f>
        <v/>
      </c>
      <c r="F1103">
        <f>IF(A1103="","",IF(AND(D1103=TRUE,E1103=""),"BUY",IF(AND(D1103=FALSE,E1103&lt;&gt;""),"SELL",IF(AND(D1103=TRUE,E1103&lt;&gt;""),"HOLD",""))))</f>
        <v/>
      </c>
      <c r="G1103" s="12">
        <f>IF(D1103=TRUE,4,0)</f>
        <v/>
      </c>
      <c r="H1103">
        <f>IF(A1103="","",BDP(A1103&amp;" US Equity","GICS_SECTOR_NAME"))</f>
        <v/>
      </c>
    </row>
    <row r="1104">
      <c r="A1104">
        <f>'Factor Scores'!A1104</f>
        <v/>
      </c>
      <c r="B1104" s="10">
        <f>IF(A1104="","",0.40*'Factor Scores'!C1104+0.20*'Factor Scores'!E1104+0.20*'Factor Scores'!G1104+0.20*'Factor Scores'!H1104)</f>
        <v/>
      </c>
      <c r="C1104" s="12">
        <f>IF(B1104="","",RANK(B1104,$B$2:$B$2501,0))</f>
        <v/>
      </c>
      <c r="D1104">
        <f>IF(C1104="","",C1104&lt;=25)</f>
        <v/>
      </c>
      <c r="F1104">
        <f>IF(A1104="","",IF(AND(D1104=TRUE,E1104=""),"BUY",IF(AND(D1104=FALSE,E1104&lt;&gt;""),"SELL",IF(AND(D1104=TRUE,E1104&lt;&gt;""),"HOLD",""))))</f>
        <v/>
      </c>
      <c r="G1104" s="12">
        <f>IF(D1104=TRUE,4,0)</f>
        <v/>
      </c>
      <c r="H1104">
        <f>IF(A1104="","",BDP(A1104&amp;" US Equity","GICS_SECTOR_NAME"))</f>
        <v/>
      </c>
    </row>
    <row r="1105">
      <c r="A1105">
        <f>'Factor Scores'!A1105</f>
        <v/>
      </c>
      <c r="B1105" s="10">
        <f>IF(A1105="","",0.40*'Factor Scores'!C1105+0.20*'Factor Scores'!E1105+0.20*'Factor Scores'!G1105+0.20*'Factor Scores'!H1105)</f>
        <v/>
      </c>
      <c r="C1105" s="12">
        <f>IF(B1105="","",RANK(B1105,$B$2:$B$2501,0))</f>
        <v/>
      </c>
      <c r="D1105">
        <f>IF(C1105="","",C1105&lt;=25)</f>
        <v/>
      </c>
      <c r="F1105">
        <f>IF(A1105="","",IF(AND(D1105=TRUE,E1105=""),"BUY",IF(AND(D1105=FALSE,E1105&lt;&gt;""),"SELL",IF(AND(D1105=TRUE,E1105&lt;&gt;""),"HOLD",""))))</f>
        <v/>
      </c>
      <c r="G1105" s="12">
        <f>IF(D1105=TRUE,4,0)</f>
        <v/>
      </c>
      <c r="H1105">
        <f>IF(A1105="","",BDP(A1105&amp;" US Equity","GICS_SECTOR_NAME"))</f>
        <v/>
      </c>
    </row>
    <row r="1106">
      <c r="A1106">
        <f>'Factor Scores'!A1106</f>
        <v/>
      </c>
      <c r="B1106" s="10">
        <f>IF(A1106="","",0.40*'Factor Scores'!C1106+0.20*'Factor Scores'!E1106+0.20*'Factor Scores'!G1106+0.20*'Factor Scores'!H1106)</f>
        <v/>
      </c>
      <c r="C1106" s="12">
        <f>IF(B1106="","",RANK(B1106,$B$2:$B$2501,0))</f>
        <v/>
      </c>
      <c r="D1106">
        <f>IF(C1106="","",C1106&lt;=25)</f>
        <v/>
      </c>
      <c r="F1106">
        <f>IF(A1106="","",IF(AND(D1106=TRUE,E1106=""),"BUY",IF(AND(D1106=FALSE,E1106&lt;&gt;""),"SELL",IF(AND(D1106=TRUE,E1106&lt;&gt;""),"HOLD",""))))</f>
        <v/>
      </c>
      <c r="G1106" s="12">
        <f>IF(D1106=TRUE,4,0)</f>
        <v/>
      </c>
      <c r="H1106">
        <f>IF(A1106="","",BDP(A1106&amp;" US Equity","GICS_SECTOR_NAME"))</f>
        <v/>
      </c>
    </row>
    <row r="1107">
      <c r="A1107">
        <f>'Factor Scores'!A1107</f>
        <v/>
      </c>
      <c r="B1107" s="10">
        <f>IF(A1107="","",0.40*'Factor Scores'!C1107+0.20*'Factor Scores'!E1107+0.20*'Factor Scores'!G1107+0.20*'Factor Scores'!H1107)</f>
        <v/>
      </c>
      <c r="C1107" s="12">
        <f>IF(B1107="","",RANK(B1107,$B$2:$B$2501,0))</f>
        <v/>
      </c>
      <c r="D1107">
        <f>IF(C1107="","",C1107&lt;=25)</f>
        <v/>
      </c>
      <c r="F1107">
        <f>IF(A1107="","",IF(AND(D1107=TRUE,E1107=""),"BUY",IF(AND(D1107=FALSE,E1107&lt;&gt;""),"SELL",IF(AND(D1107=TRUE,E1107&lt;&gt;""),"HOLD",""))))</f>
        <v/>
      </c>
      <c r="G1107" s="12">
        <f>IF(D1107=TRUE,4,0)</f>
        <v/>
      </c>
      <c r="H1107">
        <f>IF(A1107="","",BDP(A1107&amp;" US Equity","GICS_SECTOR_NAME"))</f>
        <v/>
      </c>
    </row>
    <row r="1108">
      <c r="A1108">
        <f>'Factor Scores'!A1108</f>
        <v/>
      </c>
      <c r="B1108" s="10">
        <f>IF(A1108="","",0.40*'Factor Scores'!C1108+0.20*'Factor Scores'!E1108+0.20*'Factor Scores'!G1108+0.20*'Factor Scores'!H1108)</f>
        <v/>
      </c>
      <c r="C1108" s="12">
        <f>IF(B1108="","",RANK(B1108,$B$2:$B$2501,0))</f>
        <v/>
      </c>
      <c r="D1108">
        <f>IF(C1108="","",C1108&lt;=25)</f>
        <v/>
      </c>
      <c r="F1108">
        <f>IF(A1108="","",IF(AND(D1108=TRUE,E1108=""),"BUY",IF(AND(D1108=FALSE,E1108&lt;&gt;""),"SELL",IF(AND(D1108=TRUE,E1108&lt;&gt;""),"HOLD",""))))</f>
        <v/>
      </c>
      <c r="G1108" s="12">
        <f>IF(D1108=TRUE,4,0)</f>
        <v/>
      </c>
      <c r="H1108">
        <f>IF(A1108="","",BDP(A1108&amp;" US Equity","GICS_SECTOR_NAME"))</f>
        <v/>
      </c>
    </row>
    <row r="1109">
      <c r="A1109">
        <f>'Factor Scores'!A1109</f>
        <v/>
      </c>
      <c r="B1109" s="10">
        <f>IF(A1109="","",0.40*'Factor Scores'!C1109+0.20*'Factor Scores'!E1109+0.20*'Factor Scores'!G1109+0.20*'Factor Scores'!H1109)</f>
        <v/>
      </c>
      <c r="C1109" s="12">
        <f>IF(B1109="","",RANK(B1109,$B$2:$B$2501,0))</f>
        <v/>
      </c>
      <c r="D1109">
        <f>IF(C1109="","",C1109&lt;=25)</f>
        <v/>
      </c>
      <c r="F1109">
        <f>IF(A1109="","",IF(AND(D1109=TRUE,E1109=""),"BUY",IF(AND(D1109=FALSE,E1109&lt;&gt;""),"SELL",IF(AND(D1109=TRUE,E1109&lt;&gt;""),"HOLD",""))))</f>
        <v/>
      </c>
      <c r="G1109" s="12">
        <f>IF(D1109=TRUE,4,0)</f>
        <v/>
      </c>
      <c r="H1109">
        <f>IF(A1109="","",BDP(A1109&amp;" US Equity","GICS_SECTOR_NAME"))</f>
        <v/>
      </c>
    </row>
    <row r="1110">
      <c r="A1110">
        <f>'Factor Scores'!A1110</f>
        <v/>
      </c>
      <c r="B1110" s="10">
        <f>IF(A1110="","",0.40*'Factor Scores'!C1110+0.20*'Factor Scores'!E1110+0.20*'Factor Scores'!G1110+0.20*'Factor Scores'!H1110)</f>
        <v/>
      </c>
      <c r="C1110" s="12">
        <f>IF(B1110="","",RANK(B1110,$B$2:$B$2501,0))</f>
        <v/>
      </c>
      <c r="D1110">
        <f>IF(C1110="","",C1110&lt;=25)</f>
        <v/>
      </c>
      <c r="F1110">
        <f>IF(A1110="","",IF(AND(D1110=TRUE,E1110=""),"BUY",IF(AND(D1110=FALSE,E1110&lt;&gt;""),"SELL",IF(AND(D1110=TRUE,E1110&lt;&gt;""),"HOLD",""))))</f>
        <v/>
      </c>
      <c r="G1110" s="12">
        <f>IF(D1110=TRUE,4,0)</f>
        <v/>
      </c>
      <c r="H1110">
        <f>IF(A1110="","",BDP(A1110&amp;" US Equity","GICS_SECTOR_NAME"))</f>
        <v/>
      </c>
    </row>
    <row r="1111">
      <c r="A1111">
        <f>'Factor Scores'!A1111</f>
        <v/>
      </c>
      <c r="B1111" s="10">
        <f>IF(A1111="","",0.40*'Factor Scores'!C1111+0.20*'Factor Scores'!E1111+0.20*'Factor Scores'!G1111+0.20*'Factor Scores'!H1111)</f>
        <v/>
      </c>
      <c r="C1111" s="12">
        <f>IF(B1111="","",RANK(B1111,$B$2:$B$2501,0))</f>
        <v/>
      </c>
      <c r="D1111">
        <f>IF(C1111="","",C1111&lt;=25)</f>
        <v/>
      </c>
      <c r="F1111">
        <f>IF(A1111="","",IF(AND(D1111=TRUE,E1111=""),"BUY",IF(AND(D1111=FALSE,E1111&lt;&gt;""),"SELL",IF(AND(D1111=TRUE,E1111&lt;&gt;""),"HOLD",""))))</f>
        <v/>
      </c>
      <c r="G1111" s="12">
        <f>IF(D1111=TRUE,4,0)</f>
        <v/>
      </c>
      <c r="H1111">
        <f>IF(A1111="","",BDP(A1111&amp;" US Equity","GICS_SECTOR_NAME"))</f>
        <v/>
      </c>
    </row>
    <row r="1112">
      <c r="A1112">
        <f>'Factor Scores'!A1112</f>
        <v/>
      </c>
      <c r="B1112" s="10">
        <f>IF(A1112="","",0.40*'Factor Scores'!C1112+0.20*'Factor Scores'!E1112+0.20*'Factor Scores'!G1112+0.20*'Factor Scores'!H1112)</f>
        <v/>
      </c>
      <c r="C1112" s="12">
        <f>IF(B1112="","",RANK(B1112,$B$2:$B$2501,0))</f>
        <v/>
      </c>
      <c r="D1112">
        <f>IF(C1112="","",C1112&lt;=25)</f>
        <v/>
      </c>
      <c r="F1112">
        <f>IF(A1112="","",IF(AND(D1112=TRUE,E1112=""),"BUY",IF(AND(D1112=FALSE,E1112&lt;&gt;""),"SELL",IF(AND(D1112=TRUE,E1112&lt;&gt;""),"HOLD",""))))</f>
        <v/>
      </c>
      <c r="G1112" s="12">
        <f>IF(D1112=TRUE,4,0)</f>
        <v/>
      </c>
      <c r="H1112">
        <f>IF(A1112="","",BDP(A1112&amp;" US Equity","GICS_SECTOR_NAME"))</f>
        <v/>
      </c>
    </row>
    <row r="1113">
      <c r="A1113">
        <f>'Factor Scores'!A1113</f>
        <v/>
      </c>
      <c r="B1113" s="10">
        <f>IF(A1113="","",0.40*'Factor Scores'!C1113+0.20*'Factor Scores'!E1113+0.20*'Factor Scores'!G1113+0.20*'Factor Scores'!H1113)</f>
        <v/>
      </c>
      <c r="C1113" s="12">
        <f>IF(B1113="","",RANK(B1113,$B$2:$B$2501,0))</f>
        <v/>
      </c>
      <c r="D1113">
        <f>IF(C1113="","",C1113&lt;=25)</f>
        <v/>
      </c>
      <c r="F1113">
        <f>IF(A1113="","",IF(AND(D1113=TRUE,E1113=""),"BUY",IF(AND(D1113=FALSE,E1113&lt;&gt;""),"SELL",IF(AND(D1113=TRUE,E1113&lt;&gt;""),"HOLD",""))))</f>
        <v/>
      </c>
      <c r="G1113" s="12">
        <f>IF(D1113=TRUE,4,0)</f>
        <v/>
      </c>
      <c r="H1113">
        <f>IF(A1113="","",BDP(A1113&amp;" US Equity","GICS_SECTOR_NAME"))</f>
        <v/>
      </c>
    </row>
    <row r="1114">
      <c r="A1114">
        <f>'Factor Scores'!A1114</f>
        <v/>
      </c>
      <c r="B1114" s="10">
        <f>IF(A1114="","",0.40*'Factor Scores'!C1114+0.20*'Factor Scores'!E1114+0.20*'Factor Scores'!G1114+0.20*'Factor Scores'!H1114)</f>
        <v/>
      </c>
      <c r="C1114" s="12">
        <f>IF(B1114="","",RANK(B1114,$B$2:$B$2501,0))</f>
        <v/>
      </c>
      <c r="D1114">
        <f>IF(C1114="","",C1114&lt;=25)</f>
        <v/>
      </c>
      <c r="F1114">
        <f>IF(A1114="","",IF(AND(D1114=TRUE,E1114=""),"BUY",IF(AND(D1114=FALSE,E1114&lt;&gt;""),"SELL",IF(AND(D1114=TRUE,E1114&lt;&gt;""),"HOLD",""))))</f>
        <v/>
      </c>
      <c r="G1114" s="12">
        <f>IF(D1114=TRUE,4,0)</f>
        <v/>
      </c>
      <c r="H1114">
        <f>IF(A1114="","",BDP(A1114&amp;" US Equity","GICS_SECTOR_NAME"))</f>
        <v/>
      </c>
    </row>
    <row r="1115">
      <c r="A1115">
        <f>'Factor Scores'!A1115</f>
        <v/>
      </c>
      <c r="B1115" s="10">
        <f>IF(A1115="","",0.40*'Factor Scores'!C1115+0.20*'Factor Scores'!E1115+0.20*'Factor Scores'!G1115+0.20*'Factor Scores'!H1115)</f>
        <v/>
      </c>
      <c r="C1115" s="12">
        <f>IF(B1115="","",RANK(B1115,$B$2:$B$2501,0))</f>
        <v/>
      </c>
      <c r="D1115">
        <f>IF(C1115="","",C1115&lt;=25)</f>
        <v/>
      </c>
      <c r="F1115">
        <f>IF(A1115="","",IF(AND(D1115=TRUE,E1115=""),"BUY",IF(AND(D1115=FALSE,E1115&lt;&gt;""),"SELL",IF(AND(D1115=TRUE,E1115&lt;&gt;""),"HOLD",""))))</f>
        <v/>
      </c>
      <c r="G1115" s="12">
        <f>IF(D1115=TRUE,4,0)</f>
        <v/>
      </c>
      <c r="H1115">
        <f>IF(A1115="","",BDP(A1115&amp;" US Equity","GICS_SECTOR_NAME"))</f>
        <v/>
      </c>
    </row>
    <row r="1116">
      <c r="A1116">
        <f>'Factor Scores'!A1116</f>
        <v/>
      </c>
      <c r="B1116" s="10">
        <f>IF(A1116="","",0.40*'Factor Scores'!C1116+0.20*'Factor Scores'!E1116+0.20*'Factor Scores'!G1116+0.20*'Factor Scores'!H1116)</f>
        <v/>
      </c>
      <c r="C1116" s="12">
        <f>IF(B1116="","",RANK(B1116,$B$2:$B$2501,0))</f>
        <v/>
      </c>
      <c r="D1116">
        <f>IF(C1116="","",C1116&lt;=25)</f>
        <v/>
      </c>
      <c r="F1116">
        <f>IF(A1116="","",IF(AND(D1116=TRUE,E1116=""),"BUY",IF(AND(D1116=FALSE,E1116&lt;&gt;""),"SELL",IF(AND(D1116=TRUE,E1116&lt;&gt;""),"HOLD",""))))</f>
        <v/>
      </c>
      <c r="G1116" s="12">
        <f>IF(D1116=TRUE,4,0)</f>
        <v/>
      </c>
      <c r="H1116">
        <f>IF(A1116="","",BDP(A1116&amp;" US Equity","GICS_SECTOR_NAME"))</f>
        <v/>
      </c>
    </row>
    <row r="1117">
      <c r="A1117">
        <f>'Factor Scores'!A1117</f>
        <v/>
      </c>
      <c r="B1117" s="10">
        <f>IF(A1117="","",0.40*'Factor Scores'!C1117+0.20*'Factor Scores'!E1117+0.20*'Factor Scores'!G1117+0.20*'Factor Scores'!H1117)</f>
        <v/>
      </c>
      <c r="C1117" s="12">
        <f>IF(B1117="","",RANK(B1117,$B$2:$B$2501,0))</f>
        <v/>
      </c>
      <c r="D1117">
        <f>IF(C1117="","",C1117&lt;=25)</f>
        <v/>
      </c>
      <c r="F1117">
        <f>IF(A1117="","",IF(AND(D1117=TRUE,E1117=""),"BUY",IF(AND(D1117=FALSE,E1117&lt;&gt;""),"SELL",IF(AND(D1117=TRUE,E1117&lt;&gt;""),"HOLD",""))))</f>
        <v/>
      </c>
      <c r="G1117" s="12">
        <f>IF(D1117=TRUE,4,0)</f>
        <v/>
      </c>
      <c r="H1117">
        <f>IF(A1117="","",BDP(A1117&amp;" US Equity","GICS_SECTOR_NAME"))</f>
        <v/>
      </c>
    </row>
    <row r="1118">
      <c r="A1118">
        <f>'Factor Scores'!A1118</f>
        <v/>
      </c>
      <c r="B1118" s="10">
        <f>IF(A1118="","",0.40*'Factor Scores'!C1118+0.20*'Factor Scores'!E1118+0.20*'Factor Scores'!G1118+0.20*'Factor Scores'!H1118)</f>
        <v/>
      </c>
      <c r="C1118" s="12">
        <f>IF(B1118="","",RANK(B1118,$B$2:$B$2501,0))</f>
        <v/>
      </c>
      <c r="D1118">
        <f>IF(C1118="","",C1118&lt;=25)</f>
        <v/>
      </c>
      <c r="F1118">
        <f>IF(A1118="","",IF(AND(D1118=TRUE,E1118=""),"BUY",IF(AND(D1118=FALSE,E1118&lt;&gt;""),"SELL",IF(AND(D1118=TRUE,E1118&lt;&gt;""),"HOLD",""))))</f>
        <v/>
      </c>
      <c r="G1118" s="12">
        <f>IF(D1118=TRUE,4,0)</f>
        <v/>
      </c>
      <c r="H1118">
        <f>IF(A1118="","",BDP(A1118&amp;" US Equity","GICS_SECTOR_NAME"))</f>
        <v/>
      </c>
    </row>
    <row r="1119">
      <c r="A1119">
        <f>'Factor Scores'!A1119</f>
        <v/>
      </c>
      <c r="B1119" s="10">
        <f>IF(A1119="","",0.40*'Factor Scores'!C1119+0.20*'Factor Scores'!E1119+0.20*'Factor Scores'!G1119+0.20*'Factor Scores'!H1119)</f>
        <v/>
      </c>
      <c r="C1119" s="12">
        <f>IF(B1119="","",RANK(B1119,$B$2:$B$2501,0))</f>
        <v/>
      </c>
      <c r="D1119">
        <f>IF(C1119="","",C1119&lt;=25)</f>
        <v/>
      </c>
      <c r="F1119">
        <f>IF(A1119="","",IF(AND(D1119=TRUE,E1119=""),"BUY",IF(AND(D1119=FALSE,E1119&lt;&gt;""),"SELL",IF(AND(D1119=TRUE,E1119&lt;&gt;""),"HOLD",""))))</f>
        <v/>
      </c>
      <c r="G1119" s="12">
        <f>IF(D1119=TRUE,4,0)</f>
        <v/>
      </c>
      <c r="H1119">
        <f>IF(A1119="","",BDP(A1119&amp;" US Equity","GICS_SECTOR_NAME"))</f>
        <v/>
      </c>
    </row>
    <row r="1120">
      <c r="A1120">
        <f>'Factor Scores'!A1120</f>
        <v/>
      </c>
      <c r="B1120" s="10">
        <f>IF(A1120="","",0.40*'Factor Scores'!C1120+0.20*'Factor Scores'!E1120+0.20*'Factor Scores'!G1120+0.20*'Factor Scores'!H1120)</f>
        <v/>
      </c>
      <c r="C1120" s="12">
        <f>IF(B1120="","",RANK(B1120,$B$2:$B$2501,0))</f>
        <v/>
      </c>
      <c r="D1120">
        <f>IF(C1120="","",C1120&lt;=25)</f>
        <v/>
      </c>
      <c r="F1120">
        <f>IF(A1120="","",IF(AND(D1120=TRUE,E1120=""),"BUY",IF(AND(D1120=FALSE,E1120&lt;&gt;""),"SELL",IF(AND(D1120=TRUE,E1120&lt;&gt;""),"HOLD",""))))</f>
        <v/>
      </c>
      <c r="G1120" s="12">
        <f>IF(D1120=TRUE,4,0)</f>
        <v/>
      </c>
      <c r="H1120">
        <f>IF(A1120="","",BDP(A1120&amp;" US Equity","GICS_SECTOR_NAME"))</f>
        <v/>
      </c>
    </row>
    <row r="1121">
      <c r="A1121">
        <f>'Factor Scores'!A1121</f>
        <v/>
      </c>
      <c r="B1121" s="10">
        <f>IF(A1121="","",0.40*'Factor Scores'!C1121+0.20*'Factor Scores'!E1121+0.20*'Factor Scores'!G1121+0.20*'Factor Scores'!H1121)</f>
        <v/>
      </c>
      <c r="C1121" s="12">
        <f>IF(B1121="","",RANK(B1121,$B$2:$B$2501,0))</f>
        <v/>
      </c>
      <c r="D1121">
        <f>IF(C1121="","",C1121&lt;=25)</f>
        <v/>
      </c>
      <c r="F1121">
        <f>IF(A1121="","",IF(AND(D1121=TRUE,E1121=""),"BUY",IF(AND(D1121=FALSE,E1121&lt;&gt;""),"SELL",IF(AND(D1121=TRUE,E1121&lt;&gt;""),"HOLD",""))))</f>
        <v/>
      </c>
      <c r="G1121" s="12">
        <f>IF(D1121=TRUE,4,0)</f>
        <v/>
      </c>
      <c r="H1121">
        <f>IF(A1121="","",BDP(A1121&amp;" US Equity","GICS_SECTOR_NAME"))</f>
        <v/>
      </c>
    </row>
    <row r="1122">
      <c r="A1122">
        <f>'Factor Scores'!A1122</f>
        <v/>
      </c>
      <c r="B1122" s="10">
        <f>IF(A1122="","",0.40*'Factor Scores'!C1122+0.20*'Factor Scores'!E1122+0.20*'Factor Scores'!G1122+0.20*'Factor Scores'!H1122)</f>
        <v/>
      </c>
      <c r="C1122" s="12">
        <f>IF(B1122="","",RANK(B1122,$B$2:$B$2501,0))</f>
        <v/>
      </c>
      <c r="D1122">
        <f>IF(C1122="","",C1122&lt;=25)</f>
        <v/>
      </c>
      <c r="F1122">
        <f>IF(A1122="","",IF(AND(D1122=TRUE,E1122=""),"BUY",IF(AND(D1122=FALSE,E1122&lt;&gt;""),"SELL",IF(AND(D1122=TRUE,E1122&lt;&gt;""),"HOLD",""))))</f>
        <v/>
      </c>
      <c r="G1122" s="12">
        <f>IF(D1122=TRUE,4,0)</f>
        <v/>
      </c>
      <c r="H1122">
        <f>IF(A1122="","",BDP(A1122&amp;" US Equity","GICS_SECTOR_NAME"))</f>
        <v/>
      </c>
    </row>
    <row r="1123">
      <c r="A1123">
        <f>'Factor Scores'!A1123</f>
        <v/>
      </c>
      <c r="B1123" s="10">
        <f>IF(A1123="","",0.40*'Factor Scores'!C1123+0.20*'Factor Scores'!E1123+0.20*'Factor Scores'!G1123+0.20*'Factor Scores'!H1123)</f>
        <v/>
      </c>
      <c r="C1123" s="12">
        <f>IF(B1123="","",RANK(B1123,$B$2:$B$2501,0))</f>
        <v/>
      </c>
      <c r="D1123">
        <f>IF(C1123="","",C1123&lt;=25)</f>
        <v/>
      </c>
      <c r="F1123">
        <f>IF(A1123="","",IF(AND(D1123=TRUE,E1123=""),"BUY",IF(AND(D1123=FALSE,E1123&lt;&gt;""),"SELL",IF(AND(D1123=TRUE,E1123&lt;&gt;""),"HOLD",""))))</f>
        <v/>
      </c>
      <c r="G1123" s="12">
        <f>IF(D1123=TRUE,4,0)</f>
        <v/>
      </c>
      <c r="H1123">
        <f>IF(A1123="","",BDP(A1123&amp;" US Equity","GICS_SECTOR_NAME"))</f>
        <v/>
      </c>
    </row>
    <row r="1124">
      <c r="A1124">
        <f>'Factor Scores'!A1124</f>
        <v/>
      </c>
      <c r="B1124" s="10">
        <f>IF(A1124="","",0.40*'Factor Scores'!C1124+0.20*'Factor Scores'!E1124+0.20*'Factor Scores'!G1124+0.20*'Factor Scores'!H1124)</f>
        <v/>
      </c>
      <c r="C1124" s="12">
        <f>IF(B1124="","",RANK(B1124,$B$2:$B$2501,0))</f>
        <v/>
      </c>
      <c r="D1124">
        <f>IF(C1124="","",C1124&lt;=25)</f>
        <v/>
      </c>
      <c r="F1124">
        <f>IF(A1124="","",IF(AND(D1124=TRUE,E1124=""),"BUY",IF(AND(D1124=FALSE,E1124&lt;&gt;""),"SELL",IF(AND(D1124=TRUE,E1124&lt;&gt;""),"HOLD",""))))</f>
        <v/>
      </c>
      <c r="G1124" s="12">
        <f>IF(D1124=TRUE,4,0)</f>
        <v/>
      </c>
      <c r="H1124">
        <f>IF(A1124="","",BDP(A1124&amp;" US Equity","GICS_SECTOR_NAME"))</f>
        <v/>
      </c>
    </row>
    <row r="1125">
      <c r="A1125">
        <f>'Factor Scores'!A1125</f>
        <v/>
      </c>
      <c r="B1125" s="10">
        <f>IF(A1125="","",0.40*'Factor Scores'!C1125+0.20*'Factor Scores'!E1125+0.20*'Factor Scores'!G1125+0.20*'Factor Scores'!H1125)</f>
        <v/>
      </c>
      <c r="C1125" s="12">
        <f>IF(B1125="","",RANK(B1125,$B$2:$B$2501,0))</f>
        <v/>
      </c>
      <c r="D1125">
        <f>IF(C1125="","",C1125&lt;=25)</f>
        <v/>
      </c>
      <c r="F1125">
        <f>IF(A1125="","",IF(AND(D1125=TRUE,E1125=""),"BUY",IF(AND(D1125=FALSE,E1125&lt;&gt;""),"SELL",IF(AND(D1125=TRUE,E1125&lt;&gt;""),"HOLD",""))))</f>
        <v/>
      </c>
      <c r="G1125" s="12">
        <f>IF(D1125=TRUE,4,0)</f>
        <v/>
      </c>
      <c r="H1125">
        <f>IF(A1125="","",BDP(A1125&amp;" US Equity","GICS_SECTOR_NAME"))</f>
        <v/>
      </c>
    </row>
    <row r="1126">
      <c r="A1126">
        <f>'Factor Scores'!A1126</f>
        <v/>
      </c>
      <c r="B1126" s="10">
        <f>IF(A1126="","",0.40*'Factor Scores'!C1126+0.20*'Factor Scores'!E1126+0.20*'Factor Scores'!G1126+0.20*'Factor Scores'!H1126)</f>
        <v/>
      </c>
      <c r="C1126" s="12">
        <f>IF(B1126="","",RANK(B1126,$B$2:$B$2501,0))</f>
        <v/>
      </c>
      <c r="D1126">
        <f>IF(C1126="","",C1126&lt;=25)</f>
        <v/>
      </c>
      <c r="F1126">
        <f>IF(A1126="","",IF(AND(D1126=TRUE,E1126=""),"BUY",IF(AND(D1126=FALSE,E1126&lt;&gt;""),"SELL",IF(AND(D1126=TRUE,E1126&lt;&gt;""),"HOLD",""))))</f>
        <v/>
      </c>
      <c r="G1126" s="12">
        <f>IF(D1126=TRUE,4,0)</f>
        <v/>
      </c>
      <c r="H1126">
        <f>IF(A1126="","",BDP(A1126&amp;" US Equity","GICS_SECTOR_NAME"))</f>
        <v/>
      </c>
    </row>
    <row r="1127">
      <c r="A1127">
        <f>'Factor Scores'!A1127</f>
        <v/>
      </c>
      <c r="B1127" s="10">
        <f>IF(A1127="","",0.40*'Factor Scores'!C1127+0.20*'Factor Scores'!E1127+0.20*'Factor Scores'!G1127+0.20*'Factor Scores'!H1127)</f>
        <v/>
      </c>
      <c r="C1127" s="12">
        <f>IF(B1127="","",RANK(B1127,$B$2:$B$2501,0))</f>
        <v/>
      </c>
      <c r="D1127">
        <f>IF(C1127="","",C1127&lt;=25)</f>
        <v/>
      </c>
      <c r="F1127">
        <f>IF(A1127="","",IF(AND(D1127=TRUE,E1127=""),"BUY",IF(AND(D1127=FALSE,E1127&lt;&gt;""),"SELL",IF(AND(D1127=TRUE,E1127&lt;&gt;""),"HOLD",""))))</f>
        <v/>
      </c>
      <c r="G1127" s="12">
        <f>IF(D1127=TRUE,4,0)</f>
        <v/>
      </c>
      <c r="H1127">
        <f>IF(A1127="","",BDP(A1127&amp;" US Equity","GICS_SECTOR_NAME"))</f>
        <v/>
      </c>
    </row>
    <row r="1128">
      <c r="A1128">
        <f>'Factor Scores'!A1128</f>
        <v/>
      </c>
      <c r="B1128" s="10">
        <f>IF(A1128="","",0.40*'Factor Scores'!C1128+0.20*'Factor Scores'!E1128+0.20*'Factor Scores'!G1128+0.20*'Factor Scores'!H1128)</f>
        <v/>
      </c>
      <c r="C1128" s="12">
        <f>IF(B1128="","",RANK(B1128,$B$2:$B$2501,0))</f>
        <v/>
      </c>
      <c r="D1128">
        <f>IF(C1128="","",C1128&lt;=25)</f>
        <v/>
      </c>
      <c r="F1128">
        <f>IF(A1128="","",IF(AND(D1128=TRUE,E1128=""),"BUY",IF(AND(D1128=FALSE,E1128&lt;&gt;""),"SELL",IF(AND(D1128=TRUE,E1128&lt;&gt;""),"HOLD",""))))</f>
        <v/>
      </c>
      <c r="G1128" s="12">
        <f>IF(D1128=TRUE,4,0)</f>
        <v/>
      </c>
      <c r="H1128">
        <f>IF(A1128="","",BDP(A1128&amp;" US Equity","GICS_SECTOR_NAME"))</f>
        <v/>
      </c>
    </row>
    <row r="1129">
      <c r="A1129">
        <f>'Factor Scores'!A1129</f>
        <v/>
      </c>
      <c r="B1129" s="10">
        <f>IF(A1129="","",0.40*'Factor Scores'!C1129+0.20*'Factor Scores'!E1129+0.20*'Factor Scores'!G1129+0.20*'Factor Scores'!H1129)</f>
        <v/>
      </c>
      <c r="C1129" s="12">
        <f>IF(B1129="","",RANK(B1129,$B$2:$B$2501,0))</f>
        <v/>
      </c>
      <c r="D1129">
        <f>IF(C1129="","",C1129&lt;=25)</f>
        <v/>
      </c>
      <c r="F1129">
        <f>IF(A1129="","",IF(AND(D1129=TRUE,E1129=""),"BUY",IF(AND(D1129=FALSE,E1129&lt;&gt;""),"SELL",IF(AND(D1129=TRUE,E1129&lt;&gt;""),"HOLD",""))))</f>
        <v/>
      </c>
      <c r="G1129" s="12">
        <f>IF(D1129=TRUE,4,0)</f>
        <v/>
      </c>
      <c r="H1129">
        <f>IF(A1129="","",BDP(A1129&amp;" US Equity","GICS_SECTOR_NAME"))</f>
        <v/>
      </c>
    </row>
    <row r="1130">
      <c r="A1130">
        <f>'Factor Scores'!A1130</f>
        <v/>
      </c>
      <c r="B1130" s="10">
        <f>IF(A1130="","",0.40*'Factor Scores'!C1130+0.20*'Factor Scores'!E1130+0.20*'Factor Scores'!G1130+0.20*'Factor Scores'!H1130)</f>
        <v/>
      </c>
      <c r="C1130" s="12">
        <f>IF(B1130="","",RANK(B1130,$B$2:$B$2501,0))</f>
        <v/>
      </c>
      <c r="D1130">
        <f>IF(C1130="","",C1130&lt;=25)</f>
        <v/>
      </c>
      <c r="F1130">
        <f>IF(A1130="","",IF(AND(D1130=TRUE,E1130=""),"BUY",IF(AND(D1130=FALSE,E1130&lt;&gt;""),"SELL",IF(AND(D1130=TRUE,E1130&lt;&gt;""),"HOLD",""))))</f>
        <v/>
      </c>
      <c r="G1130" s="12">
        <f>IF(D1130=TRUE,4,0)</f>
        <v/>
      </c>
      <c r="H1130">
        <f>IF(A1130="","",BDP(A1130&amp;" US Equity","GICS_SECTOR_NAME"))</f>
        <v/>
      </c>
    </row>
    <row r="1131">
      <c r="A1131">
        <f>'Factor Scores'!A1131</f>
        <v/>
      </c>
      <c r="B1131" s="10">
        <f>IF(A1131="","",0.40*'Factor Scores'!C1131+0.20*'Factor Scores'!E1131+0.20*'Factor Scores'!G1131+0.20*'Factor Scores'!H1131)</f>
        <v/>
      </c>
      <c r="C1131" s="12">
        <f>IF(B1131="","",RANK(B1131,$B$2:$B$2501,0))</f>
        <v/>
      </c>
      <c r="D1131">
        <f>IF(C1131="","",C1131&lt;=25)</f>
        <v/>
      </c>
      <c r="F1131">
        <f>IF(A1131="","",IF(AND(D1131=TRUE,E1131=""),"BUY",IF(AND(D1131=FALSE,E1131&lt;&gt;""),"SELL",IF(AND(D1131=TRUE,E1131&lt;&gt;""),"HOLD",""))))</f>
        <v/>
      </c>
      <c r="G1131" s="12">
        <f>IF(D1131=TRUE,4,0)</f>
        <v/>
      </c>
      <c r="H1131">
        <f>IF(A1131="","",BDP(A1131&amp;" US Equity","GICS_SECTOR_NAME"))</f>
        <v/>
      </c>
    </row>
    <row r="1132">
      <c r="A1132">
        <f>'Factor Scores'!A1132</f>
        <v/>
      </c>
      <c r="B1132" s="10">
        <f>IF(A1132="","",0.40*'Factor Scores'!C1132+0.20*'Factor Scores'!E1132+0.20*'Factor Scores'!G1132+0.20*'Factor Scores'!H1132)</f>
        <v/>
      </c>
      <c r="C1132" s="12">
        <f>IF(B1132="","",RANK(B1132,$B$2:$B$2501,0))</f>
        <v/>
      </c>
      <c r="D1132">
        <f>IF(C1132="","",C1132&lt;=25)</f>
        <v/>
      </c>
      <c r="F1132">
        <f>IF(A1132="","",IF(AND(D1132=TRUE,E1132=""),"BUY",IF(AND(D1132=FALSE,E1132&lt;&gt;""),"SELL",IF(AND(D1132=TRUE,E1132&lt;&gt;""),"HOLD",""))))</f>
        <v/>
      </c>
      <c r="G1132" s="12">
        <f>IF(D1132=TRUE,4,0)</f>
        <v/>
      </c>
      <c r="H1132">
        <f>IF(A1132="","",BDP(A1132&amp;" US Equity","GICS_SECTOR_NAME"))</f>
        <v/>
      </c>
    </row>
    <row r="1133">
      <c r="A1133">
        <f>'Factor Scores'!A1133</f>
        <v/>
      </c>
      <c r="B1133" s="10">
        <f>IF(A1133="","",0.40*'Factor Scores'!C1133+0.20*'Factor Scores'!E1133+0.20*'Factor Scores'!G1133+0.20*'Factor Scores'!H1133)</f>
        <v/>
      </c>
      <c r="C1133" s="12">
        <f>IF(B1133="","",RANK(B1133,$B$2:$B$2501,0))</f>
        <v/>
      </c>
      <c r="D1133">
        <f>IF(C1133="","",C1133&lt;=25)</f>
        <v/>
      </c>
      <c r="F1133">
        <f>IF(A1133="","",IF(AND(D1133=TRUE,E1133=""),"BUY",IF(AND(D1133=FALSE,E1133&lt;&gt;""),"SELL",IF(AND(D1133=TRUE,E1133&lt;&gt;""),"HOLD",""))))</f>
        <v/>
      </c>
      <c r="G1133" s="12">
        <f>IF(D1133=TRUE,4,0)</f>
        <v/>
      </c>
      <c r="H1133">
        <f>IF(A1133="","",BDP(A1133&amp;" US Equity","GICS_SECTOR_NAME"))</f>
        <v/>
      </c>
    </row>
    <row r="1134">
      <c r="A1134">
        <f>'Factor Scores'!A1134</f>
        <v/>
      </c>
      <c r="B1134" s="10">
        <f>IF(A1134="","",0.40*'Factor Scores'!C1134+0.20*'Factor Scores'!E1134+0.20*'Factor Scores'!G1134+0.20*'Factor Scores'!H1134)</f>
        <v/>
      </c>
      <c r="C1134" s="12">
        <f>IF(B1134="","",RANK(B1134,$B$2:$B$2501,0))</f>
        <v/>
      </c>
      <c r="D1134">
        <f>IF(C1134="","",C1134&lt;=25)</f>
        <v/>
      </c>
      <c r="F1134">
        <f>IF(A1134="","",IF(AND(D1134=TRUE,E1134=""),"BUY",IF(AND(D1134=FALSE,E1134&lt;&gt;""),"SELL",IF(AND(D1134=TRUE,E1134&lt;&gt;""),"HOLD",""))))</f>
        <v/>
      </c>
      <c r="G1134" s="12">
        <f>IF(D1134=TRUE,4,0)</f>
        <v/>
      </c>
      <c r="H1134">
        <f>IF(A1134="","",BDP(A1134&amp;" US Equity","GICS_SECTOR_NAME"))</f>
        <v/>
      </c>
    </row>
    <row r="1135">
      <c r="A1135">
        <f>'Factor Scores'!A1135</f>
        <v/>
      </c>
      <c r="B1135" s="10">
        <f>IF(A1135="","",0.40*'Factor Scores'!C1135+0.20*'Factor Scores'!E1135+0.20*'Factor Scores'!G1135+0.20*'Factor Scores'!H1135)</f>
        <v/>
      </c>
      <c r="C1135" s="12">
        <f>IF(B1135="","",RANK(B1135,$B$2:$B$2501,0))</f>
        <v/>
      </c>
      <c r="D1135">
        <f>IF(C1135="","",C1135&lt;=25)</f>
        <v/>
      </c>
      <c r="F1135">
        <f>IF(A1135="","",IF(AND(D1135=TRUE,E1135=""),"BUY",IF(AND(D1135=FALSE,E1135&lt;&gt;""),"SELL",IF(AND(D1135=TRUE,E1135&lt;&gt;""),"HOLD",""))))</f>
        <v/>
      </c>
      <c r="G1135" s="12">
        <f>IF(D1135=TRUE,4,0)</f>
        <v/>
      </c>
      <c r="H1135">
        <f>IF(A1135="","",BDP(A1135&amp;" US Equity","GICS_SECTOR_NAME"))</f>
        <v/>
      </c>
    </row>
    <row r="1136">
      <c r="A1136">
        <f>'Factor Scores'!A1136</f>
        <v/>
      </c>
      <c r="B1136" s="10">
        <f>IF(A1136="","",0.40*'Factor Scores'!C1136+0.20*'Factor Scores'!E1136+0.20*'Factor Scores'!G1136+0.20*'Factor Scores'!H1136)</f>
        <v/>
      </c>
      <c r="C1136" s="12">
        <f>IF(B1136="","",RANK(B1136,$B$2:$B$2501,0))</f>
        <v/>
      </c>
      <c r="D1136">
        <f>IF(C1136="","",C1136&lt;=25)</f>
        <v/>
      </c>
      <c r="F1136">
        <f>IF(A1136="","",IF(AND(D1136=TRUE,E1136=""),"BUY",IF(AND(D1136=FALSE,E1136&lt;&gt;""),"SELL",IF(AND(D1136=TRUE,E1136&lt;&gt;""),"HOLD",""))))</f>
        <v/>
      </c>
      <c r="G1136" s="12">
        <f>IF(D1136=TRUE,4,0)</f>
        <v/>
      </c>
      <c r="H1136">
        <f>IF(A1136="","",BDP(A1136&amp;" US Equity","GICS_SECTOR_NAME"))</f>
        <v/>
      </c>
    </row>
    <row r="1137">
      <c r="A1137">
        <f>'Factor Scores'!A1137</f>
        <v/>
      </c>
      <c r="B1137" s="10">
        <f>IF(A1137="","",0.40*'Factor Scores'!C1137+0.20*'Factor Scores'!E1137+0.20*'Factor Scores'!G1137+0.20*'Factor Scores'!H1137)</f>
        <v/>
      </c>
      <c r="C1137" s="12">
        <f>IF(B1137="","",RANK(B1137,$B$2:$B$2501,0))</f>
        <v/>
      </c>
      <c r="D1137">
        <f>IF(C1137="","",C1137&lt;=25)</f>
        <v/>
      </c>
      <c r="F1137">
        <f>IF(A1137="","",IF(AND(D1137=TRUE,E1137=""),"BUY",IF(AND(D1137=FALSE,E1137&lt;&gt;""),"SELL",IF(AND(D1137=TRUE,E1137&lt;&gt;""),"HOLD",""))))</f>
        <v/>
      </c>
      <c r="G1137" s="12">
        <f>IF(D1137=TRUE,4,0)</f>
        <v/>
      </c>
      <c r="H1137">
        <f>IF(A1137="","",BDP(A1137&amp;" US Equity","GICS_SECTOR_NAME"))</f>
        <v/>
      </c>
    </row>
    <row r="1138">
      <c r="A1138">
        <f>'Factor Scores'!A1138</f>
        <v/>
      </c>
      <c r="B1138" s="10">
        <f>IF(A1138="","",0.40*'Factor Scores'!C1138+0.20*'Factor Scores'!E1138+0.20*'Factor Scores'!G1138+0.20*'Factor Scores'!H1138)</f>
        <v/>
      </c>
      <c r="C1138" s="12">
        <f>IF(B1138="","",RANK(B1138,$B$2:$B$2501,0))</f>
        <v/>
      </c>
      <c r="D1138">
        <f>IF(C1138="","",C1138&lt;=25)</f>
        <v/>
      </c>
      <c r="F1138">
        <f>IF(A1138="","",IF(AND(D1138=TRUE,E1138=""),"BUY",IF(AND(D1138=FALSE,E1138&lt;&gt;""),"SELL",IF(AND(D1138=TRUE,E1138&lt;&gt;""),"HOLD",""))))</f>
        <v/>
      </c>
      <c r="G1138" s="12">
        <f>IF(D1138=TRUE,4,0)</f>
        <v/>
      </c>
      <c r="H1138">
        <f>IF(A1138="","",BDP(A1138&amp;" US Equity","GICS_SECTOR_NAME"))</f>
        <v/>
      </c>
    </row>
    <row r="1139">
      <c r="A1139">
        <f>'Factor Scores'!A1139</f>
        <v/>
      </c>
      <c r="B1139" s="10">
        <f>IF(A1139="","",0.40*'Factor Scores'!C1139+0.20*'Factor Scores'!E1139+0.20*'Factor Scores'!G1139+0.20*'Factor Scores'!H1139)</f>
        <v/>
      </c>
      <c r="C1139" s="12">
        <f>IF(B1139="","",RANK(B1139,$B$2:$B$2501,0))</f>
        <v/>
      </c>
      <c r="D1139">
        <f>IF(C1139="","",C1139&lt;=25)</f>
        <v/>
      </c>
      <c r="F1139">
        <f>IF(A1139="","",IF(AND(D1139=TRUE,E1139=""),"BUY",IF(AND(D1139=FALSE,E1139&lt;&gt;""),"SELL",IF(AND(D1139=TRUE,E1139&lt;&gt;""),"HOLD",""))))</f>
        <v/>
      </c>
      <c r="G1139" s="12">
        <f>IF(D1139=TRUE,4,0)</f>
        <v/>
      </c>
      <c r="H1139">
        <f>IF(A1139="","",BDP(A1139&amp;" US Equity","GICS_SECTOR_NAME"))</f>
        <v/>
      </c>
    </row>
    <row r="1140">
      <c r="A1140">
        <f>'Factor Scores'!A1140</f>
        <v/>
      </c>
      <c r="B1140" s="10">
        <f>IF(A1140="","",0.40*'Factor Scores'!C1140+0.20*'Factor Scores'!E1140+0.20*'Factor Scores'!G1140+0.20*'Factor Scores'!H1140)</f>
        <v/>
      </c>
      <c r="C1140" s="12">
        <f>IF(B1140="","",RANK(B1140,$B$2:$B$2501,0))</f>
        <v/>
      </c>
      <c r="D1140">
        <f>IF(C1140="","",C1140&lt;=25)</f>
        <v/>
      </c>
      <c r="F1140">
        <f>IF(A1140="","",IF(AND(D1140=TRUE,E1140=""),"BUY",IF(AND(D1140=FALSE,E1140&lt;&gt;""),"SELL",IF(AND(D1140=TRUE,E1140&lt;&gt;""),"HOLD",""))))</f>
        <v/>
      </c>
      <c r="G1140" s="12">
        <f>IF(D1140=TRUE,4,0)</f>
        <v/>
      </c>
      <c r="H1140">
        <f>IF(A1140="","",BDP(A1140&amp;" US Equity","GICS_SECTOR_NAME"))</f>
        <v/>
      </c>
    </row>
    <row r="1141">
      <c r="A1141">
        <f>'Factor Scores'!A1141</f>
        <v/>
      </c>
      <c r="B1141" s="10">
        <f>IF(A1141="","",0.40*'Factor Scores'!C1141+0.20*'Factor Scores'!E1141+0.20*'Factor Scores'!G1141+0.20*'Factor Scores'!H1141)</f>
        <v/>
      </c>
      <c r="C1141" s="12">
        <f>IF(B1141="","",RANK(B1141,$B$2:$B$2501,0))</f>
        <v/>
      </c>
      <c r="D1141">
        <f>IF(C1141="","",C1141&lt;=25)</f>
        <v/>
      </c>
      <c r="F1141">
        <f>IF(A1141="","",IF(AND(D1141=TRUE,E1141=""),"BUY",IF(AND(D1141=FALSE,E1141&lt;&gt;""),"SELL",IF(AND(D1141=TRUE,E1141&lt;&gt;""),"HOLD",""))))</f>
        <v/>
      </c>
      <c r="G1141" s="12">
        <f>IF(D1141=TRUE,4,0)</f>
        <v/>
      </c>
      <c r="H1141">
        <f>IF(A1141="","",BDP(A1141&amp;" US Equity","GICS_SECTOR_NAME"))</f>
        <v/>
      </c>
    </row>
    <row r="1142">
      <c r="A1142">
        <f>'Factor Scores'!A1142</f>
        <v/>
      </c>
      <c r="B1142" s="10">
        <f>IF(A1142="","",0.40*'Factor Scores'!C1142+0.20*'Factor Scores'!E1142+0.20*'Factor Scores'!G1142+0.20*'Factor Scores'!H1142)</f>
        <v/>
      </c>
      <c r="C1142" s="12">
        <f>IF(B1142="","",RANK(B1142,$B$2:$B$2501,0))</f>
        <v/>
      </c>
      <c r="D1142">
        <f>IF(C1142="","",C1142&lt;=25)</f>
        <v/>
      </c>
      <c r="F1142">
        <f>IF(A1142="","",IF(AND(D1142=TRUE,E1142=""),"BUY",IF(AND(D1142=FALSE,E1142&lt;&gt;""),"SELL",IF(AND(D1142=TRUE,E1142&lt;&gt;""),"HOLD",""))))</f>
        <v/>
      </c>
      <c r="G1142" s="12">
        <f>IF(D1142=TRUE,4,0)</f>
        <v/>
      </c>
      <c r="H1142">
        <f>IF(A1142="","",BDP(A1142&amp;" US Equity","GICS_SECTOR_NAME"))</f>
        <v/>
      </c>
    </row>
    <row r="1143">
      <c r="A1143">
        <f>'Factor Scores'!A1143</f>
        <v/>
      </c>
      <c r="B1143" s="10">
        <f>IF(A1143="","",0.40*'Factor Scores'!C1143+0.20*'Factor Scores'!E1143+0.20*'Factor Scores'!G1143+0.20*'Factor Scores'!H1143)</f>
        <v/>
      </c>
      <c r="C1143" s="12">
        <f>IF(B1143="","",RANK(B1143,$B$2:$B$2501,0))</f>
        <v/>
      </c>
      <c r="D1143">
        <f>IF(C1143="","",C1143&lt;=25)</f>
        <v/>
      </c>
      <c r="F1143">
        <f>IF(A1143="","",IF(AND(D1143=TRUE,E1143=""),"BUY",IF(AND(D1143=FALSE,E1143&lt;&gt;""),"SELL",IF(AND(D1143=TRUE,E1143&lt;&gt;""),"HOLD",""))))</f>
        <v/>
      </c>
      <c r="G1143" s="12">
        <f>IF(D1143=TRUE,4,0)</f>
        <v/>
      </c>
      <c r="H1143">
        <f>IF(A1143="","",BDP(A1143&amp;" US Equity","GICS_SECTOR_NAME"))</f>
        <v/>
      </c>
    </row>
    <row r="1144">
      <c r="A1144">
        <f>'Factor Scores'!A1144</f>
        <v/>
      </c>
      <c r="B1144" s="10">
        <f>IF(A1144="","",0.40*'Factor Scores'!C1144+0.20*'Factor Scores'!E1144+0.20*'Factor Scores'!G1144+0.20*'Factor Scores'!H1144)</f>
        <v/>
      </c>
      <c r="C1144" s="12">
        <f>IF(B1144="","",RANK(B1144,$B$2:$B$2501,0))</f>
        <v/>
      </c>
      <c r="D1144">
        <f>IF(C1144="","",C1144&lt;=25)</f>
        <v/>
      </c>
      <c r="F1144">
        <f>IF(A1144="","",IF(AND(D1144=TRUE,E1144=""),"BUY",IF(AND(D1144=FALSE,E1144&lt;&gt;""),"SELL",IF(AND(D1144=TRUE,E1144&lt;&gt;""),"HOLD",""))))</f>
        <v/>
      </c>
      <c r="G1144" s="12">
        <f>IF(D1144=TRUE,4,0)</f>
        <v/>
      </c>
      <c r="H1144">
        <f>IF(A1144="","",BDP(A1144&amp;" US Equity","GICS_SECTOR_NAME"))</f>
        <v/>
      </c>
    </row>
    <row r="1145">
      <c r="A1145">
        <f>'Factor Scores'!A1145</f>
        <v/>
      </c>
      <c r="B1145" s="10">
        <f>IF(A1145="","",0.40*'Factor Scores'!C1145+0.20*'Factor Scores'!E1145+0.20*'Factor Scores'!G1145+0.20*'Factor Scores'!H1145)</f>
        <v/>
      </c>
      <c r="C1145" s="12">
        <f>IF(B1145="","",RANK(B1145,$B$2:$B$2501,0))</f>
        <v/>
      </c>
      <c r="D1145">
        <f>IF(C1145="","",C1145&lt;=25)</f>
        <v/>
      </c>
      <c r="F1145">
        <f>IF(A1145="","",IF(AND(D1145=TRUE,E1145=""),"BUY",IF(AND(D1145=FALSE,E1145&lt;&gt;""),"SELL",IF(AND(D1145=TRUE,E1145&lt;&gt;""),"HOLD",""))))</f>
        <v/>
      </c>
      <c r="G1145" s="12">
        <f>IF(D1145=TRUE,4,0)</f>
        <v/>
      </c>
      <c r="H1145">
        <f>IF(A1145="","",BDP(A1145&amp;" US Equity","GICS_SECTOR_NAME"))</f>
        <v/>
      </c>
    </row>
    <row r="1146">
      <c r="A1146">
        <f>'Factor Scores'!A1146</f>
        <v/>
      </c>
      <c r="B1146" s="10">
        <f>IF(A1146="","",0.40*'Factor Scores'!C1146+0.20*'Factor Scores'!E1146+0.20*'Factor Scores'!G1146+0.20*'Factor Scores'!H1146)</f>
        <v/>
      </c>
      <c r="C1146" s="12">
        <f>IF(B1146="","",RANK(B1146,$B$2:$B$2501,0))</f>
        <v/>
      </c>
      <c r="D1146">
        <f>IF(C1146="","",C1146&lt;=25)</f>
        <v/>
      </c>
      <c r="F1146">
        <f>IF(A1146="","",IF(AND(D1146=TRUE,E1146=""),"BUY",IF(AND(D1146=FALSE,E1146&lt;&gt;""),"SELL",IF(AND(D1146=TRUE,E1146&lt;&gt;""),"HOLD",""))))</f>
        <v/>
      </c>
      <c r="G1146" s="12">
        <f>IF(D1146=TRUE,4,0)</f>
        <v/>
      </c>
      <c r="H1146">
        <f>IF(A1146="","",BDP(A1146&amp;" US Equity","GICS_SECTOR_NAME"))</f>
        <v/>
      </c>
    </row>
    <row r="1147">
      <c r="A1147">
        <f>'Factor Scores'!A1147</f>
        <v/>
      </c>
      <c r="B1147" s="10">
        <f>IF(A1147="","",0.40*'Factor Scores'!C1147+0.20*'Factor Scores'!E1147+0.20*'Factor Scores'!G1147+0.20*'Factor Scores'!H1147)</f>
        <v/>
      </c>
      <c r="C1147" s="12">
        <f>IF(B1147="","",RANK(B1147,$B$2:$B$2501,0))</f>
        <v/>
      </c>
      <c r="D1147">
        <f>IF(C1147="","",C1147&lt;=25)</f>
        <v/>
      </c>
      <c r="F1147">
        <f>IF(A1147="","",IF(AND(D1147=TRUE,E1147=""),"BUY",IF(AND(D1147=FALSE,E1147&lt;&gt;""),"SELL",IF(AND(D1147=TRUE,E1147&lt;&gt;""),"HOLD",""))))</f>
        <v/>
      </c>
      <c r="G1147" s="12">
        <f>IF(D1147=TRUE,4,0)</f>
        <v/>
      </c>
      <c r="H1147">
        <f>IF(A1147="","",BDP(A1147&amp;" US Equity","GICS_SECTOR_NAME"))</f>
        <v/>
      </c>
    </row>
    <row r="1148">
      <c r="A1148">
        <f>'Factor Scores'!A1148</f>
        <v/>
      </c>
      <c r="B1148" s="10">
        <f>IF(A1148="","",0.40*'Factor Scores'!C1148+0.20*'Factor Scores'!E1148+0.20*'Factor Scores'!G1148+0.20*'Factor Scores'!H1148)</f>
        <v/>
      </c>
      <c r="C1148" s="12">
        <f>IF(B1148="","",RANK(B1148,$B$2:$B$2501,0))</f>
        <v/>
      </c>
      <c r="D1148">
        <f>IF(C1148="","",C1148&lt;=25)</f>
        <v/>
      </c>
      <c r="F1148">
        <f>IF(A1148="","",IF(AND(D1148=TRUE,E1148=""),"BUY",IF(AND(D1148=FALSE,E1148&lt;&gt;""),"SELL",IF(AND(D1148=TRUE,E1148&lt;&gt;""),"HOLD",""))))</f>
        <v/>
      </c>
      <c r="G1148" s="12">
        <f>IF(D1148=TRUE,4,0)</f>
        <v/>
      </c>
      <c r="H1148">
        <f>IF(A1148="","",BDP(A1148&amp;" US Equity","GICS_SECTOR_NAME"))</f>
        <v/>
      </c>
    </row>
    <row r="1149">
      <c r="A1149">
        <f>'Factor Scores'!A1149</f>
        <v/>
      </c>
      <c r="B1149" s="10">
        <f>IF(A1149="","",0.40*'Factor Scores'!C1149+0.20*'Factor Scores'!E1149+0.20*'Factor Scores'!G1149+0.20*'Factor Scores'!H1149)</f>
        <v/>
      </c>
      <c r="C1149" s="12">
        <f>IF(B1149="","",RANK(B1149,$B$2:$B$2501,0))</f>
        <v/>
      </c>
      <c r="D1149">
        <f>IF(C1149="","",C1149&lt;=25)</f>
        <v/>
      </c>
      <c r="F1149">
        <f>IF(A1149="","",IF(AND(D1149=TRUE,E1149=""),"BUY",IF(AND(D1149=FALSE,E1149&lt;&gt;""),"SELL",IF(AND(D1149=TRUE,E1149&lt;&gt;""),"HOLD",""))))</f>
        <v/>
      </c>
      <c r="G1149" s="12">
        <f>IF(D1149=TRUE,4,0)</f>
        <v/>
      </c>
      <c r="H1149">
        <f>IF(A1149="","",BDP(A1149&amp;" US Equity","GICS_SECTOR_NAME"))</f>
        <v/>
      </c>
    </row>
    <row r="1150">
      <c r="A1150">
        <f>'Factor Scores'!A1150</f>
        <v/>
      </c>
      <c r="B1150" s="10">
        <f>IF(A1150="","",0.40*'Factor Scores'!C1150+0.20*'Factor Scores'!E1150+0.20*'Factor Scores'!G1150+0.20*'Factor Scores'!H1150)</f>
        <v/>
      </c>
      <c r="C1150" s="12">
        <f>IF(B1150="","",RANK(B1150,$B$2:$B$2501,0))</f>
        <v/>
      </c>
      <c r="D1150">
        <f>IF(C1150="","",C1150&lt;=25)</f>
        <v/>
      </c>
      <c r="F1150">
        <f>IF(A1150="","",IF(AND(D1150=TRUE,E1150=""),"BUY",IF(AND(D1150=FALSE,E1150&lt;&gt;""),"SELL",IF(AND(D1150=TRUE,E1150&lt;&gt;""),"HOLD",""))))</f>
        <v/>
      </c>
      <c r="G1150" s="12">
        <f>IF(D1150=TRUE,4,0)</f>
        <v/>
      </c>
      <c r="H1150">
        <f>IF(A1150="","",BDP(A1150&amp;" US Equity","GICS_SECTOR_NAME"))</f>
        <v/>
      </c>
    </row>
    <row r="1151">
      <c r="A1151">
        <f>'Factor Scores'!A1151</f>
        <v/>
      </c>
      <c r="B1151" s="10">
        <f>IF(A1151="","",0.40*'Factor Scores'!C1151+0.20*'Factor Scores'!E1151+0.20*'Factor Scores'!G1151+0.20*'Factor Scores'!H1151)</f>
        <v/>
      </c>
      <c r="C1151" s="12">
        <f>IF(B1151="","",RANK(B1151,$B$2:$B$2501,0))</f>
        <v/>
      </c>
      <c r="D1151">
        <f>IF(C1151="","",C1151&lt;=25)</f>
        <v/>
      </c>
      <c r="F1151">
        <f>IF(A1151="","",IF(AND(D1151=TRUE,E1151=""),"BUY",IF(AND(D1151=FALSE,E1151&lt;&gt;""),"SELL",IF(AND(D1151=TRUE,E1151&lt;&gt;""),"HOLD",""))))</f>
        <v/>
      </c>
      <c r="G1151" s="12">
        <f>IF(D1151=TRUE,4,0)</f>
        <v/>
      </c>
      <c r="H1151">
        <f>IF(A1151="","",BDP(A1151&amp;" US Equity","GICS_SECTOR_NAME"))</f>
        <v/>
      </c>
    </row>
    <row r="1152">
      <c r="A1152">
        <f>'Factor Scores'!A1152</f>
        <v/>
      </c>
      <c r="B1152" s="10">
        <f>IF(A1152="","",0.40*'Factor Scores'!C1152+0.20*'Factor Scores'!E1152+0.20*'Factor Scores'!G1152+0.20*'Factor Scores'!H1152)</f>
        <v/>
      </c>
      <c r="C1152" s="12">
        <f>IF(B1152="","",RANK(B1152,$B$2:$B$2501,0))</f>
        <v/>
      </c>
      <c r="D1152">
        <f>IF(C1152="","",C1152&lt;=25)</f>
        <v/>
      </c>
      <c r="F1152">
        <f>IF(A1152="","",IF(AND(D1152=TRUE,E1152=""),"BUY",IF(AND(D1152=FALSE,E1152&lt;&gt;""),"SELL",IF(AND(D1152=TRUE,E1152&lt;&gt;""),"HOLD",""))))</f>
        <v/>
      </c>
      <c r="G1152" s="12">
        <f>IF(D1152=TRUE,4,0)</f>
        <v/>
      </c>
      <c r="H1152">
        <f>IF(A1152="","",BDP(A1152&amp;" US Equity","GICS_SECTOR_NAME"))</f>
        <v/>
      </c>
    </row>
    <row r="1153">
      <c r="A1153">
        <f>'Factor Scores'!A1153</f>
        <v/>
      </c>
      <c r="B1153" s="10">
        <f>IF(A1153="","",0.40*'Factor Scores'!C1153+0.20*'Factor Scores'!E1153+0.20*'Factor Scores'!G1153+0.20*'Factor Scores'!H1153)</f>
        <v/>
      </c>
      <c r="C1153" s="12">
        <f>IF(B1153="","",RANK(B1153,$B$2:$B$2501,0))</f>
        <v/>
      </c>
      <c r="D1153">
        <f>IF(C1153="","",C1153&lt;=25)</f>
        <v/>
      </c>
      <c r="F1153">
        <f>IF(A1153="","",IF(AND(D1153=TRUE,E1153=""),"BUY",IF(AND(D1153=FALSE,E1153&lt;&gt;""),"SELL",IF(AND(D1153=TRUE,E1153&lt;&gt;""),"HOLD",""))))</f>
        <v/>
      </c>
      <c r="G1153" s="12">
        <f>IF(D1153=TRUE,4,0)</f>
        <v/>
      </c>
      <c r="H1153">
        <f>IF(A1153="","",BDP(A1153&amp;" US Equity","GICS_SECTOR_NAME"))</f>
        <v/>
      </c>
    </row>
    <row r="1154">
      <c r="A1154">
        <f>'Factor Scores'!A1154</f>
        <v/>
      </c>
      <c r="B1154" s="10">
        <f>IF(A1154="","",0.40*'Factor Scores'!C1154+0.20*'Factor Scores'!E1154+0.20*'Factor Scores'!G1154+0.20*'Factor Scores'!H1154)</f>
        <v/>
      </c>
      <c r="C1154" s="12">
        <f>IF(B1154="","",RANK(B1154,$B$2:$B$2501,0))</f>
        <v/>
      </c>
      <c r="D1154">
        <f>IF(C1154="","",C1154&lt;=25)</f>
        <v/>
      </c>
      <c r="F1154">
        <f>IF(A1154="","",IF(AND(D1154=TRUE,E1154=""),"BUY",IF(AND(D1154=FALSE,E1154&lt;&gt;""),"SELL",IF(AND(D1154=TRUE,E1154&lt;&gt;""),"HOLD",""))))</f>
        <v/>
      </c>
      <c r="G1154" s="12">
        <f>IF(D1154=TRUE,4,0)</f>
        <v/>
      </c>
      <c r="H1154">
        <f>IF(A1154="","",BDP(A1154&amp;" US Equity","GICS_SECTOR_NAME"))</f>
        <v/>
      </c>
    </row>
    <row r="1155">
      <c r="A1155">
        <f>'Factor Scores'!A1155</f>
        <v/>
      </c>
      <c r="B1155" s="10">
        <f>IF(A1155="","",0.40*'Factor Scores'!C1155+0.20*'Factor Scores'!E1155+0.20*'Factor Scores'!G1155+0.20*'Factor Scores'!H1155)</f>
        <v/>
      </c>
      <c r="C1155" s="12">
        <f>IF(B1155="","",RANK(B1155,$B$2:$B$2501,0))</f>
        <v/>
      </c>
      <c r="D1155">
        <f>IF(C1155="","",C1155&lt;=25)</f>
        <v/>
      </c>
      <c r="F1155">
        <f>IF(A1155="","",IF(AND(D1155=TRUE,E1155=""),"BUY",IF(AND(D1155=FALSE,E1155&lt;&gt;""),"SELL",IF(AND(D1155=TRUE,E1155&lt;&gt;""),"HOLD",""))))</f>
        <v/>
      </c>
      <c r="G1155" s="12">
        <f>IF(D1155=TRUE,4,0)</f>
        <v/>
      </c>
      <c r="H1155">
        <f>IF(A1155="","",BDP(A1155&amp;" US Equity","GICS_SECTOR_NAME"))</f>
        <v/>
      </c>
    </row>
    <row r="1156">
      <c r="A1156">
        <f>'Factor Scores'!A1156</f>
        <v/>
      </c>
      <c r="B1156" s="10">
        <f>IF(A1156="","",0.40*'Factor Scores'!C1156+0.20*'Factor Scores'!E1156+0.20*'Factor Scores'!G1156+0.20*'Factor Scores'!H1156)</f>
        <v/>
      </c>
      <c r="C1156" s="12">
        <f>IF(B1156="","",RANK(B1156,$B$2:$B$2501,0))</f>
        <v/>
      </c>
      <c r="D1156">
        <f>IF(C1156="","",C1156&lt;=25)</f>
        <v/>
      </c>
      <c r="F1156">
        <f>IF(A1156="","",IF(AND(D1156=TRUE,E1156=""),"BUY",IF(AND(D1156=FALSE,E1156&lt;&gt;""),"SELL",IF(AND(D1156=TRUE,E1156&lt;&gt;""),"HOLD",""))))</f>
        <v/>
      </c>
      <c r="G1156" s="12">
        <f>IF(D1156=TRUE,4,0)</f>
        <v/>
      </c>
      <c r="H1156">
        <f>IF(A1156="","",BDP(A1156&amp;" US Equity","GICS_SECTOR_NAME"))</f>
        <v/>
      </c>
    </row>
    <row r="1157">
      <c r="A1157">
        <f>'Factor Scores'!A1157</f>
        <v/>
      </c>
      <c r="B1157" s="10">
        <f>IF(A1157="","",0.40*'Factor Scores'!C1157+0.20*'Factor Scores'!E1157+0.20*'Factor Scores'!G1157+0.20*'Factor Scores'!H1157)</f>
        <v/>
      </c>
      <c r="C1157" s="12">
        <f>IF(B1157="","",RANK(B1157,$B$2:$B$2501,0))</f>
        <v/>
      </c>
      <c r="D1157">
        <f>IF(C1157="","",C1157&lt;=25)</f>
        <v/>
      </c>
      <c r="F1157">
        <f>IF(A1157="","",IF(AND(D1157=TRUE,E1157=""),"BUY",IF(AND(D1157=FALSE,E1157&lt;&gt;""),"SELL",IF(AND(D1157=TRUE,E1157&lt;&gt;""),"HOLD",""))))</f>
        <v/>
      </c>
      <c r="G1157" s="12">
        <f>IF(D1157=TRUE,4,0)</f>
        <v/>
      </c>
      <c r="H1157">
        <f>IF(A1157="","",BDP(A1157&amp;" US Equity","GICS_SECTOR_NAME"))</f>
        <v/>
      </c>
    </row>
    <row r="1158">
      <c r="A1158">
        <f>'Factor Scores'!A1158</f>
        <v/>
      </c>
      <c r="B1158" s="10">
        <f>IF(A1158="","",0.40*'Factor Scores'!C1158+0.20*'Factor Scores'!E1158+0.20*'Factor Scores'!G1158+0.20*'Factor Scores'!H1158)</f>
        <v/>
      </c>
      <c r="C1158" s="12">
        <f>IF(B1158="","",RANK(B1158,$B$2:$B$2501,0))</f>
        <v/>
      </c>
      <c r="D1158">
        <f>IF(C1158="","",C1158&lt;=25)</f>
        <v/>
      </c>
      <c r="F1158">
        <f>IF(A1158="","",IF(AND(D1158=TRUE,E1158=""),"BUY",IF(AND(D1158=FALSE,E1158&lt;&gt;""),"SELL",IF(AND(D1158=TRUE,E1158&lt;&gt;""),"HOLD",""))))</f>
        <v/>
      </c>
      <c r="G1158" s="12">
        <f>IF(D1158=TRUE,4,0)</f>
        <v/>
      </c>
      <c r="H1158">
        <f>IF(A1158="","",BDP(A1158&amp;" US Equity","GICS_SECTOR_NAME"))</f>
        <v/>
      </c>
    </row>
    <row r="1159">
      <c r="A1159">
        <f>'Factor Scores'!A1159</f>
        <v/>
      </c>
      <c r="B1159" s="10">
        <f>IF(A1159="","",0.40*'Factor Scores'!C1159+0.20*'Factor Scores'!E1159+0.20*'Factor Scores'!G1159+0.20*'Factor Scores'!H1159)</f>
        <v/>
      </c>
      <c r="C1159" s="12">
        <f>IF(B1159="","",RANK(B1159,$B$2:$B$2501,0))</f>
        <v/>
      </c>
      <c r="D1159">
        <f>IF(C1159="","",C1159&lt;=25)</f>
        <v/>
      </c>
      <c r="F1159">
        <f>IF(A1159="","",IF(AND(D1159=TRUE,E1159=""),"BUY",IF(AND(D1159=FALSE,E1159&lt;&gt;""),"SELL",IF(AND(D1159=TRUE,E1159&lt;&gt;""),"HOLD",""))))</f>
        <v/>
      </c>
      <c r="G1159" s="12">
        <f>IF(D1159=TRUE,4,0)</f>
        <v/>
      </c>
      <c r="H1159">
        <f>IF(A1159="","",BDP(A1159&amp;" US Equity","GICS_SECTOR_NAME"))</f>
        <v/>
      </c>
    </row>
    <row r="1160">
      <c r="A1160">
        <f>'Factor Scores'!A1160</f>
        <v/>
      </c>
      <c r="B1160" s="10">
        <f>IF(A1160="","",0.40*'Factor Scores'!C1160+0.20*'Factor Scores'!E1160+0.20*'Factor Scores'!G1160+0.20*'Factor Scores'!H1160)</f>
        <v/>
      </c>
      <c r="C1160" s="12">
        <f>IF(B1160="","",RANK(B1160,$B$2:$B$2501,0))</f>
        <v/>
      </c>
      <c r="D1160">
        <f>IF(C1160="","",C1160&lt;=25)</f>
        <v/>
      </c>
      <c r="F1160">
        <f>IF(A1160="","",IF(AND(D1160=TRUE,E1160=""),"BUY",IF(AND(D1160=FALSE,E1160&lt;&gt;""),"SELL",IF(AND(D1160=TRUE,E1160&lt;&gt;""),"HOLD",""))))</f>
        <v/>
      </c>
      <c r="G1160" s="12">
        <f>IF(D1160=TRUE,4,0)</f>
        <v/>
      </c>
      <c r="H1160">
        <f>IF(A1160="","",BDP(A1160&amp;" US Equity","GICS_SECTOR_NAME"))</f>
        <v/>
      </c>
    </row>
    <row r="1161">
      <c r="A1161">
        <f>'Factor Scores'!A1161</f>
        <v/>
      </c>
      <c r="B1161" s="10">
        <f>IF(A1161="","",0.40*'Factor Scores'!C1161+0.20*'Factor Scores'!E1161+0.20*'Factor Scores'!G1161+0.20*'Factor Scores'!H1161)</f>
        <v/>
      </c>
      <c r="C1161" s="12">
        <f>IF(B1161="","",RANK(B1161,$B$2:$B$2501,0))</f>
        <v/>
      </c>
      <c r="D1161">
        <f>IF(C1161="","",C1161&lt;=25)</f>
        <v/>
      </c>
      <c r="F1161">
        <f>IF(A1161="","",IF(AND(D1161=TRUE,E1161=""),"BUY",IF(AND(D1161=FALSE,E1161&lt;&gt;""),"SELL",IF(AND(D1161=TRUE,E1161&lt;&gt;""),"HOLD",""))))</f>
        <v/>
      </c>
      <c r="G1161" s="12">
        <f>IF(D1161=TRUE,4,0)</f>
        <v/>
      </c>
      <c r="H1161">
        <f>IF(A1161="","",BDP(A1161&amp;" US Equity","GICS_SECTOR_NAME"))</f>
        <v/>
      </c>
    </row>
    <row r="1162">
      <c r="A1162">
        <f>'Factor Scores'!A1162</f>
        <v/>
      </c>
      <c r="B1162" s="10">
        <f>IF(A1162="","",0.40*'Factor Scores'!C1162+0.20*'Factor Scores'!E1162+0.20*'Factor Scores'!G1162+0.20*'Factor Scores'!H1162)</f>
        <v/>
      </c>
      <c r="C1162" s="12">
        <f>IF(B1162="","",RANK(B1162,$B$2:$B$2501,0))</f>
        <v/>
      </c>
      <c r="D1162">
        <f>IF(C1162="","",C1162&lt;=25)</f>
        <v/>
      </c>
      <c r="F1162">
        <f>IF(A1162="","",IF(AND(D1162=TRUE,E1162=""),"BUY",IF(AND(D1162=FALSE,E1162&lt;&gt;""),"SELL",IF(AND(D1162=TRUE,E1162&lt;&gt;""),"HOLD",""))))</f>
        <v/>
      </c>
      <c r="G1162" s="12">
        <f>IF(D1162=TRUE,4,0)</f>
        <v/>
      </c>
      <c r="H1162">
        <f>IF(A1162="","",BDP(A1162&amp;" US Equity","GICS_SECTOR_NAME"))</f>
        <v/>
      </c>
    </row>
    <row r="1163">
      <c r="A1163">
        <f>'Factor Scores'!A1163</f>
        <v/>
      </c>
      <c r="B1163" s="10">
        <f>IF(A1163="","",0.40*'Factor Scores'!C1163+0.20*'Factor Scores'!E1163+0.20*'Factor Scores'!G1163+0.20*'Factor Scores'!H1163)</f>
        <v/>
      </c>
      <c r="C1163" s="12">
        <f>IF(B1163="","",RANK(B1163,$B$2:$B$2501,0))</f>
        <v/>
      </c>
      <c r="D1163">
        <f>IF(C1163="","",C1163&lt;=25)</f>
        <v/>
      </c>
      <c r="F1163">
        <f>IF(A1163="","",IF(AND(D1163=TRUE,E1163=""),"BUY",IF(AND(D1163=FALSE,E1163&lt;&gt;""),"SELL",IF(AND(D1163=TRUE,E1163&lt;&gt;""),"HOLD",""))))</f>
        <v/>
      </c>
      <c r="G1163" s="12">
        <f>IF(D1163=TRUE,4,0)</f>
        <v/>
      </c>
      <c r="H1163">
        <f>IF(A1163="","",BDP(A1163&amp;" US Equity","GICS_SECTOR_NAME"))</f>
        <v/>
      </c>
    </row>
    <row r="1164">
      <c r="A1164">
        <f>'Factor Scores'!A1164</f>
        <v/>
      </c>
      <c r="B1164" s="10">
        <f>IF(A1164="","",0.40*'Factor Scores'!C1164+0.20*'Factor Scores'!E1164+0.20*'Factor Scores'!G1164+0.20*'Factor Scores'!H1164)</f>
        <v/>
      </c>
      <c r="C1164" s="12">
        <f>IF(B1164="","",RANK(B1164,$B$2:$B$2501,0))</f>
        <v/>
      </c>
      <c r="D1164">
        <f>IF(C1164="","",C1164&lt;=25)</f>
        <v/>
      </c>
      <c r="F1164">
        <f>IF(A1164="","",IF(AND(D1164=TRUE,E1164=""),"BUY",IF(AND(D1164=FALSE,E1164&lt;&gt;""),"SELL",IF(AND(D1164=TRUE,E1164&lt;&gt;""),"HOLD",""))))</f>
        <v/>
      </c>
      <c r="G1164" s="12">
        <f>IF(D1164=TRUE,4,0)</f>
        <v/>
      </c>
      <c r="H1164">
        <f>IF(A1164="","",BDP(A1164&amp;" US Equity","GICS_SECTOR_NAME"))</f>
        <v/>
      </c>
    </row>
    <row r="1165">
      <c r="A1165">
        <f>'Factor Scores'!A1165</f>
        <v/>
      </c>
      <c r="B1165" s="10">
        <f>IF(A1165="","",0.40*'Factor Scores'!C1165+0.20*'Factor Scores'!E1165+0.20*'Factor Scores'!G1165+0.20*'Factor Scores'!H1165)</f>
        <v/>
      </c>
      <c r="C1165" s="12">
        <f>IF(B1165="","",RANK(B1165,$B$2:$B$2501,0))</f>
        <v/>
      </c>
      <c r="D1165">
        <f>IF(C1165="","",C1165&lt;=25)</f>
        <v/>
      </c>
      <c r="F1165">
        <f>IF(A1165="","",IF(AND(D1165=TRUE,E1165=""),"BUY",IF(AND(D1165=FALSE,E1165&lt;&gt;""),"SELL",IF(AND(D1165=TRUE,E1165&lt;&gt;""),"HOLD",""))))</f>
        <v/>
      </c>
      <c r="G1165" s="12">
        <f>IF(D1165=TRUE,4,0)</f>
        <v/>
      </c>
      <c r="H1165">
        <f>IF(A1165="","",BDP(A1165&amp;" US Equity","GICS_SECTOR_NAME"))</f>
        <v/>
      </c>
    </row>
    <row r="1166">
      <c r="A1166">
        <f>'Factor Scores'!A1166</f>
        <v/>
      </c>
      <c r="B1166" s="10">
        <f>IF(A1166="","",0.40*'Factor Scores'!C1166+0.20*'Factor Scores'!E1166+0.20*'Factor Scores'!G1166+0.20*'Factor Scores'!H1166)</f>
        <v/>
      </c>
      <c r="C1166" s="12">
        <f>IF(B1166="","",RANK(B1166,$B$2:$B$2501,0))</f>
        <v/>
      </c>
      <c r="D1166">
        <f>IF(C1166="","",C1166&lt;=25)</f>
        <v/>
      </c>
      <c r="F1166">
        <f>IF(A1166="","",IF(AND(D1166=TRUE,E1166=""),"BUY",IF(AND(D1166=FALSE,E1166&lt;&gt;""),"SELL",IF(AND(D1166=TRUE,E1166&lt;&gt;""),"HOLD",""))))</f>
        <v/>
      </c>
      <c r="G1166" s="12">
        <f>IF(D1166=TRUE,4,0)</f>
        <v/>
      </c>
      <c r="H1166">
        <f>IF(A1166="","",BDP(A1166&amp;" US Equity","GICS_SECTOR_NAME"))</f>
        <v/>
      </c>
    </row>
    <row r="1167">
      <c r="A1167">
        <f>'Factor Scores'!A1167</f>
        <v/>
      </c>
      <c r="B1167" s="10">
        <f>IF(A1167="","",0.40*'Factor Scores'!C1167+0.20*'Factor Scores'!E1167+0.20*'Factor Scores'!G1167+0.20*'Factor Scores'!H1167)</f>
        <v/>
      </c>
      <c r="C1167" s="12">
        <f>IF(B1167="","",RANK(B1167,$B$2:$B$2501,0))</f>
        <v/>
      </c>
      <c r="D1167">
        <f>IF(C1167="","",C1167&lt;=25)</f>
        <v/>
      </c>
      <c r="F1167">
        <f>IF(A1167="","",IF(AND(D1167=TRUE,E1167=""),"BUY",IF(AND(D1167=FALSE,E1167&lt;&gt;""),"SELL",IF(AND(D1167=TRUE,E1167&lt;&gt;""),"HOLD",""))))</f>
        <v/>
      </c>
      <c r="G1167" s="12">
        <f>IF(D1167=TRUE,4,0)</f>
        <v/>
      </c>
      <c r="H1167">
        <f>IF(A1167="","",BDP(A1167&amp;" US Equity","GICS_SECTOR_NAME"))</f>
        <v/>
      </c>
    </row>
    <row r="1168">
      <c r="A1168">
        <f>'Factor Scores'!A1168</f>
        <v/>
      </c>
      <c r="B1168" s="10">
        <f>IF(A1168="","",0.40*'Factor Scores'!C1168+0.20*'Factor Scores'!E1168+0.20*'Factor Scores'!G1168+0.20*'Factor Scores'!H1168)</f>
        <v/>
      </c>
      <c r="C1168" s="12">
        <f>IF(B1168="","",RANK(B1168,$B$2:$B$2501,0))</f>
        <v/>
      </c>
      <c r="D1168">
        <f>IF(C1168="","",C1168&lt;=25)</f>
        <v/>
      </c>
      <c r="F1168">
        <f>IF(A1168="","",IF(AND(D1168=TRUE,E1168=""),"BUY",IF(AND(D1168=FALSE,E1168&lt;&gt;""),"SELL",IF(AND(D1168=TRUE,E1168&lt;&gt;""),"HOLD",""))))</f>
        <v/>
      </c>
      <c r="G1168" s="12">
        <f>IF(D1168=TRUE,4,0)</f>
        <v/>
      </c>
      <c r="H1168">
        <f>IF(A1168="","",BDP(A1168&amp;" US Equity","GICS_SECTOR_NAME"))</f>
        <v/>
      </c>
    </row>
    <row r="1169">
      <c r="A1169">
        <f>'Factor Scores'!A1169</f>
        <v/>
      </c>
      <c r="B1169" s="10">
        <f>IF(A1169="","",0.40*'Factor Scores'!C1169+0.20*'Factor Scores'!E1169+0.20*'Factor Scores'!G1169+0.20*'Factor Scores'!H1169)</f>
        <v/>
      </c>
      <c r="C1169" s="12">
        <f>IF(B1169="","",RANK(B1169,$B$2:$B$2501,0))</f>
        <v/>
      </c>
      <c r="D1169">
        <f>IF(C1169="","",C1169&lt;=25)</f>
        <v/>
      </c>
      <c r="F1169">
        <f>IF(A1169="","",IF(AND(D1169=TRUE,E1169=""),"BUY",IF(AND(D1169=FALSE,E1169&lt;&gt;""),"SELL",IF(AND(D1169=TRUE,E1169&lt;&gt;""),"HOLD",""))))</f>
        <v/>
      </c>
      <c r="G1169" s="12">
        <f>IF(D1169=TRUE,4,0)</f>
        <v/>
      </c>
      <c r="H1169">
        <f>IF(A1169="","",BDP(A1169&amp;" US Equity","GICS_SECTOR_NAME"))</f>
        <v/>
      </c>
    </row>
    <row r="1170">
      <c r="A1170">
        <f>'Factor Scores'!A1170</f>
        <v/>
      </c>
      <c r="B1170" s="10">
        <f>IF(A1170="","",0.40*'Factor Scores'!C1170+0.20*'Factor Scores'!E1170+0.20*'Factor Scores'!G1170+0.20*'Factor Scores'!H1170)</f>
        <v/>
      </c>
      <c r="C1170" s="12">
        <f>IF(B1170="","",RANK(B1170,$B$2:$B$2501,0))</f>
        <v/>
      </c>
      <c r="D1170">
        <f>IF(C1170="","",C1170&lt;=25)</f>
        <v/>
      </c>
      <c r="F1170">
        <f>IF(A1170="","",IF(AND(D1170=TRUE,E1170=""),"BUY",IF(AND(D1170=FALSE,E1170&lt;&gt;""),"SELL",IF(AND(D1170=TRUE,E1170&lt;&gt;""),"HOLD",""))))</f>
        <v/>
      </c>
      <c r="G1170" s="12">
        <f>IF(D1170=TRUE,4,0)</f>
        <v/>
      </c>
      <c r="H1170">
        <f>IF(A1170="","",BDP(A1170&amp;" US Equity","GICS_SECTOR_NAME"))</f>
        <v/>
      </c>
    </row>
    <row r="1171">
      <c r="A1171">
        <f>'Factor Scores'!A1171</f>
        <v/>
      </c>
      <c r="B1171" s="10">
        <f>IF(A1171="","",0.40*'Factor Scores'!C1171+0.20*'Factor Scores'!E1171+0.20*'Factor Scores'!G1171+0.20*'Factor Scores'!H1171)</f>
        <v/>
      </c>
      <c r="C1171" s="12">
        <f>IF(B1171="","",RANK(B1171,$B$2:$B$2501,0))</f>
        <v/>
      </c>
      <c r="D1171">
        <f>IF(C1171="","",C1171&lt;=25)</f>
        <v/>
      </c>
      <c r="F1171">
        <f>IF(A1171="","",IF(AND(D1171=TRUE,E1171=""),"BUY",IF(AND(D1171=FALSE,E1171&lt;&gt;""),"SELL",IF(AND(D1171=TRUE,E1171&lt;&gt;""),"HOLD",""))))</f>
        <v/>
      </c>
      <c r="G1171" s="12">
        <f>IF(D1171=TRUE,4,0)</f>
        <v/>
      </c>
      <c r="H1171">
        <f>IF(A1171="","",BDP(A1171&amp;" US Equity","GICS_SECTOR_NAME"))</f>
        <v/>
      </c>
    </row>
    <row r="1172">
      <c r="A1172">
        <f>'Factor Scores'!A1172</f>
        <v/>
      </c>
      <c r="B1172" s="10">
        <f>IF(A1172="","",0.40*'Factor Scores'!C1172+0.20*'Factor Scores'!E1172+0.20*'Factor Scores'!G1172+0.20*'Factor Scores'!H1172)</f>
        <v/>
      </c>
      <c r="C1172" s="12">
        <f>IF(B1172="","",RANK(B1172,$B$2:$B$2501,0))</f>
        <v/>
      </c>
      <c r="D1172">
        <f>IF(C1172="","",C1172&lt;=25)</f>
        <v/>
      </c>
      <c r="F1172">
        <f>IF(A1172="","",IF(AND(D1172=TRUE,E1172=""),"BUY",IF(AND(D1172=FALSE,E1172&lt;&gt;""),"SELL",IF(AND(D1172=TRUE,E1172&lt;&gt;""),"HOLD",""))))</f>
        <v/>
      </c>
      <c r="G1172" s="12">
        <f>IF(D1172=TRUE,4,0)</f>
        <v/>
      </c>
      <c r="H1172">
        <f>IF(A1172="","",BDP(A1172&amp;" US Equity","GICS_SECTOR_NAME"))</f>
        <v/>
      </c>
    </row>
    <row r="1173">
      <c r="A1173">
        <f>'Factor Scores'!A1173</f>
        <v/>
      </c>
      <c r="B1173" s="10">
        <f>IF(A1173="","",0.40*'Factor Scores'!C1173+0.20*'Factor Scores'!E1173+0.20*'Factor Scores'!G1173+0.20*'Factor Scores'!H1173)</f>
        <v/>
      </c>
      <c r="C1173" s="12">
        <f>IF(B1173="","",RANK(B1173,$B$2:$B$2501,0))</f>
        <v/>
      </c>
      <c r="D1173">
        <f>IF(C1173="","",C1173&lt;=25)</f>
        <v/>
      </c>
      <c r="F1173">
        <f>IF(A1173="","",IF(AND(D1173=TRUE,E1173=""),"BUY",IF(AND(D1173=FALSE,E1173&lt;&gt;""),"SELL",IF(AND(D1173=TRUE,E1173&lt;&gt;""),"HOLD",""))))</f>
        <v/>
      </c>
      <c r="G1173" s="12">
        <f>IF(D1173=TRUE,4,0)</f>
        <v/>
      </c>
      <c r="H1173">
        <f>IF(A1173="","",BDP(A1173&amp;" US Equity","GICS_SECTOR_NAME"))</f>
        <v/>
      </c>
    </row>
    <row r="1174">
      <c r="A1174">
        <f>'Factor Scores'!A1174</f>
        <v/>
      </c>
      <c r="B1174" s="10">
        <f>IF(A1174="","",0.40*'Factor Scores'!C1174+0.20*'Factor Scores'!E1174+0.20*'Factor Scores'!G1174+0.20*'Factor Scores'!H1174)</f>
        <v/>
      </c>
      <c r="C1174" s="12">
        <f>IF(B1174="","",RANK(B1174,$B$2:$B$2501,0))</f>
        <v/>
      </c>
      <c r="D1174">
        <f>IF(C1174="","",C1174&lt;=25)</f>
        <v/>
      </c>
      <c r="F1174">
        <f>IF(A1174="","",IF(AND(D1174=TRUE,E1174=""),"BUY",IF(AND(D1174=FALSE,E1174&lt;&gt;""),"SELL",IF(AND(D1174=TRUE,E1174&lt;&gt;""),"HOLD",""))))</f>
        <v/>
      </c>
      <c r="G1174" s="12">
        <f>IF(D1174=TRUE,4,0)</f>
        <v/>
      </c>
      <c r="H1174">
        <f>IF(A1174="","",BDP(A1174&amp;" US Equity","GICS_SECTOR_NAME"))</f>
        <v/>
      </c>
    </row>
    <row r="1175">
      <c r="A1175">
        <f>'Factor Scores'!A1175</f>
        <v/>
      </c>
      <c r="B1175" s="10">
        <f>IF(A1175="","",0.40*'Factor Scores'!C1175+0.20*'Factor Scores'!E1175+0.20*'Factor Scores'!G1175+0.20*'Factor Scores'!H1175)</f>
        <v/>
      </c>
      <c r="C1175" s="12">
        <f>IF(B1175="","",RANK(B1175,$B$2:$B$2501,0))</f>
        <v/>
      </c>
      <c r="D1175">
        <f>IF(C1175="","",C1175&lt;=25)</f>
        <v/>
      </c>
      <c r="F1175">
        <f>IF(A1175="","",IF(AND(D1175=TRUE,E1175=""),"BUY",IF(AND(D1175=FALSE,E1175&lt;&gt;""),"SELL",IF(AND(D1175=TRUE,E1175&lt;&gt;""),"HOLD",""))))</f>
        <v/>
      </c>
      <c r="G1175" s="12">
        <f>IF(D1175=TRUE,4,0)</f>
        <v/>
      </c>
      <c r="H1175">
        <f>IF(A1175="","",BDP(A1175&amp;" US Equity","GICS_SECTOR_NAME"))</f>
        <v/>
      </c>
    </row>
    <row r="1176">
      <c r="A1176">
        <f>'Factor Scores'!A1176</f>
        <v/>
      </c>
      <c r="B1176" s="10">
        <f>IF(A1176="","",0.40*'Factor Scores'!C1176+0.20*'Factor Scores'!E1176+0.20*'Factor Scores'!G1176+0.20*'Factor Scores'!H1176)</f>
        <v/>
      </c>
      <c r="C1176" s="12">
        <f>IF(B1176="","",RANK(B1176,$B$2:$B$2501,0))</f>
        <v/>
      </c>
      <c r="D1176">
        <f>IF(C1176="","",C1176&lt;=25)</f>
        <v/>
      </c>
      <c r="F1176">
        <f>IF(A1176="","",IF(AND(D1176=TRUE,E1176=""),"BUY",IF(AND(D1176=FALSE,E1176&lt;&gt;""),"SELL",IF(AND(D1176=TRUE,E1176&lt;&gt;""),"HOLD",""))))</f>
        <v/>
      </c>
      <c r="G1176" s="12">
        <f>IF(D1176=TRUE,4,0)</f>
        <v/>
      </c>
      <c r="H1176">
        <f>IF(A1176="","",BDP(A1176&amp;" US Equity","GICS_SECTOR_NAME"))</f>
        <v/>
      </c>
    </row>
    <row r="1177">
      <c r="A1177">
        <f>'Factor Scores'!A1177</f>
        <v/>
      </c>
      <c r="B1177" s="10">
        <f>IF(A1177="","",0.40*'Factor Scores'!C1177+0.20*'Factor Scores'!E1177+0.20*'Factor Scores'!G1177+0.20*'Factor Scores'!H1177)</f>
        <v/>
      </c>
      <c r="C1177" s="12">
        <f>IF(B1177="","",RANK(B1177,$B$2:$B$2501,0))</f>
        <v/>
      </c>
      <c r="D1177">
        <f>IF(C1177="","",C1177&lt;=25)</f>
        <v/>
      </c>
      <c r="F1177">
        <f>IF(A1177="","",IF(AND(D1177=TRUE,E1177=""),"BUY",IF(AND(D1177=FALSE,E1177&lt;&gt;""),"SELL",IF(AND(D1177=TRUE,E1177&lt;&gt;""),"HOLD",""))))</f>
        <v/>
      </c>
      <c r="G1177" s="12">
        <f>IF(D1177=TRUE,4,0)</f>
        <v/>
      </c>
      <c r="H1177">
        <f>IF(A1177="","",BDP(A1177&amp;" US Equity","GICS_SECTOR_NAME"))</f>
        <v/>
      </c>
    </row>
    <row r="1178">
      <c r="A1178">
        <f>'Factor Scores'!A1178</f>
        <v/>
      </c>
      <c r="B1178" s="10">
        <f>IF(A1178="","",0.40*'Factor Scores'!C1178+0.20*'Factor Scores'!E1178+0.20*'Factor Scores'!G1178+0.20*'Factor Scores'!H1178)</f>
        <v/>
      </c>
      <c r="C1178" s="12">
        <f>IF(B1178="","",RANK(B1178,$B$2:$B$2501,0))</f>
        <v/>
      </c>
      <c r="D1178">
        <f>IF(C1178="","",C1178&lt;=25)</f>
        <v/>
      </c>
      <c r="F1178">
        <f>IF(A1178="","",IF(AND(D1178=TRUE,E1178=""),"BUY",IF(AND(D1178=FALSE,E1178&lt;&gt;""),"SELL",IF(AND(D1178=TRUE,E1178&lt;&gt;""),"HOLD",""))))</f>
        <v/>
      </c>
      <c r="G1178" s="12">
        <f>IF(D1178=TRUE,4,0)</f>
        <v/>
      </c>
      <c r="H1178">
        <f>IF(A1178="","",BDP(A1178&amp;" US Equity","GICS_SECTOR_NAME"))</f>
        <v/>
      </c>
    </row>
    <row r="1179">
      <c r="A1179">
        <f>'Factor Scores'!A1179</f>
        <v/>
      </c>
      <c r="B1179" s="10">
        <f>IF(A1179="","",0.40*'Factor Scores'!C1179+0.20*'Factor Scores'!E1179+0.20*'Factor Scores'!G1179+0.20*'Factor Scores'!H1179)</f>
        <v/>
      </c>
      <c r="C1179" s="12">
        <f>IF(B1179="","",RANK(B1179,$B$2:$B$2501,0))</f>
        <v/>
      </c>
      <c r="D1179">
        <f>IF(C1179="","",C1179&lt;=25)</f>
        <v/>
      </c>
      <c r="F1179">
        <f>IF(A1179="","",IF(AND(D1179=TRUE,E1179=""),"BUY",IF(AND(D1179=FALSE,E1179&lt;&gt;""),"SELL",IF(AND(D1179=TRUE,E1179&lt;&gt;""),"HOLD",""))))</f>
        <v/>
      </c>
      <c r="G1179" s="12">
        <f>IF(D1179=TRUE,4,0)</f>
        <v/>
      </c>
      <c r="H1179">
        <f>IF(A1179="","",BDP(A1179&amp;" US Equity","GICS_SECTOR_NAME"))</f>
        <v/>
      </c>
    </row>
    <row r="1180">
      <c r="A1180">
        <f>'Factor Scores'!A1180</f>
        <v/>
      </c>
      <c r="B1180" s="10">
        <f>IF(A1180="","",0.40*'Factor Scores'!C1180+0.20*'Factor Scores'!E1180+0.20*'Factor Scores'!G1180+0.20*'Factor Scores'!H1180)</f>
        <v/>
      </c>
      <c r="C1180" s="12">
        <f>IF(B1180="","",RANK(B1180,$B$2:$B$2501,0))</f>
        <v/>
      </c>
      <c r="D1180">
        <f>IF(C1180="","",C1180&lt;=25)</f>
        <v/>
      </c>
      <c r="F1180">
        <f>IF(A1180="","",IF(AND(D1180=TRUE,E1180=""),"BUY",IF(AND(D1180=FALSE,E1180&lt;&gt;""),"SELL",IF(AND(D1180=TRUE,E1180&lt;&gt;""),"HOLD",""))))</f>
        <v/>
      </c>
      <c r="G1180" s="12">
        <f>IF(D1180=TRUE,4,0)</f>
        <v/>
      </c>
      <c r="H1180">
        <f>IF(A1180="","",BDP(A1180&amp;" US Equity","GICS_SECTOR_NAME"))</f>
        <v/>
      </c>
    </row>
    <row r="1181">
      <c r="A1181">
        <f>'Factor Scores'!A1181</f>
        <v/>
      </c>
      <c r="B1181" s="10">
        <f>IF(A1181="","",0.40*'Factor Scores'!C1181+0.20*'Factor Scores'!E1181+0.20*'Factor Scores'!G1181+0.20*'Factor Scores'!H1181)</f>
        <v/>
      </c>
      <c r="C1181" s="12">
        <f>IF(B1181="","",RANK(B1181,$B$2:$B$2501,0))</f>
        <v/>
      </c>
      <c r="D1181">
        <f>IF(C1181="","",C1181&lt;=25)</f>
        <v/>
      </c>
      <c r="F1181">
        <f>IF(A1181="","",IF(AND(D1181=TRUE,E1181=""),"BUY",IF(AND(D1181=FALSE,E1181&lt;&gt;""),"SELL",IF(AND(D1181=TRUE,E1181&lt;&gt;""),"HOLD",""))))</f>
        <v/>
      </c>
      <c r="G1181" s="12">
        <f>IF(D1181=TRUE,4,0)</f>
        <v/>
      </c>
      <c r="H1181">
        <f>IF(A1181="","",BDP(A1181&amp;" US Equity","GICS_SECTOR_NAME"))</f>
        <v/>
      </c>
    </row>
    <row r="1182">
      <c r="A1182">
        <f>'Factor Scores'!A1182</f>
        <v/>
      </c>
      <c r="B1182" s="10">
        <f>IF(A1182="","",0.40*'Factor Scores'!C1182+0.20*'Factor Scores'!E1182+0.20*'Factor Scores'!G1182+0.20*'Factor Scores'!H1182)</f>
        <v/>
      </c>
      <c r="C1182" s="12">
        <f>IF(B1182="","",RANK(B1182,$B$2:$B$2501,0))</f>
        <v/>
      </c>
      <c r="D1182">
        <f>IF(C1182="","",C1182&lt;=25)</f>
        <v/>
      </c>
      <c r="F1182">
        <f>IF(A1182="","",IF(AND(D1182=TRUE,E1182=""),"BUY",IF(AND(D1182=FALSE,E1182&lt;&gt;""),"SELL",IF(AND(D1182=TRUE,E1182&lt;&gt;""),"HOLD",""))))</f>
        <v/>
      </c>
      <c r="G1182" s="12">
        <f>IF(D1182=TRUE,4,0)</f>
        <v/>
      </c>
      <c r="H1182">
        <f>IF(A1182="","",BDP(A1182&amp;" US Equity","GICS_SECTOR_NAME"))</f>
        <v/>
      </c>
    </row>
    <row r="1183">
      <c r="A1183">
        <f>'Factor Scores'!A1183</f>
        <v/>
      </c>
      <c r="B1183" s="10">
        <f>IF(A1183="","",0.40*'Factor Scores'!C1183+0.20*'Factor Scores'!E1183+0.20*'Factor Scores'!G1183+0.20*'Factor Scores'!H1183)</f>
        <v/>
      </c>
      <c r="C1183" s="12">
        <f>IF(B1183="","",RANK(B1183,$B$2:$B$2501,0))</f>
        <v/>
      </c>
      <c r="D1183">
        <f>IF(C1183="","",C1183&lt;=25)</f>
        <v/>
      </c>
      <c r="F1183">
        <f>IF(A1183="","",IF(AND(D1183=TRUE,E1183=""),"BUY",IF(AND(D1183=FALSE,E1183&lt;&gt;""),"SELL",IF(AND(D1183=TRUE,E1183&lt;&gt;""),"HOLD",""))))</f>
        <v/>
      </c>
      <c r="G1183" s="12">
        <f>IF(D1183=TRUE,4,0)</f>
        <v/>
      </c>
      <c r="H1183">
        <f>IF(A1183="","",BDP(A1183&amp;" US Equity","GICS_SECTOR_NAME"))</f>
        <v/>
      </c>
    </row>
    <row r="1184">
      <c r="A1184">
        <f>'Factor Scores'!A1184</f>
        <v/>
      </c>
      <c r="B1184" s="10">
        <f>IF(A1184="","",0.40*'Factor Scores'!C1184+0.20*'Factor Scores'!E1184+0.20*'Factor Scores'!G1184+0.20*'Factor Scores'!H1184)</f>
        <v/>
      </c>
      <c r="C1184" s="12">
        <f>IF(B1184="","",RANK(B1184,$B$2:$B$2501,0))</f>
        <v/>
      </c>
      <c r="D1184">
        <f>IF(C1184="","",C1184&lt;=25)</f>
        <v/>
      </c>
      <c r="F1184">
        <f>IF(A1184="","",IF(AND(D1184=TRUE,E1184=""),"BUY",IF(AND(D1184=FALSE,E1184&lt;&gt;""),"SELL",IF(AND(D1184=TRUE,E1184&lt;&gt;""),"HOLD",""))))</f>
        <v/>
      </c>
      <c r="G1184" s="12">
        <f>IF(D1184=TRUE,4,0)</f>
        <v/>
      </c>
      <c r="H1184">
        <f>IF(A1184="","",BDP(A1184&amp;" US Equity","GICS_SECTOR_NAME"))</f>
        <v/>
      </c>
    </row>
    <row r="1185">
      <c r="A1185">
        <f>'Factor Scores'!A1185</f>
        <v/>
      </c>
      <c r="B1185" s="10">
        <f>IF(A1185="","",0.40*'Factor Scores'!C1185+0.20*'Factor Scores'!E1185+0.20*'Factor Scores'!G1185+0.20*'Factor Scores'!H1185)</f>
        <v/>
      </c>
      <c r="C1185" s="12">
        <f>IF(B1185="","",RANK(B1185,$B$2:$B$2501,0))</f>
        <v/>
      </c>
      <c r="D1185">
        <f>IF(C1185="","",C1185&lt;=25)</f>
        <v/>
      </c>
      <c r="F1185">
        <f>IF(A1185="","",IF(AND(D1185=TRUE,E1185=""),"BUY",IF(AND(D1185=FALSE,E1185&lt;&gt;""),"SELL",IF(AND(D1185=TRUE,E1185&lt;&gt;""),"HOLD",""))))</f>
        <v/>
      </c>
      <c r="G1185" s="12">
        <f>IF(D1185=TRUE,4,0)</f>
        <v/>
      </c>
      <c r="H1185">
        <f>IF(A1185="","",BDP(A1185&amp;" US Equity","GICS_SECTOR_NAME"))</f>
        <v/>
      </c>
    </row>
    <row r="1186">
      <c r="A1186">
        <f>'Factor Scores'!A1186</f>
        <v/>
      </c>
      <c r="B1186" s="10">
        <f>IF(A1186="","",0.40*'Factor Scores'!C1186+0.20*'Factor Scores'!E1186+0.20*'Factor Scores'!G1186+0.20*'Factor Scores'!H1186)</f>
        <v/>
      </c>
      <c r="C1186" s="12">
        <f>IF(B1186="","",RANK(B1186,$B$2:$B$2501,0))</f>
        <v/>
      </c>
      <c r="D1186">
        <f>IF(C1186="","",C1186&lt;=25)</f>
        <v/>
      </c>
      <c r="F1186">
        <f>IF(A1186="","",IF(AND(D1186=TRUE,E1186=""),"BUY",IF(AND(D1186=FALSE,E1186&lt;&gt;""),"SELL",IF(AND(D1186=TRUE,E1186&lt;&gt;""),"HOLD",""))))</f>
        <v/>
      </c>
      <c r="G1186" s="12">
        <f>IF(D1186=TRUE,4,0)</f>
        <v/>
      </c>
      <c r="H1186">
        <f>IF(A1186="","",BDP(A1186&amp;" US Equity","GICS_SECTOR_NAME"))</f>
        <v/>
      </c>
    </row>
    <row r="1187">
      <c r="A1187">
        <f>'Factor Scores'!A1187</f>
        <v/>
      </c>
      <c r="B1187" s="10">
        <f>IF(A1187="","",0.40*'Factor Scores'!C1187+0.20*'Factor Scores'!E1187+0.20*'Factor Scores'!G1187+0.20*'Factor Scores'!H1187)</f>
        <v/>
      </c>
      <c r="C1187" s="12">
        <f>IF(B1187="","",RANK(B1187,$B$2:$B$2501,0))</f>
        <v/>
      </c>
      <c r="D1187">
        <f>IF(C1187="","",C1187&lt;=25)</f>
        <v/>
      </c>
      <c r="F1187">
        <f>IF(A1187="","",IF(AND(D1187=TRUE,E1187=""),"BUY",IF(AND(D1187=FALSE,E1187&lt;&gt;""),"SELL",IF(AND(D1187=TRUE,E1187&lt;&gt;""),"HOLD",""))))</f>
        <v/>
      </c>
      <c r="G1187" s="12">
        <f>IF(D1187=TRUE,4,0)</f>
        <v/>
      </c>
      <c r="H1187">
        <f>IF(A1187="","",BDP(A1187&amp;" US Equity","GICS_SECTOR_NAME"))</f>
        <v/>
      </c>
    </row>
    <row r="1188">
      <c r="A1188">
        <f>'Factor Scores'!A1188</f>
        <v/>
      </c>
      <c r="B1188" s="10">
        <f>IF(A1188="","",0.40*'Factor Scores'!C1188+0.20*'Factor Scores'!E1188+0.20*'Factor Scores'!G1188+0.20*'Factor Scores'!H1188)</f>
        <v/>
      </c>
      <c r="C1188" s="12">
        <f>IF(B1188="","",RANK(B1188,$B$2:$B$2501,0))</f>
        <v/>
      </c>
      <c r="D1188">
        <f>IF(C1188="","",C1188&lt;=25)</f>
        <v/>
      </c>
      <c r="F1188">
        <f>IF(A1188="","",IF(AND(D1188=TRUE,E1188=""),"BUY",IF(AND(D1188=FALSE,E1188&lt;&gt;""),"SELL",IF(AND(D1188=TRUE,E1188&lt;&gt;""),"HOLD",""))))</f>
        <v/>
      </c>
      <c r="G1188" s="12">
        <f>IF(D1188=TRUE,4,0)</f>
        <v/>
      </c>
      <c r="H1188">
        <f>IF(A1188="","",BDP(A1188&amp;" US Equity","GICS_SECTOR_NAME"))</f>
        <v/>
      </c>
    </row>
    <row r="1189">
      <c r="A1189">
        <f>'Factor Scores'!A1189</f>
        <v/>
      </c>
      <c r="B1189" s="10">
        <f>IF(A1189="","",0.40*'Factor Scores'!C1189+0.20*'Factor Scores'!E1189+0.20*'Factor Scores'!G1189+0.20*'Factor Scores'!H1189)</f>
        <v/>
      </c>
      <c r="C1189" s="12">
        <f>IF(B1189="","",RANK(B1189,$B$2:$B$2501,0))</f>
        <v/>
      </c>
      <c r="D1189">
        <f>IF(C1189="","",C1189&lt;=25)</f>
        <v/>
      </c>
      <c r="F1189">
        <f>IF(A1189="","",IF(AND(D1189=TRUE,E1189=""),"BUY",IF(AND(D1189=FALSE,E1189&lt;&gt;""),"SELL",IF(AND(D1189=TRUE,E1189&lt;&gt;""),"HOLD",""))))</f>
        <v/>
      </c>
      <c r="G1189" s="12">
        <f>IF(D1189=TRUE,4,0)</f>
        <v/>
      </c>
      <c r="H1189">
        <f>IF(A1189="","",BDP(A1189&amp;" US Equity","GICS_SECTOR_NAME"))</f>
        <v/>
      </c>
    </row>
    <row r="1190">
      <c r="A1190">
        <f>'Factor Scores'!A1190</f>
        <v/>
      </c>
      <c r="B1190" s="10">
        <f>IF(A1190="","",0.40*'Factor Scores'!C1190+0.20*'Factor Scores'!E1190+0.20*'Factor Scores'!G1190+0.20*'Factor Scores'!H1190)</f>
        <v/>
      </c>
      <c r="C1190" s="12">
        <f>IF(B1190="","",RANK(B1190,$B$2:$B$2501,0))</f>
        <v/>
      </c>
      <c r="D1190">
        <f>IF(C1190="","",C1190&lt;=25)</f>
        <v/>
      </c>
      <c r="F1190">
        <f>IF(A1190="","",IF(AND(D1190=TRUE,E1190=""),"BUY",IF(AND(D1190=FALSE,E1190&lt;&gt;""),"SELL",IF(AND(D1190=TRUE,E1190&lt;&gt;""),"HOLD",""))))</f>
        <v/>
      </c>
      <c r="G1190" s="12">
        <f>IF(D1190=TRUE,4,0)</f>
        <v/>
      </c>
      <c r="H1190">
        <f>IF(A1190="","",BDP(A1190&amp;" US Equity","GICS_SECTOR_NAME"))</f>
        <v/>
      </c>
    </row>
    <row r="1191">
      <c r="A1191">
        <f>'Factor Scores'!A1191</f>
        <v/>
      </c>
      <c r="B1191" s="10">
        <f>IF(A1191="","",0.40*'Factor Scores'!C1191+0.20*'Factor Scores'!E1191+0.20*'Factor Scores'!G1191+0.20*'Factor Scores'!H1191)</f>
        <v/>
      </c>
      <c r="C1191" s="12">
        <f>IF(B1191="","",RANK(B1191,$B$2:$B$2501,0))</f>
        <v/>
      </c>
      <c r="D1191">
        <f>IF(C1191="","",C1191&lt;=25)</f>
        <v/>
      </c>
      <c r="F1191">
        <f>IF(A1191="","",IF(AND(D1191=TRUE,E1191=""),"BUY",IF(AND(D1191=FALSE,E1191&lt;&gt;""),"SELL",IF(AND(D1191=TRUE,E1191&lt;&gt;""),"HOLD",""))))</f>
        <v/>
      </c>
      <c r="G1191" s="12">
        <f>IF(D1191=TRUE,4,0)</f>
        <v/>
      </c>
      <c r="H1191">
        <f>IF(A1191="","",BDP(A1191&amp;" US Equity","GICS_SECTOR_NAME"))</f>
        <v/>
      </c>
    </row>
    <row r="1192">
      <c r="A1192">
        <f>'Factor Scores'!A1192</f>
        <v/>
      </c>
      <c r="B1192" s="10">
        <f>IF(A1192="","",0.40*'Factor Scores'!C1192+0.20*'Factor Scores'!E1192+0.20*'Factor Scores'!G1192+0.20*'Factor Scores'!H1192)</f>
        <v/>
      </c>
      <c r="C1192" s="12">
        <f>IF(B1192="","",RANK(B1192,$B$2:$B$2501,0))</f>
        <v/>
      </c>
      <c r="D1192">
        <f>IF(C1192="","",C1192&lt;=25)</f>
        <v/>
      </c>
      <c r="F1192">
        <f>IF(A1192="","",IF(AND(D1192=TRUE,E1192=""),"BUY",IF(AND(D1192=FALSE,E1192&lt;&gt;""),"SELL",IF(AND(D1192=TRUE,E1192&lt;&gt;""),"HOLD",""))))</f>
        <v/>
      </c>
      <c r="G1192" s="12">
        <f>IF(D1192=TRUE,4,0)</f>
        <v/>
      </c>
      <c r="H1192">
        <f>IF(A1192="","",BDP(A1192&amp;" US Equity","GICS_SECTOR_NAME"))</f>
        <v/>
      </c>
    </row>
    <row r="1193">
      <c r="A1193">
        <f>'Factor Scores'!A1193</f>
        <v/>
      </c>
      <c r="B1193" s="10">
        <f>IF(A1193="","",0.40*'Factor Scores'!C1193+0.20*'Factor Scores'!E1193+0.20*'Factor Scores'!G1193+0.20*'Factor Scores'!H1193)</f>
        <v/>
      </c>
      <c r="C1193" s="12">
        <f>IF(B1193="","",RANK(B1193,$B$2:$B$2501,0))</f>
        <v/>
      </c>
      <c r="D1193">
        <f>IF(C1193="","",C1193&lt;=25)</f>
        <v/>
      </c>
      <c r="F1193">
        <f>IF(A1193="","",IF(AND(D1193=TRUE,E1193=""),"BUY",IF(AND(D1193=FALSE,E1193&lt;&gt;""),"SELL",IF(AND(D1193=TRUE,E1193&lt;&gt;""),"HOLD",""))))</f>
        <v/>
      </c>
      <c r="G1193" s="12">
        <f>IF(D1193=TRUE,4,0)</f>
        <v/>
      </c>
      <c r="H1193">
        <f>IF(A1193="","",BDP(A1193&amp;" US Equity","GICS_SECTOR_NAME"))</f>
        <v/>
      </c>
    </row>
    <row r="1194">
      <c r="A1194">
        <f>'Factor Scores'!A1194</f>
        <v/>
      </c>
      <c r="B1194" s="10">
        <f>IF(A1194="","",0.40*'Factor Scores'!C1194+0.20*'Factor Scores'!E1194+0.20*'Factor Scores'!G1194+0.20*'Factor Scores'!H1194)</f>
        <v/>
      </c>
      <c r="C1194" s="12">
        <f>IF(B1194="","",RANK(B1194,$B$2:$B$2501,0))</f>
        <v/>
      </c>
      <c r="D1194">
        <f>IF(C1194="","",C1194&lt;=25)</f>
        <v/>
      </c>
      <c r="F1194">
        <f>IF(A1194="","",IF(AND(D1194=TRUE,E1194=""),"BUY",IF(AND(D1194=FALSE,E1194&lt;&gt;""),"SELL",IF(AND(D1194=TRUE,E1194&lt;&gt;""),"HOLD",""))))</f>
        <v/>
      </c>
      <c r="G1194" s="12">
        <f>IF(D1194=TRUE,4,0)</f>
        <v/>
      </c>
      <c r="H1194">
        <f>IF(A1194="","",BDP(A1194&amp;" US Equity","GICS_SECTOR_NAME"))</f>
        <v/>
      </c>
    </row>
    <row r="1195">
      <c r="A1195">
        <f>'Factor Scores'!A1195</f>
        <v/>
      </c>
      <c r="B1195" s="10">
        <f>IF(A1195="","",0.40*'Factor Scores'!C1195+0.20*'Factor Scores'!E1195+0.20*'Factor Scores'!G1195+0.20*'Factor Scores'!H1195)</f>
        <v/>
      </c>
      <c r="C1195" s="12">
        <f>IF(B1195="","",RANK(B1195,$B$2:$B$2501,0))</f>
        <v/>
      </c>
      <c r="D1195">
        <f>IF(C1195="","",C1195&lt;=25)</f>
        <v/>
      </c>
      <c r="F1195">
        <f>IF(A1195="","",IF(AND(D1195=TRUE,E1195=""),"BUY",IF(AND(D1195=FALSE,E1195&lt;&gt;""),"SELL",IF(AND(D1195=TRUE,E1195&lt;&gt;""),"HOLD",""))))</f>
        <v/>
      </c>
      <c r="G1195" s="12">
        <f>IF(D1195=TRUE,4,0)</f>
        <v/>
      </c>
      <c r="H1195">
        <f>IF(A1195="","",BDP(A1195&amp;" US Equity","GICS_SECTOR_NAME"))</f>
        <v/>
      </c>
    </row>
    <row r="1196">
      <c r="A1196">
        <f>'Factor Scores'!A1196</f>
        <v/>
      </c>
      <c r="B1196" s="10">
        <f>IF(A1196="","",0.40*'Factor Scores'!C1196+0.20*'Factor Scores'!E1196+0.20*'Factor Scores'!G1196+0.20*'Factor Scores'!H1196)</f>
        <v/>
      </c>
      <c r="C1196" s="12">
        <f>IF(B1196="","",RANK(B1196,$B$2:$B$2501,0))</f>
        <v/>
      </c>
      <c r="D1196">
        <f>IF(C1196="","",C1196&lt;=25)</f>
        <v/>
      </c>
      <c r="F1196">
        <f>IF(A1196="","",IF(AND(D1196=TRUE,E1196=""),"BUY",IF(AND(D1196=FALSE,E1196&lt;&gt;""),"SELL",IF(AND(D1196=TRUE,E1196&lt;&gt;""),"HOLD",""))))</f>
        <v/>
      </c>
      <c r="G1196" s="12">
        <f>IF(D1196=TRUE,4,0)</f>
        <v/>
      </c>
      <c r="H1196">
        <f>IF(A1196="","",BDP(A1196&amp;" US Equity","GICS_SECTOR_NAME"))</f>
        <v/>
      </c>
    </row>
    <row r="1197">
      <c r="A1197">
        <f>'Factor Scores'!A1197</f>
        <v/>
      </c>
      <c r="B1197" s="10">
        <f>IF(A1197="","",0.40*'Factor Scores'!C1197+0.20*'Factor Scores'!E1197+0.20*'Factor Scores'!G1197+0.20*'Factor Scores'!H1197)</f>
        <v/>
      </c>
      <c r="C1197" s="12">
        <f>IF(B1197="","",RANK(B1197,$B$2:$B$2501,0))</f>
        <v/>
      </c>
      <c r="D1197">
        <f>IF(C1197="","",C1197&lt;=25)</f>
        <v/>
      </c>
      <c r="F1197">
        <f>IF(A1197="","",IF(AND(D1197=TRUE,E1197=""),"BUY",IF(AND(D1197=FALSE,E1197&lt;&gt;""),"SELL",IF(AND(D1197=TRUE,E1197&lt;&gt;""),"HOLD",""))))</f>
        <v/>
      </c>
      <c r="G1197" s="12">
        <f>IF(D1197=TRUE,4,0)</f>
        <v/>
      </c>
      <c r="H1197">
        <f>IF(A1197="","",BDP(A1197&amp;" US Equity","GICS_SECTOR_NAME"))</f>
        <v/>
      </c>
    </row>
    <row r="1198">
      <c r="A1198">
        <f>'Factor Scores'!A1198</f>
        <v/>
      </c>
      <c r="B1198" s="10">
        <f>IF(A1198="","",0.40*'Factor Scores'!C1198+0.20*'Factor Scores'!E1198+0.20*'Factor Scores'!G1198+0.20*'Factor Scores'!H1198)</f>
        <v/>
      </c>
      <c r="C1198" s="12">
        <f>IF(B1198="","",RANK(B1198,$B$2:$B$2501,0))</f>
        <v/>
      </c>
      <c r="D1198">
        <f>IF(C1198="","",C1198&lt;=25)</f>
        <v/>
      </c>
      <c r="F1198">
        <f>IF(A1198="","",IF(AND(D1198=TRUE,E1198=""),"BUY",IF(AND(D1198=FALSE,E1198&lt;&gt;""),"SELL",IF(AND(D1198=TRUE,E1198&lt;&gt;""),"HOLD",""))))</f>
        <v/>
      </c>
      <c r="G1198" s="12">
        <f>IF(D1198=TRUE,4,0)</f>
        <v/>
      </c>
      <c r="H1198">
        <f>IF(A1198="","",BDP(A1198&amp;" US Equity","GICS_SECTOR_NAME"))</f>
        <v/>
      </c>
    </row>
    <row r="1199">
      <c r="A1199">
        <f>'Factor Scores'!A1199</f>
        <v/>
      </c>
      <c r="B1199" s="10">
        <f>IF(A1199="","",0.40*'Factor Scores'!C1199+0.20*'Factor Scores'!E1199+0.20*'Factor Scores'!G1199+0.20*'Factor Scores'!H1199)</f>
        <v/>
      </c>
      <c r="C1199" s="12">
        <f>IF(B1199="","",RANK(B1199,$B$2:$B$2501,0))</f>
        <v/>
      </c>
      <c r="D1199">
        <f>IF(C1199="","",C1199&lt;=25)</f>
        <v/>
      </c>
      <c r="F1199">
        <f>IF(A1199="","",IF(AND(D1199=TRUE,E1199=""),"BUY",IF(AND(D1199=FALSE,E1199&lt;&gt;""),"SELL",IF(AND(D1199=TRUE,E1199&lt;&gt;""),"HOLD",""))))</f>
        <v/>
      </c>
      <c r="G1199" s="12">
        <f>IF(D1199=TRUE,4,0)</f>
        <v/>
      </c>
      <c r="H1199">
        <f>IF(A1199="","",BDP(A1199&amp;" US Equity","GICS_SECTOR_NAME"))</f>
        <v/>
      </c>
    </row>
    <row r="1200">
      <c r="A1200">
        <f>'Factor Scores'!A1200</f>
        <v/>
      </c>
      <c r="B1200" s="10">
        <f>IF(A1200="","",0.40*'Factor Scores'!C1200+0.20*'Factor Scores'!E1200+0.20*'Factor Scores'!G1200+0.20*'Factor Scores'!H1200)</f>
        <v/>
      </c>
      <c r="C1200" s="12">
        <f>IF(B1200="","",RANK(B1200,$B$2:$B$2501,0))</f>
        <v/>
      </c>
      <c r="D1200">
        <f>IF(C1200="","",C1200&lt;=25)</f>
        <v/>
      </c>
      <c r="F1200">
        <f>IF(A1200="","",IF(AND(D1200=TRUE,E1200=""),"BUY",IF(AND(D1200=FALSE,E1200&lt;&gt;""),"SELL",IF(AND(D1200=TRUE,E1200&lt;&gt;""),"HOLD",""))))</f>
        <v/>
      </c>
      <c r="G1200" s="12">
        <f>IF(D1200=TRUE,4,0)</f>
        <v/>
      </c>
      <c r="H1200">
        <f>IF(A1200="","",BDP(A1200&amp;" US Equity","GICS_SECTOR_NAME"))</f>
        <v/>
      </c>
    </row>
    <row r="1201">
      <c r="A1201">
        <f>'Factor Scores'!A1201</f>
        <v/>
      </c>
      <c r="B1201" s="10">
        <f>IF(A1201="","",0.40*'Factor Scores'!C1201+0.20*'Factor Scores'!E1201+0.20*'Factor Scores'!G1201+0.20*'Factor Scores'!H1201)</f>
        <v/>
      </c>
      <c r="C1201" s="12">
        <f>IF(B1201="","",RANK(B1201,$B$2:$B$2501,0))</f>
        <v/>
      </c>
      <c r="D1201">
        <f>IF(C1201="","",C1201&lt;=25)</f>
        <v/>
      </c>
      <c r="F1201">
        <f>IF(A1201="","",IF(AND(D1201=TRUE,E1201=""),"BUY",IF(AND(D1201=FALSE,E1201&lt;&gt;""),"SELL",IF(AND(D1201=TRUE,E1201&lt;&gt;""),"HOLD",""))))</f>
        <v/>
      </c>
      <c r="G1201" s="12">
        <f>IF(D1201=TRUE,4,0)</f>
        <v/>
      </c>
      <c r="H1201">
        <f>IF(A1201="","",BDP(A1201&amp;" US Equity","GICS_SECTOR_NAME"))</f>
        <v/>
      </c>
    </row>
    <row r="1202">
      <c r="A1202">
        <f>'Factor Scores'!A1202</f>
        <v/>
      </c>
      <c r="B1202" s="10">
        <f>IF(A1202="","",0.40*'Factor Scores'!C1202+0.20*'Factor Scores'!E1202+0.20*'Factor Scores'!G1202+0.20*'Factor Scores'!H1202)</f>
        <v/>
      </c>
      <c r="C1202" s="12">
        <f>IF(B1202="","",RANK(B1202,$B$2:$B$2501,0))</f>
        <v/>
      </c>
      <c r="D1202">
        <f>IF(C1202="","",C1202&lt;=25)</f>
        <v/>
      </c>
      <c r="F1202">
        <f>IF(A1202="","",IF(AND(D1202=TRUE,E1202=""),"BUY",IF(AND(D1202=FALSE,E1202&lt;&gt;""),"SELL",IF(AND(D1202=TRUE,E1202&lt;&gt;""),"HOLD",""))))</f>
        <v/>
      </c>
      <c r="G1202" s="12">
        <f>IF(D1202=TRUE,4,0)</f>
        <v/>
      </c>
      <c r="H1202">
        <f>IF(A1202="","",BDP(A1202&amp;" US Equity","GICS_SECTOR_NAME"))</f>
        <v/>
      </c>
    </row>
    <row r="1203">
      <c r="A1203">
        <f>'Factor Scores'!A1203</f>
        <v/>
      </c>
      <c r="B1203" s="10">
        <f>IF(A1203="","",0.40*'Factor Scores'!C1203+0.20*'Factor Scores'!E1203+0.20*'Factor Scores'!G1203+0.20*'Factor Scores'!H1203)</f>
        <v/>
      </c>
      <c r="C1203" s="12">
        <f>IF(B1203="","",RANK(B1203,$B$2:$B$2501,0))</f>
        <v/>
      </c>
      <c r="D1203">
        <f>IF(C1203="","",C1203&lt;=25)</f>
        <v/>
      </c>
      <c r="F1203">
        <f>IF(A1203="","",IF(AND(D1203=TRUE,E1203=""),"BUY",IF(AND(D1203=FALSE,E1203&lt;&gt;""),"SELL",IF(AND(D1203=TRUE,E1203&lt;&gt;""),"HOLD",""))))</f>
        <v/>
      </c>
      <c r="G1203" s="12">
        <f>IF(D1203=TRUE,4,0)</f>
        <v/>
      </c>
      <c r="H1203">
        <f>IF(A1203="","",BDP(A1203&amp;" US Equity","GICS_SECTOR_NAME"))</f>
        <v/>
      </c>
    </row>
    <row r="1204">
      <c r="A1204">
        <f>'Factor Scores'!A1204</f>
        <v/>
      </c>
      <c r="B1204" s="10">
        <f>IF(A1204="","",0.40*'Factor Scores'!C1204+0.20*'Factor Scores'!E1204+0.20*'Factor Scores'!G1204+0.20*'Factor Scores'!H1204)</f>
        <v/>
      </c>
      <c r="C1204" s="12">
        <f>IF(B1204="","",RANK(B1204,$B$2:$B$2501,0))</f>
        <v/>
      </c>
      <c r="D1204">
        <f>IF(C1204="","",C1204&lt;=25)</f>
        <v/>
      </c>
      <c r="F1204">
        <f>IF(A1204="","",IF(AND(D1204=TRUE,E1204=""),"BUY",IF(AND(D1204=FALSE,E1204&lt;&gt;""),"SELL",IF(AND(D1204=TRUE,E1204&lt;&gt;""),"HOLD",""))))</f>
        <v/>
      </c>
      <c r="G1204" s="12">
        <f>IF(D1204=TRUE,4,0)</f>
        <v/>
      </c>
      <c r="H1204">
        <f>IF(A1204="","",BDP(A1204&amp;" US Equity","GICS_SECTOR_NAME"))</f>
        <v/>
      </c>
    </row>
    <row r="1205">
      <c r="A1205">
        <f>'Factor Scores'!A1205</f>
        <v/>
      </c>
      <c r="B1205" s="10">
        <f>IF(A1205="","",0.40*'Factor Scores'!C1205+0.20*'Factor Scores'!E1205+0.20*'Factor Scores'!G1205+0.20*'Factor Scores'!H1205)</f>
        <v/>
      </c>
      <c r="C1205" s="12">
        <f>IF(B1205="","",RANK(B1205,$B$2:$B$2501,0))</f>
        <v/>
      </c>
      <c r="D1205">
        <f>IF(C1205="","",C1205&lt;=25)</f>
        <v/>
      </c>
      <c r="F1205">
        <f>IF(A1205="","",IF(AND(D1205=TRUE,E1205=""),"BUY",IF(AND(D1205=FALSE,E1205&lt;&gt;""),"SELL",IF(AND(D1205=TRUE,E1205&lt;&gt;""),"HOLD",""))))</f>
        <v/>
      </c>
      <c r="G1205" s="12">
        <f>IF(D1205=TRUE,4,0)</f>
        <v/>
      </c>
      <c r="H1205">
        <f>IF(A1205="","",BDP(A1205&amp;" US Equity","GICS_SECTOR_NAME"))</f>
        <v/>
      </c>
    </row>
    <row r="1206">
      <c r="A1206">
        <f>'Factor Scores'!A1206</f>
        <v/>
      </c>
      <c r="B1206" s="10">
        <f>IF(A1206="","",0.40*'Factor Scores'!C1206+0.20*'Factor Scores'!E1206+0.20*'Factor Scores'!G1206+0.20*'Factor Scores'!H1206)</f>
        <v/>
      </c>
      <c r="C1206" s="12">
        <f>IF(B1206="","",RANK(B1206,$B$2:$B$2501,0))</f>
        <v/>
      </c>
      <c r="D1206">
        <f>IF(C1206="","",C1206&lt;=25)</f>
        <v/>
      </c>
      <c r="F1206">
        <f>IF(A1206="","",IF(AND(D1206=TRUE,E1206=""),"BUY",IF(AND(D1206=FALSE,E1206&lt;&gt;""),"SELL",IF(AND(D1206=TRUE,E1206&lt;&gt;""),"HOLD",""))))</f>
        <v/>
      </c>
      <c r="G1206" s="12">
        <f>IF(D1206=TRUE,4,0)</f>
        <v/>
      </c>
      <c r="H1206">
        <f>IF(A1206="","",BDP(A1206&amp;" US Equity","GICS_SECTOR_NAME"))</f>
        <v/>
      </c>
    </row>
    <row r="1207">
      <c r="A1207">
        <f>'Factor Scores'!A1207</f>
        <v/>
      </c>
      <c r="B1207" s="10">
        <f>IF(A1207="","",0.40*'Factor Scores'!C1207+0.20*'Factor Scores'!E1207+0.20*'Factor Scores'!G1207+0.20*'Factor Scores'!H1207)</f>
        <v/>
      </c>
      <c r="C1207" s="12">
        <f>IF(B1207="","",RANK(B1207,$B$2:$B$2501,0))</f>
        <v/>
      </c>
      <c r="D1207">
        <f>IF(C1207="","",C1207&lt;=25)</f>
        <v/>
      </c>
      <c r="F1207">
        <f>IF(A1207="","",IF(AND(D1207=TRUE,E1207=""),"BUY",IF(AND(D1207=FALSE,E1207&lt;&gt;""),"SELL",IF(AND(D1207=TRUE,E1207&lt;&gt;""),"HOLD",""))))</f>
        <v/>
      </c>
      <c r="G1207" s="12">
        <f>IF(D1207=TRUE,4,0)</f>
        <v/>
      </c>
      <c r="H1207">
        <f>IF(A1207="","",BDP(A1207&amp;" US Equity","GICS_SECTOR_NAME"))</f>
        <v/>
      </c>
    </row>
    <row r="1208">
      <c r="A1208">
        <f>'Factor Scores'!A1208</f>
        <v/>
      </c>
      <c r="B1208" s="10">
        <f>IF(A1208="","",0.40*'Factor Scores'!C1208+0.20*'Factor Scores'!E1208+0.20*'Factor Scores'!G1208+0.20*'Factor Scores'!H1208)</f>
        <v/>
      </c>
      <c r="C1208" s="12">
        <f>IF(B1208="","",RANK(B1208,$B$2:$B$2501,0))</f>
        <v/>
      </c>
      <c r="D1208">
        <f>IF(C1208="","",C1208&lt;=25)</f>
        <v/>
      </c>
      <c r="F1208">
        <f>IF(A1208="","",IF(AND(D1208=TRUE,E1208=""),"BUY",IF(AND(D1208=FALSE,E1208&lt;&gt;""),"SELL",IF(AND(D1208=TRUE,E1208&lt;&gt;""),"HOLD",""))))</f>
        <v/>
      </c>
      <c r="G1208" s="12">
        <f>IF(D1208=TRUE,4,0)</f>
        <v/>
      </c>
      <c r="H1208">
        <f>IF(A1208="","",BDP(A1208&amp;" US Equity","GICS_SECTOR_NAME"))</f>
        <v/>
      </c>
    </row>
    <row r="1209">
      <c r="A1209">
        <f>'Factor Scores'!A1209</f>
        <v/>
      </c>
      <c r="B1209" s="10">
        <f>IF(A1209="","",0.40*'Factor Scores'!C1209+0.20*'Factor Scores'!E1209+0.20*'Factor Scores'!G1209+0.20*'Factor Scores'!H1209)</f>
        <v/>
      </c>
      <c r="C1209" s="12">
        <f>IF(B1209="","",RANK(B1209,$B$2:$B$2501,0))</f>
        <v/>
      </c>
      <c r="D1209">
        <f>IF(C1209="","",C1209&lt;=25)</f>
        <v/>
      </c>
      <c r="F1209">
        <f>IF(A1209="","",IF(AND(D1209=TRUE,E1209=""),"BUY",IF(AND(D1209=FALSE,E1209&lt;&gt;""),"SELL",IF(AND(D1209=TRUE,E1209&lt;&gt;""),"HOLD",""))))</f>
        <v/>
      </c>
      <c r="G1209" s="12">
        <f>IF(D1209=TRUE,4,0)</f>
        <v/>
      </c>
      <c r="H1209">
        <f>IF(A1209="","",BDP(A1209&amp;" US Equity","GICS_SECTOR_NAME"))</f>
        <v/>
      </c>
    </row>
    <row r="1210">
      <c r="A1210">
        <f>'Factor Scores'!A1210</f>
        <v/>
      </c>
      <c r="B1210" s="10">
        <f>IF(A1210="","",0.40*'Factor Scores'!C1210+0.20*'Factor Scores'!E1210+0.20*'Factor Scores'!G1210+0.20*'Factor Scores'!H1210)</f>
        <v/>
      </c>
      <c r="C1210" s="12">
        <f>IF(B1210="","",RANK(B1210,$B$2:$B$2501,0))</f>
        <v/>
      </c>
      <c r="D1210">
        <f>IF(C1210="","",C1210&lt;=25)</f>
        <v/>
      </c>
      <c r="F1210">
        <f>IF(A1210="","",IF(AND(D1210=TRUE,E1210=""),"BUY",IF(AND(D1210=FALSE,E1210&lt;&gt;""),"SELL",IF(AND(D1210=TRUE,E1210&lt;&gt;""),"HOLD",""))))</f>
        <v/>
      </c>
      <c r="G1210" s="12">
        <f>IF(D1210=TRUE,4,0)</f>
        <v/>
      </c>
      <c r="H1210">
        <f>IF(A1210="","",BDP(A1210&amp;" US Equity","GICS_SECTOR_NAME"))</f>
        <v/>
      </c>
    </row>
    <row r="1211">
      <c r="A1211">
        <f>'Factor Scores'!A1211</f>
        <v/>
      </c>
      <c r="B1211" s="10">
        <f>IF(A1211="","",0.40*'Factor Scores'!C1211+0.20*'Factor Scores'!E1211+0.20*'Factor Scores'!G1211+0.20*'Factor Scores'!H1211)</f>
        <v/>
      </c>
      <c r="C1211" s="12">
        <f>IF(B1211="","",RANK(B1211,$B$2:$B$2501,0))</f>
        <v/>
      </c>
      <c r="D1211">
        <f>IF(C1211="","",C1211&lt;=25)</f>
        <v/>
      </c>
      <c r="F1211">
        <f>IF(A1211="","",IF(AND(D1211=TRUE,E1211=""),"BUY",IF(AND(D1211=FALSE,E1211&lt;&gt;""),"SELL",IF(AND(D1211=TRUE,E1211&lt;&gt;""),"HOLD",""))))</f>
        <v/>
      </c>
      <c r="G1211" s="12">
        <f>IF(D1211=TRUE,4,0)</f>
        <v/>
      </c>
      <c r="H1211">
        <f>IF(A1211="","",BDP(A1211&amp;" US Equity","GICS_SECTOR_NAME"))</f>
        <v/>
      </c>
    </row>
    <row r="1212">
      <c r="A1212">
        <f>'Factor Scores'!A1212</f>
        <v/>
      </c>
      <c r="B1212" s="10">
        <f>IF(A1212="","",0.40*'Factor Scores'!C1212+0.20*'Factor Scores'!E1212+0.20*'Factor Scores'!G1212+0.20*'Factor Scores'!H1212)</f>
        <v/>
      </c>
      <c r="C1212" s="12">
        <f>IF(B1212="","",RANK(B1212,$B$2:$B$2501,0))</f>
        <v/>
      </c>
      <c r="D1212">
        <f>IF(C1212="","",C1212&lt;=25)</f>
        <v/>
      </c>
      <c r="F1212">
        <f>IF(A1212="","",IF(AND(D1212=TRUE,E1212=""),"BUY",IF(AND(D1212=FALSE,E1212&lt;&gt;""),"SELL",IF(AND(D1212=TRUE,E1212&lt;&gt;""),"HOLD",""))))</f>
        <v/>
      </c>
      <c r="G1212" s="12">
        <f>IF(D1212=TRUE,4,0)</f>
        <v/>
      </c>
      <c r="H1212">
        <f>IF(A1212="","",BDP(A1212&amp;" US Equity","GICS_SECTOR_NAME"))</f>
        <v/>
      </c>
    </row>
    <row r="1213">
      <c r="A1213">
        <f>'Factor Scores'!A1213</f>
        <v/>
      </c>
      <c r="B1213" s="10">
        <f>IF(A1213="","",0.40*'Factor Scores'!C1213+0.20*'Factor Scores'!E1213+0.20*'Factor Scores'!G1213+0.20*'Factor Scores'!H1213)</f>
        <v/>
      </c>
      <c r="C1213" s="12">
        <f>IF(B1213="","",RANK(B1213,$B$2:$B$2501,0))</f>
        <v/>
      </c>
      <c r="D1213">
        <f>IF(C1213="","",C1213&lt;=25)</f>
        <v/>
      </c>
      <c r="F1213">
        <f>IF(A1213="","",IF(AND(D1213=TRUE,E1213=""),"BUY",IF(AND(D1213=FALSE,E1213&lt;&gt;""),"SELL",IF(AND(D1213=TRUE,E1213&lt;&gt;""),"HOLD",""))))</f>
        <v/>
      </c>
      <c r="G1213" s="12">
        <f>IF(D1213=TRUE,4,0)</f>
        <v/>
      </c>
      <c r="H1213">
        <f>IF(A1213="","",BDP(A1213&amp;" US Equity","GICS_SECTOR_NAME"))</f>
        <v/>
      </c>
    </row>
    <row r="1214">
      <c r="A1214">
        <f>'Factor Scores'!A1214</f>
        <v/>
      </c>
      <c r="B1214" s="10">
        <f>IF(A1214="","",0.40*'Factor Scores'!C1214+0.20*'Factor Scores'!E1214+0.20*'Factor Scores'!G1214+0.20*'Factor Scores'!H1214)</f>
        <v/>
      </c>
      <c r="C1214" s="12">
        <f>IF(B1214="","",RANK(B1214,$B$2:$B$2501,0))</f>
        <v/>
      </c>
      <c r="D1214">
        <f>IF(C1214="","",C1214&lt;=25)</f>
        <v/>
      </c>
      <c r="F1214">
        <f>IF(A1214="","",IF(AND(D1214=TRUE,E1214=""),"BUY",IF(AND(D1214=FALSE,E1214&lt;&gt;""),"SELL",IF(AND(D1214=TRUE,E1214&lt;&gt;""),"HOLD",""))))</f>
        <v/>
      </c>
      <c r="G1214" s="12">
        <f>IF(D1214=TRUE,4,0)</f>
        <v/>
      </c>
      <c r="H1214">
        <f>IF(A1214="","",BDP(A1214&amp;" US Equity","GICS_SECTOR_NAME"))</f>
        <v/>
      </c>
    </row>
    <row r="1215">
      <c r="A1215">
        <f>'Factor Scores'!A1215</f>
        <v/>
      </c>
      <c r="B1215" s="10">
        <f>IF(A1215="","",0.40*'Factor Scores'!C1215+0.20*'Factor Scores'!E1215+0.20*'Factor Scores'!G1215+0.20*'Factor Scores'!H1215)</f>
        <v/>
      </c>
      <c r="C1215" s="12">
        <f>IF(B1215="","",RANK(B1215,$B$2:$B$2501,0))</f>
        <v/>
      </c>
      <c r="D1215">
        <f>IF(C1215="","",C1215&lt;=25)</f>
        <v/>
      </c>
      <c r="F1215">
        <f>IF(A1215="","",IF(AND(D1215=TRUE,E1215=""),"BUY",IF(AND(D1215=FALSE,E1215&lt;&gt;""),"SELL",IF(AND(D1215=TRUE,E1215&lt;&gt;""),"HOLD",""))))</f>
        <v/>
      </c>
      <c r="G1215" s="12">
        <f>IF(D1215=TRUE,4,0)</f>
        <v/>
      </c>
      <c r="H1215">
        <f>IF(A1215="","",BDP(A1215&amp;" US Equity","GICS_SECTOR_NAME"))</f>
        <v/>
      </c>
    </row>
    <row r="1216">
      <c r="A1216">
        <f>'Factor Scores'!A1216</f>
        <v/>
      </c>
      <c r="B1216" s="10">
        <f>IF(A1216="","",0.40*'Factor Scores'!C1216+0.20*'Factor Scores'!E1216+0.20*'Factor Scores'!G1216+0.20*'Factor Scores'!H1216)</f>
        <v/>
      </c>
      <c r="C1216" s="12">
        <f>IF(B1216="","",RANK(B1216,$B$2:$B$2501,0))</f>
        <v/>
      </c>
      <c r="D1216">
        <f>IF(C1216="","",C1216&lt;=25)</f>
        <v/>
      </c>
      <c r="F1216">
        <f>IF(A1216="","",IF(AND(D1216=TRUE,E1216=""),"BUY",IF(AND(D1216=FALSE,E1216&lt;&gt;""),"SELL",IF(AND(D1216=TRUE,E1216&lt;&gt;""),"HOLD",""))))</f>
        <v/>
      </c>
      <c r="G1216" s="12">
        <f>IF(D1216=TRUE,4,0)</f>
        <v/>
      </c>
      <c r="H1216">
        <f>IF(A1216="","",BDP(A1216&amp;" US Equity","GICS_SECTOR_NAME"))</f>
        <v/>
      </c>
    </row>
    <row r="1217">
      <c r="A1217">
        <f>'Factor Scores'!A1217</f>
        <v/>
      </c>
      <c r="B1217" s="10">
        <f>IF(A1217="","",0.40*'Factor Scores'!C1217+0.20*'Factor Scores'!E1217+0.20*'Factor Scores'!G1217+0.20*'Factor Scores'!H1217)</f>
        <v/>
      </c>
      <c r="C1217" s="12">
        <f>IF(B1217="","",RANK(B1217,$B$2:$B$2501,0))</f>
        <v/>
      </c>
      <c r="D1217">
        <f>IF(C1217="","",C1217&lt;=25)</f>
        <v/>
      </c>
      <c r="F1217">
        <f>IF(A1217="","",IF(AND(D1217=TRUE,E1217=""),"BUY",IF(AND(D1217=FALSE,E1217&lt;&gt;""),"SELL",IF(AND(D1217=TRUE,E1217&lt;&gt;""),"HOLD",""))))</f>
        <v/>
      </c>
      <c r="G1217" s="12">
        <f>IF(D1217=TRUE,4,0)</f>
        <v/>
      </c>
      <c r="H1217">
        <f>IF(A1217="","",BDP(A1217&amp;" US Equity","GICS_SECTOR_NAME"))</f>
        <v/>
      </c>
    </row>
    <row r="1218">
      <c r="A1218">
        <f>'Factor Scores'!A1218</f>
        <v/>
      </c>
      <c r="B1218" s="10">
        <f>IF(A1218="","",0.40*'Factor Scores'!C1218+0.20*'Factor Scores'!E1218+0.20*'Factor Scores'!G1218+0.20*'Factor Scores'!H1218)</f>
        <v/>
      </c>
      <c r="C1218" s="12">
        <f>IF(B1218="","",RANK(B1218,$B$2:$B$2501,0))</f>
        <v/>
      </c>
      <c r="D1218">
        <f>IF(C1218="","",C1218&lt;=25)</f>
        <v/>
      </c>
      <c r="F1218">
        <f>IF(A1218="","",IF(AND(D1218=TRUE,E1218=""),"BUY",IF(AND(D1218=FALSE,E1218&lt;&gt;""),"SELL",IF(AND(D1218=TRUE,E1218&lt;&gt;""),"HOLD",""))))</f>
        <v/>
      </c>
      <c r="G1218" s="12">
        <f>IF(D1218=TRUE,4,0)</f>
        <v/>
      </c>
      <c r="H1218">
        <f>IF(A1218="","",BDP(A1218&amp;" US Equity","GICS_SECTOR_NAME"))</f>
        <v/>
      </c>
    </row>
    <row r="1219">
      <c r="A1219">
        <f>'Factor Scores'!A1219</f>
        <v/>
      </c>
      <c r="B1219" s="10">
        <f>IF(A1219="","",0.40*'Factor Scores'!C1219+0.20*'Factor Scores'!E1219+0.20*'Factor Scores'!G1219+0.20*'Factor Scores'!H1219)</f>
        <v/>
      </c>
      <c r="C1219" s="12">
        <f>IF(B1219="","",RANK(B1219,$B$2:$B$2501,0))</f>
        <v/>
      </c>
      <c r="D1219">
        <f>IF(C1219="","",C1219&lt;=25)</f>
        <v/>
      </c>
      <c r="F1219">
        <f>IF(A1219="","",IF(AND(D1219=TRUE,E1219=""),"BUY",IF(AND(D1219=FALSE,E1219&lt;&gt;""),"SELL",IF(AND(D1219=TRUE,E1219&lt;&gt;""),"HOLD",""))))</f>
        <v/>
      </c>
      <c r="G1219" s="12">
        <f>IF(D1219=TRUE,4,0)</f>
        <v/>
      </c>
      <c r="H1219">
        <f>IF(A1219="","",BDP(A1219&amp;" US Equity","GICS_SECTOR_NAME"))</f>
        <v/>
      </c>
    </row>
    <row r="1220">
      <c r="A1220">
        <f>'Factor Scores'!A1220</f>
        <v/>
      </c>
      <c r="B1220" s="10">
        <f>IF(A1220="","",0.40*'Factor Scores'!C1220+0.20*'Factor Scores'!E1220+0.20*'Factor Scores'!G1220+0.20*'Factor Scores'!H1220)</f>
        <v/>
      </c>
      <c r="C1220" s="12">
        <f>IF(B1220="","",RANK(B1220,$B$2:$B$2501,0))</f>
        <v/>
      </c>
      <c r="D1220">
        <f>IF(C1220="","",C1220&lt;=25)</f>
        <v/>
      </c>
      <c r="F1220">
        <f>IF(A1220="","",IF(AND(D1220=TRUE,E1220=""),"BUY",IF(AND(D1220=FALSE,E1220&lt;&gt;""),"SELL",IF(AND(D1220=TRUE,E1220&lt;&gt;""),"HOLD",""))))</f>
        <v/>
      </c>
      <c r="G1220" s="12">
        <f>IF(D1220=TRUE,4,0)</f>
        <v/>
      </c>
      <c r="H1220">
        <f>IF(A1220="","",BDP(A1220&amp;" US Equity","GICS_SECTOR_NAME"))</f>
        <v/>
      </c>
    </row>
    <row r="1221">
      <c r="A1221">
        <f>'Factor Scores'!A1221</f>
        <v/>
      </c>
      <c r="B1221" s="10">
        <f>IF(A1221="","",0.40*'Factor Scores'!C1221+0.20*'Factor Scores'!E1221+0.20*'Factor Scores'!G1221+0.20*'Factor Scores'!H1221)</f>
        <v/>
      </c>
      <c r="C1221" s="12">
        <f>IF(B1221="","",RANK(B1221,$B$2:$B$2501,0))</f>
        <v/>
      </c>
      <c r="D1221">
        <f>IF(C1221="","",C1221&lt;=25)</f>
        <v/>
      </c>
      <c r="F1221">
        <f>IF(A1221="","",IF(AND(D1221=TRUE,E1221=""),"BUY",IF(AND(D1221=FALSE,E1221&lt;&gt;""),"SELL",IF(AND(D1221=TRUE,E1221&lt;&gt;""),"HOLD",""))))</f>
        <v/>
      </c>
      <c r="G1221" s="12">
        <f>IF(D1221=TRUE,4,0)</f>
        <v/>
      </c>
      <c r="H1221">
        <f>IF(A1221="","",BDP(A1221&amp;" US Equity","GICS_SECTOR_NAME"))</f>
        <v/>
      </c>
    </row>
    <row r="1222">
      <c r="A1222">
        <f>'Factor Scores'!A1222</f>
        <v/>
      </c>
      <c r="B1222" s="10">
        <f>IF(A1222="","",0.40*'Factor Scores'!C1222+0.20*'Factor Scores'!E1222+0.20*'Factor Scores'!G1222+0.20*'Factor Scores'!H1222)</f>
        <v/>
      </c>
      <c r="C1222" s="12">
        <f>IF(B1222="","",RANK(B1222,$B$2:$B$2501,0))</f>
        <v/>
      </c>
      <c r="D1222">
        <f>IF(C1222="","",C1222&lt;=25)</f>
        <v/>
      </c>
      <c r="F1222">
        <f>IF(A1222="","",IF(AND(D1222=TRUE,E1222=""),"BUY",IF(AND(D1222=FALSE,E1222&lt;&gt;""),"SELL",IF(AND(D1222=TRUE,E1222&lt;&gt;""),"HOLD",""))))</f>
        <v/>
      </c>
      <c r="G1222" s="12">
        <f>IF(D1222=TRUE,4,0)</f>
        <v/>
      </c>
      <c r="H1222">
        <f>IF(A1222="","",BDP(A1222&amp;" US Equity","GICS_SECTOR_NAME"))</f>
        <v/>
      </c>
    </row>
    <row r="1223">
      <c r="A1223">
        <f>'Factor Scores'!A1223</f>
        <v/>
      </c>
      <c r="B1223" s="10">
        <f>IF(A1223="","",0.40*'Factor Scores'!C1223+0.20*'Factor Scores'!E1223+0.20*'Factor Scores'!G1223+0.20*'Factor Scores'!H1223)</f>
        <v/>
      </c>
      <c r="C1223" s="12">
        <f>IF(B1223="","",RANK(B1223,$B$2:$B$2501,0))</f>
        <v/>
      </c>
      <c r="D1223">
        <f>IF(C1223="","",C1223&lt;=25)</f>
        <v/>
      </c>
      <c r="F1223">
        <f>IF(A1223="","",IF(AND(D1223=TRUE,E1223=""),"BUY",IF(AND(D1223=FALSE,E1223&lt;&gt;""),"SELL",IF(AND(D1223=TRUE,E1223&lt;&gt;""),"HOLD",""))))</f>
        <v/>
      </c>
      <c r="G1223" s="12">
        <f>IF(D1223=TRUE,4,0)</f>
        <v/>
      </c>
      <c r="H1223">
        <f>IF(A1223="","",BDP(A1223&amp;" US Equity","GICS_SECTOR_NAME"))</f>
        <v/>
      </c>
    </row>
    <row r="1224">
      <c r="A1224">
        <f>'Factor Scores'!A1224</f>
        <v/>
      </c>
      <c r="B1224" s="10">
        <f>IF(A1224="","",0.40*'Factor Scores'!C1224+0.20*'Factor Scores'!E1224+0.20*'Factor Scores'!G1224+0.20*'Factor Scores'!H1224)</f>
        <v/>
      </c>
      <c r="C1224" s="12">
        <f>IF(B1224="","",RANK(B1224,$B$2:$B$2501,0))</f>
        <v/>
      </c>
      <c r="D1224">
        <f>IF(C1224="","",C1224&lt;=25)</f>
        <v/>
      </c>
      <c r="F1224">
        <f>IF(A1224="","",IF(AND(D1224=TRUE,E1224=""),"BUY",IF(AND(D1224=FALSE,E1224&lt;&gt;""),"SELL",IF(AND(D1224=TRUE,E1224&lt;&gt;""),"HOLD",""))))</f>
        <v/>
      </c>
      <c r="G1224" s="12">
        <f>IF(D1224=TRUE,4,0)</f>
        <v/>
      </c>
      <c r="H1224">
        <f>IF(A1224="","",BDP(A1224&amp;" US Equity","GICS_SECTOR_NAME"))</f>
        <v/>
      </c>
    </row>
    <row r="1225">
      <c r="A1225">
        <f>'Factor Scores'!A1225</f>
        <v/>
      </c>
      <c r="B1225" s="10">
        <f>IF(A1225="","",0.40*'Factor Scores'!C1225+0.20*'Factor Scores'!E1225+0.20*'Factor Scores'!G1225+0.20*'Factor Scores'!H1225)</f>
        <v/>
      </c>
      <c r="C1225" s="12">
        <f>IF(B1225="","",RANK(B1225,$B$2:$B$2501,0))</f>
        <v/>
      </c>
      <c r="D1225">
        <f>IF(C1225="","",C1225&lt;=25)</f>
        <v/>
      </c>
      <c r="F1225">
        <f>IF(A1225="","",IF(AND(D1225=TRUE,E1225=""),"BUY",IF(AND(D1225=FALSE,E1225&lt;&gt;""),"SELL",IF(AND(D1225=TRUE,E1225&lt;&gt;""),"HOLD",""))))</f>
        <v/>
      </c>
      <c r="G1225" s="12">
        <f>IF(D1225=TRUE,4,0)</f>
        <v/>
      </c>
      <c r="H1225">
        <f>IF(A1225="","",BDP(A1225&amp;" US Equity","GICS_SECTOR_NAME"))</f>
        <v/>
      </c>
    </row>
    <row r="1226">
      <c r="A1226">
        <f>'Factor Scores'!A1226</f>
        <v/>
      </c>
      <c r="B1226" s="10">
        <f>IF(A1226="","",0.40*'Factor Scores'!C1226+0.20*'Factor Scores'!E1226+0.20*'Factor Scores'!G1226+0.20*'Factor Scores'!H1226)</f>
        <v/>
      </c>
      <c r="C1226" s="12">
        <f>IF(B1226="","",RANK(B1226,$B$2:$B$2501,0))</f>
        <v/>
      </c>
      <c r="D1226">
        <f>IF(C1226="","",C1226&lt;=25)</f>
        <v/>
      </c>
      <c r="F1226">
        <f>IF(A1226="","",IF(AND(D1226=TRUE,E1226=""),"BUY",IF(AND(D1226=FALSE,E1226&lt;&gt;""),"SELL",IF(AND(D1226=TRUE,E1226&lt;&gt;""),"HOLD",""))))</f>
        <v/>
      </c>
      <c r="G1226" s="12">
        <f>IF(D1226=TRUE,4,0)</f>
        <v/>
      </c>
      <c r="H1226">
        <f>IF(A1226="","",BDP(A1226&amp;" US Equity","GICS_SECTOR_NAME"))</f>
        <v/>
      </c>
    </row>
    <row r="1227">
      <c r="A1227">
        <f>'Factor Scores'!A1227</f>
        <v/>
      </c>
      <c r="B1227" s="10">
        <f>IF(A1227="","",0.40*'Factor Scores'!C1227+0.20*'Factor Scores'!E1227+0.20*'Factor Scores'!G1227+0.20*'Factor Scores'!H1227)</f>
        <v/>
      </c>
      <c r="C1227" s="12">
        <f>IF(B1227="","",RANK(B1227,$B$2:$B$2501,0))</f>
        <v/>
      </c>
      <c r="D1227">
        <f>IF(C1227="","",C1227&lt;=25)</f>
        <v/>
      </c>
      <c r="F1227">
        <f>IF(A1227="","",IF(AND(D1227=TRUE,E1227=""),"BUY",IF(AND(D1227=FALSE,E1227&lt;&gt;""),"SELL",IF(AND(D1227=TRUE,E1227&lt;&gt;""),"HOLD",""))))</f>
        <v/>
      </c>
      <c r="G1227" s="12">
        <f>IF(D1227=TRUE,4,0)</f>
        <v/>
      </c>
      <c r="H1227">
        <f>IF(A1227="","",BDP(A1227&amp;" US Equity","GICS_SECTOR_NAME"))</f>
        <v/>
      </c>
    </row>
    <row r="1228">
      <c r="A1228">
        <f>'Factor Scores'!A1228</f>
        <v/>
      </c>
      <c r="B1228" s="10">
        <f>IF(A1228="","",0.40*'Factor Scores'!C1228+0.20*'Factor Scores'!E1228+0.20*'Factor Scores'!G1228+0.20*'Factor Scores'!H1228)</f>
        <v/>
      </c>
      <c r="C1228" s="12">
        <f>IF(B1228="","",RANK(B1228,$B$2:$B$2501,0))</f>
        <v/>
      </c>
      <c r="D1228">
        <f>IF(C1228="","",C1228&lt;=25)</f>
        <v/>
      </c>
      <c r="F1228">
        <f>IF(A1228="","",IF(AND(D1228=TRUE,E1228=""),"BUY",IF(AND(D1228=FALSE,E1228&lt;&gt;""),"SELL",IF(AND(D1228=TRUE,E1228&lt;&gt;""),"HOLD",""))))</f>
        <v/>
      </c>
      <c r="G1228" s="12">
        <f>IF(D1228=TRUE,4,0)</f>
        <v/>
      </c>
      <c r="H1228">
        <f>IF(A1228="","",BDP(A1228&amp;" US Equity","GICS_SECTOR_NAME"))</f>
        <v/>
      </c>
    </row>
    <row r="1229">
      <c r="A1229">
        <f>'Factor Scores'!A1229</f>
        <v/>
      </c>
      <c r="B1229" s="10">
        <f>IF(A1229="","",0.40*'Factor Scores'!C1229+0.20*'Factor Scores'!E1229+0.20*'Factor Scores'!G1229+0.20*'Factor Scores'!H1229)</f>
        <v/>
      </c>
      <c r="C1229" s="12">
        <f>IF(B1229="","",RANK(B1229,$B$2:$B$2501,0))</f>
        <v/>
      </c>
      <c r="D1229">
        <f>IF(C1229="","",C1229&lt;=25)</f>
        <v/>
      </c>
      <c r="F1229">
        <f>IF(A1229="","",IF(AND(D1229=TRUE,E1229=""),"BUY",IF(AND(D1229=FALSE,E1229&lt;&gt;""),"SELL",IF(AND(D1229=TRUE,E1229&lt;&gt;""),"HOLD",""))))</f>
        <v/>
      </c>
      <c r="G1229" s="12">
        <f>IF(D1229=TRUE,4,0)</f>
        <v/>
      </c>
      <c r="H1229">
        <f>IF(A1229="","",BDP(A1229&amp;" US Equity","GICS_SECTOR_NAME"))</f>
        <v/>
      </c>
    </row>
    <row r="1230">
      <c r="A1230">
        <f>'Factor Scores'!A1230</f>
        <v/>
      </c>
      <c r="B1230" s="10">
        <f>IF(A1230="","",0.40*'Factor Scores'!C1230+0.20*'Factor Scores'!E1230+0.20*'Factor Scores'!G1230+0.20*'Factor Scores'!H1230)</f>
        <v/>
      </c>
      <c r="C1230" s="12">
        <f>IF(B1230="","",RANK(B1230,$B$2:$B$2501,0))</f>
        <v/>
      </c>
      <c r="D1230">
        <f>IF(C1230="","",C1230&lt;=25)</f>
        <v/>
      </c>
      <c r="F1230">
        <f>IF(A1230="","",IF(AND(D1230=TRUE,E1230=""),"BUY",IF(AND(D1230=FALSE,E1230&lt;&gt;""),"SELL",IF(AND(D1230=TRUE,E1230&lt;&gt;""),"HOLD",""))))</f>
        <v/>
      </c>
      <c r="G1230" s="12">
        <f>IF(D1230=TRUE,4,0)</f>
        <v/>
      </c>
      <c r="H1230">
        <f>IF(A1230="","",BDP(A1230&amp;" US Equity","GICS_SECTOR_NAME"))</f>
        <v/>
      </c>
    </row>
    <row r="1231">
      <c r="A1231">
        <f>'Factor Scores'!A1231</f>
        <v/>
      </c>
      <c r="B1231" s="10">
        <f>IF(A1231="","",0.40*'Factor Scores'!C1231+0.20*'Factor Scores'!E1231+0.20*'Factor Scores'!G1231+0.20*'Factor Scores'!H1231)</f>
        <v/>
      </c>
      <c r="C1231" s="12">
        <f>IF(B1231="","",RANK(B1231,$B$2:$B$2501,0))</f>
        <v/>
      </c>
      <c r="D1231">
        <f>IF(C1231="","",C1231&lt;=25)</f>
        <v/>
      </c>
      <c r="F1231">
        <f>IF(A1231="","",IF(AND(D1231=TRUE,E1231=""),"BUY",IF(AND(D1231=FALSE,E1231&lt;&gt;""),"SELL",IF(AND(D1231=TRUE,E1231&lt;&gt;""),"HOLD",""))))</f>
        <v/>
      </c>
      <c r="G1231" s="12">
        <f>IF(D1231=TRUE,4,0)</f>
        <v/>
      </c>
      <c r="H1231">
        <f>IF(A1231="","",BDP(A1231&amp;" US Equity","GICS_SECTOR_NAME"))</f>
        <v/>
      </c>
    </row>
    <row r="1232">
      <c r="A1232">
        <f>'Factor Scores'!A1232</f>
        <v/>
      </c>
      <c r="B1232" s="10">
        <f>IF(A1232="","",0.40*'Factor Scores'!C1232+0.20*'Factor Scores'!E1232+0.20*'Factor Scores'!G1232+0.20*'Factor Scores'!H1232)</f>
        <v/>
      </c>
      <c r="C1232" s="12">
        <f>IF(B1232="","",RANK(B1232,$B$2:$B$2501,0))</f>
        <v/>
      </c>
      <c r="D1232">
        <f>IF(C1232="","",C1232&lt;=25)</f>
        <v/>
      </c>
      <c r="F1232">
        <f>IF(A1232="","",IF(AND(D1232=TRUE,E1232=""),"BUY",IF(AND(D1232=FALSE,E1232&lt;&gt;""),"SELL",IF(AND(D1232=TRUE,E1232&lt;&gt;""),"HOLD",""))))</f>
        <v/>
      </c>
      <c r="G1232" s="12">
        <f>IF(D1232=TRUE,4,0)</f>
        <v/>
      </c>
      <c r="H1232">
        <f>IF(A1232="","",BDP(A1232&amp;" US Equity","GICS_SECTOR_NAME"))</f>
        <v/>
      </c>
    </row>
    <row r="1233">
      <c r="A1233">
        <f>'Factor Scores'!A1233</f>
        <v/>
      </c>
      <c r="B1233" s="10">
        <f>IF(A1233="","",0.40*'Factor Scores'!C1233+0.20*'Factor Scores'!E1233+0.20*'Factor Scores'!G1233+0.20*'Factor Scores'!H1233)</f>
        <v/>
      </c>
      <c r="C1233" s="12">
        <f>IF(B1233="","",RANK(B1233,$B$2:$B$2501,0))</f>
        <v/>
      </c>
      <c r="D1233">
        <f>IF(C1233="","",C1233&lt;=25)</f>
        <v/>
      </c>
      <c r="F1233">
        <f>IF(A1233="","",IF(AND(D1233=TRUE,E1233=""),"BUY",IF(AND(D1233=FALSE,E1233&lt;&gt;""),"SELL",IF(AND(D1233=TRUE,E1233&lt;&gt;""),"HOLD",""))))</f>
        <v/>
      </c>
      <c r="G1233" s="12">
        <f>IF(D1233=TRUE,4,0)</f>
        <v/>
      </c>
      <c r="H1233">
        <f>IF(A1233="","",BDP(A1233&amp;" US Equity","GICS_SECTOR_NAME"))</f>
        <v/>
      </c>
    </row>
    <row r="1234">
      <c r="A1234">
        <f>'Factor Scores'!A1234</f>
        <v/>
      </c>
      <c r="B1234" s="10">
        <f>IF(A1234="","",0.40*'Factor Scores'!C1234+0.20*'Factor Scores'!E1234+0.20*'Factor Scores'!G1234+0.20*'Factor Scores'!H1234)</f>
        <v/>
      </c>
      <c r="C1234" s="12">
        <f>IF(B1234="","",RANK(B1234,$B$2:$B$2501,0))</f>
        <v/>
      </c>
      <c r="D1234">
        <f>IF(C1234="","",C1234&lt;=25)</f>
        <v/>
      </c>
      <c r="F1234">
        <f>IF(A1234="","",IF(AND(D1234=TRUE,E1234=""),"BUY",IF(AND(D1234=FALSE,E1234&lt;&gt;""),"SELL",IF(AND(D1234=TRUE,E1234&lt;&gt;""),"HOLD",""))))</f>
        <v/>
      </c>
      <c r="G1234" s="12">
        <f>IF(D1234=TRUE,4,0)</f>
        <v/>
      </c>
      <c r="H1234">
        <f>IF(A1234="","",BDP(A1234&amp;" US Equity","GICS_SECTOR_NAME"))</f>
        <v/>
      </c>
    </row>
    <row r="1235">
      <c r="A1235">
        <f>'Factor Scores'!A1235</f>
        <v/>
      </c>
      <c r="B1235" s="10">
        <f>IF(A1235="","",0.40*'Factor Scores'!C1235+0.20*'Factor Scores'!E1235+0.20*'Factor Scores'!G1235+0.20*'Factor Scores'!H1235)</f>
        <v/>
      </c>
      <c r="C1235" s="12">
        <f>IF(B1235="","",RANK(B1235,$B$2:$B$2501,0))</f>
        <v/>
      </c>
      <c r="D1235">
        <f>IF(C1235="","",C1235&lt;=25)</f>
        <v/>
      </c>
      <c r="F1235">
        <f>IF(A1235="","",IF(AND(D1235=TRUE,E1235=""),"BUY",IF(AND(D1235=FALSE,E1235&lt;&gt;""),"SELL",IF(AND(D1235=TRUE,E1235&lt;&gt;""),"HOLD",""))))</f>
        <v/>
      </c>
      <c r="G1235" s="12">
        <f>IF(D1235=TRUE,4,0)</f>
        <v/>
      </c>
      <c r="H1235">
        <f>IF(A1235="","",BDP(A1235&amp;" US Equity","GICS_SECTOR_NAME"))</f>
        <v/>
      </c>
    </row>
    <row r="1236">
      <c r="A1236">
        <f>'Factor Scores'!A1236</f>
        <v/>
      </c>
      <c r="B1236" s="10">
        <f>IF(A1236="","",0.40*'Factor Scores'!C1236+0.20*'Factor Scores'!E1236+0.20*'Factor Scores'!G1236+0.20*'Factor Scores'!H1236)</f>
        <v/>
      </c>
      <c r="C1236" s="12">
        <f>IF(B1236="","",RANK(B1236,$B$2:$B$2501,0))</f>
        <v/>
      </c>
      <c r="D1236">
        <f>IF(C1236="","",C1236&lt;=25)</f>
        <v/>
      </c>
      <c r="F1236">
        <f>IF(A1236="","",IF(AND(D1236=TRUE,E1236=""),"BUY",IF(AND(D1236=FALSE,E1236&lt;&gt;""),"SELL",IF(AND(D1236=TRUE,E1236&lt;&gt;""),"HOLD",""))))</f>
        <v/>
      </c>
      <c r="G1236" s="12">
        <f>IF(D1236=TRUE,4,0)</f>
        <v/>
      </c>
      <c r="H1236">
        <f>IF(A1236="","",BDP(A1236&amp;" US Equity","GICS_SECTOR_NAME"))</f>
        <v/>
      </c>
    </row>
    <row r="1237">
      <c r="A1237">
        <f>'Factor Scores'!A1237</f>
        <v/>
      </c>
      <c r="B1237" s="10">
        <f>IF(A1237="","",0.40*'Factor Scores'!C1237+0.20*'Factor Scores'!E1237+0.20*'Factor Scores'!G1237+0.20*'Factor Scores'!H1237)</f>
        <v/>
      </c>
      <c r="C1237" s="12">
        <f>IF(B1237="","",RANK(B1237,$B$2:$B$2501,0))</f>
        <v/>
      </c>
      <c r="D1237">
        <f>IF(C1237="","",C1237&lt;=25)</f>
        <v/>
      </c>
      <c r="F1237">
        <f>IF(A1237="","",IF(AND(D1237=TRUE,E1237=""),"BUY",IF(AND(D1237=FALSE,E1237&lt;&gt;""),"SELL",IF(AND(D1237=TRUE,E1237&lt;&gt;""),"HOLD",""))))</f>
        <v/>
      </c>
      <c r="G1237" s="12">
        <f>IF(D1237=TRUE,4,0)</f>
        <v/>
      </c>
      <c r="H1237">
        <f>IF(A1237="","",BDP(A1237&amp;" US Equity","GICS_SECTOR_NAME"))</f>
        <v/>
      </c>
    </row>
    <row r="1238">
      <c r="A1238">
        <f>'Factor Scores'!A1238</f>
        <v/>
      </c>
      <c r="B1238" s="10">
        <f>IF(A1238="","",0.40*'Factor Scores'!C1238+0.20*'Factor Scores'!E1238+0.20*'Factor Scores'!G1238+0.20*'Factor Scores'!H1238)</f>
        <v/>
      </c>
      <c r="C1238" s="12">
        <f>IF(B1238="","",RANK(B1238,$B$2:$B$2501,0))</f>
        <v/>
      </c>
      <c r="D1238">
        <f>IF(C1238="","",C1238&lt;=25)</f>
        <v/>
      </c>
      <c r="F1238">
        <f>IF(A1238="","",IF(AND(D1238=TRUE,E1238=""),"BUY",IF(AND(D1238=FALSE,E1238&lt;&gt;""),"SELL",IF(AND(D1238=TRUE,E1238&lt;&gt;""),"HOLD",""))))</f>
        <v/>
      </c>
      <c r="G1238" s="12">
        <f>IF(D1238=TRUE,4,0)</f>
        <v/>
      </c>
      <c r="H1238">
        <f>IF(A1238="","",BDP(A1238&amp;" US Equity","GICS_SECTOR_NAME"))</f>
        <v/>
      </c>
    </row>
    <row r="1239">
      <c r="A1239">
        <f>'Factor Scores'!A1239</f>
        <v/>
      </c>
      <c r="B1239" s="10">
        <f>IF(A1239="","",0.40*'Factor Scores'!C1239+0.20*'Factor Scores'!E1239+0.20*'Factor Scores'!G1239+0.20*'Factor Scores'!H1239)</f>
        <v/>
      </c>
      <c r="C1239" s="12">
        <f>IF(B1239="","",RANK(B1239,$B$2:$B$2501,0))</f>
        <v/>
      </c>
      <c r="D1239">
        <f>IF(C1239="","",C1239&lt;=25)</f>
        <v/>
      </c>
      <c r="F1239">
        <f>IF(A1239="","",IF(AND(D1239=TRUE,E1239=""),"BUY",IF(AND(D1239=FALSE,E1239&lt;&gt;""),"SELL",IF(AND(D1239=TRUE,E1239&lt;&gt;""),"HOLD",""))))</f>
        <v/>
      </c>
      <c r="G1239" s="12">
        <f>IF(D1239=TRUE,4,0)</f>
        <v/>
      </c>
      <c r="H1239">
        <f>IF(A1239="","",BDP(A1239&amp;" US Equity","GICS_SECTOR_NAME"))</f>
        <v/>
      </c>
    </row>
    <row r="1240">
      <c r="A1240">
        <f>'Factor Scores'!A1240</f>
        <v/>
      </c>
      <c r="B1240" s="10">
        <f>IF(A1240="","",0.40*'Factor Scores'!C1240+0.20*'Factor Scores'!E1240+0.20*'Factor Scores'!G1240+0.20*'Factor Scores'!H1240)</f>
        <v/>
      </c>
      <c r="C1240" s="12">
        <f>IF(B1240="","",RANK(B1240,$B$2:$B$2501,0))</f>
        <v/>
      </c>
      <c r="D1240">
        <f>IF(C1240="","",C1240&lt;=25)</f>
        <v/>
      </c>
      <c r="F1240">
        <f>IF(A1240="","",IF(AND(D1240=TRUE,E1240=""),"BUY",IF(AND(D1240=FALSE,E1240&lt;&gt;""),"SELL",IF(AND(D1240=TRUE,E1240&lt;&gt;""),"HOLD",""))))</f>
        <v/>
      </c>
      <c r="G1240" s="12">
        <f>IF(D1240=TRUE,4,0)</f>
        <v/>
      </c>
      <c r="H1240">
        <f>IF(A1240="","",BDP(A1240&amp;" US Equity","GICS_SECTOR_NAME"))</f>
        <v/>
      </c>
    </row>
    <row r="1241">
      <c r="A1241">
        <f>'Factor Scores'!A1241</f>
        <v/>
      </c>
      <c r="B1241" s="10">
        <f>IF(A1241="","",0.40*'Factor Scores'!C1241+0.20*'Factor Scores'!E1241+0.20*'Factor Scores'!G1241+0.20*'Factor Scores'!H1241)</f>
        <v/>
      </c>
      <c r="C1241" s="12">
        <f>IF(B1241="","",RANK(B1241,$B$2:$B$2501,0))</f>
        <v/>
      </c>
      <c r="D1241">
        <f>IF(C1241="","",C1241&lt;=25)</f>
        <v/>
      </c>
      <c r="F1241">
        <f>IF(A1241="","",IF(AND(D1241=TRUE,E1241=""),"BUY",IF(AND(D1241=FALSE,E1241&lt;&gt;""),"SELL",IF(AND(D1241=TRUE,E1241&lt;&gt;""),"HOLD",""))))</f>
        <v/>
      </c>
      <c r="G1241" s="12">
        <f>IF(D1241=TRUE,4,0)</f>
        <v/>
      </c>
      <c r="H1241">
        <f>IF(A1241="","",BDP(A1241&amp;" US Equity","GICS_SECTOR_NAME"))</f>
        <v/>
      </c>
    </row>
    <row r="1242">
      <c r="A1242">
        <f>'Factor Scores'!A1242</f>
        <v/>
      </c>
      <c r="B1242" s="10">
        <f>IF(A1242="","",0.40*'Factor Scores'!C1242+0.20*'Factor Scores'!E1242+0.20*'Factor Scores'!G1242+0.20*'Factor Scores'!H1242)</f>
        <v/>
      </c>
      <c r="C1242" s="12">
        <f>IF(B1242="","",RANK(B1242,$B$2:$B$2501,0))</f>
        <v/>
      </c>
      <c r="D1242">
        <f>IF(C1242="","",C1242&lt;=25)</f>
        <v/>
      </c>
      <c r="F1242">
        <f>IF(A1242="","",IF(AND(D1242=TRUE,E1242=""),"BUY",IF(AND(D1242=FALSE,E1242&lt;&gt;""),"SELL",IF(AND(D1242=TRUE,E1242&lt;&gt;""),"HOLD",""))))</f>
        <v/>
      </c>
      <c r="G1242" s="12">
        <f>IF(D1242=TRUE,4,0)</f>
        <v/>
      </c>
      <c r="H1242">
        <f>IF(A1242="","",BDP(A1242&amp;" US Equity","GICS_SECTOR_NAME"))</f>
        <v/>
      </c>
    </row>
    <row r="1243">
      <c r="A1243">
        <f>'Factor Scores'!A1243</f>
        <v/>
      </c>
      <c r="B1243" s="10">
        <f>IF(A1243="","",0.40*'Factor Scores'!C1243+0.20*'Factor Scores'!E1243+0.20*'Factor Scores'!G1243+0.20*'Factor Scores'!H1243)</f>
        <v/>
      </c>
      <c r="C1243" s="12">
        <f>IF(B1243="","",RANK(B1243,$B$2:$B$2501,0))</f>
        <v/>
      </c>
      <c r="D1243">
        <f>IF(C1243="","",C1243&lt;=25)</f>
        <v/>
      </c>
      <c r="F1243">
        <f>IF(A1243="","",IF(AND(D1243=TRUE,E1243=""),"BUY",IF(AND(D1243=FALSE,E1243&lt;&gt;""),"SELL",IF(AND(D1243=TRUE,E1243&lt;&gt;""),"HOLD",""))))</f>
        <v/>
      </c>
      <c r="G1243" s="12">
        <f>IF(D1243=TRUE,4,0)</f>
        <v/>
      </c>
      <c r="H1243">
        <f>IF(A1243="","",BDP(A1243&amp;" US Equity","GICS_SECTOR_NAME"))</f>
        <v/>
      </c>
    </row>
    <row r="1244">
      <c r="A1244">
        <f>'Factor Scores'!A1244</f>
        <v/>
      </c>
      <c r="B1244" s="10">
        <f>IF(A1244="","",0.40*'Factor Scores'!C1244+0.20*'Factor Scores'!E1244+0.20*'Factor Scores'!G1244+0.20*'Factor Scores'!H1244)</f>
        <v/>
      </c>
      <c r="C1244" s="12">
        <f>IF(B1244="","",RANK(B1244,$B$2:$B$2501,0))</f>
        <v/>
      </c>
      <c r="D1244">
        <f>IF(C1244="","",C1244&lt;=25)</f>
        <v/>
      </c>
      <c r="F1244">
        <f>IF(A1244="","",IF(AND(D1244=TRUE,E1244=""),"BUY",IF(AND(D1244=FALSE,E1244&lt;&gt;""),"SELL",IF(AND(D1244=TRUE,E1244&lt;&gt;""),"HOLD",""))))</f>
        <v/>
      </c>
      <c r="G1244" s="12">
        <f>IF(D1244=TRUE,4,0)</f>
        <v/>
      </c>
      <c r="H1244">
        <f>IF(A1244="","",BDP(A1244&amp;" US Equity","GICS_SECTOR_NAME"))</f>
        <v/>
      </c>
    </row>
    <row r="1245">
      <c r="A1245">
        <f>'Factor Scores'!A1245</f>
        <v/>
      </c>
      <c r="B1245" s="10">
        <f>IF(A1245="","",0.40*'Factor Scores'!C1245+0.20*'Factor Scores'!E1245+0.20*'Factor Scores'!G1245+0.20*'Factor Scores'!H1245)</f>
        <v/>
      </c>
      <c r="C1245" s="12">
        <f>IF(B1245="","",RANK(B1245,$B$2:$B$2501,0))</f>
        <v/>
      </c>
      <c r="D1245">
        <f>IF(C1245="","",C1245&lt;=25)</f>
        <v/>
      </c>
      <c r="F1245">
        <f>IF(A1245="","",IF(AND(D1245=TRUE,E1245=""),"BUY",IF(AND(D1245=FALSE,E1245&lt;&gt;""),"SELL",IF(AND(D1245=TRUE,E1245&lt;&gt;""),"HOLD",""))))</f>
        <v/>
      </c>
      <c r="G1245" s="12">
        <f>IF(D1245=TRUE,4,0)</f>
        <v/>
      </c>
      <c r="H1245">
        <f>IF(A1245="","",BDP(A1245&amp;" US Equity","GICS_SECTOR_NAME"))</f>
        <v/>
      </c>
    </row>
    <row r="1246">
      <c r="A1246">
        <f>'Factor Scores'!A1246</f>
        <v/>
      </c>
      <c r="B1246" s="10">
        <f>IF(A1246="","",0.40*'Factor Scores'!C1246+0.20*'Factor Scores'!E1246+0.20*'Factor Scores'!G1246+0.20*'Factor Scores'!H1246)</f>
        <v/>
      </c>
      <c r="C1246" s="12">
        <f>IF(B1246="","",RANK(B1246,$B$2:$B$2501,0))</f>
        <v/>
      </c>
      <c r="D1246">
        <f>IF(C1246="","",C1246&lt;=25)</f>
        <v/>
      </c>
      <c r="F1246">
        <f>IF(A1246="","",IF(AND(D1246=TRUE,E1246=""),"BUY",IF(AND(D1246=FALSE,E1246&lt;&gt;""),"SELL",IF(AND(D1246=TRUE,E1246&lt;&gt;""),"HOLD",""))))</f>
        <v/>
      </c>
      <c r="G1246" s="12">
        <f>IF(D1246=TRUE,4,0)</f>
        <v/>
      </c>
      <c r="H1246">
        <f>IF(A1246="","",BDP(A1246&amp;" US Equity","GICS_SECTOR_NAME"))</f>
        <v/>
      </c>
    </row>
    <row r="1247">
      <c r="A1247">
        <f>'Factor Scores'!A1247</f>
        <v/>
      </c>
      <c r="B1247" s="10">
        <f>IF(A1247="","",0.40*'Factor Scores'!C1247+0.20*'Factor Scores'!E1247+0.20*'Factor Scores'!G1247+0.20*'Factor Scores'!H1247)</f>
        <v/>
      </c>
      <c r="C1247" s="12">
        <f>IF(B1247="","",RANK(B1247,$B$2:$B$2501,0))</f>
        <v/>
      </c>
      <c r="D1247">
        <f>IF(C1247="","",C1247&lt;=25)</f>
        <v/>
      </c>
      <c r="F1247">
        <f>IF(A1247="","",IF(AND(D1247=TRUE,E1247=""),"BUY",IF(AND(D1247=FALSE,E1247&lt;&gt;""),"SELL",IF(AND(D1247=TRUE,E1247&lt;&gt;""),"HOLD",""))))</f>
        <v/>
      </c>
      <c r="G1247" s="12">
        <f>IF(D1247=TRUE,4,0)</f>
        <v/>
      </c>
      <c r="H1247">
        <f>IF(A1247="","",BDP(A1247&amp;" US Equity","GICS_SECTOR_NAME"))</f>
        <v/>
      </c>
    </row>
    <row r="1248">
      <c r="A1248">
        <f>'Factor Scores'!A1248</f>
        <v/>
      </c>
      <c r="B1248" s="10">
        <f>IF(A1248="","",0.40*'Factor Scores'!C1248+0.20*'Factor Scores'!E1248+0.20*'Factor Scores'!G1248+0.20*'Factor Scores'!H1248)</f>
        <v/>
      </c>
      <c r="C1248" s="12">
        <f>IF(B1248="","",RANK(B1248,$B$2:$B$2501,0))</f>
        <v/>
      </c>
      <c r="D1248">
        <f>IF(C1248="","",C1248&lt;=25)</f>
        <v/>
      </c>
      <c r="F1248">
        <f>IF(A1248="","",IF(AND(D1248=TRUE,E1248=""),"BUY",IF(AND(D1248=FALSE,E1248&lt;&gt;""),"SELL",IF(AND(D1248=TRUE,E1248&lt;&gt;""),"HOLD",""))))</f>
        <v/>
      </c>
      <c r="G1248" s="12">
        <f>IF(D1248=TRUE,4,0)</f>
        <v/>
      </c>
      <c r="H1248">
        <f>IF(A1248="","",BDP(A1248&amp;" US Equity","GICS_SECTOR_NAME"))</f>
        <v/>
      </c>
    </row>
    <row r="1249">
      <c r="A1249">
        <f>'Factor Scores'!A1249</f>
        <v/>
      </c>
      <c r="B1249" s="10">
        <f>IF(A1249="","",0.40*'Factor Scores'!C1249+0.20*'Factor Scores'!E1249+0.20*'Factor Scores'!G1249+0.20*'Factor Scores'!H1249)</f>
        <v/>
      </c>
      <c r="C1249" s="12">
        <f>IF(B1249="","",RANK(B1249,$B$2:$B$2501,0))</f>
        <v/>
      </c>
      <c r="D1249">
        <f>IF(C1249="","",C1249&lt;=25)</f>
        <v/>
      </c>
      <c r="F1249">
        <f>IF(A1249="","",IF(AND(D1249=TRUE,E1249=""),"BUY",IF(AND(D1249=FALSE,E1249&lt;&gt;""),"SELL",IF(AND(D1249=TRUE,E1249&lt;&gt;""),"HOLD",""))))</f>
        <v/>
      </c>
      <c r="G1249" s="12">
        <f>IF(D1249=TRUE,4,0)</f>
        <v/>
      </c>
      <c r="H1249">
        <f>IF(A1249="","",BDP(A1249&amp;" US Equity","GICS_SECTOR_NAME"))</f>
        <v/>
      </c>
    </row>
    <row r="1250">
      <c r="A1250">
        <f>'Factor Scores'!A1250</f>
        <v/>
      </c>
      <c r="B1250" s="10">
        <f>IF(A1250="","",0.40*'Factor Scores'!C1250+0.20*'Factor Scores'!E1250+0.20*'Factor Scores'!G1250+0.20*'Factor Scores'!H1250)</f>
        <v/>
      </c>
      <c r="C1250" s="12">
        <f>IF(B1250="","",RANK(B1250,$B$2:$B$2501,0))</f>
        <v/>
      </c>
      <c r="D1250">
        <f>IF(C1250="","",C1250&lt;=25)</f>
        <v/>
      </c>
      <c r="F1250">
        <f>IF(A1250="","",IF(AND(D1250=TRUE,E1250=""),"BUY",IF(AND(D1250=FALSE,E1250&lt;&gt;""),"SELL",IF(AND(D1250=TRUE,E1250&lt;&gt;""),"HOLD",""))))</f>
        <v/>
      </c>
      <c r="G1250" s="12">
        <f>IF(D1250=TRUE,4,0)</f>
        <v/>
      </c>
      <c r="H1250">
        <f>IF(A1250="","",BDP(A1250&amp;" US Equity","GICS_SECTOR_NAME"))</f>
        <v/>
      </c>
    </row>
    <row r="1251">
      <c r="A1251">
        <f>'Factor Scores'!A1251</f>
        <v/>
      </c>
      <c r="B1251" s="10">
        <f>IF(A1251="","",0.40*'Factor Scores'!C1251+0.20*'Factor Scores'!E1251+0.20*'Factor Scores'!G1251+0.20*'Factor Scores'!H1251)</f>
        <v/>
      </c>
      <c r="C1251" s="12">
        <f>IF(B1251="","",RANK(B1251,$B$2:$B$2501,0))</f>
        <v/>
      </c>
      <c r="D1251">
        <f>IF(C1251="","",C1251&lt;=25)</f>
        <v/>
      </c>
      <c r="F1251">
        <f>IF(A1251="","",IF(AND(D1251=TRUE,E1251=""),"BUY",IF(AND(D1251=FALSE,E1251&lt;&gt;""),"SELL",IF(AND(D1251=TRUE,E1251&lt;&gt;""),"HOLD",""))))</f>
        <v/>
      </c>
      <c r="G1251" s="12">
        <f>IF(D1251=TRUE,4,0)</f>
        <v/>
      </c>
      <c r="H1251">
        <f>IF(A1251="","",BDP(A1251&amp;" US Equity","GICS_SECTOR_NAME"))</f>
        <v/>
      </c>
    </row>
    <row r="1252">
      <c r="A1252">
        <f>'Factor Scores'!A1252</f>
        <v/>
      </c>
      <c r="B1252" s="10">
        <f>IF(A1252="","",0.40*'Factor Scores'!C1252+0.20*'Factor Scores'!E1252+0.20*'Factor Scores'!G1252+0.20*'Factor Scores'!H1252)</f>
        <v/>
      </c>
      <c r="C1252" s="12">
        <f>IF(B1252="","",RANK(B1252,$B$2:$B$2501,0))</f>
        <v/>
      </c>
      <c r="D1252">
        <f>IF(C1252="","",C1252&lt;=25)</f>
        <v/>
      </c>
      <c r="F1252">
        <f>IF(A1252="","",IF(AND(D1252=TRUE,E1252=""),"BUY",IF(AND(D1252=FALSE,E1252&lt;&gt;""),"SELL",IF(AND(D1252=TRUE,E1252&lt;&gt;""),"HOLD",""))))</f>
        <v/>
      </c>
      <c r="G1252" s="12">
        <f>IF(D1252=TRUE,4,0)</f>
        <v/>
      </c>
      <c r="H1252">
        <f>IF(A1252="","",BDP(A1252&amp;" US Equity","GICS_SECTOR_NAME"))</f>
        <v/>
      </c>
    </row>
    <row r="1253">
      <c r="A1253">
        <f>'Factor Scores'!A1253</f>
        <v/>
      </c>
      <c r="B1253" s="10">
        <f>IF(A1253="","",0.40*'Factor Scores'!C1253+0.20*'Factor Scores'!E1253+0.20*'Factor Scores'!G1253+0.20*'Factor Scores'!H1253)</f>
        <v/>
      </c>
      <c r="C1253" s="12">
        <f>IF(B1253="","",RANK(B1253,$B$2:$B$2501,0))</f>
        <v/>
      </c>
      <c r="D1253">
        <f>IF(C1253="","",C1253&lt;=25)</f>
        <v/>
      </c>
      <c r="F1253">
        <f>IF(A1253="","",IF(AND(D1253=TRUE,E1253=""),"BUY",IF(AND(D1253=FALSE,E1253&lt;&gt;""),"SELL",IF(AND(D1253=TRUE,E1253&lt;&gt;""),"HOLD",""))))</f>
        <v/>
      </c>
      <c r="G1253" s="12">
        <f>IF(D1253=TRUE,4,0)</f>
        <v/>
      </c>
      <c r="H1253">
        <f>IF(A1253="","",BDP(A1253&amp;" US Equity","GICS_SECTOR_NAME"))</f>
        <v/>
      </c>
    </row>
    <row r="1254">
      <c r="A1254">
        <f>'Factor Scores'!A1254</f>
        <v/>
      </c>
      <c r="B1254" s="10">
        <f>IF(A1254="","",0.40*'Factor Scores'!C1254+0.20*'Factor Scores'!E1254+0.20*'Factor Scores'!G1254+0.20*'Factor Scores'!H1254)</f>
        <v/>
      </c>
      <c r="C1254" s="12">
        <f>IF(B1254="","",RANK(B1254,$B$2:$B$2501,0))</f>
        <v/>
      </c>
      <c r="D1254">
        <f>IF(C1254="","",C1254&lt;=25)</f>
        <v/>
      </c>
      <c r="F1254">
        <f>IF(A1254="","",IF(AND(D1254=TRUE,E1254=""),"BUY",IF(AND(D1254=FALSE,E1254&lt;&gt;""),"SELL",IF(AND(D1254=TRUE,E1254&lt;&gt;""),"HOLD",""))))</f>
        <v/>
      </c>
      <c r="G1254" s="12">
        <f>IF(D1254=TRUE,4,0)</f>
        <v/>
      </c>
      <c r="H1254">
        <f>IF(A1254="","",BDP(A1254&amp;" US Equity","GICS_SECTOR_NAME"))</f>
        <v/>
      </c>
    </row>
    <row r="1255">
      <c r="A1255">
        <f>'Factor Scores'!A1255</f>
        <v/>
      </c>
      <c r="B1255" s="10">
        <f>IF(A1255="","",0.40*'Factor Scores'!C1255+0.20*'Factor Scores'!E1255+0.20*'Factor Scores'!G1255+0.20*'Factor Scores'!H1255)</f>
        <v/>
      </c>
      <c r="C1255" s="12">
        <f>IF(B1255="","",RANK(B1255,$B$2:$B$2501,0))</f>
        <v/>
      </c>
      <c r="D1255">
        <f>IF(C1255="","",C1255&lt;=25)</f>
        <v/>
      </c>
      <c r="F1255">
        <f>IF(A1255="","",IF(AND(D1255=TRUE,E1255=""),"BUY",IF(AND(D1255=FALSE,E1255&lt;&gt;""),"SELL",IF(AND(D1255=TRUE,E1255&lt;&gt;""),"HOLD",""))))</f>
        <v/>
      </c>
      <c r="G1255" s="12">
        <f>IF(D1255=TRUE,4,0)</f>
        <v/>
      </c>
      <c r="H1255">
        <f>IF(A1255="","",BDP(A1255&amp;" US Equity","GICS_SECTOR_NAME"))</f>
        <v/>
      </c>
    </row>
    <row r="1256">
      <c r="A1256">
        <f>'Factor Scores'!A1256</f>
        <v/>
      </c>
      <c r="B1256" s="10">
        <f>IF(A1256="","",0.40*'Factor Scores'!C1256+0.20*'Factor Scores'!E1256+0.20*'Factor Scores'!G1256+0.20*'Factor Scores'!H1256)</f>
        <v/>
      </c>
      <c r="C1256" s="12">
        <f>IF(B1256="","",RANK(B1256,$B$2:$B$2501,0))</f>
        <v/>
      </c>
      <c r="D1256">
        <f>IF(C1256="","",C1256&lt;=25)</f>
        <v/>
      </c>
      <c r="F1256">
        <f>IF(A1256="","",IF(AND(D1256=TRUE,E1256=""),"BUY",IF(AND(D1256=FALSE,E1256&lt;&gt;""),"SELL",IF(AND(D1256=TRUE,E1256&lt;&gt;""),"HOLD",""))))</f>
        <v/>
      </c>
      <c r="G1256" s="12">
        <f>IF(D1256=TRUE,4,0)</f>
        <v/>
      </c>
      <c r="H1256">
        <f>IF(A1256="","",BDP(A1256&amp;" US Equity","GICS_SECTOR_NAME"))</f>
        <v/>
      </c>
    </row>
    <row r="1257">
      <c r="A1257">
        <f>'Factor Scores'!A1257</f>
        <v/>
      </c>
      <c r="B1257" s="10">
        <f>IF(A1257="","",0.40*'Factor Scores'!C1257+0.20*'Factor Scores'!E1257+0.20*'Factor Scores'!G1257+0.20*'Factor Scores'!H1257)</f>
        <v/>
      </c>
      <c r="C1257" s="12">
        <f>IF(B1257="","",RANK(B1257,$B$2:$B$2501,0))</f>
        <v/>
      </c>
      <c r="D1257">
        <f>IF(C1257="","",C1257&lt;=25)</f>
        <v/>
      </c>
      <c r="F1257">
        <f>IF(A1257="","",IF(AND(D1257=TRUE,E1257=""),"BUY",IF(AND(D1257=FALSE,E1257&lt;&gt;""),"SELL",IF(AND(D1257=TRUE,E1257&lt;&gt;""),"HOLD",""))))</f>
        <v/>
      </c>
      <c r="G1257" s="12">
        <f>IF(D1257=TRUE,4,0)</f>
        <v/>
      </c>
      <c r="H1257">
        <f>IF(A1257="","",BDP(A1257&amp;" US Equity","GICS_SECTOR_NAME"))</f>
        <v/>
      </c>
    </row>
    <row r="1258">
      <c r="A1258">
        <f>'Factor Scores'!A1258</f>
        <v/>
      </c>
      <c r="B1258" s="10">
        <f>IF(A1258="","",0.40*'Factor Scores'!C1258+0.20*'Factor Scores'!E1258+0.20*'Factor Scores'!G1258+0.20*'Factor Scores'!H1258)</f>
        <v/>
      </c>
      <c r="C1258" s="12">
        <f>IF(B1258="","",RANK(B1258,$B$2:$B$2501,0))</f>
        <v/>
      </c>
      <c r="D1258">
        <f>IF(C1258="","",C1258&lt;=25)</f>
        <v/>
      </c>
      <c r="F1258">
        <f>IF(A1258="","",IF(AND(D1258=TRUE,E1258=""),"BUY",IF(AND(D1258=FALSE,E1258&lt;&gt;""),"SELL",IF(AND(D1258=TRUE,E1258&lt;&gt;""),"HOLD",""))))</f>
        <v/>
      </c>
      <c r="G1258" s="12">
        <f>IF(D1258=TRUE,4,0)</f>
        <v/>
      </c>
      <c r="H1258">
        <f>IF(A1258="","",BDP(A1258&amp;" US Equity","GICS_SECTOR_NAME"))</f>
        <v/>
      </c>
    </row>
    <row r="1259">
      <c r="A1259">
        <f>'Factor Scores'!A1259</f>
        <v/>
      </c>
      <c r="B1259" s="10">
        <f>IF(A1259="","",0.40*'Factor Scores'!C1259+0.20*'Factor Scores'!E1259+0.20*'Factor Scores'!G1259+0.20*'Factor Scores'!H1259)</f>
        <v/>
      </c>
      <c r="C1259" s="12">
        <f>IF(B1259="","",RANK(B1259,$B$2:$B$2501,0))</f>
        <v/>
      </c>
      <c r="D1259">
        <f>IF(C1259="","",C1259&lt;=25)</f>
        <v/>
      </c>
      <c r="F1259">
        <f>IF(A1259="","",IF(AND(D1259=TRUE,E1259=""),"BUY",IF(AND(D1259=FALSE,E1259&lt;&gt;""),"SELL",IF(AND(D1259=TRUE,E1259&lt;&gt;""),"HOLD",""))))</f>
        <v/>
      </c>
      <c r="G1259" s="12">
        <f>IF(D1259=TRUE,4,0)</f>
        <v/>
      </c>
      <c r="H1259">
        <f>IF(A1259="","",BDP(A1259&amp;" US Equity","GICS_SECTOR_NAME"))</f>
        <v/>
      </c>
    </row>
    <row r="1260">
      <c r="A1260">
        <f>'Factor Scores'!A1260</f>
        <v/>
      </c>
      <c r="B1260" s="10">
        <f>IF(A1260="","",0.40*'Factor Scores'!C1260+0.20*'Factor Scores'!E1260+0.20*'Factor Scores'!G1260+0.20*'Factor Scores'!H1260)</f>
        <v/>
      </c>
      <c r="C1260" s="12">
        <f>IF(B1260="","",RANK(B1260,$B$2:$B$2501,0))</f>
        <v/>
      </c>
      <c r="D1260">
        <f>IF(C1260="","",C1260&lt;=25)</f>
        <v/>
      </c>
      <c r="F1260">
        <f>IF(A1260="","",IF(AND(D1260=TRUE,E1260=""),"BUY",IF(AND(D1260=FALSE,E1260&lt;&gt;""),"SELL",IF(AND(D1260=TRUE,E1260&lt;&gt;""),"HOLD",""))))</f>
        <v/>
      </c>
      <c r="G1260" s="12">
        <f>IF(D1260=TRUE,4,0)</f>
        <v/>
      </c>
      <c r="H1260">
        <f>IF(A1260="","",BDP(A1260&amp;" US Equity","GICS_SECTOR_NAME"))</f>
        <v/>
      </c>
    </row>
    <row r="1261">
      <c r="A1261">
        <f>'Factor Scores'!A1261</f>
        <v/>
      </c>
      <c r="B1261" s="10">
        <f>IF(A1261="","",0.40*'Factor Scores'!C1261+0.20*'Factor Scores'!E1261+0.20*'Factor Scores'!G1261+0.20*'Factor Scores'!H1261)</f>
        <v/>
      </c>
      <c r="C1261" s="12">
        <f>IF(B1261="","",RANK(B1261,$B$2:$B$2501,0))</f>
        <v/>
      </c>
      <c r="D1261">
        <f>IF(C1261="","",C1261&lt;=25)</f>
        <v/>
      </c>
      <c r="F1261">
        <f>IF(A1261="","",IF(AND(D1261=TRUE,E1261=""),"BUY",IF(AND(D1261=FALSE,E1261&lt;&gt;""),"SELL",IF(AND(D1261=TRUE,E1261&lt;&gt;""),"HOLD",""))))</f>
        <v/>
      </c>
      <c r="G1261" s="12">
        <f>IF(D1261=TRUE,4,0)</f>
        <v/>
      </c>
      <c r="H1261">
        <f>IF(A1261="","",BDP(A1261&amp;" US Equity","GICS_SECTOR_NAME"))</f>
        <v/>
      </c>
    </row>
    <row r="1262">
      <c r="A1262">
        <f>'Factor Scores'!A1262</f>
        <v/>
      </c>
      <c r="B1262" s="10">
        <f>IF(A1262="","",0.40*'Factor Scores'!C1262+0.20*'Factor Scores'!E1262+0.20*'Factor Scores'!G1262+0.20*'Factor Scores'!H1262)</f>
        <v/>
      </c>
      <c r="C1262" s="12">
        <f>IF(B1262="","",RANK(B1262,$B$2:$B$2501,0))</f>
        <v/>
      </c>
      <c r="D1262">
        <f>IF(C1262="","",C1262&lt;=25)</f>
        <v/>
      </c>
      <c r="F1262">
        <f>IF(A1262="","",IF(AND(D1262=TRUE,E1262=""),"BUY",IF(AND(D1262=FALSE,E1262&lt;&gt;""),"SELL",IF(AND(D1262=TRUE,E1262&lt;&gt;""),"HOLD",""))))</f>
        <v/>
      </c>
      <c r="G1262" s="12">
        <f>IF(D1262=TRUE,4,0)</f>
        <v/>
      </c>
      <c r="H1262">
        <f>IF(A1262="","",BDP(A1262&amp;" US Equity","GICS_SECTOR_NAME"))</f>
        <v/>
      </c>
    </row>
    <row r="1263">
      <c r="A1263">
        <f>'Factor Scores'!A1263</f>
        <v/>
      </c>
      <c r="B1263" s="10">
        <f>IF(A1263="","",0.40*'Factor Scores'!C1263+0.20*'Factor Scores'!E1263+0.20*'Factor Scores'!G1263+0.20*'Factor Scores'!H1263)</f>
        <v/>
      </c>
      <c r="C1263" s="12">
        <f>IF(B1263="","",RANK(B1263,$B$2:$B$2501,0))</f>
        <v/>
      </c>
      <c r="D1263">
        <f>IF(C1263="","",C1263&lt;=25)</f>
        <v/>
      </c>
      <c r="F1263">
        <f>IF(A1263="","",IF(AND(D1263=TRUE,E1263=""),"BUY",IF(AND(D1263=FALSE,E1263&lt;&gt;""),"SELL",IF(AND(D1263=TRUE,E1263&lt;&gt;""),"HOLD",""))))</f>
        <v/>
      </c>
      <c r="G1263" s="12">
        <f>IF(D1263=TRUE,4,0)</f>
        <v/>
      </c>
      <c r="H1263">
        <f>IF(A1263="","",BDP(A1263&amp;" US Equity","GICS_SECTOR_NAME"))</f>
        <v/>
      </c>
    </row>
    <row r="1264">
      <c r="A1264">
        <f>'Factor Scores'!A1264</f>
        <v/>
      </c>
      <c r="B1264" s="10">
        <f>IF(A1264="","",0.40*'Factor Scores'!C1264+0.20*'Factor Scores'!E1264+0.20*'Factor Scores'!G1264+0.20*'Factor Scores'!H1264)</f>
        <v/>
      </c>
      <c r="C1264" s="12">
        <f>IF(B1264="","",RANK(B1264,$B$2:$B$2501,0))</f>
        <v/>
      </c>
      <c r="D1264">
        <f>IF(C1264="","",C1264&lt;=25)</f>
        <v/>
      </c>
      <c r="F1264">
        <f>IF(A1264="","",IF(AND(D1264=TRUE,E1264=""),"BUY",IF(AND(D1264=FALSE,E1264&lt;&gt;""),"SELL",IF(AND(D1264=TRUE,E1264&lt;&gt;""),"HOLD",""))))</f>
        <v/>
      </c>
      <c r="G1264" s="12">
        <f>IF(D1264=TRUE,4,0)</f>
        <v/>
      </c>
      <c r="H1264">
        <f>IF(A1264="","",BDP(A1264&amp;" US Equity","GICS_SECTOR_NAME"))</f>
        <v/>
      </c>
    </row>
    <row r="1265">
      <c r="A1265">
        <f>'Factor Scores'!A1265</f>
        <v/>
      </c>
      <c r="B1265" s="10">
        <f>IF(A1265="","",0.40*'Factor Scores'!C1265+0.20*'Factor Scores'!E1265+0.20*'Factor Scores'!G1265+0.20*'Factor Scores'!H1265)</f>
        <v/>
      </c>
      <c r="C1265" s="12">
        <f>IF(B1265="","",RANK(B1265,$B$2:$B$2501,0))</f>
        <v/>
      </c>
      <c r="D1265">
        <f>IF(C1265="","",C1265&lt;=25)</f>
        <v/>
      </c>
      <c r="F1265">
        <f>IF(A1265="","",IF(AND(D1265=TRUE,E1265=""),"BUY",IF(AND(D1265=FALSE,E1265&lt;&gt;""),"SELL",IF(AND(D1265=TRUE,E1265&lt;&gt;""),"HOLD",""))))</f>
        <v/>
      </c>
      <c r="G1265" s="12">
        <f>IF(D1265=TRUE,4,0)</f>
        <v/>
      </c>
      <c r="H1265">
        <f>IF(A1265="","",BDP(A1265&amp;" US Equity","GICS_SECTOR_NAME"))</f>
        <v/>
      </c>
    </row>
    <row r="1266">
      <c r="A1266">
        <f>'Factor Scores'!A1266</f>
        <v/>
      </c>
      <c r="B1266" s="10">
        <f>IF(A1266="","",0.40*'Factor Scores'!C1266+0.20*'Factor Scores'!E1266+0.20*'Factor Scores'!G1266+0.20*'Factor Scores'!H1266)</f>
        <v/>
      </c>
      <c r="C1266" s="12">
        <f>IF(B1266="","",RANK(B1266,$B$2:$B$2501,0))</f>
        <v/>
      </c>
      <c r="D1266">
        <f>IF(C1266="","",C1266&lt;=25)</f>
        <v/>
      </c>
      <c r="F1266">
        <f>IF(A1266="","",IF(AND(D1266=TRUE,E1266=""),"BUY",IF(AND(D1266=FALSE,E1266&lt;&gt;""),"SELL",IF(AND(D1266=TRUE,E1266&lt;&gt;""),"HOLD",""))))</f>
        <v/>
      </c>
      <c r="G1266" s="12">
        <f>IF(D1266=TRUE,4,0)</f>
        <v/>
      </c>
      <c r="H1266">
        <f>IF(A1266="","",BDP(A1266&amp;" US Equity","GICS_SECTOR_NAME"))</f>
        <v/>
      </c>
    </row>
    <row r="1267">
      <c r="A1267">
        <f>'Factor Scores'!A1267</f>
        <v/>
      </c>
      <c r="B1267" s="10">
        <f>IF(A1267="","",0.40*'Factor Scores'!C1267+0.20*'Factor Scores'!E1267+0.20*'Factor Scores'!G1267+0.20*'Factor Scores'!H1267)</f>
        <v/>
      </c>
      <c r="C1267" s="12">
        <f>IF(B1267="","",RANK(B1267,$B$2:$B$2501,0))</f>
        <v/>
      </c>
      <c r="D1267">
        <f>IF(C1267="","",C1267&lt;=25)</f>
        <v/>
      </c>
      <c r="F1267">
        <f>IF(A1267="","",IF(AND(D1267=TRUE,E1267=""),"BUY",IF(AND(D1267=FALSE,E1267&lt;&gt;""),"SELL",IF(AND(D1267=TRUE,E1267&lt;&gt;""),"HOLD",""))))</f>
        <v/>
      </c>
      <c r="G1267" s="12">
        <f>IF(D1267=TRUE,4,0)</f>
        <v/>
      </c>
      <c r="H1267">
        <f>IF(A1267="","",BDP(A1267&amp;" US Equity","GICS_SECTOR_NAME"))</f>
        <v/>
      </c>
    </row>
    <row r="1268">
      <c r="A1268">
        <f>'Factor Scores'!A1268</f>
        <v/>
      </c>
      <c r="B1268" s="10">
        <f>IF(A1268="","",0.40*'Factor Scores'!C1268+0.20*'Factor Scores'!E1268+0.20*'Factor Scores'!G1268+0.20*'Factor Scores'!H1268)</f>
        <v/>
      </c>
      <c r="C1268" s="12">
        <f>IF(B1268="","",RANK(B1268,$B$2:$B$2501,0))</f>
        <v/>
      </c>
      <c r="D1268">
        <f>IF(C1268="","",C1268&lt;=25)</f>
        <v/>
      </c>
      <c r="F1268">
        <f>IF(A1268="","",IF(AND(D1268=TRUE,E1268=""),"BUY",IF(AND(D1268=FALSE,E1268&lt;&gt;""),"SELL",IF(AND(D1268=TRUE,E1268&lt;&gt;""),"HOLD",""))))</f>
        <v/>
      </c>
      <c r="G1268" s="12">
        <f>IF(D1268=TRUE,4,0)</f>
        <v/>
      </c>
      <c r="H1268">
        <f>IF(A1268="","",BDP(A1268&amp;" US Equity","GICS_SECTOR_NAME"))</f>
        <v/>
      </c>
    </row>
    <row r="1269">
      <c r="A1269">
        <f>'Factor Scores'!A1269</f>
        <v/>
      </c>
      <c r="B1269" s="10">
        <f>IF(A1269="","",0.40*'Factor Scores'!C1269+0.20*'Factor Scores'!E1269+0.20*'Factor Scores'!G1269+0.20*'Factor Scores'!H1269)</f>
        <v/>
      </c>
      <c r="C1269" s="12">
        <f>IF(B1269="","",RANK(B1269,$B$2:$B$2501,0))</f>
        <v/>
      </c>
      <c r="D1269">
        <f>IF(C1269="","",C1269&lt;=25)</f>
        <v/>
      </c>
      <c r="F1269">
        <f>IF(A1269="","",IF(AND(D1269=TRUE,E1269=""),"BUY",IF(AND(D1269=FALSE,E1269&lt;&gt;""),"SELL",IF(AND(D1269=TRUE,E1269&lt;&gt;""),"HOLD",""))))</f>
        <v/>
      </c>
      <c r="G1269" s="12">
        <f>IF(D1269=TRUE,4,0)</f>
        <v/>
      </c>
      <c r="H1269">
        <f>IF(A1269="","",BDP(A1269&amp;" US Equity","GICS_SECTOR_NAME"))</f>
        <v/>
      </c>
    </row>
    <row r="1270">
      <c r="A1270">
        <f>'Factor Scores'!A1270</f>
        <v/>
      </c>
      <c r="B1270" s="10">
        <f>IF(A1270="","",0.40*'Factor Scores'!C1270+0.20*'Factor Scores'!E1270+0.20*'Factor Scores'!G1270+0.20*'Factor Scores'!H1270)</f>
        <v/>
      </c>
      <c r="C1270" s="12">
        <f>IF(B1270="","",RANK(B1270,$B$2:$B$2501,0))</f>
        <v/>
      </c>
      <c r="D1270">
        <f>IF(C1270="","",C1270&lt;=25)</f>
        <v/>
      </c>
      <c r="F1270">
        <f>IF(A1270="","",IF(AND(D1270=TRUE,E1270=""),"BUY",IF(AND(D1270=FALSE,E1270&lt;&gt;""),"SELL",IF(AND(D1270=TRUE,E1270&lt;&gt;""),"HOLD",""))))</f>
        <v/>
      </c>
      <c r="G1270" s="12">
        <f>IF(D1270=TRUE,4,0)</f>
        <v/>
      </c>
      <c r="H1270">
        <f>IF(A1270="","",BDP(A1270&amp;" US Equity","GICS_SECTOR_NAME"))</f>
        <v/>
      </c>
    </row>
    <row r="1271">
      <c r="A1271">
        <f>'Factor Scores'!A1271</f>
        <v/>
      </c>
      <c r="B1271" s="10">
        <f>IF(A1271="","",0.40*'Factor Scores'!C1271+0.20*'Factor Scores'!E1271+0.20*'Factor Scores'!G1271+0.20*'Factor Scores'!H1271)</f>
        <v/>
      </c>
      <c r="C1271" s="12">
        <f>IF(B1271="","",RANK(B1271,$B$2:$B$2501,0))</f>
        <v/>
      </c>
      <c r="D1271">
        <f>IF(C1271="","",C1271&lt;=25)</f>
        <v/>
      </c>
      <c r="F1271">
        <f>IF(A1271="","",IF(AND(D1271=TRUE,E1271=""),"BUY",IF(AND(D1271=FALSE,E1271&lt;&gt;""),"SELL",IF(AND(D1271=TRUE,E1271&lt;&gt;""),"HOLD",""))))</f>
        <v/>
      </c>
      <c r="G1271" s="12">
        <f>IF(D1271=TRUE,4,0)</f>
        <v/>
      </c>
      <c r="H1271">
        <f>IF(A1271="","",BDP(A1271&amp;" US Equity","GICS_SECTOR_NAME"))</f>
        <v/>
      </c>
    </row>
    <row r="1272">
      <c r="A1272">
        <f>'Factor Scores'!A1272</f>
        <v/>
      </c>
      <c r="B1272" s="10">
        <f>IF(A1272="","",0.40*'Factor Scores'!C1272+0.20*'Factor Scores'!E1272+0.20*'Factor Scores'!G1272+0.20*'Factor Scores'!H1272)</f>
        <v/>
      </c>
      <c r="C1272" s="12">
        <f>IF(B1272="","",RANK(B1272,$B$2:$B$2501,0))</f>
        <v/>
      </c>
      <c r="D1272">
        <f>IF(C1272="","",C1272&lt;=25)</f>
        <v/>
      </c>
      <c r="F1272">
        <f>IF(A1272="","",IF(AND(D1272=TRUE,E1272=""),"BUY",IF(AND(D1272=FALSE,E1272&lt;&gt;""),"SELL",IF(AND(D1272=TRUE,E1272&lt;&gt;""),"HOLD",""))))</f>
        <v/>
      </c>
      <c r="G1272" s="12">
        <f>IF(D1272=TRUE,4,0)</f>
        <v/>
      </c>
      <c r="H1272">
        <f>IF(A1272="","",BDP(A1272&amp;" US Equity","GICS_SECTOR_NAME"))</f>
        <v/>
      </c>
    </row>
    <row r="1273">
      <c r="A1273">
        <f>'Factor Scores'!A1273</f>
        <v/>
      </c>
      <c r="B1273" s="10">
        <f>IF(A1273="","",0.40*'Factor Scores'!C1273+0.20*'Factor Scores'!E1273+0.20*'Factor Scores'!G1273+0.20*'Factor Scores'!H1273)</f>
        <v/>
      </c>
      <c r="C1273" s="12">
        <f>IF(B1273="","",RANK(B1273,$B$2:$B$2501,0))</f>
        <v/>
      </c>
      <c r="D1273">
        <f>IF(C1273="","",C1273&lt;=25)</f>
        <v/>
      </c>
      <c r="F1273">
        <f>IF(A1273="","",IF(AND(D1273=TRUE,E1273=""),"BUY",IF(AND(D1273=FALSE,E1273&lt;&gt;""),"SELL",IF(AND(D1273=TRUE,E1273&lt;&gt;""),"HOLD",""))))</f>
        <v/>
      </c>
      <c r="G1273" s="12">
        <f>IF(D1273=TRUE,4,0)</f>
        <v/>
      </c>
      <c r="H1273">
        <f>IF(A1273="","",BDP(A1273&amp;" US Equity","GICS_SECTOR_NAME"))</f>
        <v/>
      </c>
    </row>
    <row r="1274">
      <c r="A1274">
        <f>'Factor Scores'!A1274</f>
        <v/>
      </c>
      <c r="B1274" s="10">
        <f>IF(A1274="","",0.40*'Factor Scores'!C1274+0.20*'Factor Scores'!E1274+0.20*'Factor Scores'!G1274+0.20*'Factor Scores'!H1274)</f>
        <v/>
      </c>
      <c r="C1274" s="12">
        <f>IF(B1274="","",RANK(B1274,$B$2:$B$2501,0))</f>
        <v/>
      </c>
      <c r="D1274">
        <f>IF(C1274="","",C1274&lt;=25)</f>
        <v/>
      </c>
      <c r="F1274">
        <f>IF(A1274="","",IF(AND(D1274=TRUE,E1274=""),"BUY",IF(AND(D1274=FALSE,E1274&lt;&gt;""),"SELL",IF(AND(D1274=TRUE,E1274&lt;&gt;""),"HOLD",""))))</f>
        <v/>
      </c>
      <c r="G1274" s="12">
        <f>IF(D1274=TRUE,4,0)</f>
        <v/>
      </c>
      <c r="H1274">
        <f>IF(A1274="","",BDP(A1274&amp;" US Equity","GICS_SECTOR_NAME"))</f>
        <v/>
      </c>
    </row>
    <row r="1275">
      <c r="A1275">
        <f>'Factor Scores'!A1275</f>
        <v/>
      </c>
      <c r="B1275" s="10">
        <f>IF(A1275="","",0.40*'Factor Scores'!C1275+0.20*'Factor Scores'!E1275+0.20*'Factor Scores'!G1275+0.20*'Factor Scores'!H1275)</f>
        <v/>
      </c>
      <c r="C1275" s="12">
        <f>IF(B1275="","",RANK(B1275,$B$2:$B$2501,0))</f>
        <v/>
      </c>
      <c r="D1275">
        <f>IF(C1275="","",C1275&lt;=25)</f>
        <v/>
      </c>
      <c r="F1275">
        <f>IF(A1275="","",IF(AND(D1275=TRUE,E1275=""),"BUY",IF(AND(D1275=FALSE,E1275&lt;&gt;""),"SELL",IF(AND(D1275=TRUE,E1275&lt;&gt;""),"HOLD",""))))</f>
        <v/>
      </c>
      <c r="G1275" s="12">
        <f>IF(D1275=TRUE,4,0)</f>
        <v/>
      </c>
      <c r="H1275">
        <f>IF(A1275="","",BDP(A1275&amp;" US Equity","GICS_SECTOR_NAME"))</f>
        <v/>
      </c>
    </row>
    <row r="1276">
      <c r="A1276">
        <f>'Factor Scores'!A1276</f>
        <v/>
      </c>
      <c r="B1276" s="10">
        <f>IF(A1276="","",0.40*'Factor Scores'!C1276+0.20*'Factor Scores'!E1276+0.20*'Factor Scores'!G1276+0.20*'Factor Scores'!H1276)</f>
        <v/>
      </c>
      <c r="C1276" s="12">
        <f>IF(B1276="","",RANK(B1276,$B$2:$B$2501,0))</f>
        <v/>
      </c>
      <c r="D1276">
        <f>IF(C1276="","",C1276&lt;=25)</f>
        <v/>
      </c>
      <c r="F1276">
        <f>IF(A1276="","",IF(AND(D1276=TRUE,E1276=""),"BUY",IF(AND(D1276=FALSE,E1276&lt;&gt;""),"SELL",IF(AND(D1276=TRUE,E1276&lt;&gt;""),"HOLD",""))))</f>
        <v/>
      </c>
      <c r="G1276" s="12">
        <f>IF(D1276=TRUE,4,0)</f>
        <v/>
      </c>
      <c r="H1276">
        <f>IF(A1276="","",BDP(A1276&amp;" US Equity","GICS_SECTOR_NAME"))</f>
        <v/>
      </c>
    </row>
    <row r="1277">
      <c r="A1277">
        <f>'Factor Scores'!A1277</f>
        <v/>
      </c>
      <c r="B1277" s="10">
        <f>IF(A1277="","",0.40*'Factor Scores'!C1277+0.20*'Factor Scores'!E1277+0.20*'Factor Scores'!G1277+0.20*'Factor Scores'!H1277)</f>
        <v/>
      </c>
      <c r="C1277" s="12">
        <f>IF(B1277="","",RANK(B1277,$B$2:$B$2501,0))</f>
        <v/>
      </c>
      <c r="D1277">
        <f>IF(C1277="","",C1277&lt;=25)</f>
        <v/>
      </c>
      <c r="F1277">
        <f>IF(A1277="","",IF(AND(D1277=TRUE,E1277=""),"BUY",IF(AND(D1277=FALSE,E1277&lt;&gt;""),"SELL",IF(AND(D1277=TRUE,E1277&lt;&gt;""),"HOLD",""))))</f>
        <v/>
      </c>
      <c r="G1277" s="12">
        <f>IF(D1277=TRUE,4,0)</f>
        <v/>
      </c>
      <c r="H1277">
        <f>IF(A1277="","",BDP(A1277&amp;" US Equity","GICS_SECTOR_NAME"))</f>
        <v/>
      </c>
    </row>
    <row r="1278">
      <c r="A1278">
        <f>'Factor Scores'!A1278</f>
        <v/>
      </c>
      <c r="B1278" s="10">
        <f>IF(A1278="","",0.40*'Factor Scores'!C1278+0.20*'Factor Scores'!E1278+0.20*'Factor Scores'!G1278+0.20*'Factor Scores'!H1278)</f>
        <v/>
      </c>
      <c r="C1278" s="12">
        <f>IF(B1278="","",RANK(B1278,$B$2:$B$2501,0))</f>
        <v/>
      </c>
      <c r="D1278">
        <f>IF(C1278="","",C1278&lt;=25)</f>
        <v/>
      </c>
      <c r="F1278">
        <f>IF(A1278="","",IF(AND(D1278=TRUE,E1278=""),"BUY",IF(AND(D1278=FALSE,E1278&lt;&gt;""),"SELL",IF(AND(D1278=TRUE,E1278&lt;&gt;""),"HOLD",""))))</f>
        <v/>
      </c>
      <c r="G1278" s="12">
        <f>IF(D1278=TRUE,4,0)</f>
        <v/>
      </c>
      <c r="H1278">
        <f>IF(A1278="","",BDP(A1278&amp;" US Equity","GICS_SECTOR_NAME"))</f>
        <v/>
      </c>
    </row>
    <row r="1279">
      <c r="A1279">
        <f>'Factor Scores'!A1279</f>
        <v/>
      </c>
      <c r="B1279" s="10">
        <f>IF(A1279="","",0.40*'Factor Scores'!C1279+0.20*'Factor Scores'!E1279+0.20*'Factor Scores'!G1279+0.20*'Factor Scores'!H1279)</f>
        <v/>
      </c>
      <c r="C1279" s="12">
        <f>IF(B1279="","",RANK(B1279,$B$2:$B$2501,0))</f>
        <v/>
      </c>
      <c r="D1279">
        <f>IF(C1279="","",C1279&lt;=25)</f>
        <v/>
      </c>
      <c r="F1279">
        <f>IF(A1279="","",IF(AND(D1279=TRUE,E1279=""),"BUY",IF(AND(D1279=FALSE,E1279&lt;&gt;""),"SELL",IF(AND(D1279=TRUE,E1279&lt;&gt;""),"HOLD",""))))</f>
        <v/>
      </c>
      <c r="G1279" s="12">
        <f>IF(D1279=TRUE,4,0)</f>
        <v/>
      </c>
      <c r="H1279">
        <f>IF(A1279="","",BDP(A1279&amp;" US Equity","GICS_SECTOR_NAME"))</f>
        <v/>
      </c>
    </row>
    <row r="1280">
      <c r="A1280">
        <f>'Factor Scores'!A1280</f>
        <v/>
      </c>
      <c r="B1280" s="10">
        <f>IF(A1280="","",0.40*'Factor Scores'!C1280+0.20*'Factor Scores'!E1280+0.20*'Factor Scores'!G1280+0.20*'Factor Scores'!H1280)</f>
        <v/>
      </c>
      <c r="C1280" s="12">
        <f>IF(B1280="","",RANK(B1280,$B$2:$B$2501,0))</f>
        <v/>
      </c>
      <c r="D1280">
        <f>IF(C1280="","",C1280&lt;=25)</f>
        <v/>
      </c>
      <c r="F1280">
        <f>IF(A1280="","",IF(AND(D1280=TRUE,E1280=""),"BUY",IF(AND(D1280=FALSE,E1280&lt;&gt;""),"SELL",IF(AND(D1280=TRUE,E1280&lt;&gt;""),"HOLD",""))))</f>
        <v/>
      </c>
      <c r="G1280" s="12">
        <f>IF(D1280=TRUE,4,0)</f>
        <v/>
      </c>
      <c r="H1280">
        <f>IF(A1280="","",BDP(A1280&amp;" US Equity","GICS_SECTOR_NAME"))</f>
        <v/>
      </c>
    </row>
    <row r="1281">
      <c r="A1281">
        <f>'Factor Scores'!A1281</f>
        <v/>
      </c>
      <c r="B1281" s="10">
        <f>IF(A1281="","",0.40*'Factor Scores'!C1281+0.20*'Factor Scores'!E1281+0.20*'Factor Scores'!G1281+0.20*'Factor Scores'!H1281)</f>
        <v/>
      </c>
      <c r="C1281" s="12">
        <f>IF(B1281="","",RANK(B1281,$B$2:$B$2501,0))</f>
        <v/>
      </c>
      <c r="D1281">
        <f>IF(C1281="","",C1281&lt;=25)</f>
        <v/>
      </c>
      <c r="F1281">
        <f>IF(A1281="","",IF(AND(D1281=TRUE,E1281=""),"BUY",IF(AND(D1281=FALSE,E1281&lt;&gt;""),"SELL",IF(AND(D1281=TRUE,E1281&lt;&gt;""),"HOLD",""))))</f>
        <v/>
      </c>
      <c r="G1281" s="12">
        <f>IF(D1281=TRUE,4,0)</f>
        <v/>
      </c>
      <c r="H1281">
        <f>IF(A1281="","",BDP(A1281&amp;" US Equity","GICS_SECTOR_NAME"))</f>
        <v/>
      </c>
    </row>
    <row r="1282">
      <c r="A1282">
        <f>'Factor Scores'!A1282</f>
        <v/>
      </c>
      <c r="B1282" s="10">
        <f>IF(A1282="","",0.40*'Factor Scores'!C1282+0.20*'Factor Scores'!E1282+0.20*'Factor Scores'!G1282+0.20*'Factor Scores'!H1282)</f>
        <v/>
      </c>
      <c r="C1282" s="12">
        <f>IF(B1282="","",RANK(B1282,$B$2:$B$2501,0))</f>
        <v/>
      </c>
      <c r="D1282">
        <f>IF(C1282="","",C1282&lt;=25)</f>
        <v/>
      </c>
      <c r="F1282">
        <f>IF(A1282="","",IF(AND(D1282=TRUE,E1282=""),"BUY",IF(AND(D1282=FALSE,E1282&lt;&gt;""),"SELL",IF(AND(D1282=TRUE,E1282&lt;&gt;""),"HOLD",""))))</f>
        <v/>
      </c>
      <c r="G1282" s="12">
        <f>IF(D1282=TRUE,4,0)</f>
        <v/>
      </c>
      <c r="H1282">
        <f>IF(A1282="","",BDP(A1282&amp;" US Equity","GICS_SECTOR_NAME"))</f>
        <v/>
      </c>
    </row>
    <row r="1283">
      <c r="A1283">
        <f>'Factor Scores'!A1283</f>
        <v/>
      </c>
      <c r="B1283" s="10">
        <f>IF(A1283="","",0.40*'Factor Scores'!C1283+0.20*'Factor Scores'!E1283+0.20*'Factor Scores'!G1283+0.20*'Factor Scores'!H1283)</f>
        <v/>
      </c>
      <c r="C1283" s="12">
        <f>IF(B1283="","",RANK(B1283,$B$2:$B$2501,0))</f>
        <v/>
      </c>
      <c r="D1283">
        <f>IF(C1283="","",C1283&lt;=25)</f>
        <v/>
      </c>
      <c r="F1283">
        <f>IF(A1283="","",IF(AND(D1283=TRUE,E1283=""),"BUY",IF(AND(D1283=FALSE,E1283&lt;&gt;""),"SELL",IF(AND(D1283=TRUE,E1283&lt;&gt;""),"HOLD",""))))</f>
        <v/>
      </c>
      <c r="G1283" s="12">
        <f>IF(D1283=TRUE,4,0)</f>
        <v/>
      </c>
      <c r="H1283">
        <f>IF(A1283="","",BDP(A1283&amp;" US Equity","GICS_SECTOR_NAME"))</f>
        <v/>
      </c>
    </row>
    <row r="1284">
      <c r="A1284">
        <f>'Factor Scores'!A1284</f>
        <v/>
      </c>
      <c r="B1284" s="10">
        <f>IF(A1284="","",0.40*'Factor Scores'!C1284+0.20*'Factor Scores'!E1284+0.20*'Factor Scores'!G1284+0.20*'Factor Scores'!H1284)</f>
        <v/>
      </c>
      <c r="C1284" s="12">
        <f>IF(B1284="","",RANK(B1284,$B$2:$B$2501,0))</f>
        <v/>
      </c>
      <c r="D1284">
        <f>IF(C1284="","",C1284&lt;=25)</f>
        <v/>
      </c>
      <c r="F1284">
        <f>IF(A1284="","",IF(AND(D1284=TRUE,E1284=""),"BUY",IF(AND(D1284=FALSE,E1284&lt;&gt;""),"SELL",IF(AND(D1284=TRUE,E1284&lt;&gt;""),"HOLD",""))))</f>
        <v/>
      </c>
      <c r="G1284" s="12">
        <f>IF(D1284=TRUE,4,0)</f>
        <v/>
      </c>
      <c r="H1284">
        <f>IF(A1284="","",BDP(A1284&amp;" US Equity","GICS_SECTOR_NAME"))</f>
        <v/>
      </c>
    </row>
    <row r="1285">
      <c r="A1285">
        <f>'Factor Scores'!A1285</f>
        <v/>
      </c>
      <c r="B1285" s="10">
        <f>IF(A1285="","",0.40*'Factor Scores'!C1285+0.20*'Factor Scores'!E1285+0.20*'Factor Scores'!G1285+0.20*'Factor Scores'!H1285)</f>
        <v/>
      </c>
      <c r="C1285" s="12">
        <f>IF(B1285="","",RANK(B1285,$B$2:$B$2501,0))</f>
        <v/>
      </c>
      <c r="D1285">
        <f>IF(C1285="","",C1285&lt;=25)</f>
        <v/>
      </c>
      <c r="F1285">
        <f>IF(A1285="","",IF(AND(D1285=TRUE,E1285=""),"BUY",IF(AND(D1285=FALSE,E1285&lt;&gt;""),"SELL",IF(AND(D1285=TRUE,E1285&lt;&gt;""),"HOLD",""))))</f>
        <v/>
      </c>
      <c r="G1285" s="12">
        <f>IF(D1285=TRUE,4,0)</f>
        <v/>
      </c>
      <c r="H1285">
        <f>IF(A1285="","",BDP(A1285&amp;" US Equity","GICS_SECTOR_NAME"))</f>
        <v/>
      </c>
    </row>
    <row r="1286">
      <c r="A1286">
        <f>'Factor Scores'!A1286</f>
        <v/>
      </c>
      <c r="B1286" s="10">
        <f>IF(A1286="","",0.40*'Factor Scores'!C1286+0.20*'Factor Scores'!E1286+0.20*'Factor Scores'!G1286+0.20*'Factor Scores'!H1286)</f>
        <v/>
      </c>
      <c r="C1286" s="12">
        <f>IF(B1286="","",RANK(B1286,$B$2:$B$2501,0))</f>
        <v/>
      </c>
      <c r="D1286">
        <f>IF(C1286="","",C1286&lt;=25)</f>
        <v/>
      </c>
      <c r="F1286">
        <f>IF(A1286="","",IF(AND(D1286=TRUE,E1286=""),"BUY",IF(AND(D1286=FALSE,E1286&lt;&gt;""),"SELL",IF(AND(D1286=TRUE,E1286&lt;&gt;""),"HOLD",""))))</f>
        <v/>
      </c>
      <c r="G1286" s="12">
        <f>IF(D1286=TRUE,4,0)</f>
        <v/>
      </c>
      <c r="H1286">
        <f>IF(A1286="","",BDP(A1286&amp;" US Equity","GICS_SECTOR_NAME"))</f>
        <v/>
      </c>
    </row>
    <row r="1287">
      <c r="A1287">
        <f>'Factor Scores'!A1287</f>
        <v/>
      </c>
      <c r="B1287" s="10">
        <f>IF(A1287="","",0.40*'Factor Scores'!C1287+0.20*'Factor Scores'!E1287+0.20*'Factor Scores'!G1287+0.20*'Factor Scores'!H1287)</f>
        <v/>
      </c>
      <c r="C1287" s="12">
        <f>IF(B1287="","",RANK(B1287,$B$2:$B$2501,0))</f>
        <v/>
      </c>
      <c r="D1287">
        <f>IF(C1287="","",C1287&lt;=25)</f>
        <v/>
      </c>
      <c r="F1287">
        <f>IF(A1287="","",IF(AND(D1287=TRUE,E1287=""),"BUY",IF(AND(D1287=FALSE,E1287&lt;&gt;""),"SELL",IF(AND(D1287=TRUE,E1287&lt;&gt;""),"HOLD",""))))</f>
        <v/>
      </c>
      <c r="G1287" s="12">
        <f>IF(D1287=TRUE,4,0)</f>
        <v/>
      </c>
      <c r="H1287">
        <f>IF(A1287="","",BDP(A1287&amp;" US Equity","GICS_SECTOR_NAME"))</f>
        <v/>
      </c>
    </row>
    <row r="1288">
      <c r="A1288">
        <f>'Factor Scores'!A1288</f>
        <v/>
      </c>
      <c r="B1288" s="10">
        <f>IF(A1288="","",0.40*'Factor Scores'!C1288+0.20*'Factor Scores'!E1288+0.20*'Factor Scores'!G1288+0.20*'Factor Scores'!H1288)</f>
        <v/>
      </c>
      <c r="C1288" s="12">
        <f>IF(B1288="","",RANK(B1288,$B$2:$B$2501,0))</f>
        <v/>
      </c>
      <c r="D1288">
        <f>IF(C1288="","",C1288&lt;=25)</f>
        <v/>
      </c>
      <c r="F1288">
        <f>IF(A1288="","",IF(AND(D1288=TRUE,E1288=""),"BUY",IF(AND(D1288=FALSE,E1288&lt;&gt;""),"SELL",IF(AND(D1288=TRUE,E1288&lt;&gt;""),"HOLD",""))))</f>
        <v/>
      </c>
      <c r="G1288" s="12">
        <f>IF(D1288=TRUE,4,0)</f>
        <v/>
      </c>
      <c r="H1288">
        <f>IF(A1288="","",BDP(A1288&amp;" US Equity","GICS_SECTOR_NAME"))</f>
        <v/>
      </c>
    </row>
    <row r="1289">
      <c r="A1289">
        <f>'Factor Scores'!A1289</f>
        <v/>
      </c>
      <c r="B1289" s="10">
        <f>IF(A1289="","",0.40*'Factor Scores'!C1289+0.20*'Factor Scores'!E1289+0.20*'Factor Scores'!G1289+0.20*'Factor Scores'!H1289)</f>
        <v/>
      </c>
      <c r="C1289" s="12">
        <f>IF(B1289="","",RANK(B1289,$B$2:$B$2501,0))</f>
        <v/>
      </c>
      <c r="D1289">
        <f>IF(C1289="","",C1289&lt;=25)</f>
        <v/>
      </c>
      <c r="F1289">
        <f>IF(A1289="","",IF(AND(D1289=TRUE,E1289=""),"BUY",IF(AND(D1289=FALSE,E1289&lt;&gt;""),"SELL",IF(AND(D1289=TRUE,E1289&lt;&gt;""),"HOLD",""))))</f>
        <v/>
      </c>
      <c r="G1289" s="12">
        <f>IF(D1289=TRUE,4,0)</f>
        <v/>
      </c>
      <c r="H1289">
        <f>IF(A1289="","",BDP(A1289&amp;" US Equity","GICS_SECTOR_NAME"))</f>
        <v/>
      </c>
    </row>
    <row r="1290">
      <c r="A1290">
        <f>'Factor Scores'!A1290</f>
        <v/>
      </c>
      <c r="B1290" s="10">
        <f>IF(A1290="","",0.40*'Factor Scores'!C1290+0.20*'Factor Scores'!E1290+0.20*'Factor Scores'!G1290+0.20*'Factor Scores'!H1290)</f>
        <v/>
      </c>
      <c r="C1290" s="12">
        <f>IF(B1290="","",RANK(B1290,$B$2:$B$2501,0))</f>
        <v/>
      </c>
      <c r="D1290">
        <f>IF(C1290="","",C1290&lt;=25)</f>
        <v/>
      </c>
      <c r="F1290">
        <f>IF(A1290="","",IF(AND(D1290=TRUE,E1290=""),"BUY",IF(AND(D1290=FALSE,E1290&lt;&gt;""),"SELL",IF(AND(D1290=TRUE,E1290&lt;&gt;""),"HOLD",""))))</f>
        <v/>
      </c>
      <c r="G1290" s="12">
        <f>IF(D1290=TRUE,4,0)</f>
        <v/>
      </c>
      <c r="H1290">
        <f>IF(A1290="","",BDP(A1290&amp;" US Equity","GICS_SECTOR_NAME"))</f>
        <v/>
      </c>
    </row>
    <row r="1291">
      <c r="A1291">
        <f>'Factor Scores'!A1291</f>
        <v/>
      </c>
      <c r="B1291" s="10">
        <f>IF(A1291="","",0.40*'Factor Scores'!C1291+0.20*'Factor Scores'!E1291+0.20*'Factor Scores'!G1291+0.20*'Factor Scores'!H1291)</f>
        <v/>
      </c>
      <c r="C1291" s="12">
        <f>IF(B1291="","",RANK(B1291,$B$2:$B$2501,0))</f>
        <v/>
      </c>
      <c r="D1291">
        <f>IF(C1291="","",C1291&lt;=25)</f>
        <v/>
      </c>
      <c r="F1291">
        <f>IF(A1291="","",IF(AND(D1291=TRUE,E1291=""),"BUY",IF(AND(D1291=FALSE,E1291&lt;&gt;""),"SELL",IF(AND(D1291=TRUE,E1291&lt;&gt;""),"HOLD",""))))</f>
        <v/>
      </c>
      <c r="G1291" s="12">
        <f>IF(D1291=TRUE,4,0)</f>
        <v/>
      </c>
      <c r="H1291">
        <f>IF(A1291="","",BDP(A1291&amp;" US Equity","GICS_SECTOR_NAME"))</f>
        <v/>
      </c>
    </row>
    <row r="1292">
      <c r="A1292">
        <f>'Factor Scores'!A1292</f>
        <v/>
      </c>
      <c r="B1292" s="10">
        <f>IF(A1292="","",0.40*'Factor Scores'!C1292+0.20*'Factor Scores'!E1292+0.20*'Factor Scores'!G1292+0.20*'Factor Scores'!H1292)</f>
        <v/>
      </c>
      <c r="C1292" s="12">
        <f>IF(B1292="","",RANK(B1292,$B$2:$B$2501,0))</f>
        <v/>
      </c>
      <c r="D1292">
        <f>IF(C1292="","",C1292&lt;=25)</f>
        <v/>
      </c>
      <c r="F1292">
        <f>IF(A1292="","",IF(AND(D1292=TRUE,E1292=""),"BUY",IF(AND(D1292=FALSE,E1292&lt;&gt;""),"SELL",IF(AND(D1292=TRUE,E1292&lt;&gt;""),"HOLD",""))))</f>
        <v/>
      </c>
      <c r="G1292" s="12">
        <f>IF(D1292=TRUE,4,0)</f>
        <v/>
      </c>
      <c r="H1292">
        <f>IF(A1292="","",BDP(A1292&amp;" US Equity","GICS_SECTOR_NAME"))</f>
        <v/>
      </c>
    </row>
    <row r="1293">
      <c r="A1293">
        <f>'Factor Scores'!A1293</f>
        <v/>
      </c>
      <c r="B1293" s="10">
        <f>IF(A1293="","",0.40*'Factor Scores'!C1293+0.20*'Factor Scores'!E1293+0.20*'Factor Scores'!G1293+0.20*'Factor Scores'!H1293)</f>
        <v/>
      </c>
      <c r="C1293" s="12">
        <f>IF(B1293="","",RANK(B1293,$B$2:$B$2501,0))</f>
        <v/>
      </c>
      <c r="D1293">
        <f>IF(C1293="","",C1293&lt;=25)</f>
        <v/>
      </c>
      <c r="F1293">
        <f>IF(A1293="","",IF(AND(D1293=TRUE,E1293=""),"BUY",IF(AND(D1293=FALSE,E1293&lt;&gt;""),"SELL",IF(AND(D1293=TRUE,E1293&lt;&gt;""),"HOLD",""))))</f>
        <v/>
      </c>
      <c r="G1293" s="12">
        <f>IF(D1293=TRUE,4,0)</f>
        <v/>
      </c>
      <c r="H1293">
        <f>IF(A1293="","",BDP(A1293&amp;" US Equity","GICS_SECTOR_NAME"))</f>
        <v/>
      </c>
    </row>
    <row r="1294">
      <c r="A1294">
        <f>'Factor Scores'!A1294</f>
        <v/>
      </c>
      <c r="B1294" s="10">
        <f>IF(A1294="","",0.40*'Factor Scores'!C1294+0.20*'Factor Scores'!E1294+0.20*'Factor Scores'!G1294+0.20*'Factor Scores'!H1294)</f>
        <v/>
      </c>
      <c r="C1294" s="12">
        <f>IF(B1294="","",RANK(B1294,$B$2:$B$2501,0))</f>
        <v/>
      </c>
      <c r="D1294">
        <f>IF(C1294="","",C1294&lt;=25)</f>
        <v/>
      </c>
      <c r="F1294">
        <f>IF(A1294="","",IF(AND(D1294=TRUE,E1294=""),"BUY",IF(AND(D1294=FALSE,E1294&lt;&gt;""),"SELL",IF(AND(D1294=TRUE,E1294&lt;&gt;""),"HOLD",""))))</f>
        <v/>
      </c>
      <c r="G1294" s="12">
        <f>IF(D1294=TRUE,4,0)</f>
        <v/>
      </c>
      <c r="H1294">
        <f>IF(A1294="","",BDP(A1294&amp;" US Equity","GICS_SECTOR_NAME"))</f>
        <v/>
      </c>
    </row>
    <row r="1295">
      <c r="A1295">
        <f>'Factor Scores'!A1295</f>
        <v/>
      </c>
      <c r="B1295" s="10">
        <f>IF(A1295="","",0.40*'Factor Scores'!C1295+0.20*'Factor Scores'!E1295+0.20*'Factor Scores'!G1295+0.20*'Factor Scores'!H1295)</f>
        <v/>
      </c>
      <c r="C1295" s="12">
        <f>IF(B1295="","",RANK(B1295,$B$2:$B$2501,0))</f>
        <v/>
      </c>
      <c r="D1295">
        <f>IF(C1295="","",C1295&lt;=25)</f>
        <v/>
      </c>
      <c r="F1295">
        <f>IF(A1295="","",IF(AND(D1295=TRUE,E1295=""),"BUY",IF(AND(D1295=FALSE,E1295&lt;&gt;""),"SELL",IF(AND(D1295=TRUE,E1295&lt;&gt;""),"HOLD",""))))</f>
        <v/>
      </c>
      <c r="G1295" s="12">
        <f>IF(D1295=TRUE,4,0)</f>
        <v/>
      </c>
      <c r="H1295">
        <f>IF(A1295="","",BDP(A1295&amp;" US Equity","GICS_SECTOR_NAME"))</f>
        <v/>
      </c>
    </row>
    <row r="1296">
      <c r="A1296">
        <f>'Factor Scores'!A1296</f>
        <v/>
      </c>
      <c r="B1296" s="10">
        <f>IF(A1296="","",0.40*'Factor Scores'!C1296+0.20*'Factor Scores'!E1296+0.20*'Factor Scores'!G1296+0.20*'Factor Scores'!H1296)</f>
        <v/>
      </c>
      <c r="C1296" s="12">
        <f>IF(B1296="","",RANK(B1296,$B$2:$B$2501,0))</f>
        <v/>
      </c>
      <c r="D1296">
        <f>IF(C1296="","",C1296&lt;=25)</f>
        <v/>
      </c>
      <c r="F1296">
        <f>IF(A1296="","",IF(AND(D1296=TRUE,E1296=""),"BUY",IF(AND(D1296=FALSE,E1296&lt;&gt;""),"SELL",IF(AND(D1296=TRUE,E1296&lt;&gt;""),"HOLD",""))))</f>
        <v/>
      </c>
      <c r="G1296" s="12">
        <f>IF(D1296=TRUE,4,0)</f>
        <v/>
      </c>
      <c r="H1296">
        <f>IF(A1296="","",BDP(A1296&amp;" US Equity","GICS_SECTOR_NAME"))</f>
        <v/>
      </c>
    </row>
    <row r="1297">
      <c r="A1297">
        <f>'Factor Scores'!A1297</f>
        <v/>
      </c>
      <c r="B1297" s="10">
        <f>IF(A1297="","",0.40*'Factor Scores'!C1297+0.20*'Factor Scores'!E1297+0.20*'Factor Scores'!G1297+0.20*'Factor Scores'!H1297)</f>
        <v/>
      </c>
      <c r="C1297" s="12">
        <f>IF(B1297="","",RANK(B1297,$B$2:$B$2501,0))</f>
        <v/>
      </c>
      <c r="D1297">
        <f>IF(C1297="","",C1297&lt;=25)</f>
        <v/>
      </c>
      <c r="F1297">
        <f>IF(A1297="","",IF(AND(D1297=TRUE,E1297=""),"BUY",IF(AND(D1297=FALSE,E1297&lt;&gt;""),"SELL",IF(AND(D1297=TRUE,E1297&lt;&gt;""),"HOLD",""))))</f>
        <v/>
      </c>
      <c r="G1297" s="12">
        <f>IF(D1297=TRUE,4,0)</f>
        <v/>
      </c>
      <c r="H1297">
        <f>IF(A1297="","",BDP(A1297&amp;" US Equity","GICS_SECTOR_NAME"))</f>
        <v/>
      </c>
    </row>
    <row r="1298">
      <c r="A1298">
        <f>'Factor Scores'!A1298</f>
        <v/>
      </c>
      <c r="B1298" s="10">
        <f>IF(A1298="","",0.40*'Factor Scores'!C1298+0.20*'Factor Scores'!E1298+0.20*'Factor Scores'!G1298+0.20*'Factor Scores'!H1298)</f>
        <v/>
      </c>
      <c r="C1298" s="12">
        <f>IF(B1298="","",RANK(B1298,$B$2:$B$2501,0))</f>
        <v/>
      </c>
      <c r="D1298">
        <f>IF(C1298="","",C1298&lt;=25)</f>
        <v/>
      </c>
      <c r="F1298">
        <f>IF(A1298="","",IF(AND(D1298=TRUE,E1298=""),"BUY",IF(AND(D1298=FALSE,E1298&lt;&gt;""),"SELL",IF(AND(D1298=TRUE,E1298&lt;&gt;""),"HOLD",""))))</f>
        <v/>
      </c>
      <c r="G1298" s="12">
        <f>IF(D1298=TRUE,4,0)</f>
        <v/>
      </c>
      <c r="H1298">
        <f>IF(A1298="","",BDP(A1298&amp;" US Equity","GICS_SECTOR_NAME"))</f>
        <v/>
      </c>
    </row>
    <row r="1299">
      <c r="A1299">
        <f>'Factor Scores'!A1299</f>
        <v/>
      </c>
      <c r="B1299" s="10">
        <f>IF(A1299="","",0.40*'Factor Scores'!C1299+0.20*'Factor Scores'!E1299+0.20*'Factor Scores'!G1299+0.20*'Factor Scores'!H1299)</f>
        <v/>
      </c>
      <c r="C1299" s="12">
        <f>IF(B1299="","",RANK(B1299,$B$2:$B$2501,0))</f>
        <v/>
      </c>
      <c r="D1299">
        <f>IF(C1299="","",C1299&lt;=25)</f>
        <v/>
      </c>
      <c r="F1299">
        <f>IF(A1299="","",IF(AND(D1299=TRUE,E1299=""),"BUY",IF(AND(D1299=FALSE,E1299&lt;&gt;""),"SELL",IF(AND(D1299=TRUE,E1299&lt;&gt;""),"HOLD",""))))</f>
        <v/>
      </c>
      <c r="G1299" s="12">
        <f>IF(D1299=TRUE,4,0)</f>
        <v/>
      </c>
      <c r="H1299">
        <f>IF(A1299="","",BDP(A1299&amp;" US Equity","GICS_SECTOR_NAME"))</f>
        <v/>
      </c>
    </row>
    <row r="1300">
      <c r="A1300">
        <f>'Factor Scores'!A1300</f>
        <v/>
      </c>
      <c r="B1300" s="10">
        <f>IF(A1300="","",0.40*'Factor Scores'!C1300+0.20*'Factor Scores'!E1300+0.20*'Factor Scores'!G1300+0.20*'Factor Scores'!H1300)</f>
        <v/>
      </c>
      <c r="C1300" s="12">
        <f>IF(B1300="","",RANK(B1300,$B$2:$B$2501,0))</f>
        <v/>
      </c>
      <c r="D1300">
        <f>IF(C1300="","",C1300&lt;=25)</f>
        <v/>
      </c>
      <c r="F1300">
        <f>IF(A1300="","",IF(AND(D1300=TRUE,E1300=""),"BUY",IF(AND(D1300=FALSE,E1300&lt;&gt;""),"SELL",IF(AND(D1300=TRUE,E1300&lt;&gt;""),"HOLD",""))))</f>
        <v/>
      </c>
      <c r="G1300" s="12">
        <f>IF(D1300=TRUE,4,0)</f>
        <v/>
      </c>
      <c r="H1300">
        <f>IF(A1300="","",BDP(A1300&amp;" US Equity","GICS_SECTOR_NAME"))</f>
        <v/>
      </c>
    </row>
    <row r="1301">
      <c r="A1301">
        <f>'Factor Scores'!A1301</f>
        <v/>
      </c>
      <c r="B1301" s="10">
        <f>IF(A1301="","",0.40*'Factor Scores'!C1301+0.20*'Factor Scores'!E1301+0.20*'Factor Scores'!G1301+0.20*'Factor Scores'!H1301)</f>
        <v/>
      </c>
      <c r="C1301" s="12">
        <f>IF(B1301="","",RANK(B1301,$B$2:$B$2501,0))</f>
        <v/>
      </c>
      <c r="D1301">
        <f>IF(C1301="","",C1301&lt;=25)</f>
        <v/>
      </c>
      <c r="F1301">
        <f>IF(A1301="","",IF(AND(D1301=TRUE,E1301=""),"BUY",IF(AND(D1301=FALSE,E1301&lt;&gt;""),"SELL",IF(AND(D1301=TRUE,E1301&lt;&gt;""),"HOLD",""))))</f>
        <v/>
      </c>
      <c r="G1301" s="12">
        <f>IF(D1301=TRUE,4,0)</f>
        <v/>
      </c>
      <c r="H1301">
        <f>IF(A1301="","",BDP(A1301&amp;" US Equity","GICS_SECTOR_NAME"))</f>
        <v/>
      </c>
    </row>
    <row r="1302">
      <c r="A1302">
        <f>'Factor Scores'!A1302</f>
        <v/>
      </c>
      <c r="B1302" s="10">
        <f>IF(A1302="","",0.40*'Factor Scores'!C1302+0.20*'Factor Scores'!E1302+0.20*'Factor Scores'!G1302+0.20*'Factor Scores'!H1302)</f>
        <v/>
      </c>
      <c r="C1302" s="12">
        <f>IF(B1302="","",RANK(B1302,$B$2:$B$2501,0))</f>
        <v/>
      </c>
      <c r="D1302">
        <f>IF(C1302="","",C1302&lt;=25)</f>
        <v/>
      </c>
      <c r="F1302">
        <f>IF(A1302="","",IF(AND(D1302=TRUE,E1302=""),"BUY",IF(AND(D1302=FALSE,E1302&lt;&gt;""),"SELL",IF(AND(D1302=TRUE,E1302&lt;&gt;""),"HOLD",""))))</f>
        <v/>
      </c>
      <c r="G1302" s="12">
        <f>IF(D1302=TRUE,4,0)</f>
        <v/>
      </c>
      <c r="H1302">
        <f>IF(A1302="","",BDP(A1302&amp;" US Equity","GICS_SECTOR_NAME"))</f>
        <v/>
      </c>
    </row>
    <row r="1303">
      <c r="A1303">
        <f>'Factor Scores'!A1303</f>
        <v/>
      </c>
      <c r="B1303" s="10">
        <f>IF(A1303="","",0.40*'Factor Scores'!C1303+0.20*'Factor Scores'!E1303+0.20*'Factor Scores'!G1303+0.20*'Factor Scores'!H1303)</f>
        <v/>
      </c>
      <c r="C1303" s="12">
        <f>IF(B1303="","",RANK(B1303,$B$2:$B$2501,0))</f>
        <v/>
      </c>
      <c r="D1303">
        <f>IF(C1303="","",C1303&lt;=25)</f>
        <v/>
      </c>
      <c r="F1303">
        <f>IF(A1303="","",IF(AND(D1303=TRUE,E1303=""),"BUY",IF(AND(D1303=FALSE,E1303&lt;&gt;""),"SELL",IF(AND(D1303=TRUE,E1303&lt;&gt;""),"HOLD",""))))</f>
        <v/>
      </c>
      <c r="G1303" s="12">
        <f>IF(D1303=TRUE,4,0)</f>
        <v/>
      </c>
      <c r="H1303">
        <f>IF(A1303="","",BDP(A1303&amp;" US Equity","GICS_SECTOR_NAME"))</f>
        <v/>
      </c>
    </row>
    <row r="1304">
      <c r="A1304">
        <f>'Factor Scores'!A1304</f>
        <v/>
      </c>
      <c r="B1304" s="10">
        <f>IF(A1304="","",0.40*'Factor Scores'!C1304+0.20*'Factor Scores'!E1304+0.20*'Factor Scores'!G1304+0.20*'Factor Scores'!H1304)</f>
        <v/>
      </c>
      <c r="C1304" s="12">
        <f>IF(B1304="","",RANK(B1304,$B$2:$B$2501,0))</f>
        <v/>
      </c>
      <c r="D1304">
        <f>IF(C1304="","",C1304&lt;=25)</f>
        <v/>
      </c>
      <c r="F1304">
        <f>IF(A1304="","",IF(AND(D1304=TRUE,E1304=""),"BUY",IF(AND(D1304=FALSE,E1304&lt;&gt;""),"SELL",IF(AND(D1304=TRUE,E1304&lt;&gt;""),"HOLD",""))))</f>
        <v/>
      </c>
      <c r="G1304" s="12">
        <f>IF(D1304=TRUE,4,0)</f>
        <v/>
      </c>
      <c r="H1304">
        <f>IF(A1304="","",BDP(A1304&amp;" US Equity","GICS_SECTOR_NAME"))</f>
        <v/>
      </c>
    </row>
    <row r="1305">
      <c r="A1305">
        <f>'Factor Scores'!A1305</f>
        <v/>
      </c>
      <c r="B1305" s="10">
        <f>IF(A1305="","",0.40*'Factor Scores'!C1305+0.20*'Factor Scores'!E1305+0.20*'Factor Scores'!G1305+0.20*'Factor Scores'!H1305)</f>
        <v/>
      </c>
      <c r="C1305" s="12">
        <f>IF(B1305="","",RANK(B1305,$B$2:$B$2501,0))</f>
        <v/>
      </c>
      <c r="D1305">
        <f>IF(C1305="","",C1305&lt;=25)</f>
        <v/>
      </c>
      <c r="F1305">
        <f>IF(A1305="","",IF(AND(D1305=TRUE,E1305=""),"BUY",IF(AND(D1305=FALSE,E1305&lt;&gt;""),"SELL",IF(AND(D1305=TRUE,E1305&lt;&gt;""),"HOLD",""))))</f>
        <v/>
      </c>
      <c r="G1305" s="12">
        <f>IF(D1305=TRUE,4,0)</f>
        <v/>
      </c>
      <c r="H1305">
        <f>IF(A1305="","",BDP(A1305&amp;" US Equity","GICS_SECTOR_NAME"))</f>
        <v/>
      </c>
    </row>
    <row r="1306">
      <c r="A1306">
        <f>'Factor Scores'!A1306</f>
        <v/>
      </c>
      <c r="B1306" s="10">
        <f>IF(A1306="","",0.40*'Factor Scores'!C1306+0.20*'Factor Scores'!E1306+0.20*'Factor Scores'!G1306+0.20*'Factor Scores'!H1306)</f>
        <v/>
      </c>
      <c r="C1306" s="12">
        <f>IF(B1306="","",RANK(B1306,$B$2:$B$2501,0))</f>
        <v/>
      </c>
      <c r="D1306">
        <f>IF(C1306="","",C1306&lt;=25)</f>
        <v/>
      </c>
      <c r="F1306">
        <f>IF(A1306="","",IF(AND(D1306=TRUE,E1306=""),"BUY",IF(AND(D1306=FALSE,E1306&lt;&gt;""),"SELL",IF(AND(D1306=TRUE,E1306&lt;&gt;""),"HOLD",""))))</f>
        <v/>
      </c>
      <c r="G1306" s="12">
        <f>IF(D1306=TRUE,4,0)</f>
        <v/>
      </c>
      <c r="H1306">
        <f>IF(A1306="","",BDP(A1306&amp;" US Equity","GICS_SECTOR_NAME"))</f>
        <v/>
      </c>
    </row>
    <row r="1307">
      <c r="A1307">
        <f>'Factor Scores'!A1307</f>
        <v/>
      </c>
      <c r="B1307" s="10">
        <f>IF(A1307="","",0.40*'Factor Scores'!C1307+0.20*'Factor Scores'!E1307+0.20*'Factor Scores'!G1307+0.20*'Factor Scores'!H1307)</f>
        <v/>
      </c>
      <c r="C1307" s="12">
        <f>IF(B1307="","",RANK(B1307,$B$2:$B$2501,0))</f>
        <v/>
      </c>
      <c r="D1307">
        <f>IF(C1307="","",C1307&lt;=25)</f>
        <v/>
      </c>
      <c r="F1307">
        <f>IF(A1307="","",IF(AND(D1307=TRUE,E1307=""),"BUY",IF(AND(D1307=FALSE,E1307&lt;&gt;""),"SELL",IF(AND(D1307=TRUE,E1307&lt;&gt;""),"HOLD",""))))</f>
        <v/>
      </c>
      <c r="G1307" s="12">
        <f>IF(D1307=TRUE,4,0)</f>
        <v/>
      </c>
      <c r="H1307">
        <f>IF(A1307="","",BDP(A1307&amp;" US Equity","GICS_SECTOR_NAME"))</f>
        <v/>
      </c>
    </row>
    <row r="1308">
      <c r="A1308">
        <f>'Factor Scores'!A1308</f>
        <v/>
      </c>
      <c r="B1308" s="10">
        <f>IF(A1308="","",0.40*'Factor Scores'!C1308+0.20*'Factor Scores'!E1308+0.20*'Factor Scores'!G1308+0.20*'Factor Scores'!H1308)</f>
        <v/>
      </c>
      <c r="C1308" s="12">
        <f>IF(B1308="","",RANK(B1308,$B$2:$B$2501,0))</f>
        <v/>
      </c>
      <c r="D1308">
        <f>IF(C1308="","",C1308&lt;=25)</f>
        <v/>
      </c>
      <c r="F1308">
        <f>IF(A1308="","",IF(AND(D1308=TRUE,E1308=""),"BUY",IF(AND(D1308=FALSE,E1308&lt;&gt;""),"SELL",IF(AND(D1308=TRUE,E1308&lt;&gt;""),"HOLD",""))))</f>
        <v/>
      </c>
      <c r="G1308" s="12">
        <f>IF(D1308=TRUE,4,0)</f>
        <v/>
      </c>
      <c r="H1308">
        <f>IF(A1308="","",BDP(A1308&amp;" US Equity","GICS_SECTOR_NAME"))</f>
        <v/>
      </c>
    </row>
    <row r="1309">
      <c r="A1309">
        <f>'Factor Scores'!A1309</f>
        <v/>
      </c>
      <c r="B1309" s="10">
        <f>IF(A1309="","",0.40*'Factor Scores'!C1309+0.20*'Factor Scores'!E1309+0.20*'Factor Scores'!G1309+0.20*'Factor Scores'!H1309)</f>
        <v/>
      </c>
      <c r="C1309" s="12">
        <f>IF(B1309="","",RANK(B1309,$B$2:$B$2501,0))</f>
        <v/>
      </c>
      <c r="D1309">
        <f>IF(C1309="","",C1309&lt;=25)</f>
        <v/>
      </c>
      <c r="F1309">
        <f>IF(A1309="","",IF(AND(D1309=TRUE,E1309=""),"BUY",IF(AND(D1309=FALSE,E1309&lt;&gt;""),"SELL",IF(AND(D1309=TRUE,E1309&lt;&gt;""),"HOLD",""))))</f>
        <v/>
      </c>
      <c r="G1309" s="12">
        <f>IF(D1309=TRUE,4,0)</f>
        <v/>
      </c>
      <c r="H1309">
        <f>IF(A1309="","",BDP(A1309&amp;" US Equity","GICS_SECTOR_NAME"))</f>
        <v/>
      </c>
    </row>
    <row r="1310">
      <c r="A1310">
        <f>'Factor Scores'!A1310</f>
        <v/>
      </c>
      <c r="B1310" s="10">
        <f>IF(A1310="","",0.40*'Factor Scores'!C1310+0.20*'Factor Scores'!E1310+0.20*'Factor Scores'!G1310+0.20*'Factor Scores'!H1310)</f>
        <v/>
      </c>
      <c r="C1310" s="12">
        <f>IF(B1310="","",RANK(B1310,$B$2:$B$2501,0))</f>
        <v/>
      </c>
      <c r="D1310">
        <f>IF(C1310="","",C1310&lt;=25)</f>
        <v/>
      </c>
      <c r="F1310">
        <f>IF(A1310="","",IF(AND(D1310=TRUE,E1310=""),"BUY",IF(AND(D1310=FALSE,E1310&lt;&gt;""),"SELL",IF(AND(D1310=TRUE,E1310&lt;&gt;""),"HOLD",""))))</f>
        <v/>
      </c>
      <c r="G1310" s="12">
        <f>IF(D1310=TRUE,4,0)</f>
        <v/>
      </c>
      <c r="H1310">
        <f>IF(A1310="","",BDP(A1310&amp;" US Equity","GICS_SECTOR_NAME"))</f>
        <v/>
      </c>
    </row>
    <row r="1311">
      <c r="A1311">
        <f>'Factor Scores'!A1311</f>
        <v/>
      </c>
      <c r="B1311" s="10">
        <f>IF(A1311="","",0.40*'Factor Scores'!C1311+0.20*'Factor Scores'!E1311+0.20*'Factor Scores'!G1311+0.20*'Factor Scores'!H1311)</f>
        <v/>
      </c>
      <c r="C1311" s="12">
        <f>IF(B1311="","",RANK(B1311,$B$2:$B$2501,0))</f>
        <v/>
      </c>
      <c r="D1311">
        <f>IF(C1311="","",C1311&lt;=25)</f>
        <v/>
      </c>
      <c r="F1311">
        <f>IF(A1311="","",IF(AND(D1311=TRUE,E1311=""),"BUY",IF(AND(D1311=FALSE,E1311&lt;&gt;""),"SELL",IF(AND(D1311=TRUE,E1311&lt;&gt;""),"HOLD",""))))</f>
        <v/>
      </c>
      <c r="G1311" s="12">
        <f>IF(D1311=TRUE,4,0)</f>
        <v/>
      </c>
      <c r="H1311">
        <f>IF(A1311="","",BDP(A1311&amp;" US Equity","GICS_SECTOR_NAME"))</f>
        <v/>
      </c>
    </row>
    <row r="1312">
      <c r="A1312">
        <f>'Factor Scores'!A1312</f>
        <v/>
      </c>
      <c r="B1312" s="10">
        <f>IF(A1312="","",0.40*'Factor Scores'!C1312+0.20*'Factor Scores'!E1312+0.20*'Factor Scores'!G1312+0.20*'Factor Scores'!H1312)</f>
        <v/>
      </c>
      <c r="C1312" s="12">
        <f>IF(B1312="","",RANK(B1312,$B$2:$B$2501,0))</f>
        <v/>
      </c>
      <c r="D1312">
        <f>IF(C1312="","",C1312&lt;=25)</f>
        <v/>
      </c>
      <c r="F1312">
        <f>IF(A1312="","",IF(AND(D1312=TRUE,E1312=""),"BUY",IF(AND(D1312=FALSE,E1312&lt;&gt;""),"SELL",IF(AND(D1312=TRUE,E1312&lt;&gt;""),"HOLD",""))))</f>
        <v/>
      </c>
      <c r="G1312" s="12">
        <f>IF(D1312=TRUE,4,0)</f>
        <v/>
      </c>
      <c r="H1312">
        <f>IF(A1312="","",BDP(A1312&amp;" US Equity","GICS_SECTOR_NAME"))</f>
        <v/>
      </c>
    </row>
    <row r="1313">
      <c r="A1313">
        <f>'Factor Scores'!A1313</f>
        <v/>
      </c>
      <c r="B1313" s="10">
        <f>IF(A1313="","",0.40*'Factor Scores'!C1313+0.20*'Factor Scores'!E1313+0.20*'Factor Scores'!G1313+0.20*'Factor Scores'!H1313)</f>
        <v/>
      </c>
      <c r="C1313" s="12">
        <f>IF(B1313="","",RANK(B1313,$B$2:$B$2501,0))</f>
        <v/>
      </c>
      <c r="D1313">
        <f>IF(C1313="","",C1313&lt;=25)</f>
        <v/>
      </c>
      <c r="F1313">
        <f>IF(A1313="","",IF(AND(D1313=TRUE,E1313=""),"BUY",IF(AND(D1313=FALSE,E1313&lt;&gt;""),"SELL",IF(AND(D1313=TRUE,E1313&lt;&gt;""),"HOLD",""))))</f>
        <v/>
      </c>
      <c r="G1313" s="12">
        <f>IF(D1313=TRUE,4,0)</f>
        <v/>
      </c>
      <c r="H1313">
        <f>IF(A1313="","",BDP(A1313&amp;" US Equity","GICS_SECTOR_NAME"))</f>
        <v/>
      </c>
    </row>
    <row r="1314">
      <c r="A1314">
        <f>'Factor Scores'!A1314</f>
        <v/>
      </c>
      <c r="B1314" s="10">
        <f>IF(A1314="","",0.40*'Factor Scores'!C1314+0.20*'Factor Scores'!E1314+0.20*'Factor Scores'!G1314+0.20*'Factor Scores'!H1314)</f>
        <v/>
      </c>
      <c r="C1314" s="12">
        <f>IF(B1314="","",RANK(B1314,$B$2:$B$2501,0))</f>
        <v/>
      </c>
      <c r="D1314">
        <f>IF(C1314="","",C1314&lt;=25)</f>
        <v/>
      </c>
      <c r="F1314">
        <f>IF(A1314="","",IF(AND(D1314=TRUE,E1314=""),"BUY",IF(AND(D1314=FALSE,E1314&lt;&gt;""),"SELL",IF(AND(D1314=TRUE,E1314&lt;&gt;""),"HOLD",""))))</f>
        <v/>
      </c>
      <c r="G1314" s="12">
        <f>IF(D1314=TRUE,4,0)</f>
        <v/>
      </c>
      <c r="H1314">
        <f>IF(A1314="","",BDP(A1314&amp;" US Equity","GICS_SECTOR_NAME"))</f>
        <v/>
      </c>
    </row>
    <row r="1315">
      <c r="A1315">
        <f>'Factor Scores'!A1315</f>
        <v/>
      </c>
      <c r="B1315" s="10">
        <f>IF(A1315="","",0.40*'Factor Scores'!C1315+0.20*'Factor Scores'!E1315+0.20*'Factor Scores'!G1315+0.20*'Factor Scores'!H1315)</f>
        <v/>
      </c>
      <c r="C1315" s="12">
        <f>IF(B1315="","",RANK(B1315,$B$2:$B$2501,0))</f>
        <v/>
      </c>
      <c r="D1315">
        <f>IF(C1315="","",C1315&lt;=25)</f>
        <v/>
      </c>
      <c r="F1315">
        <f>IF(A1315="","",IF(AND(D1315=TRUE,E1315=""),"BUY",IF(AND(D1315=FALSE,E1315&lt;&gt;""),"SELL",IF(AND(D1315=TRUE,E1315&lt;&gt;""),"HOLD",""))))</f>
        <v/>
      </c>
      <c r="G1315" s="12">
        <f>IF(D1315=TRUE,4,0)</f>
        <v/>
      </c>
      <c r="H1315">
        <f>IF(A1315="","",BDP(A1315&amp;" US Equity","GICS_SECTOR_NAME"))</f>
        <v/>
      </c>
    </row>
    <row r="1316">
      <c r="A1316">
        <f>'Factor Scores'!A1316</f>
        <v/>
      </c>
      <c r="B1316" s="10">
        <f>IF(A1316="","",0.40*'Factor Scores'!C1316+0.20*'Factor Scores'!E1316+0.20*'Factor Scores'!G1316+0.20*'Factor Scores'!H1316)</f>
        <v/>
      </c>
      <c r="C1316" s="12">
        <f>IF(B1316="","",RANK(B1316,$B$2:$B$2501,0))</f>
        <v/>
      </c>
      <c r="D1316">
        <f>IF(C1316="","",C1316&lt;=25)</f>
        <v/>
      </c>
      <c r="F1316">
        <f>IF(A1316="","",IF(AND(D1316=TRUE,E1316=""),"BUY",IF(AND(D1316=FALSE,E1316&lt;&gt;""),"SELL",IF(AND(D1316=TRUE,E1316&lt;&gt;""),"HOLD",""))))</f>
        <v/>
      </c>
      <c r="G1316" s="12">
        <f>IF(D1316=TRUE,4,0)</f>
        <v/>
      </c>
      <c r="H1316">
        <f>IF(A1316="","",BDP(A1316&amp;" US Equity","GICS_SECTOR_NAME"))</f>
        <v/>
      </c>
    </row>
    <row r="1317">
      <c r="A1317">
        <f>'Factor Scores'!A1317</f>
        <v/>
      </c>
      <c r="B1317" s="10">
        <f>IF(A1317="","",0.40*'Factor Scores'!C1317+0.20*'Factor Scores'!E1317+0.20*'Factor Scores'!G1317+0.20*'Factor Scores'!H1317)</f>
        <v/>
      </c>
      <c r="C1317" s="12">
        <f>IF(B1317="","",RANK(B1317,$B$2:$B$2501,0))</f>
        <v/>
      </c>
      <c r="D1317">
        <f>IF(C1317="","",C1317&lt;=25)</f>
        <v/>
      </c>
      <c r="F1317">
        <f>IF(A1317="","",IF(AND(D1317=TRUE,E1317=""),"BUY",IF(AND(D1317=FALSE,E1317&lt;&gt;""),"SELL",IF(AND(D1317=TRUE,E1317&lt;&gt;""),"HOLD",""))))</f>
        <v/>
      </c>
      <c r="G1317" s="12">
        <f>IF(D1317=TRUE,4,0)</f>
        <v/>
      </c>
      <c r="H1317">
        <f>IF(A1317="","",BDP(A1317&amp;" US Equity","GICS_SECTOR_NAME"))</f>
        <v/>
      </c>
    </row>
    <row r="1318">
      <c r="A1318">
        <f>'Factor Scores'!A1318</f>
        <v/>
      </c>
      <c r="B1318" s="10">
        <f>IF(A1318="","",0.40*'Factor Scores'!C1318+0.20*'Factor Scores'!E1318+0.20*'Factor Scores'!G1318+0.20*'Factor Scores'!H1318)</f>
        <v/>
      </c>
      <c r="C1318" s="12">
        <f>IF(B1318="","",RANK(B1318,$B$2:$B$2501,0))</f>
        <v/>
      </c>
      <c r="D1318">
        <f>IF(C1318="","",C1318&lt;=25)</f>
        <v/>
      </c>
      <c r="F1318">
        <f>IF(A1318="","",IF(AND(D1318=TRUE,E1318=""),"BUY",IF(AND(D1318=FALSE,E1318&lt;&gt;""),"SELL",IF(AND(D1318=TRUE,E1318&lt;&gt;""),"HOLD",""))))</f>
        <v/>
      </c>
      <c r="G1318" s="12">
        <f>IF(D1318=TRUE,4,0)</f>
        <v/>
      </c>
      <c r="H1318">
        <f>IF(A1318="","",BDP(A1318&amp;" US Equity","GICS_SECTOR_NAME"))</f>
        <v/>
      </c>
    </row>
    <row r="1319">
      <c r="A1319">
        <f>'Factor Scores'!A1319</f>
        <v/>
      </c>
      <c r="B1319" s="10">
        <f>IF(A1319="","",0.40*'Factor Scores'!C1319+0.20*'Factor Scores'!E1319+0.20*'Factor Scores'!G1319+0.20*'Factor Scores'!H1319)</f>
        <v/>
      </c>
      <c r="C1319" s="12">
        <f>IF(B1319="","",RANK(B1319,$B$2:$B$2501,0))</f>
        <v/>
      </c>
      <c r="D1319">
        <f>IF(C1319="","",C1319&lt;=25)</f>
        <v/>
      </c>
      <c r="F1319">
        <f>IF(A1319="","",IF(AND(D1319=TRUE,E1319=""),"BUY",IF(AND(D1319=FALSE,E1319&lt;&gt;""),"SELL",IF(AND(D1319=TRUE,E1319&lt;&gt;""),"HOLD",""))))</f>
        <v/>
      </c>
      <c r="G1319" s="12">
        <f>IF(D1319=TRUE,4,0)</f>
        <v/>
      </c>
      <c r="H1319">
        <f>IF(A1319="","",BDP(A1319&amp;" US Equity","GICS_SECTOR_NAME"))</f>
        <v/>
      </c>
    </row>
    <row r="1320">
      <c r="A1320">
        <f>'Factor Scores'!A1320</f>
        <v/>
      </c>
      <c r="B1320" s="10">
        <f>IF(A1320="","",0.40*'Factor Scores'!C1320+0.20*'Factor Scores'!E1320+0.20*'Factor Scores'!G1320+0.20*'Factor Scores'!H1320)</f>
        <v/>
      </c>
      <c r="C1320" s="12">
        <f>IF(B1320="","",RANK(B1320,$B$2:$B$2501,0))</f>
        <v/>
      </c>
      <c r="D1320">
        <f>IF(C1320="","",C1320&lt;=25)</f>
        <v/>
      </c>
      <c r="F1320">
        <f>IF(A1320="","",IF(AND(D1320=TRUE,E1320=""),"BUY",IF(AND(D1320=FALSE,E1320&lt;&gt;""),"SELL",IF(AND(D1320=TRUE,E1320&lt;&gt;""),"HOLD",""))))</f>
        <v/>
      </c>
      <c r="G1320" s="12">
        <f>IF(D1320=TRUE,4,0)</f>
        <v/>
      </c>
      <c r="H1320">
        <f>IF(A1320="","",BDP(A1320&amp;" US Equity","GICS_SECTOR_NAME"))</f>
        <v/>
      </c>
    </row>
    <row r="1321">
      <c r="A1321">
        <f>'Factor Scores'!A1321</f>
        <v/>
      </c>
      <c r="B1321" s="10">
        <f>IF(A1321="","",0.40*'Factor Scores'!C1321+0.20*'Factor Scores'!E1321+0.20*'Factor Scores'!G1321+0.20*'Factor Scores'!H1321)</f>
        <v/>
      </c>
      <c r="C1321" s="12">
        <f>IF(B1321="","",RANK(B1321,$B$2:$B$2501,0))</f>
        <v/>
      </c>
      <c r="D1321">
        <f>IF(C1321="","",C1321&lt;=25)</f>
        <v/>
      </c>
      <c r="F1321">
        <f>IF(A1321="","",IF(AND(D1321=TRUE,E1321=""),"BUY",IF(AND(D1321=FALSE,E1321&lt;&gt;""),"SELL",IF(AND(D1321=TRUE,E1321&lt;&gt;""),"HOLD",""))))</f>
        <v/>
      </c>
      <c r="G1321" s="12">
        <f>IF(D1321=TRUE,4,0)</f>
        <v/>
      </c>
      <c r="H1321">
        <f>IF(A1321="","",BDP(A1321&amp;" US Equity","GICS_SECTOR_NAME"))</f>
        <v/>
      </c>
    </row>
    <row r="1322">
      <c r="A1322">
        <f>'Factor Scores'!A1322</f>
        <v/>
      </c>
      <c r="B1322" s="10">
        <f>IF(A1322="","",0.40*'Factor Scores'!C1322+0.20*'Factor Scores'!E1322+0.20*'Factor Scores'!G1322+0.20*'Factor Scores'!H1322)</f>
        <v/>
      </c>
      <c r="C1322" s="12">
        <f>IF(B1322="","",RANK(B1322,$B$2:$B$2501,0))</f>
        <v/>
      </c>
      <c r="D1322">
        <f>IF(C1322="","",C1322&lt;=25)</f>
        <v/>
      </c>
      <c r="F1322">
        <f>IF(A1322="","",IF(AND(D1322=TRUE,E1322=""),"BUY",IF(AND(D1322=FALSE,E1322&lt;&gt;""),"SELL",IF(AND(D1322=TRUE,E1322&lt;&gt;""),"HOLD",""))))</f>
        <v/>
      </c>
      <c r="G1322" s="12">
        <f>IF(D1322=TRUE,4,0)</f>
        <v/>
      </c>
      <c r="H1322">
        <f>IF(A1322="","",BDP(A1322&amp;" US Equity","GICS_SECTOR_NAME"))</f>
        <v/>
      </c>
    </row>
    <row r="1323">
      <c r="A1323">
        <f>'Factor Scores'!A1323</f>
        <v/>
      </c>
      <c r="B1323" s="10">
        <f>IF(A1323="","",0.40*'Factor Scores'!C1323+0.20*'Factor Scores'!E1323+0.20*'Factor Scores'!G1323+0.20*'Factor Scores'!H1323)</f>
        <v/>
      </c>
      <c r="C1323" s="12">
        <f>IF(B1323="","",RANK(B1323,$B$2:$B$2501,0))</f>
        <v/>
      </c>
      <c r="D1323">
        <f>IF(C1323="","",C1323&lt;=25)</f>
        <v/>
      </c>
      <c r="F1323">
        <f>IF(A1323="","",IF(AND(D1323=TRUE,E1323=""),"BUY",IF(AND(D1323=FALSE,E1323&lt;&gt;""),"SELL",IF(AND(D1323=TRUE,E1323&lt;&gt;""),"HOLD",""))))</f>
        <v/>
      </c>
      <c r="G1323" s="12">
        <f>IF(D1323=TRUE,4,0)</f>
        <v/>
      </c>
      <c r="H1323">
        <f>IF(A1323="","",BDP(A1323&amp;" US Equity","GICS_SECTOR_NAME"))</f>
        <v/>
      </c>
    </row>
    <row r="1324">
      <c r="A1324">
        <f>'Factor Scores'!A1324</f>
        <v/>
      </c>
      <c r="B1324" s="10">
        <f>IF(A1324="","",0.40*'Factor Scores'!C1324+0.20*'Factor Scores'!E1324+0.20*'Factor Scores'!G1324+0.20*'Factor Scores'!H1324)</f>
        <v/>
      </c>
      <c r="C1324" s="12">
        <f>IF(B1324="","",RANK(B1324,$B$2:$B$2501,0))</f>
        <v/>
      </c>
      <c r="D1324">
        <f>IF(C1324="","",C1324&lt;=25)</f>
        <v/>
      </c>
      <c r="F1324">
        <f>IF(A1324="","",IF(AND(D1324=TRUE,E1324=""),"BUY",IF(AND(D1324=FALSE,E1324&lt;&gt;""),"SELL",IF(AND(D1324=TRUE,E1324&lt;&gt;""),"HOLD",""))))</f>
        <v/>
      </c>
      <c r="G1324" s="12">
        <f>IF(D1324=TRUE,4,0)</f>
        <v/>
      </c>
      <c r="H1324">
        <f>IF(A1324="","",BDP(A1324&amp;" US Equity","GICS_SECTOR_NAME"))</f>
        <v/>
      </c>
    </row>
    <row r="1325">
      <c r="A1325">
        <f>'Factor Scores'!A1325</f>
        <v/>
      </c>
      <c r="B1325" s="10">
        <f>IF(A1325="","",0.40*'Factor Scores'!C1325+0.20*'Factor Scores'!E1325+0.20*'Factor Scores'!G1325+0.20*'Factor Scores'!H1325)</f>
        <v/>
      </c>
      <c r="C1325" s="12">
        <f>IF(B1325="","",RANK(B1325,$B$2:$B$2501,0))</f>
        <v/>
      </c>
      <c r="D1325">
        <f>IF(C1325="","",C1325&lt;=25)</f>
        <v/>
      </c>
      <c r="F1325">
        <f>IF(A1325="","",IF(AND(D1325=TRUE,E1325=""),"BUY",IF(AND(D1325=FALSE,E1325&lt;&gt;""),"SELL",IF(AND(D1325=TRUE,E1325&lt;&gt;""),"HOLD",""))))</f>
        <v/>
      </c>
      <c r="G1325" s="12">
        <f>IF(D1325=TRUE,4,0)</f>
        <v/>
      </c>
      <c r="H1325">
        <f>IF(A1325="","",BDP(A1325&amp;" US Equity","GICS_SECTOR_NAME"))</f>
        <v/>
      </c>
    </row>
    <row r="1326">
      <c r="A1326">
        <f>'Factor Scores'!A1326</f>
        <v/>
      </c>
      <c r="B1326" s="10">
        <f>IF(A1326="","",0.40*'Factor Scores'!C1326+0.20*'Factor Scores'!E1326+0.20*'Factor Scores'!G1326+0.20*'Factor Scores'!H1326)</f>
        <v/>
      </c>
      <c r="C1326" s="12">
        <f>IF(B1326="","",RANK(B1326,$B$2:$B$2501,0))</f>
        <v/>
      </c>
      <c r="D1326">
        <f>IF(C1326="","",C1326&lt;=25)</f>
        <v/>
      </c>
      <c r="F1326">
        <f>IF(A1326="","",IF(AND(D1326=TRUE,E1326=""),"BUY",IF(AND(D1326=FALSE,E1326&lt;&gt;""),"SELL",IF(AND(D1326=TRUE,E1326&lt;&gt;""),"HOLD",""))))</f>
        <v/>
      </c>
      <c r="G1326" s="12">
        <f>IF(D1326=TRUE,4,0)</f>
        <v/>
      </c>
      <c r="H1326">
        <f>IF(A1326="","",BDP(A1326&amp;" US Equity","GICS_SECTOR_NAME"))</f>
        <v/>
      </c>
    </row>
    <row r="1327">
      <c r="A1327">
        <f>'Factor Scores'!A1327</f>
        <v/>
      </c>
      <c r="B1327" s="10">
        <f>IF(A1327="","",0.40*'Factor Scores'!C1327+0.20*'Factor Scores'!E1327+0.20*'Factor Scores'!G1327+0.20*'Factor Scores'!H1327)</f>
        <v/>
      </c>
      <c r="C1327" s="12">
        <f>IF(B1327="","",RANK(B1327,$B$2:$B$2501,0))</f>
        <v/>
      </c>
      <c r="D1327">
        <f>IF(C1327="","",C1327&lt;=25)</f>
        <v/>
      </c>
      <c r="F1327">
        <f>IF(A1327="","",IF(AND(D1327=TRUE,E1327=""),"BUY",IF(AND(D1327=FALSE,E1327&lt;&gt;""),"SELL",IF(AND(D1327=TRUE,E1327&lt;&gt;""),"HOLD",""))))</f>
        <v/>
      </c>
      <c r="G1327" s="12">
        <f>IF(D1327=TRUE,4,0)</f>
        <v/>
      </c>
      <c r="H1327">
        <f>IF(A1327="","",BDP(A1327&amp;" US Equity","GICS_SECTOR_NAME"))</f>
        <v/>
      </c>
    </row>
    <row r="1328">
      <c r="A1328">
        <f>'Factor Scores'!A1328</f>
        <v/>
      </c>
      <c r="B1328" s="10">
        <f>IF(A1328="","",0.40*'Factor Scores'!C1328+0.20*'Factor Scores'!E1328+0.20*'Factor Scores'!G1328+0.20*'Factor Scores'!H1328)</f>
        <v/>
      </c>
      <c r="C1328" s="12">
        <f>IF(B1328="","",RANK(B1328,$B$2:$B$2501,0))</f>
        <v/>
      </c>
      <c r="D1328">
        <f>IF(C1328="","",C1328&lt;=25)</f>
        <v/>
      </c>
      <c r="F1328">
        <f>IF(A1328="","",IF(AND(D1328=TRUE,E1328=""),"BUY",IF(AND(D1328=FALSE,E1328&lt;&gt;""),"SELL",IF(AND(D1328=TRUE,E1328&lt;&gt;""),"HOLD",""))))</f>
        <v/>
      </c>
      <c r="G1328" s="12">
        <f>IF(D1328=TRUE,4,0)</f>
        <v/>
      </c>
      <c r="H1328">
        <f>IF(A1328="","",BDP(A1328&amp;" US Equity","GICS_SECTOR_NAME"))</f>
        <v/>
      </c>
    </row>
    <row r="1329">
      <c r="A1329">
        <f>'Factor Scores'!A1329</f>
        <v/>
      </c>
      <c r="B1329" s="10">
        <f>IF(A1329="","",0.40*'Factor Scores'!C1329+0.20*'Factor Scores'!E1329+0.20*'Factor Scores'!G1329+0.20*'Factor Scores'!H1329)</f>
        <v/>
      </c>
      <c r="C1329" s="12">
        <f>IF(B1329="","",RANK(B1329,$B$2:$B$2501,0))</f>
        <v/>
      </c>
      <c r="D1329">
        <f>IF(C1329="","",C1329&lt;=25)</f>
        <v/>
      </c>
      <c r="F1329">
        <f>IF(A1329="","",IF(AND(D1329=TRUE,E1329=""),"BUY",IF(AND(D1329=FALSE,E1329&lt;&gt;""),"SELL",IF(AND(D1329=TRUE,E1329&lt;&gt;""),"HOLD",""))))</f>
        <v/>
      </c>
      <c r="G1329" s="12">
        <f>IF(D1329=TRUE,4,0)</f>
        <v/>
      </c>
      <c r="H1329">
        <f>IF(A1329="","",BDP(A1329&amp;" US Equity","GICS_SECTOR_NAME"))</f>
        <v/>
      </c>
    </row>
    <row r="1330">
      <c r="A1330">
        <f>'Factor Scores'!A1330</f>
        <v/>
      </c>
      <c r="B1330" s="10">
        <f>IF(A1330="","",0.40*'Factor Scores'!C1330+0.20*'Factor Scores'!E1330+0.20*'Factor Scores'!G1330+0.20*'Factor Scores'!H1330)</f>
        <v/>
      </c>
      <c r="C1330" s="12">
        <f>IF(B1330="","",RANK(B1330,$B$2:$B$2501,0))</f>
        <v/>
      </c>
      <c r="D1330">
        <f>IF(C1330="","",C1330&lt;=25)</f>
        <v/>
      </c>
      <c r="F1330">
        <f>IF(A1330="","",IF(AND(D1330=TRUE,E1330=""),"BUY",IF(AND(D1330=FALSE,E1330&lt;&gt;""),"SELL",IF(AND(D1330=TRUE,E1330&lt;&gt;""),"HOLD",""))))</f>
        <v/>
      </c>
      <c r="G1330" s="12">
        <f>IF(D1330=TRUE,4,0)</f>
        <v/>
      </c>
      <c r="H1330">
        <f>IF(A1330="","",BDP(A1330&amp;" US Equity","GICS_SECTOR_NAME"))</f>
        <v/>
      </c>
    </row>
    <row r="1331">
      <c r="A1331">
        <f>'Factor Scores'!A1331</f>
        <v/>
      </c>
      <c r="B1331" s="10">
        <f>IF(A1331="","",0.40*'Factor Scores'!C1331+0.20*'Factor Scores'!E1331+0.20*'Factor Scores'!G1331+0.20*'Factor Scores'!H1331)</f>
        <v/>
      </c>
      <c r="C1331" s="12">
        <f>IF(B1331="","",RANK(B1331,$B$2:$B$2501,0))</f>
        <v/>
      </c>
      <c r="D1331">
        <f>IF(C1331="","",C1331&lt;=25)</f>
        <v/>
      </c>
      <c r="F1331">
        <f>IF(A1331="","",IF(AND(D1331=TRUE,E1331=""),"BUY",IF(AND(D1331=FALSE,E1331&lt;&gt;""),"SELL",IF(AND(D1331=TRUE,E1331&lt;&gt;""),"HOLD",""))))</f>
        <v/>
      </c>
      <c r="G1331" s="12">
        <f>IF(D1331=TRUE,4,0)</f>
        <v/>
      </c>
      <c r="H1331">
        <f>IF(A1331="","",BDP(A1331&amp;" US Equity","GICS_SECTOR_NAME"))</f>
        <v/>
      </c>
    </row>
    <row r="1332">
      <c r="A1332">
        <f>'Factor Scores'!A1332</f>
        <v/>
      </c>
      <c r="B1332" s="10">
        <f>IF(A1332="","",0.40*'Factor Scores'!C1332+0.20*'Factor Scores'!E1332+0.20*'Factor Scores'!G1332+0.20*'Factor Scores'!H1332)</f>
        <v/>
      </c>
      <c r="C1332" s="12">
        <f>IF(B1332="","",RANK(B1332,$B$2:$B$2501,0))</f>
        <v/>
      </c>
      <c r="D1332">
        <f>IF(C1332="","",C1332&lt;=25)</f>
        <v/>
      </c>
      <c r="F1332">
        <f>IF(A1332="","",IF(AND(D1332=TRUE,E1332=""),"BUY",IF(AND(D1332=FALSE,E1332&lt;&gt;""),"SELL",IF(AND(D1332=TRUE,E1332&lt;&gt;""),"HOLD",""))))</f>
        <v/>
      </c>
      <c r="G1332" s="12">
        <f>IF(D1332=TRUE,4,0)</f>
        <v/>
      </c>
      <c r="H1332">
        <f>IF(A1332="","",BDP(A1332&amp;" US Equity","GICS_SECTOR_NAME"))</f>
        <v/>
      </c>
    </row>
    <row r="1333">
      <c r="A1333">
        <f>'Factor Scores'!A1333</f>
        <v/>
      </c>
      <c r="B1333" s="10">
        <f>IF(A1333="","",0.40*'Factor Scores'!C1333+0.20*'Factor Scores'!E1333+0.20*'Factor Scores'!G1333+0.20*'Factor Scores'!H1333)</f>
        <v/>
      </c>
      <c r="C1333" s="12">
        <f>IF(B1333="","",RANK(B1333,$B$2:$B$2501,0))</f>
        <v/>
      </c>
      <c r="D1333">
        <f>IF(C1333="","",C1333&lt;=25)</f>
        <v/>
      </c>
      <c r="F1333">
        <f>IF(A1333="","",IF(AND(D1333=TRUE,E1333=""),"BUY",IF(AND(D1333=FALSE,E1333&lt;&gt;""),"SELL",IF(AND(D1333=TRUE,E1333&lt;&gt;""),"HOLD",""))))</f>
        <v/>
      </c>
      <c r="G1333" s="12">
        <f>IF(D1333=TRUE,4,0)</f>
        <v/>
      </c>
      <c r="H1333">
        <f>IF(A1333="","",BDP(A1333&amp;" US Equity","GICS_SECTOR_NAME"))</f>
        <v/>
      </c>
    </row>
    <row r="1334">
      <c r="A1334">
        <f>'Factor Scores'!A1334</f>
        <v/>
      </c>
      <c r="B1334" s="10">
        <f>IF(A1334="","",0.40*'Factor Scores'!C1334+0.20*'Factor Scores'!E1334+0.20*'Factor Scores'!G1334+0.20*'Factor Scores'!H1334)</f>
        <v/>
      </c>
      <c r="C1334" s="12">
        <f>IF(B1334="","",RANK(B1334,$B$2:$B$2501,0))</f>
        <v/>
      </c>
      <c r="D1334">
        <f>IF(C1334="","",C1334&lt;=25)</f>
        <v/>
      </c>
      <c r="F1334">
        <f>IF(A1334="","",IF(AND(D1334=TRUE,E1334=""),"BUY",IF(AND(D1334=FALSE,E1334&lt;&gt;""),"SELL",IF(AND(D1334=TRUE,E1334&lt;&gt;""),"HOLD",""))))</f>
        <v/>
      </c>
      <c r="G1334" s="12">
        <f>IF(D1334=TRUE,4,0)</f>
        <v/>
      </c>
      <c r="H1334">
        <f>IF(A1334="","",BDP(A1334&amp;" US Equity","GICS_SECTOR_NAME"))</f>
        <v/>
      </c>
    </row>
    <row r="1335">
      <c r="A1335">
        <f>'Factor Scores'!A1335</f>
        <v/>
      </c>
      <c r="B1335" s="10">
        <f>IF(A1335="","",0.40*'Factor Scores'!C1335+0.20*'Factor Scores'!E1335+0.20*'Factor Scores'!G1335+0.20*'Factor Scores'!H1335)</f>
        <v/>
      </c>
      <c r="C1335" s="12">
        <f>IF(B1335="","",RANK(B1335,$B$2:$B$2501,0))</f>
        <v/>
      </c>
      <c r="D1335">
        <f>IF(C1335="","",C1335&lt;=25)</f>
        <v/>
      </c>
      <c r="F1335">
        <f>IF(A1335="","",IF(AND(D1335=TRUE,E1335=""),"BUY",IF(AND(D1335=FALSE,E1335&lt;&gt;""),"SELL",IF(AND(D1335=TRUE,E1335&lt;&gt;""),"HOLD",""))))</f>
        <v/>
      </c>
      <c r="G1335" s="12">
        <f>IF(D1335=TRUE,4,0)</f>
        <v/>
      </c>
      <c r="H1335">
        <f>IF(A1335="","",BDP(A1335&amp;" US Equity","GICS_SECTOR_NAME"))</f>
        <v/>
      </c>
    </row>
    <row r="1336">
      <c r="A1336">
        <f>'Factor Scores'!A1336</f>
        <v/>
      </c>
      <c r="B1336" s="10">
        <f>IF(A1336="","",0.40*'Factor Scores'!C1336+0.20*'Factor Scores'!E1336+0.20*'Factor Scores'!G1336+0.20*'Factor Scores'!H1336)</f>
        <v/>
      </c>
      <c r="C1336" s="12">
        <f>IF(B1336="","",RANK(B1336,$B$2:$B$2501,0))</f>
        <v/>
      </c>
      <c r="D1336">
        <f>IF(C1336="","",C1336&lt;=25)</f>
        <v/>
      </c>
      <c r="F1336">
        <f>IF(A1336="","",IF(AND(D1336=TRUE,E1336=""),"BUY",IF(AND(D1336=FALSE,E1336&lt;&gt;""),"SELL",IF(AND(D1336=TRUE,E1336&lt;&gt;""),"HOLD",""))))</f>
        <v/>
      </c>
      <c r="G1336" s="12">
        <f>IF(D1336=TRUE,4,0)</f>
        <v/>
      </c>
      <c r="H1336">
        <f>IF(A1336="","",BDP(A1336&amp;" US Equity","GICS_SECTOR_NAME"))</f>
        <v/>
      </c>
    </row>
    <row r="1337">
      <c r="A1337">
        <f>'Factor Scores'!A1337</f>
        <v/>
      </c>
      <c r="B1337" s="10">
        <f>IF(A1337="","",0.40*'Factor Scores'!C1337+0.20*'Factor Scores'!E1337+0.20*'Factor Scores'!G1337+0.20*'Factor Scores'!H1337)</f>
        <v/>
      </c>
      <c r="C1337" s="12">
        <f>IF(B1337="","",RANK(B1337,$B$2:$B$2501,0))</f>
        <v/>
      </c>
      <c r="D1337">
        <f>IF(C1337="","",C1337&lt;=25)</f>
        <v/>
      </c>
      <c r="F1337">
        <f>IF(A1337="","",IF(AND(D1337=TRUE,E1337=""),"BUY",IF(AND(D1337=FALSE,E1337&lt;&gt;""),"SELL",IF(AND(D1337=TRUE,E1337&lt;&gt;""),"HOLD",""))))</f>
        <v/>
      </c>
      <c r="G1337" s="12">
        <f>IF(D1337=TRUE,4,0)</f>
        <v/>
      </c>
      <c r="H1337">
        <f>IF(A1337="","",BDP(A1337&amp;" US Equity","GICS_SECTOR_NAME"))</f>
        <v/>
      </c>
    </row>
    <row r="1338">
      <c r="A1338">
        <f>'Factor Scores'!A1338</f>
        <v/>
      </c>
      <c r="B1338" s="10">
        <f>IF(A1338="","",0.40*'Factor Scores'!C1338+0.20*'Factor Scores'!E1338+0.20*'Factor Scores'!G1338+0.20*'Factor Scores'!H1338)</f>
        <v/>
      </c>
      <c r="C1338" s="12">
        <f>IF(B1338="","",RANK(B1338,$B$2:$B$2501,0))</f>
        <v/>
      </c>
      <c r="D1338">
        <f>IF(C1338="","",C1338&lt;=25)</f>
        <v/>
      </c>
      <c r="F1338">
        <f>IF(A1338="","",IF(AND(D1338=TRUE,E1338=""),"BUY",IF(AND(D1338=FALSE,E1338&lt;&gt;""),"SELL",IF(AND(D1338=TRUE,E1338&lt;&gt;""),"HOLD",""))))</f>
        <v/>
      </c>
      <c r="G1338" s="12">
        <f>IF(D1338=TRUE,4,0)</f>
        <v/>
      </c>
      <c r="H1338">
        <f>IF(A1338="","",BDP(A1338&amp;" US Equity","GICS_SECTOR_NAME"))</f>
        <v/>
      </c>
    </row>
    <row r="1339">
      <c r="A1339">
        <f>'Factor Scores'!A1339</f>
        <v/>
      </c>
      <c r="B1339" s="10">
        <f>IF(A1339="","",0.40*'Factor Scores'!C1339+0.20*'Factor Scores'!E1339+0.20*'Factor Scores'!G1339+0.20*'Factor Scores'!H1339)</f>
        <v/>
      </c>
      <c r="C1339" s="12">
        <f>IF(B1339="","",RANK(B1339,$B$2:$B$2501,0))</f>
        <v/>
      </c>
      <c r="D1339">
        <f>IF(C1339="","",C1339&lt;=25)</f>
        <v/>
      </c>
      <c r="F1339">
        <f>IF(A1339="","",IF(AND(D1339=TRUE,E1339=""),"BUY",IF(AND(D1339=FALSE,E1339&lt;&gt;""),"SELL",IF(AND(D1339=TRUE,E1339&lt;&gt;""),"HOLD",""))))</f>
        <v/>
      </c>
      <c r="G1339" s="12">
        <f>IF(D1339=TRUE,4,0)</f>
        <v/>
      </c>
      <c r="H1339">
        <f>IF(A1339="","",BDP(A1339&amp;" US Equity","GICS_SECTOR_NAME"))</f>
        <v/>
      </c>
    </row>
    <row r="1340">
      <c r="A1340">
        <f>'Factor Scores'!A1340</f>
        <v/>
      </c>
      <c r="B1340" s="10">
        <f>IF(A1340="","",0.40*'Factor Scores'!C1340+0.20*'Factor Scores'!E1340+0.20*'Factor Scores'!G1340+0.20*'Factor Scores'!H1340)</f>
        <v/>
      </c>
      <c r="C1340" s="12">
        <f>IF(B1340="","",RANK(B1340,$B$2:$B$2501,0))</f>
        <v/>
      </c>
      <c r="D1340">
        <f>IF(C1340="","",C1340&lt;=25)</f>
        <v/>
      </c>
      <c r="F1340">
        <f>IF(A1340="","",IF(AND(D1340=TRUE,E1340=""),"BUY",IF(AND(D1340=FALSE,E1340&lt;&gt;""),"SELL",IF(AND(D1340=TRUE,E1340&lt;&gt;""),"HOLD",""))))</f>
        <v/>
      </c>
      <c r="G1340" s="12">
        <f>IF(D1340=TRUE,4,0)</f>
        <v/>
      </c>
      <c r="H1340">
        <f>IF(A1340="","",BDP(A1340&amp;" US Equity","GICS_SECTOR_NAME"))</f>
        <v/>
      </c>
    </row>
    <row r="1341">
      <c r="A1341">
        <f>'Factor Scores'!A1341</f>
        <v/>
      </c>
      <c r="B1341" s="10">
        <f>IF(A1341="","",0.40*'Factor Scores'!C1341+0.20*'Factor Scores'!E1341+0.20*'Factor Scores'!G1341+0.20*'Factor Scores'!H1341)</f>
        <v/>
      </c>
      <c r="C1341" s="12">
        <f>IF(B1341="","",RANK(B1341,$B$2:$B$2501,0))</f>
        <v/>
      </c>
      <c r="D1341">
        <f>IF(C1341="","",C1341&lt;=25)</f>
        <v/>
      </c>
      <c r="F1341">
        <f>IF(A1341="","",IF(AND(D1341=TRUE,E1341=""),"BUY",IF(AND(D1341=FALSE,E1341&lt;&gt;""),"SELL",IF(AND(D1341=TRUE,E1341&lt;&gt;""),"HOLD",""))))</f>
        <v/>
      </c>
      <c r="G1341" s="12">
        <f>IF(D1341=TRUE,4,0)</f>
        <v/>
      </c>
      <c r="H1341">
        <f>IF(A1341="","",BDP(A1341&amp;" US Equity","GICS_SECTOR_NAME"))</f>
        <v/>
      </c>
    </row>
    <row r="1342">
      <c r="A1342">
        <f>'Factor Scores'!A1342</f>
        <v/>
      </c>
      <c r="B1342" s="10">
        <f>IF(A1342="","",0.40*'Factor Scores'!C1342+0.20*'Factor Scores'!E1342+0.20*'Factor Scores'!G1342+0.20*'Factor Scores'!H1342)</f>
        <v/>
      </c>
      <c r="C1342" s="12">
        <f>IF(B1342="","",RANK(B1342,$B$2:$B$2501,0))</f>
        <v/>
      </c>
      <c r="D1342">
        <f>IF(C1342="","",C1342&lt;=25)</f>
        <v/>
      </c>
      <c r="F1342">
        <f>IF(A1342="","",IF(AND(D1342=TRUE,E1342=""),"BUY",IF(AND(D1342=FALSE,E1342&lt;&gt;""),"SELL",IF(AND(D1342=TRUE,E1342&lt;&gt;""),"HOLD",""))))</f>
        <v/>
      </c>
      <c r="G1342" s="12">
        <f>IF(D1342=TRUE,4,0)</f>
        <v/>
      </c>
      <c r="H1342">
        <f>IF(A1342="","",BDP(A1342&amp;" US Equity","GICS_SECTOR_NAME"))</f>
        <v/>
      </c>
    </row>
    <row r="1343">
      <c r="A1343">
        <f>'Factor Scores'!A1343</f>
        <v/>
      </c>
      <c r="B1343" s="10">
        <f>IF(A1343="","",0.40*'Factor Scores'!C1343+0.20*'Factor Scores'!E1343+0.20*'Factor Scores'!G1343+0.20*'Factor Scores'!H1343)</f>
        <v/>
      </c>
      <c r="C1343" s="12">
        <f>IF(B1343="","",RANK(B1343,$B$2:$B$2501,0))</f>
        <v/>
      </c>
      <c r="D1343">
        <f>IF(C1343="","",C1343&lt;=25)</f>
        <v/>
      </c>
      <c r="F1343">
        <f>IF(A1343="","",IF(AND(D1343=TRUE,E1343=""),"BUY",IF(AND(D1343=FALSE,E1343&lt;&gt;""),"SELL",IF(AND(D1343=TRUE,E1343&lt;&gt;""),"HOLD",""))))</f>
        <v/>
      </c>
      <c r="G1343" s="12">
        <f>IF(D1343=TRUE,4,0)</f>
        <v/>
      </c>
      <c r="H1343">
        <f>IF(A1343="","",BDP(A1343&amp;" US Equity","GICS_SECTOR_NAME"))</f>
        <v/>
      </c>
    </row>
    <row r="1344">
      <c r="A1344">
        <f>'Factor Scores'!A1344</f>
        <v/>
      </c>
      <c r="B1344" s="10">
        <f>IF(A1344="","",0.40*'Factor Scores'!C1344+0.20*'Factor Scores'!E1344+0.20*'Factor Scores'!G1344+0.20*'Factor Scores'!H1344)</f>
        <v/>
      </c>
      <c r="C1344" s="12">
        <f>IF(B1344="","",RANK(B1344,$B$2:$B$2501,0))</f>
        <v/>
      </c>
      <c r="D1344">
        <f>IF(C1344="","",C1344&lt;=25)</f>
        <v/>
      </c>
      <c r="F1344">
        <f>IF(A1344="","",IF(AND(D1344=TRUE,E1344=""),"BUY",IF(AND(D1344=FALSE,E1344&lt;&gt;""),"SELL",IF(AND(D1344=TRUE,E1344&lt;&gt;""),"HOLD",""))))</f>
        <v/>
      </c>
      <c r="G1344" s="12">
        <f>IF(D1344=TRUE,4,0)</f>
        <v/>
      </c>
      <c r="H1344">
        <f>IF(A1344="","",BDP(A1344&amp;" US Equity","GICS_SECTOR_NAME"))</f>
        <v/>
      </c>
    </row>
    <row r="1345">
      <c r="A1345">
        <f>'Factor Scores'!A1345</f>
        <v/>
      </c>
      <c r="B1345" s="10">
        <f>IF(A1345="","",0.40*'Factor Scores'!C1345+0.20*'Factor Scores'!E1345+0.20*'Factor Scores'!G1345+0.20*'Factor Scores'!H1345)</f>
        <v/>
      </c>
      <c r="C1345" s="12">
        <f>IF(B1345="","",RANK(B1345,$B$2:$B$2501,0))</f>
        <v/>
      </c>
      <c r="D1345">
        <f>IF(C1345="","",C1345&lt;=25)</f>
        <v/>
      </c>
      <c r="F1345">
        <f>IF(A1345="","",IF(AND(D1345=TRUE,E1345=""),"BUY",IF(AND(D1345=FALSE,E1345&lt;&gt;""),"SELL",IF(AND(D1345=TRUE,E1345&lt;&gt;""),"HOLD",""))))</f>
        <v/>
      </c>
      <c r="G1345" s="12">
        <f>IF(D1345=TRUE,4,0)</f>
        <v/>
      </c>
      <c r="H1345">
        <f>IF(A1345="","",BDP(A1345&amp;" US Equity","GICS_SECTOR_NAME"))</f>
        <v/>
      </c>
    </row>
    <row r="1346">
      <c r="A1346">
        <f>'Factor Scores'!A1346</f>
        <v/>
      </c>
      <c r="B1346" s="10">
        <f>IF(A1346="","",0.40*'Factor Scores'!C1346+0.20*'Factor Scores'!E1346+0.20*'Factor Scores'!G1346+0.20*'Factor Scores'!H1346)</f>
        <v/>
      </c>
      <c r="C1346" s="12">
        <f>IF(B1346="","",RANK(B1346,$B$2:$B$2501,0))</f>
        <v/>
      </c>
      <c r="D1346">
        <f>IF(C1346="","",C1346&lt;=25)</f>
        <v/>
      </c>
      <c r="F1346">
        <f>IF(A1346="","",IF(AND(D1346=TRUE,E1346=""),"BUY",IF(AND(D1346=FALSE,E1346&lt;&gt;""),"SELL",IF(AND(D1346=TRUE,E1346&lt;&gt;""),"HOLD",""))))</f>
        <v/>
      </c>
      <c r="G1346" s="12">
        <f>IF(D1346=TRUE,4,0)</f>
        <v/>
      </c>
      <c r="H1346">
        <f>IF(A1346="","",BDP(A1346&amp;" US Equity","GICS_SECTOR_NAME"))</f>
        <v/>
      </c>
    </row>
    <row r="1347">
      <c r="A1347">
        <f>'Factor Scores'!A1347</f>
        <v/>
      </c>
      <c r="B1347" s="10">
        <f>IF(A1347="","",0.40*'Factor Scores'!C1347+0.20*'Factor Scores'!E1347+0.20*'Factor Scores'!G1347+0.20*'Factor Scores'!H1347)</f>
        <v/>
      </c>
      <c r="C1347" s="12">
        <f>IF(B1347="","",RANK(B1347,$B$2:$B$2501,0))</f>
        <v/>
      </c>
      <c r="D1347">
        <f>IF(C1347="","",C1347&lt;=25)</f>
        <v/>
      </c>
      <c r="F1347">
        <f>IF(A1347="","",IF(AND(D1347=TRUE,E1347=""),"BUY",IF(AND(D1347=FALSE,E1347&lt;&gt;""),"SELL",IF(AND(D1347=TRUE,E1347&lt;&gt;""),"HOLD",""))))</f>
        <v/>
      </c>
      <c r="G1347" s="12">
        <f>IF(D1347=TRUE,4,0)</f>
        <v/>
      </c>
      <c r="H1347">
        <f>IF(A1347="","",BDP(A1347&amp;" US Equity","GICS_SECTOR_NAME"))</f>
        <v/>
      </c>
    </row>
    <row r="1348">
      <c r="A1348">
        <f>'Factor Scores'!A1348</f>
        <v/>
      </c>
      <c r="B1348" s="10">
        <f>IF(A1348="","",0.40*'Factor Scores'!C1348+0.20*'Factor Scores'!E1348+0.20*'Factor Scores'!G1348+0.20*'Factor Scores'!H1348)</f>
        <v/>
      </c>
      <c r="C1348" s="12">
        <f>IF(B1348="","",RANK(B1348,$B$2:$B$2501,0))</f>
        <v/>
      </c>
      <c r="D1348">
        <f>IF(C1348="","",C1348&lt;=25)</f>
        <v/>
      </c>
      <c r="F1348">
        <f>IF(A1348="","",IF(AND(D1348=TRUE,E1348=""),"BUY",IF(AND(D1348=FALSE,E1348&lt;&gt;""),"SELL",IF(AND(D1348=TRUE,E1348&lt;&gt;""),"HOLD",""))))</f>
        <v/>
      </c>
      <c r="G1348" s="12">
        <f>IF(D1348=TRUE,4,0)</f>
        <v/>
      </c>
      <c r="H1348">
        <f>IF(A1348="","",BDP(A1348&amp;" US Equity","GICS_SECTOR_NAME"))</f>
        <v/>
      </c>
    </row>
    <row r="1349">
      <c r="A1349">
        <f>'Factor Scores'!A1349</f>
        <v/>
      </c>
      <c r="B1349" s="10">
        <f>IF(A1349="","",0.40*'Factor Scores'!C1349+0.20*'Factor Scores'!E1349+0.20*'Factor Scores'!G1349+0.20*'Factor Scores'!H1349)</f>
        <v/>
      </c>
      <c r="C1349" s="12">
        <f>IF(B1349="","",RANK(B1349,$B$2:$B$2501,0))</f>
        <v/>
      </c>
      <c r="D1349">
        <f>IF(C1349="","",C1349&lt;=25)</f>
        <v/>
      </c>
      <c r="F1349">
        <f>IF(A1349="","",IF(AND(D1349=TRUE,E1349=""),"BUY",IF(AND(D1349=FALSE,E1349&lt;&gt;""),"SELL",IF(AND(D1349=TRUE,E1349&lt;&gt;""),"HOLD",""))))</f>
        <v/>
      </c>
      <c r="G1349" s="12">
        <f>IF(D1349=TRUE,4,0)</f>
        <v/>
      </c>
      <c r="H1349">
        <f>IF(A1349="","",BDP(A1349&amp;" US Equity","GICS_SECTOR_NAME"))</f>
        <v/>
      </c>
    </row>
    <row r="1350">
      <c r="A1350">
        <f>'Factor Scores'!A1350</f>
        <v/>
      </c>
      <c r="B1350" s="10">
        <f>IF(A1350="","",0.40*'Factor Scores'!C1350+0.20*'Factor Scores'!E1350+0.20*'Factor Scores'!G1350+0.20*'Factor Scores'!H1350)</f>
        <v/>
      </c>
      <c r="C1350" s="12">
        <f>IF(B1350="","",RANK(B1350,$B$2:$B$2501,0))</f>
        <v/>
      </c>
      <c r="D1350">
        <f>IF(C1350="","",C1350&lt;=25)</f>
        <v/>
      </c>
      <c r="F1350">
        <f>IF(A1350="","",IF(AND(D1350=TRUE,E1350=""),"BUY",IF(AND(D1350=FALSE,E1350&lt;&gt;""),"SELL",IF(AND(D1350=TRUE,E1350&lt;&gt;""),"HOLD",""))))</f>
        <v/>
      </c>
      <c r="G1350" s="12">
        <f>IF(D1350=TRUE,4,0)</f>
        <v/>
      </c>
      <c r="H1350">
        <f>IF(A1350="","",BDP(A1350&amp;" US Equity","GICS_SECTOR_NAME"))</f>
        <v/>
      </c>
    </row>
    <row r="1351">
      <c r="A1351">
        <f>'Factor Scores'!A1351</f>
        <v/>
      </c>
      <c r="B1351" s="10">
        <f>IF(A1351="","",0.40*'Factor Scores'!C1351+0.20*'Factor Scores'!E1351+0.20*'Factor Scores'!G1351+0.20*'Factor Scores'!H1351)</f>
        <v/>
      </c>
      <c r="C1351" s="12">
        <f>IF(B1351="","",RANK(B1351,$B$2:$B$2501,0))</f>
        <v/>
      </c>
      <c r="D1351">
        <f>IF(C1351="","",C1351&lt;=25)</f>
        <v/>
      </c>
      <c r="F1351">
        <f>IF(A1351="","",IF(AND(D1351=TRUE,E1351=""),"BUY",IF(AND(D1351=FALSE,E1351&lt;&gt;""),"SELL",IF(AND(D1351=TRUE,E1351&lt;&gt;""),"HOLD",""))))</f>
        <v/>
      </c>
      <c r="G1351" s="12">
        <f>IF(D1351=TRUE,4,0)</f>
        <v/>
      </c>
      <c r="H1351">
        <f>IF(A1351="","",BDP(A1351&amp;" US Equity","GICS_SECTOR_NAME"))</f>
        <v/>
      </c>
    </row>
    <row r="1352">
      <c r="A1352">
        <f>'Factor Scores'!A1352</f>
        <v/>
      </c>
      <c r="B1352" s="10">
        <f>IF(A1352="","",0.40*'Factor Scores'!C1352+0.20*'Factor Scores'!E1352+0.20*'Factor Scores'!G1352+0.20*'Factor Scores'!H1352)</f>
        <v/>
      </c>
      <c r="C1352" s="12">
        <f>IF(B1352="","",RANK(B1352,$B$2:$B$2501,0))</f>
        <v/>
      </c>
      <c r="D1352">
        <f>IF(C1352="","",C1352&lt;=25)</f>
        <v/>
      </c>
      <c r="F1352">
        <f>IF(A1352="","",IF(AND(D1352=TRUE,E1352=""),"BUY",IF(AND(D1352=FALSE,E1352&lt;&gt;""),"SELL",IF(AND(D1352=TRUE,E1352&lt;&gt;""),"HOLD",""))))</f>
        <v/>
      </c>
      <c r="G1352" s="12">
        <f>IF(D1352=TRUE,4,0)</f>
        <v/>
      </c>
      <c r="H1352">
        <f>IF(A1352="","",BDP(A1352&amp;" US Equity","GICS_SECTOR_NAME"))</f>
        <v/>
      </c>
    </row>
    <row r="1353">
      <c r="A1353">
        <f>'Factor Scores'!A1353</f>
        <v/>
      </c>
      <c r="B1353" s="10">
        <f>IF(A1353="","",0.40*'Factor Scores'!C1353+0.20*'Factor Scores'!E1353+0.20*'Factor Scores'!G1353+0.20*'Factor Scores'!H1353)</f>
        <v/>
      </c>
      <c r="C1353" s="12">
        <f>IF(B1353="","",RANK(B1353,$B$2:$B$2501,0))</f>
        <v/>
      </c>
      <c r="D1353">
        <f>IF(C1353="","",C1353&lt;=25)</f>
        <v/>
      </c>
      <c r="F1353">
        <f>IF(A1353="","",IF(AND(D1353=TRUE,E1353=""),"BUY",IF(AND(D1353=FALSE,E1353&lt;&gt;""),"SELL",IF(AND(D1353=TRUE,E1353&lt;&gt;""),"HOLD",""))))</f>
        <v/>
      </c>
      <c r="G1353" s="12">
        <f>IF(D1353=TRUE,4,0)</f>
        <v/>
      </c>
      <c r="H1353">
        <f>IF(A1353="","",BDP(A1353&amp;" US Equity","GICS_SECTOR_NAME"))</f>
        <v/>
      </c>
    </row>
    <row r="1354">
      <c r="A1354">
        <f>'Factor Scores'!A1354</f>
        <v/>
      </c>
      <c r="B1354" s="10">
        <f>IF(A1354="","",0.40*'Factor Scores'!C1354+0.20*'Factor Scores'!E1354+0.20*'Factor Scores'!G1354+0.20*'Factor Scores'!H1354)</f>
        <v/>
      </c>
      <c r="C1354" s="12">
        <f>IF(B1354="","",RANK(B1354,$B$2:$B$2501,0))</f>
        <v/>
      </c>
      <c r="D1354">
        <f>IF(C1354="","",C1354&lt;=25)</f>
        <v/>
      </c>
      <c r="F1354">
        <f>IF(A1354="","",IF(AND(D1354=TRUE,E1354=""),"BUY",IF(AND(D1354=FALSE,E1354&lt;&gt;""),"SELL",IF(AND(D1354=TRUE,E1354&lt;&gt;""),"HOLD",""))))</f>
        <v/>
      </c>
      <c r="G1354" s="12">
        <f>IF(D1354=TRUE,4,0)</f>
        <v/>
      </c>
      <c r="H1354">
        <f>IF(A1354="","",BDP(A1354&amp;" US Equity","GICS_SECTOR_NAME"))</f>
        <v/>
      </c>
    </row>
    <row r="1355">
      <c r="A1355">
        <f>'Factor Scores'!A1355</f>
        <v/>
      </c>
      <c r="B1355" s="10">
        <f>IF(A1355="","",0.40*'Factor Scores'!C1355+0.20*'Factor Scores'!E1355+0.20*'Factor Scores'!G1355+0.20*'Factor Scores'!H1355)</f>
        <v/>
      </c>
      <c r="C1355" s="12">
        <f>IF(B1355="","",RANK(B1355,$B$2:$B$2501,0))</f>
        <v/>
      </c>
      <c r="D1355">
        <f>IF(C1355="","",C1355&lt;=25)</f>
        <v/>
      </c>
      <c r="F1355">
        <f>IF(A1355="","",IF(AND(D1355=TRUE,E1355=""),"BUY",IF(AND(D1355=FALSE,E1355&lt;&gt;""),"SELL",IF(AND(D1355=TRUE,E1355&lt;&gt;""),"HOLD",""))))</f>
        <v/>
      </c>
      <c r="G1355" s="12">
        <f>IF(D1355=TRUE,4,0)</f>
        <v/>
      </c>
      <c r="H1355">
        <f>IF(A1355="","",BDP(A1355&amp;" US Equity","GICS_SECTOR_NAME"))</f>
        <v/>
      </c>
    </row>
    <row r="1356">
      <c r="A1356">
        <f>'Factor Scores'!A1356</f>
        <v/>
      </c>
      <c r="B1356" s="10">
        <f>IF(A1356="","",0.40*'Factor Scores'!C1356+0.20*'Factor Scores'!E1356+0.20*'Factor Scores'!G1356+0.20*'Factor Scores'!H1356)</f>
        <v/>
      </c>
      <c r="C1356" s="12">
        <f>IF(B1356="","",RANK(B1356,$B$2:$B$2501,0))</f>
        <v/>
      </c>
      <c r="D1356">
        <f>IF(C1356="","",C1356&lt;=25)</f>
        <v/>
      </c>
      <c r="F1356">
        <f>IF(A1356="","",IF(AND(D1356=TRUE,E1356=""),"BUY",IF(AND(D1356=FALSE,E1356&lt;&gt;""),"SELL",IF(AND(D1356=TRUE,E1356&lt;&gt;""),"HOLD",""))))</f>
        <v/>
      </c>
      <c r="G1356" s="12">
        <f>IF(D1356=TRUE,4,0)</f>
        <v/>
      </c>
      <c r="H1356">
        <f>IF(A1356="","",BDP(A1356&amp;" US Equity","GICS_SECTOR_NAME"))</f>
        <v/>
      </c>
    </row>
    <row r="1357">
      <c r="A1357">
        <f>'Factor Scores'!A1357</f>
        <v/>
      </c>
      <c r="B1357" s="10">
        <f>IF(A1357="","",0.40*'Factor Scores'!C1357+0.20*'Factor Scores'!E1357+0.20*'Factor Scores'!G1357+0.20*'Factor Scores'!H1357)</f>
        <v/>
      </c>
      <c r="C1357" s="12">
        <f>IF(B1357="","",RANK(B1357,$B$2:$B$2501,0))</f>
        <v/>
      </c>
      <c r="D1357">
        <f>IF(C1357="","",C1357&lt;=25)</f>
        <v/>
      </c>
      <c r="F1357">
        <f>IF(A1357="","",IF(AND(D1357=TRUE,E1357=""),"BUY",IF(AND(D1357=FALSE,E1357&lt;&gt;""),"SELL",IF(AND(D1357=TRUE,E1357&lt;&gt;""),"HOLD",""))))</f>
        <v/>
      </c>
      <c r="G1357" s="12">
        <f>IF(D1357=TRUE,4,0)</f>
        <v/>
      </c>
      <c r="H1357">
        <f>IF(A1357="","",BDP(A1357&amp;" US Equity","GICS_SECTOR_NAME"))</f>
        <v/>
      </c>
    </row>
    <row r="1358">
      <c r="A1358">
        <f>'Factor Scores'!A1358</f>
        <v/>
      </c>
      <c r="B1358" s="10">
        <f>IF(A1358="","",0.40*'Factor Scores'!C1358+0.20*'Factor Scores'!E1358+0.20*'Factor Scores'!G1358+0.20*'Factor Scores'!H1358)</f>
        <v/>
      </c>
      <c r="C1358" s="12">
        <f>IF(B1358="","",RANK(B1358,$B$2:$B$2501,0))</f>
        <v/>
      </c>
      <c r="D1358">
        <f>IF(C1358="","",C1358&lt;=25)</f>
        <v/>
      </c>
      <c r="F1358">
        <f>IF(A1358="","",IF(AND(D1358=TRUE,E1358=""),"BUY",IF(AND(D1358=FALSE,E1358&lt;&gt;""),"SELL",IF(AND(D1358=TRUE,E1358&lt;&gt;""),"HOLD",""))))</f>
        <v/>
      </c>
      <c r="G1358" s="12">
        <f>IF(D1358=TRUE,4,0)</f>
        <v/>
      </c>
      <c r="H1358">
        <f>IF(A1358="","",BDP(A1358&amp;" US Equity","GICS_SECTOR_NAME"))</f>
        <v/>
      </c>
    </row>
    <row r="1359">
      <c r="A1359">
        <f>'Factor Scores'!A1359</f>
        <v/>
      </c>
      <c r="B1359" s="10">
        <f>IF(A1359="","",0.40*'Factor Scores'!C1359+0.20*'Factor Scores'!E1359+0.20*'Factor Scores'!G1359+0.20*'Factor Scores'!H1359)</f>
        <v/>
      </c>
      <c r="C1359" s="12">
        <f>IF(B1359="","",RANK(B1359,$B$2:$B$2501,0))</f>
        <v/>
      </c>
      <c r="D1359">
        <f>IF(C1359="","",C1359&lt;=25)</f>
        <v/>
      </c>
      <c r="F1359">
        <f>IF(A1359="","",IF(AND(D1359=TRUE,E1359=""),"BUY",IF(AND(D1359=FALSE,E1359&lt;&gt;""),"SELL",IF(AND(D1359=TRUE,E1359&lt;&gt;""),"HOLD",""))))</f>
        <v/>
      </c>
      <c r="G1359" s="12">
        <f>IF(D1359=TRUE,4,0)</f>
        <v/>
      </c>
      <c r="H1359">
        <f>IF(A1359="","",BDP(A1359&amp;" US Equity","GICS_SECTOR_NAME"))</f>
        <v/>
      </c>
    </row>
    <row r="1360">
      <c r="A1360">
        <f>'Factor Scores'!A1360</f>
        <v/>
      </c>
      <c r="B1360" s="10">
        <f>IF(A1360="","",0.40*'Factor Scores'!C1360+0.20*'Factor Scores'!E1360+0.20*'Factor Scores'!G1360+0.20*'Factor Scores'!H1360)</f>
        <v/>
      </c>
      <c r="C1360" s="12">
        <f>IF(B1360="","",RANK(B1360,$B$2:$B$2501,0))</f>
        <v/>
      </c>
      <c r="D1360">
        <f>IF(C1360="","",C1360&lt;=25)</f>
        <v/>
      </c>
      <c r="F1360">
        <f>IF(A1360="","",IF(AND(D1360=TRUE,E1360=""),"BUY",IF(AND(D1360=FALSE,E1360&lt;&gt;""),"SELL",IF(AND(D1360=TRUE,E1360&lt;&gt;""),"HOLD",""))))</f>
        <v/>
      </c>
      <c r="G1360" s="12">
        <f>IF(D1360=TRUE,4,0)</f>
        <v/>
      </c>
      <c r="H1360">
        <f>IF(A1360="","",BDP(A1360&amp;" US Equity","GICS_SECTOR_NAME"))</f>
        <v/>
      </c>
    </row>
    <row r="1361">
      <c r="A1361">
        <f>'Factor Scores'!A1361</f>
        <v/>
      </c>
      <c r="B1361" s="10">
        <f>IF(A1361="","",0.40*'Factor Scores'!C1361+0.20*'Factor Scores'!E1361+0.20*'Factor Scores'!G1361+0.20*'Factor Scores'!H1361)</f>
        <v/>
      </c>
      <c r="C1361" s="12">
        <f>IF(B1361="","",RANK(B1361,$B$2:$B$2501,0))</f>
        <v/>
      </c>
      <c r="D1361">
        <f>IF(C1361="","",C1361&lt;=25)</f>
        <v/>
      </c>
      <c r="F1361">
        <f>IF(A1361="","",IF(AND(D1361=TRUE,E1361=""),"BUY",IF(AND(D1361=FALSE,E1361&lt;&gt;""),"SELL",IF(AND(D1361=TRUE,E1361&lt;&gt;""),"HOLD",""))))</f>
        <v/>
      </c>
      <c r="G1361" s="12">
        <f>IF(D1361=TRUE,4,0)</f>
        <v/>
      </c>
      <c r="H1361">
        <f>IF(A1361="","",BDP(A1361&amp;" US Equity","GICS_SECTOR_NAME"))</f>
        <v/>
      </c>
    </row>
    <row r="1362">
      <c r="A1362">
        <f>'Factor Scores'!A1362</f>
        <v/>
      </c>
      <c r="B1362" s="10">
        <f>IF(A1362="","",0.40*'Factor Scores'!C1362+0.20*'Factor Scores'!E1362+0.20*'Factor Scores'!G1362+0.20*'Factor Scores'!H1362)</f>
        <v/>
      </c>
      <c r="C1362" s="12">
        <f>IF(B1362="","",RANK(B1362,$B$2:$B$2501,0))</f>
        <v/>
      </c>
      <c r="D1362">
        <f>IF(C1362="","",C1362&lt;=25)</f>
        <v/>
      </c>
      <c r="F1362">
        <f>IF(A1362="","",IF(AND(D1362=TRUE,E1362=""),"BUY",IF(AND(D1362=FALSE,E1362&lt;&gt;""),"SELL",IF(AND(D1362=TRUE,E1362&lt;&gt;""),"HOLD",""))))</f>
        <v/>
      </c>
      <c r="G1362" s="12">
        <f>IF(D1362=TRUE,4,0)</f>
        <v/>
      </c>
      <c r="H1362">
        <f>IF(A1362="","",BDP(A1362&amp;" US Equity","GICS_SECTOR_NAME"))</f>
        <v/>
      </c>
    </row>
    <row r="1363">
      <c r="A1363">
        <f>'Factor Scores'!A1363</f>
        <v/>
      </c>
      <c r="B1363" s="10">
        <f>IF(A1363="","",0.40*'Factor Scores'!C1363+0.20*'Factor Scores'!E1363+0.20*'Factor Scores'!G1363+0.20*'Factor Scores'!H1363)</f>
        <v/>
      </c>
      <c r="C1363" s="12">
        <f>IF(B1363="","",RANK(B1363,$B$2:$B$2501,0))</f>
        <v/>
      </c>
      <c r="D1363">
        <f>IF(C1363="","",C1363&lt;=25)</f>
        <v/>
      </c>
      <c r="F1363">
        <f>IF(A1363="","",IF(AND(D1363=TRUE,E1363=""),"BUY",IF(AND(D1363=FALSE,E1363&lt;&gt;""),"SELL",IF(AND(D1363=TRUE,E1363&lt;&gt;""),"HOLD",""))))</f>
        <v/>
      </c>
      <c r="G1363" s="12">
        <f>IF(D1363=TRUE,4,0)</f>
        <v/>
      </c>
      <c r="H1363">
        <f>IF(A1363="","",BDP(A1363&amp;" US Equity","GICS_SECTOR_NAME"))</f>
        <v/>
      </c>
    </row>
    <row r="1364">
      <c r="A1364">
        <f>'Factor Scores'!A1364</f>
        <v/>
      </c>
      <c r="B1364" s="10">
        <f>IF(A1364="","",0.40*'Factor Scores'!C1364+0.20*'Factor Scores'!E1364+0.20*'Factor Scores'!G1364+0.20*'Factor Scores'!H1364)</f>
        <v/>
      </c>
      <c r="C1364" s="12">
        <f>IF(B1364="","",RANK(B1364,$B$2:$B$2501,0))</f>
        <v/>
      </c>
      <c r="D1364">
        <f>IF(C1364="","",C1364&lt;=25)</f>
        <v/>
      </c>
      <c r="F1364">
        <f>IF(A1364="","",IF(AND(D1364=TRUE,E1364=""),"BUY",IF(AND(D1364=FALSE,E1364&lt;&gt;""),"SELL",IF(AND(D1364=TRUE,E1364&lt;&gt;""),"HOLD",""))))</f>
        <v/>
      </c>
      <c r="G1364" s="12">
        <f>IF(D1364=TRUE,4,0)</f>
        <v/>
      </c>
      <c r="H1364">
        <f>IF(A1364="","",BDP(A1364&amp;" US Equity","GICS_SECTOR_NAME"))</f>
        <v/>
      </c>
    </row>
    <row r="1365">
      <c r="A1365">
        <f>'Factor Scores'!A1365</f>
        <v/>
      </c>
      <c r="B1365" s="10">
        <f>IF(A1365="","",0.40*'Factor Scores'!C1365+0.20*'Factor Scores'!E1365+0.20*'Factor Scores'!G1365+0.20*'Factor Scores'!H1365)</f>
        <v/>
      </c>
      <c r="C1365" s="12">
        <f>IF(B1365="","",RANK(B1365,$B$2:$B$2501,0))</f>
        <v/>
      </c>
      <c r="D1365">
        <f>IF(C1365="","",C1365&lt;=25)</f>
        <v/>
      </c>
      <c r="F1365">
        <f>IF(A1365="","",IF(AND(D1365=TRUE,E1365=""),"BUY",IF(AND(D1365=FALSE,E1365&lt;&gt;""),"SELL",IF(AND(D1365=TRUE,E1365&lt;&gt;""),"HOLD",""))))</f>
        <v/>
      </c>
      <c r="G1365" s="12">
        <f>IF(D1365=TRUE,4,0)</f>
        <v/>
      </c>
      <c r="H1365">
        <f>IF(A1365="","",BDP(A1365&amp;" US Equity","GICS_SECTOR_NAME"))</f>
        <v/>
      </c>
    </row>
    <row r="1366">
      <c r="A1366">
        <f>'Factor Scores'!A1366</f>
        <v/>
      </c>
      <c r="B1366" s="10">
        <f>IF(A1366="","",0.40*'Factor Scores'!C1366+0.20*'Factor Scores'!E1366+0.20*'Factor Scores'!G1366+0.20*'Factor Scores'!H1366)</f>
        <v/>
      </c>
      <c r="C1366" s="12">
        <f>IF(B1366="","",RANK(B1366,$B$2:$B$2501,0))</f>
        <v/>
      </c>
      <c r="D1366">
        <f>IF(C1366="","",C1366&lt;=25)</f>
        <v/>
      </c>
      <c r="F1366">
        <f>IF(A1366="","",IF(AND(D1366=TRUE,E1366=""),"BUY",IF(AND(D1366=FALSE,E1366&lt;&gt;""),"SELL",IF(AND(D1366=TRUE,E1366&lt;&gt;""),"HOLD",""))))</f>
        <v/>
      </c>
      <c r="G1366" s="12">
        <f>IF(D1366=TRUE,4,0)</f>
        <v/>
      </c>
      <c r="H1366">
        <f>IF(A1366="","",BDP(A1366&amp;" US Equity","GICS_SECTOR_NAME"))</f>
        <v/>
      </c>
    </row>
    <row r="1367">
      <c r="A1367">
        <f>'Factor Scores'!A1367</f>
        <v/>
      </c>
      <c r="B1367" s="10">
        <f>IF(A1367="","",0.40*'Factor Scores'!C1367+0.20*'Factor Scores'!E1367+0.20*'Factor Scores'!G1367+0.20*'Factor Scores'!H1367)</f>
        <v/>
      </c>
      <c r="C1367" s="12">
        <f>IF(B1367="","",RANK(B1367,$B$2:$B$2501,0))</f>
        <v/>
      </c>
      <c r="D1367">
        <f>IF(C1367="","",C1367&lt;=25)</f>
        <v/>
      </c>
      <c r="F1367">
        <f>IF(A1367="","",IF(AND(D1367=TRUE,E1367=""),"BUY",IF(AND(D1367=FALSE,E1367&lt;&gt;""),"SELL",IF(AND(D1367=TRUE,E1367&lt;&gt;""),"HOLD",""))))</f>
        <v/>
      </c>
      <c r="G1367" s="12">
        <f>IF(D1367=TRUE,4,0)</f>
        <v/>
      </c>
      <c r="H1367">
        <f>IF(A1367="","",BDP(A1367&amp;" US Equity","GICS_SECTOR_NAME"))</f>
        <v/>
      </c>
    </row>
    <row r="1368">
      <c r="A1368">
        <f>'Factor Scores'!A1368</f>
        <v/>
      </c>
      <c r="B1368" s="10">
        <f>IF(A1368="","",0.40*'Factor Scores'!C1368+0.20*'Factor Scores'!E1368+0.20*'Factor Scores'!G1368+0.20*'Factor Scores'!H1368)</f>
        <v/>
      </c>
      <c r="C1368" s="12">
        <f>IF(B1368="","",RANK(B1368,$B$2:$B$2501,0))</f>
        <v/>
      </c>
      <c r="D1368">
        <f>IF(C1368="","",C1368&lt;=25)</f>
        <v/>
      </c>
      <c r="F1368">
        <f>IF(A1368="","",IF(AND(D1368=TRUE,E1368=""),"BUY",IF(AND(D1368=FALSE,E1368&lt;&gt;""),"SELL",IF(AND(D1368=TRUE,E1368&lt;&gt;""),"HOLD",""))))</f>
        <v/>
      </c>
      <c r="G1368" s="12">
        <f>IF(D1368=TRUE,4,0)</f>
        <v/>
      </c>
      <c r="H1368">
        <f>IF(A1368="","",BDP(A1368&amp;" US Equity","GICS_SECTOR_NAME"))</f>
        <v/>
      </c>
    </row>
    <row r="1369">
      <c r="A1369">
        <f>'Factor Scores'!A1369</f>
        <v/>
      </c>
      <c r="B1369" s="10">
        <f>IF(A1369="","",0.40*'Factor Scores'!C1369+0.20*'Factor Scores'!E1369+0.20*'Factor Scores'!G1369+0.20*'Factor Scores'!H1369)</f>
        <v/>
      </c>
      <c r="C1369" s="12">
        <f>IF(B1369="","",RANK(B1369,$B$2:$B$2501,0))</f>
        <v/>
      </c>
      <c r="D1369">
        <f>IF(C1369="","",C1369&lt;=25)</f>
        <v/>
      </c>
      <c r="F1369">
        <f>IF(A1369="","",IF(AND(D1369=TRUE,E1369=""),"BUY",IF(AND(D1369=FALSE,E1369&lt;&gt;""),"SELL",IF(AND(D1369=TRUE,E1369&lt;&gt;""),"HOLD",""))))</f>
        <v/>
      </c>
      <c r="G1369" s="12">
        <f>IF(D1369=TRUE,4,0)</f>
        <v/>
      </c>
      <c r="H1369">
        <f>IF(A1369="","",BDP(A1369&amp;" US Equity","GICS_SECTOR_NAME"))</f>
        <v/>
      </c>
    </row>
    <row r="1370">
      <c r="A1370">
        <f>'Factor Scores'!A1370</f>
        <v/>
      </c>
      <c r="B1370" s="10">
        <f>IF(A1370="","",0.40*'Factor Scores'!C1370+0.20*'Factor Scores'!E1370+0.20*'Factor Scores'!G1370+0.20*'Factor Scores'!H1370)</f>
        <v/>
      </c>
      <c r="C1370" s="12">
        <f>IF(B1370="","",RANK(B1370,$B$2:$B$2501,0))</f>
        <v/>
      </c>
      <c r="D1370">
        <f>IF(C1370="","",C1370&lt;=25)</f>
        <v/>
      </c>
      <c r="F1370">
        <f>IF(A1370="","",IF(AND(D1370=TRUE,E1370=""),"BUY",IF(AND(D1370=FALSE,E1370&lt;&gt;""),"SELL",IF(AND(D1370=TRUE,E1370&lt;&gt;""),"HOLD",""))))</f>
        <v/>
      </c>
      <c r="G1370" s="12">
        <f>IF(D1370=TRUE,4,0)</f>
        <v/>
      </c>
      <c r="H1370">
        <f>IF(A1370="","",BDP(A1370&amp;" US Equity","GICS_SECTOR_NAME"))</f>
        <v/>
      </c>
    </row>
    <row r="1371">
      <c r="A1371">
        <f>'Factor Scores'!A1371</f>
        <v/>
      </c>
      <c r="B1371" s="10">
        <f>IF(A1371="","",0.40*'Factor Scores'!C1371+0.20*'Factor Scores'!E1371+0.20*'Factor Scores'!G1371+0.20*'Factor Scores'!H1371)</f>
        <v/>
      </c>
      <c r="C1371" s="12">
        <f>IF(B1371="","",RANK(B1371,$B$2:$B$2501,0))</f>
        <v/>
      </c>
      <c r="D1371">
        <f>IF(C1371="","",C1371&lt;=25)</f>
        <v/>
      </c>
      <c r="F1371">
        <f>IF(A1371="","",IF(AND(D1371=TRUE,E1371=""),"BUY",IF(AND(D1371=FALSE,E1371&lt;&gt;""),"SELL",IF(AND(D1371=TRUE,E1371&lt;&gt;""),"HOLD",""))))</f>
        <v/>
      </c>
      <c r="G1371" s="12">
        <f>IF(D1371=TRUE,4,0)</f>
        <v/>
      </c>
      <c r="H1371">
        <f>IF(A1371="","",BDP(A1371&amp;" US Equity","GICS_SECTOR_NAME"))</f>
        <v/>
      </c>
    </row>
    <row r="1372">
      <c r="A1372">
        <f>'Factor Scores'!A1372</f>
        <v/>
      </c>
      <c r="B1372" s="10">
        <f>IF(A1372="","",0.40*'Factor Scores'!C1372+0.20*'Factor Scores'!E1372+0.20*'Factor Scores'!G1372+0.20*'Factor Scores'!H1372)</f>
        <v/>
      </c>
      <c r="C1372" s="12">
        <f>IF(B1372="","",RANK(B1372,$B$2:$B$2501,0))</f>
        <v/>
      </c>
      <c r="D1372">
        <f>IF(C1372="","",C1372&lt;=25)</f>
        <v/>
      </c>
      <c r="F1372">
        <f>IF(A1372="","",IF(AND(D1372=TRUE,E1372=""),"BUY",IF(AND(D1372=FALSE,E1372&lt;&gt;""),"SELL",IF(AND(D1372=TRUE,E1372&lt;&gt;""),"HOLD",""))))</f>
        <v/>
      </c>
      <c r="G1372" s="12">
        <f>IF(D1372=TRUE,4,0)</f>
        <v/>
      </c>
      <c r="H1372">
        <f>IF(A1372="","",BDP(A1372&amp;" US Equity","GICS_SECTOR_NAME"))</f>
        <v/>
      </c>
    </row>
    <row r="1373">
      <c r="A1373">
        <f>'Factor Scores'!A1373</f>
        <v/>
      </c>
      <c r="B1373" s="10">
        <f>IF(A1373="","",0.40*'Factor Scores'!C1373+0.20*'Factor Scores'!E1373+0.20*'Factor Scores'!G1373+0.20*'Factor Scores'!H1373)</f>
        <v/>
      </c>
      <c r="C1373" s="12">
        <f>IF(B1373="","",RANK(B1373,$B$2:$B$2501,0))</f>
        <v/>
      </c>
      <c r="D1373">
        <f>IF(C1373="","",C1373&lt;=25)</f>
        <v/>
      </c>
      <c r="F1373">
        <f>IF(A1373="","",IF(AND(D1373=TRUE,E1373=""),"BUY",IF(AND(D1373=FALSE,E1373&lt;&gt;""),"SELL",IF(AND(D1373=TRUE,E1373&lt;&gt;""),"HOLD",""))))</f>
        <v/>
      </c>
      <c r="G1373" s="12">
        <f>IF(D1373=TRUE,4,0)</f>
        <v/>
      </c>
      <c r="H1373">
        <f>IF(A1373="","",BDP(A1373&amp;" US Equity","GICS_SECTOR_NAME"))</f>
        <v/>
      </c>
    </row>
    <row r="1374">
      <c r="A1374">
        <f>'Factor Scores'!A1374</f>
        <v/>
      </c>
      <c r="B1374" s="10">
        <f>IF(A1374="","",0.40*'Factor Scores'!C1374+0.20*'Factor Scores'!E1374+0.20*'Factor Scores'!G1374+0.20*'Factor Scores'!H1374)</f>
        <v/>
      </c>
      <c r="C1374" s="12">
        <f>IF(B1374="","",RANK(B1374,$B$2:$B$2501,0))</f>
        <v/>
      </c>
      <c r="D1374">
        <f>IF(C1374="","",C1374&lt;=25)</f>
        <v/>
      </c>
      <c r="F1374">
        <f>IF(A1374="","",IF(AND(D1374=TRUE,E1374=""),"BUY",IF(AND(D1374=FALSE,E1374&lt;&gt;""),"SELL",IF(AND(D1374=TRUE,E1374&lt;&gt;""),"HOLD",""))))</f>
        <v/>
      </c>
      <c r="G1374" s="12">
        <f>IF(D1374=TRUE,4,0)</f>
        <v/>
      </c>
      <c r="H1374">
        <f>IF(A1374="","",BDP(A1374&amp;" US Equity","GICS_SECTOR_NAME"))</f>
        <v/>
      </c>
    </row>
    <row r="1375">
      <c r="A1375">
        <f>'Factor Scores'!A1375</f>
        <v/>
      </c>
      <c r="B1375" s="10">
        <f>IF(A1375="","",0.40*'Factor Scores'!C1375+0.20*'Factor Scores'!E1375+0.20*'Factor Scores'!G1375+0.20*'Factor Scores'!H1375)</f>
        <v/>
      </c>
      <c r="C1375" s="12">
        <f>IF(B1375="","",RANK(B1375,$B$2:$B$2501,0))</f>
        <v/>
      </c>
      <c r="D1375">
        <f>IF(C1375="","",C1375&lt;=25)</f>
        <v/>
      </c>
      <c r="F1375">
        <f>IF(A1375="","",IF(AND(D1375=TRUE,E1375=""),"BUY",IF(AND(D1375=FALSE,E1375&lt;&gt;""),"SELL",IF(AND(D1375=TRUE,E1375&lt;&gt;""),"HOLD",""))))</f>
        <v/>
      </c>
      <c r="G1375" s="12">
        <f>IF(D1375=TRUE,4,0)</f>
        <v/>
      </c>
      <c r="H1375">
        <f>IF(A1375="","",BDP(A1375&amp;" US Equity","GICS_SECTOR_NAME"))</f>
        <v/>
      </c>
    </row>
    <row r="1376">
      <c r="A1376">
        <f>'Factor Scores'!A1376</f>
        <v/>
      </c>
      <c r="B1376" s="10">
        <f>IF(A1376="","",0.40*'Factor Scores'!C1376+0.20*'Factor Scores'!E1376+0.20*'Factor Scores'!G1376+0.20*'Factor Scores'!H1376)</f>
        <v/>
      </c>
      <c r="C1376" s="12">
        <f>IF(B1376="","",RANK(B1376,$B$2:$B$2501,0))</f>
        <v/>
      </c>
      <c r="D1376">
        <f>IF(C1376="","",C1376&lt;=25)</f>
        <v/>
      </c>
      <c r="F1376">
        <f>IF(A1376="","",IF(AND(D1376=TRUE,E1376=""),"BUY",IF(AND(D1376=FALSE,E1376&lt;&gt;""),"SELL",IF(AND(D1376=TRUE,E1376&lt;&gt;""),"HOLD",""))))</f>
        <v/>
      </c>
      <c r="G1376" s="12">
        <f>IF(D1376=TRUE,4,0)</f>
        <v/>
      </c>
      <c r="H1376">
        <f>IF(A1376="","",BDP(A1376&amp;" US Equity","GICS_SECTOR_NAME"))</f>
        <v/>
      </c>
    </row>
    <row r="1377">
      <c r="A1377">
        <f>'Factor Scores'!A1377</f>
        <v/>
      </c>
      <c r="B1377" s="10">
        <f>IF(A1377="","",0.40*'Factor Scores'!C1377+0.20*'Factor Scores'!E1377+0.20*'Factor Scores'!G1377+0.20*'Factor Scores'!H1377)</f>
        <v/>
      </c>
      <c r="C1377" s="12">
        <f>IF(B1377="","",RANK(B1377,$B$2:$B$2501,0))</f>
        <v/>
      </c>
      <c r="D1377">
        <f>IF(C1377="","",C1377&lt;=25)</f>
        <v/>
      </c>
      <c r="F1377">
        <f>IF(A1377="","",IF(AND(D1377=TRUE,E1377=""),"BUY",IF(AND(D1377=FALSE,E1377&lt;&gt;""),"SELL",IF(AND(D1377=TRUE,E1377&lt;&gt;""),"HOLD",""))))</f>
        <v/>
      </c>
      <c r="G1377" s="12">
        <f>IF(D1377=TRUE,4,0)</f>
        <v/>
      </c>
      <c r="H1377">
        <f>IF(A1377="","",BDP(A1377&amp;" US Equity","GICS_SECTOR_NAME"))</f>
        <v/>
      </c>
    </row>
    <row r="1378">
      <c r="A1378">
        <f>'Factor Scores'!A1378</f>
        <v/>
      </c>
      <c r="B1378" s="10">
        <f>IF(A1378="","",0.40*'Factor Scores'!C1378+0.20*'Factor Scores'!E1378+0.20*'Factor Scores'!G1378+0.20*'Factor Scores'!H1378)</f>
        <v/>
      </c>
      <c r="C1378" s="12">
        <f>IF(B1378="","",RANK(B1378,$B$2:$B$2501,0))</f>
        <v/>
      </c>
      <c r="D1378">
        <f>IF(C1378="","",C1378&lt;=25)</f>
        <v/>
      </c>
      <c r="F1378">
        <f>IF(A1378="","",IF(AND(D1378=TRUE,E1378=""),"BUY",IF(AND(D1378=FALSE,E1378&lt;&gt;""),"SELL",IF(AND(D1378=TRUE,E1378&lt;&gt;""),"HOLD",""))))</f>
        <v/>
      </c>
      <c r="G1378" s="12">
        <f>IF(D1378=TRUE,4,0)</f>
        <v/>
      </c>
      <c r="H1378">
        <f>IF(A1378="","",BDP(A1378&amp;" US Equity","GICS_SECTOR_NAME"))</f>
        <v/>
      </c>
    </row>
    <row r="1379">
      <c r="A1379">
        <f>'Factor Scores'!A1379</f>
        <v/>
      </c>
      <c r="B1379" s="10">
        <f>IF(A1379="","",0.40*'Factor Scores'!C1379+0.20*'Factor Scores'!E1379+0.20*'Factor Scores'!G1379+0.20*'Factor Scores'!H1379)</f>
        <v/>
      </c>
      <c r="C1379" s="12">
        <f>IF(B1379="","",RANK(B1379,$B$2:$B$2501,0))</f>
        <v/>
      </c>
      <c r="D1379">
        <f>IF(C1379="","",C1379&lt;=25)</f>
        <v/>
      </c>
      <c r="F1379">
        <f>IF(A1379="","",IF(AND(D1379=TRUE,E1379=""),"BUY",IF(AND(D1379=FALSE,E1379&lt;&gt;""),"SELL",IF(AND(D1379=TRUE,E1379&lt;&gt;""),"HOLD",""))))</f>
        <v/>
      </c>
      <c r="G1379" s="12">
        <f>IF(D1379=TRUE,4,0)</f>
        <v/>
      </c>
      <c r="H1379">
        <f>IF(A1379="","",BDP(A1379&amp;" US Equity","GICS_SECTOR_NAME"))</f>
        <v/>
      </c>
    </row>
    <row r="1380">
      <c r="A1380">
        <f>'Factor Scores'!A1380</f>
        <v/>
      </c>
      <c r="B1380" s="10">
        <f>IF(A1380="","",0.40*'Factor Scores'!C1380+0.20*'Factor Scores'!E1380+0.20*'Factor Scores'!G1380+0.20*'Factor Scores'!H1380)</f>
        <v/>
      </c>
      <c r="C1380" s="12">
        <f>IF(B1380="","",RANK(B1380,$B$2:$B$2501,0))</f>
        <v/>
      </c>
      <c r="D1380">
        <f>IF(C1380="","",C1380&lt;=25)</f>
        <v/>
      </c>
      <c r="F1380">
        <f>IF(A1380="","",IF(AND(D1380=TRUE,E1380=""),"BUY",IF(AND(D1380=FALSE,E1380&lt;&gt;""),"SELL",IF(AND(D1380=TRUE,E1380&lt;&gt;""),"HOLD",""))))</f>
        <v/>
      </c>
      <c r="G1380" s="12">
        <f>IF(D1380=TRUE,4,0)</f>
        <v/>
      </c>
      <c r="H1380">
        <f>IF(A1380="","",BDP(A1380&amp;" US Equity","GICS_SECTOR_NAME"))</f>
        <v/>
      </c>
    </row>
    <row r="1381">
      <c r="A1381">
        <f>'Factor Scores'!A1381</f>
        <v/>
      </c>
      <c r="B1381" s="10">
        <f>IF(A1381="","",0.40*'Factor Scores'!C1381+0.20*'Factor Scores'!E1381+0.20*'Factor Scores'!G1381+0.20*'Factor Scores'!H1381)</f>
        <v/>
      </c>
      <c r="C1381" s="12">
        <f>IF(B1381="","",RANK(B1381,$B$2:$B$2501,0))</f>
        <v/>
      </c>
      <c r="D1381">
        <f>IF(C1381="","",C1381&lt;=25)</f>
        <v/>
      </c>
      <c r="F1381">
        <f>IF(A1381="","",IF(AND(D1381=TRUE,E1381=""),"BUY",IF(AND(D1381=FALSE,E1381&lt;&gt;""),"SELL",IF(AND(D1381=TRUE,E1381&lt;&gt;""),"HOLD",""))))</f>
        <v/>
      </c>
      <c r="G1381" s="12">
        <f>IF(D1381=TRUE,4,0)</f>
        <v/>
      </c>
      <c r="H1381">
        <f>IF(A1381="","",BDP(A1381&amp;" US Equity","GICS_SECTOR_NAME"))</f>
        <v/>
      </c>
    </row>
    <row r="1382">
      <c r="A1382">
        <f>'Factor Scores'!A1382</f>
        <v/>
      </c>
      <c r="B1382" s="10">
        <f>IF(A1382="","",0.40*'Factor Scores'!C1382+0.20*'Factor Scores'!E1382+0.20*'Factor Scores'!G1382+0.20*'Factor Scores'!H1382)</f>
        <v/>
      </c>
      <c r="C1382" s="12">
        <f>IF(B1382="","",RANK(B1382,$B$2:$B$2501,0))</f>
        <v/>
      </c>
      <c r="D1382">
        <f>IF(C1382="","",C1382&lt;=25)</f>
        <v/>
      </c>
      <c r="F1382">
        <f>IF(A1382="","",IF(AND(D1382=TRUE,E1382=""),"BUY",IF(AND(D1382=FALSE,E1382&lt;&gt;""),"SELL",IF(AND(D1382=TRUE,E1382&lt;&gt;""),"HOLD",""))))</f>
        <v/>
      </c>
      <c r="G1382" s="12">
        <f>IF(D1382=TRUE,4,0)</f>
        <v/>
      </c>
      <c r="H1382">
        <f>IF(A1382="","",BDP(A1382&amp;" US Equity","GICS_SECTOR_NAME"))</f>
        <v/>
      </c>
    </row>
    <row r="1383">
      <c r="A1383">
        <f>'Factor Scores'!A1383</f>
        <v/>
      </c>
      <c r="B1383" s="10">
        <f>IF(A1383="","",0.40*'Factor Scores'!C1383+0.20*'Factor Scores'!E1383+0.20*'Factor Scores'!G1383+0.20*'Factor Scores'!H1383)</f>
        <v/>
      </c>
      <c r="C1383" s="12">
        <f>IF(B1383="","",RANK(B1383,$B$2:$B$2501,0))</f>
        <v/>
      </c>
      <c r="D1383">
        <f>IF(C1383="","",C1383&lt;=25)</f>
        <v/>
      </c>
      <c r="F1383">
        <f>IF(A1383="","",IF(AND(D1383=TRUE,E1383=""),"BUY",IF(AND(D1383=FALSE,E1383&lt;&gt;""),"SELL",IF(AND(D1383=TRUE,E1383&lt;&gt;""),"HOLD",""))))</f>
        <v/>
      </c>
      <c r="G1383" s="12">
        <f>IF(D1383=TRUE,4,0)</f>
        <v/>
      </c>
      <c r="H1383">
        <f>IF(A1383="","",BDP(A1383&amp;" US Equity","GICS_SECTOR_NAME"))</f>
        <v/>
      </c>
    </row>
    <row r="1384">
      <c r="A1384">
        <f>'Factor Scores'!A1384</f>
        <v/>
      </c>
      <c r="B1384" s="10">
        <f>IF(A1384="","",0.40*'Factor Scores'!C1384+0.20*'Factor Scores'!E1384+0.20*'Factor Scores'!G1384+0.20*'Factor Scores'!H1384)</f>
        <v/>
      </c>
      <c r="C1384" s="12">
        <f>IF(B1384="","",RANK(B1384,$B$2:$B$2501,0))</f>
        <v/>
      </c>
      <c r="D1384">
        <f>IF(C1384="","",C1384&lt;=25)</f>
        <v/>
      </c>
      <c r="F1384">
        <f>IF(A1384="","",IF(AND(D1384=TRUE,E1384=""),"BUY",IF(AND(D1384=FALSE,E1384&lt;&gt;""),"SELL",IF(AND(D1384=TRUE,E1384&lt;&gt;""),"HOLD",""))))</f>
        <v/>
      </c>
      <c r="G1384" s="12">
        <f>IF(D1384=TRUE,4,0)</f>
        <v/>
      </c>
      <c r="H1384">
        <f>IF(A1384="","",BDP(A1384&amp;" US Equity","GICS_SECTOR_NAME"))</f>
        <v/>
      </c>
    </row>
    <row r="1385">
      <c r="A1385">
        <f>'Factor Scores'!A1385</f>
        <v/>
      </c>
      <c r="B1385" s="10">
        <f>IF(A1385="","",0.40*'Factor Scores'!C1385+0.20*'Factor Scores'!E1385+0.20*'Factor Scores'!G1385+0.20*'Factor Scores'!H1385)</f>
        <v/>
      </c>
      <c r="C1385" s="12">
        <f>IF(B1385="","",RANK(B1385,$B$2:$B$2501,0))</f>
        <v/>
      </c>
      <c r="D1385">
        <f>IF(C1385="","",C1385&lt;=25)</f>
        <v/>
      </c>
      <c r="F1385">
        <f>IF(A1385="","",IF(AND(D1385=TRUE,E1385=""),"BUY",IF(AND(D1385=FALSE,E1385&lt;&gt;""),"SELL",IF(AND(D1385=TRUE,E1385&lt;&gt;""),"HOLD",""))))</f>
        <v/>
      </c>
      <c r="G1385" s="12">
        <f>IF(D1385=TRUE,4,0)</f>
        <v/>
      </c>
      <c r="H1385">
        <f>IF(A1385="","",BDP(A1385&amp;" US Equity","GICS_SECTOR_NAME"))</f>
        <v/>
      </c>
    </row>
    <row r="1386">
      <c r="A1386">
        <f>'Factor Scores'!A1386</f>
        <v/>
      </c>
      <c r="B1386" s="10">
        <f>IF(A1386="","",0.40*'Factor Scores'!C1386+0.20*'Factor Scores'!E1386+0.20*'Factor Scores'!G1386+0.20*'Factor Scores'!H1386)</f>
        <v/>
      </c>
      <c r="C1386" s="12">
        <f>IF(B1386="","",RANK(B1386,$B$2:$B$2501,0))</f>
        <v/>
      </c>
      <c r="D1386">
        <f>IF(C1386="","",C1386&lt;=25)</f>
        <v/>
      </c>
      <c r="F1386">
        <f>IF(A1386="","",IF(AND(D1386=TRUE,E1386=""),"BUY",IF(AND(D1386=FALSE,E1386&lt;&gt;""),"SELL",IF(AND(D1386=TRUE,E1386&lt;&gt;""),"HOLD",""))))</f>
        <v/>
      </c>
      <c r="G1386" s="12">
        <f>IF(D1386=TRUE,4,0)</f>
        <v/>
      </c>
      <c r="H1386">
        <f>IF(A1386="","",BDP(A1386&amp;" US Equity","GICS_SECTOR_NAME"))</f>
        <v/>
      </c>
    </row>
    <row r="1387">
      <c r="A1387">
        <f>'Factor Scores'!A1387</f>
        <v/>
      </c>
      <c r="B1387" s="10">
        <f>IF(A1387="","",0.40*'Factor Scores'!C1387+0.20*'Factor Scores'!E1387+0.20*'Factor Scores'!G1387+0.20*'Factor Scores'!H1387)</f>
        <v/>
      </c>
      <c r="C1387" s="12">
        <f>IF(B1387="","",RANK(B1387,$B$2:$B$2501,0))</f>
        <v/>
      </c>
      <c r="D1387">
        <f>IF(C1387="","",C1387&lt;=25)</f>
        <v/>
      </c>
      <c r="F1387">
        <f>IF(A1387="","",IF(AND(D1387=TRUE,E1387=""),"BUY",IF(AND(D1387=FALSE,E1387&lt;&gt;""),"SELL",IF(AND(D1387=TRUE,E1387&lt;&gt;""),"HOLD",""))))</f>
        <v/>
      </c>
      <c r="G1387" s="12">
        <f>IF(D1387=TRUE,4,0)</f>
        <v/>
      </c>
      <c r="H1387">
        <f>IF(A1387="","",BDP(A1387&amp;" US Equity","GICS_SECTOR_NAME"))</f>
        <v/>
      </c>
    </row>
    <row r="1388">
      <c r="A1388">
        <f>'Factor Scores'!A1388</f>
        <v/>
      </c>
      <c r="B1388" s="10">
        <f>IF(A1388="","",0.40*'Factor Scores'!C1388+0.20*'Factor Scores'!E1388+0.20*'Factor Scores'!G1388+0.20*'Factor Scores'!H1388)</f>
        <v/>
      </c>
      <c r="C1388" s="12">
        <f>IF(B1388="","",RANK(B1388,$B$2:$B$2501,0))</f>
        <v/>
      </c>
      <c r="D1388">
        <f>IF(C1388="","",C1388&lt;=25)</f>
        <v/>
      </c>
      <c r="F1388">
        <f>IF(A1388="","",IF(AND(D1388=TRUE,E1388=""),"BUY",IF(AND(D1388=FALSE,E1388&lt;&gt;""),"SELL",IF(AND(D1388=TRUE,E1388&lt;&gt;""),"HOLD",""))))</f>
        <v/>
      </c>
      <c r="G1388" s="12">
        <f>IF(D1388=TRUE,4,0)</f>
        <v/>
      </c>
      <c r="H1388">
        <f>IF(A1388="","",BDP(A1388&amp;" US Equity","GICS_SECTOR_NAME"))</f>
        <v/>
      </c>
    </row>
    <row r="1389">
      <c r="A1389">
        <f>'Factor Scores'!A1389</f>
        <v/>
      </c>
      <c r="B1389" s="10">
        <f>IF(A1389="","",0.40*'Factor Scores'!C1389+0.20*'Factor Scores'!E1389+0.20*'Factor Scores'!G1389+0.20*'Factor Scores'!H1389)</f>
        <v/>
      </c>
      <c r="C1389" s="12">
        <f>IF(B1389="","",RANK(B1389,$B$2:$B$2501,0))</f>
        <v/>
      </c>
      <c r="D1389">
        <f>IF(C1389="","",C1389&lt;=25)</f>
        <v/>
      </c>
      <c r="F1389">
        <f>IF(A1389="","",IF(AND(D1389=TRUE,E1389=""),"BUY",IF(AND(D1389=FALSE,E1389&lt;&gt;""),"SELL",IF(AND(D1389=TRUE,E1389&lt;&gt;""),"HOLD",""))))</f>
        <v/>
      </c>
      <c r="G1389" s="12">
        <f>IF(D1389=TRUE,4,0)</f>
        <v/>
      </c>
      <c r="H1389">
        <f>IF(A1389="","",BDP(A1389&amp;" US Equity","GICS_SECTOR_NAME"))</f>
        <v/>
      </c>
    </row>
    <row r="1390">
      <c r="A1390">
        <f>'Factor Scores'!A1390</f>
        <v/>
      </c>
      <c r="B1390" s="10">
        <f>IF(A1390="","",0.40*'Factor Scores'!C1390+0.20*'Factor Scores'!E1390+0.20*'Factor Scores'!G1390+0.20*'Factor Scores'!H1390)</f>
        <v/>
      </c>
      <c r="C1390" s="12">
        <f>IF(B1390="","",RANK(B1390,$B$2:$B$2501,0))</f>
        <v/>
      </c>
      <c r="D1390">
        <f>IF(C1390="","",C1390&lt;=25)</f>
        <v/>
      </c>
      <c r="F1390">
        <f>IF(A1390="","",IF(AND(D1390=TRUE,E1390=""),"BUY",IF(AND(D1390=FALSE,E1390&lt;&gt;""),"SELL",IF(AND(D1390=TRUE,E1390&lt;&gt;""),"HOLD",""))))</f>
        <v/>
      </c>
      <c r="G1390" s="12">
        <f>IF(D1390=TRUE,4,0)</f>
        <v/>
      </c>
      <c r="H1390">
        <f>IF(A1390="","",BDP(A1390&amp;" US Equity","GICS_SECTOR_NAME"))</f>
        <v/>
      </c>
    </row>
    <row r="1391">
      <c r="A1391">
        <f>'Factor Scores'!A1391</f>
        <v/>
      </c>
      <c r="B1391" s="10">
        <f>IF(A1391="","",0.40*'Factor Scores'!C1391+0.20*'Factor Scores'!E1391+0.20*'Factor Scores'!G1391+0.20*'Factor Scores'!H1391)</f>
        <v/>
      </c>
      <c r="C1391" s="12">
        <f>IF(B1391="","",RANK(B1391,$B$2:$B$2501,0))</f>
        <v/>
      </c>
      <c r="D1391">
        <f>IF(C1391="","",C1391&lt;=25)</f>
        <v/>
      </c>
      <c r="F1391">
        <f>IF(A1391="","",IF(AND(D1391=TRUE,E1391=""),"BUY",IF(AND(D1391=FALSE,E1391&lt;&gt;""),"SELL",IF(AND(D1391=TRUE,E1391&lt;&gt;""),"HOLD",""))))</f>
        <v/>
      </c>
      <c r="G1391" s="12">
        <f>IF(D1391=TRUE,4,0)</f>
        <v/>
      </c>
      <c r="H1391">
        <f>IF(A1391="","",BDP(A1391&amp;" US Equity","GICS_SECTOR_NAME"))</f>
        <v/>
      </c>
    </row>
    <row r="1392">
      <c r="A1392">
        <f>'Factor Scores'!A1392</f>
        <v/>
      </c>
      <c r="B1392" s="10">
        <f>IF(A1392="","",0.40*'Factor Scores'!C1392+0.20*'Factor Scores'!E1392+0.20*'Factor Scores'!G1392+0.20*'Factor Scores'!H1392)</f>
        <v/>
      </c>
      <c r="C1392" s="12">
        <f>IF(B1392="","",RANK(B1392,$B$2:$B$2501,0))</f>
        <v/>
      </c>
      <c r="D1392">
        <f>IF(C1392="","",C1392&lt;=25)</f>
        <v/>
      </c>
      <c r="F1392">
        <f>IF(A1392="","",IF(AND(D1392=TRUE,E1392=""),"BUY",IF(AND(D1392=FALSE,E1392&lt;&gt;""),"SELL",IF(AND(D1392=TRUE,E1392&lt;&gt;""),"HOLD",""))))</f>
        <v/>
      </c>
      <c r="G1392" s="12">
        <f>IF(D1392=TRUE,4,0)</f>
        <v/>
      </c>
      <c r="H1392">
        <f>IF(A1392="","",BDP(A1392&amp;" US Equity","GICS_SECTOR_NAME"))</f>
        <v/>
      </c>
    </row>
    <row r="1393">
      <c r="A1393">
        <f>'Factor Scores'!A1393</f>
        <v/>
      </c>
      <c r="B1393" s="10">
        <f>IF(A1393="","",0.40*'Factor Scores'!C1393+0.20*'Factor Scores'!E1393+0.20*'Factor Scores'!G1393+0.20*'Factor Scores'!H1393)</f>
        <v/>
      </c>
      <c r="C1393" s="12">
        <f>IF(B1393="","",RANK(B1393,$B$2:$B$2501,0))</f>
        <v/>
      </c>
      <c r="D1393">
        <f>IF(C1393="","",C1393&lt;=25)</f>
        <v/>
      </c>
      <c r="F1393">
        <f>IF(A1393="","",IF(AND(D1393=TRUE,E1393=""),"BUY",IF(AND(D1393=FALSE,E1393&lt;&gt;""),"SELL",IF(AND(D1393=TRUE,E1393&lt;&gt;""),"HOLD",""))))</f>
        <v/>
      </c>
      <c r="G1393" s="12">
        <f>IF(D1393=TRUE,4,0)</f>
        <v/>
      </c>
      <c r="H1393">
        <f>IF(A1393="","",BDP(A1393&amp;" US Equity","GICS_SECTOR_NAME"))</f>
        <v/>
      </c>
    </row>
    <row r="1394">
      <c r="A1394">
        <f>'Factor Scores'!A1394</f>
        <v/>
      </c>
      <c r="B1394" s="10">
        <f>IF(A1394="","",0.40*'Factor Scores'!C1394+0.20*'Factor Scores'!E1394+0.20*'Factor Scores'!G1394+0.20*'Factor Scores'!H1394)</f>
        <v/>
      </c>
      <c r="C1394" s="12">
        <f>IF(B1394="","",RANK(B1394,$B$2:$B$2501,0))</f>
        <v/>
      </c>
      <c r="D1394">
        <f>IF(C1394="","",C1394&lt;=25)</f>
        <v/>
      </c>
      <c r="F1394">
        <f>IF(A1394="","",IF(AND(D1394=TRUE,E1394=""),"BUY",IF(AND(D1394=FALSE,E1394&lt;&gt;""),"SELL",IF(AND(D1394=TRUE,E1394&lt;&gt;""),"HOLD",""))))</f>
        <v/>
      </c>
      <c r="G1394" s="12">
        <f>IF(D1394=TRUE,4,0)</f>
        <v/>
      </c>
      <c r="H1394">
        <f>IF(A1394="","",BDP(A1394&amp;" US Equity","GICS_SECTOR_NAME"))</f>
        <v/>
      </c>
    </row>
    <row r="1395">
      <c r="A1395">
        <f>'Factor Scores'!A1395</f>
        <v/>
      </c>
      <c r="B1395" s="10">
        <f>IF(A1395="","",0.40*'Factor Scores'!C1395+0.20*'Factor Scores'!E1395+0.20*'Factor Scores'!G1395+0.20*'Factor Scores'!H1395)</f>
        <v/>
      </c>
      <c r="C1395" s="12">
        <f>IF(B1395="","",RANK(B1395,$B$2:$B$2501,0))</f>
        <v/>
      </c>
      <c r="D1395">
        <f>IF(C1395="","",C1395&lt;=25)</f>
        <v/>
      </c>
      <c r="F1395">
        <f>IF(A1395="","",IF(AND(D1395=TRUE,E1395=""),"BUY",IF(AND(D1395=FALSE,E1395&lt;&gt;""),"SELL",IF(AND(D1395=TRUE,E1395&lt;&gt;""),"HOLD",""))))</f>
        <v/>
      </c>
      <c r="G1395" s="12">
        <f>IF(D1395=TRUE,4,0)</f>
        <v/>
      </c>
      <c r="H1395">
        <f>IF(A1395="","",BDP(A1395&amp;" US Equity","GICS_SECTOR_NAME"))</f>
        <v/>
      </c>
    </row>
    <row r="1396">
      <c r="A1396">
        <f>'Factor Scores'!A1396</f>
        <v/>
      </c>
      <c r="B1396" s="10">
        <f>IF(A1396="","",0.40*'Factor Scores'!C1396+0.20*'Factor Scores'!E1396+0.20*'Factor Scores'!G1396+0.20*'Factor Scores'!H1396)</f>
        <v/>
      </c>
      <c r="C1396" s="12">
        <f>IF(B1396="","",RANK(B1396,$B$2:$B$2501,0))</f>
        <v/>
      </c>
      <c r="D1396">
        <f>IF(C1396="","",C1396&lt;=25)</f>
        <v/>
      </c>
      <c r="F1396">
        <f>IF(A1396="","",IF(AND(D1396=TRUE,E1396=""),"BUY",IF(AND(D1396=FALSE,E1396&lt;&gt;""),"SELL",IF(AND(D1396=TRUE,E1396&lt;&gt;""),"HOLD",""))))</f>
        <v/>
      </c>
      <c r="G1396" s="12">
        <f>IF(D1396=TRUE,4,0)</f>
        <v/>
      </c>
      <c r="H1396">
        <f>IF(A1396="","",BDP(A1396&amp;" US Equity","GICS_SECTOR_NAME"))</f>
        <v/>
      </c>
    </row>
    <row r="1397">
      <c r="A1397">
        <f>'Factor Scores'!A1397</f>
        <v/>
      </c>
      <c r="B1397" s="10">
        <f>IF(A1397="","",0.40*'Factor Scores'!C1397+0.20*'Factor Scores'!E1397+0.20*'Factor Scores'!G1397+0.20*'Factor Scores'!H1397)</f>
        <v/>
      </c>
      <c r="C1397" s="12">
        <f>IF(B1397="","",RANK(B1397,$B$2:$B$2501,0))</f>
        <v/>
      </c>
      <c r="D1397">
        <f>IF(C1397="","",C1397&lt;=25)</f>
        <v/>
      </c>
      <c r="F1397">
        <f>IF(A1397="","",IF(AND(D1397=TRUE,E1397=""),"BUY",IF(AND(D1397=FALSE,E1397&lt;&gt;""),"SELL",IF(AND(D1397=TRUE,E1397&lt;&gt;""),"HOLD",""))))</f>
        <v/>
      </c>
      <c r="G1397" s="12">
        <f>IF(D1397=TRUE,4,0)</f>
        <v/>
      </c>
      <c r="H1397">
        <f>IF(A1397="","",BDP(A1397&amp;" US Equity","GICS_SECTOR_NAME"))</f>
        <v/>
      </c>
    </row>
    <row r="1398">
      <c r="A1398">
        <f>'Factor Scores'!A1398</f>
        <v/>
      </c>
      <c r="B1398" s="10">
        <f>IF(A1398="","",0.40*'Factor Scores'!C1398+0.20*'Factor Scores'!E1398+0.20*'Factor Scores'!G1398+0.20*'Factor Scores'!H1398)</f>
        <v/>
      </c>
      <c r="C1398" s="12">
        <f>IF(B1398="","",RANK(B1398,$B$2:$B$2501,0))</f>
        <v/>
      </c>
      <c r="D1398">
        <f>IF(C1398="","",C1398&lt;=25)</f>
        <v/>
      </c>
      <c r="F1398">
        <f>IF(A1398="","",IF(AND(D1398=TRUE,E1398=""),"BUY",IF(AND(D1398=FALSE,E1398&lt;&gt;""),"SELL",IF(AND(D1398=TRUE,E1398&lt;&gt;""),"HOLD",""))))</f>
        <v/>
      </c>
      <c r="G1398" s="12">
        <f>IF(D1398=TRUE,4,0)</f>
        <v/>
      </c>
      <c r="H1398">
        <f>IF(A1398="","",BDP(A1398&amp;" US Equity","GICS_SECTOR_NAME"))</f>
        <v/>
      </c>
    </row>
    <row r="1399">
      <c r="A1399">
        <f>'Factor Scores'!A1399</f>
        <v/>
      </c>
      <c r="B1399" s="10">
        <f>IF(A1399="","",0.40*'Factor Scores'!C1399+0.20*'Factor Scores'!E1399+0.20*'Factor Scores'!G1399+0.20*'Factor Scores'!H1399)</f>
        <v/>
      </c>
      <c r="C1399" s="12">
        <f>IF(B1399="","",RANK(B1399,$B$2:$B$2501,0))</f>
        <v/>
      </c>
      <c r="D1399">
        <f>IF(C1399="","",C1399&lt;=25)</f>
        <v/>
      </c>
      <c r="F1399">
        <f>IF(A1399="","",IF(AND(D1399=TRUE,E1399=""),"BUY",IF(AND(D1399=FALSE,E1399&lt;&gt;""),"SELL",IF(AND(D1399=TRUE,E1399&lt;&gt;""),"HOLD",""))))</f>
        <v/>
      </c>
      <c r="G1399" s="12">
        <f>IF(D1399=TRUE,4,0)</f>
        <v/>
      </c>
      <c r="H1399">
        <f>IF(A1399="","",BDP(A1399&amp;" US Equity","GICS_SECTOR_NAME"))</f>
        <v/>
      </c>
    </row>
    <row r="1400">
      <c r="A1400">
        <f>'Factor Scores'!A1400</f>
        <v/>
      </c>
      <c r="B1400" s="10">
        <f>IF(A1400="","",0.40*'Factor Scores'!C1400+0.20*'Factor Scores'!E1400+0.20*'Factor Scores'!G1400+0.20*'Factor Scores'!H1400)</f>
        <v/>
      </c>
      <c r="C1400" s="12">
        <f>IF(B1400="","",RANK(B1400,$B$2:$B$2501,0))</f>
        <v/>
      </c>
      <c r="D1400">
        <f>IF(C1400="","",C1400&lt;=25)</f>
        <v/>
      </c>
      <c r="F1400">
        <f>IF(A1400="","",IF(AND(D1400=TRUE,E1400=""),"BUY",IF(AND(D1400=FALSE,E1400&lt;&gt;""),"SELL",IF(AND(D1400=TRUE,E1400&lt;&gt;""),"HOLD",""))))</f>
        <v/>
      </c>
      <c r="G1400" s="12">
        <f>IF(D1400=TRUE,4,0)</f>
        <v/>
      </c>
      <c r="H1400">
        <f>IF(A1400="","",BDP(A1400&amp;" US Equity","GICS_SECTOR_NAME"))</f>
        <v/>
      </c>
    </row>
    <row r="1401">
      <c r="A1401">
        <f>'Factor Scores'!A1401</f>
        <v/>
      </c>
      <c r="B1401" s="10">
        <f>IF(A1401="","",0.40*'Factor Scores'!C1401+0.20*'Factor Scores'!E1401+0.20*'Factor Scores'!G1401+0.20*'Factor Scores'!H1401)</f>
        <v/>
      </c>
      <c r="C1401" s="12">
        <f>IF(B1401="","",RANK(B1401,$B$2:$B$2501,0))</f>
        <v/>
      </c>
      <c r="D1401">
        <f>IF(C1401="","",C1401&lt;=25)</f>
        <v/>
      </c>
      <c r="F1401">
        <f>IF(A1401="","",IF(AND(D1401=TRUE,E1401=""),"BUY",IF(AND(D1401=FALSE,E1401&lt;&gt;""),"SELL",IF(AND(D1401=TRUE,E1401&lt;&gt;""),"HOLD",""))))</f>
        <v/>
      </c>
      <c r="G1401" s="12">
        <f>IF(D1401=TRUE,4,0)</f>
        <v/>
      </c>
      <c r="H1401">
        <f>IF(A1401="","",BDP(A1401&amp;" US Equity","GICS_SECTOR_NAME"))</f>
        <v/>
      </c>
    </row>
    <row r="1402">
      <c r="A1402">
        <f>'Factor Scores'!A1402</f>
        <v/>
      </c>
      <c r="B1402" s="10">
        <f>IF(A1402="","",0.40*'Factor Scores'!C1402+0.20*'Factor Scores'!E1402+0.20*'Factor Scores'!G1402+0.20*'Factor Scores'!H1402)</f>
        <v/>
      </c>
      <c r="C1402" s="12">
        <f>IF(B1402="","",RANK(B1402,$B$2:$B$2501,0))</f>
        <v/>
      </c>
      <c r="D1402">
        <f>IF(C1402="","",C1402&lt;=25)</f>
        <v/>
      </c>
      <c r="F1402">
        <f>IF(A1402="","",IF(AND(D1402=TRUE,E1402=""),"BUY",IF(AND(D1402=FALSE,E1402&lt;&gt;""),"SELL",IF(AND(D1402=TRUE,E1402&lt;&gt;""),"HOLD",""))))</f>
        <v/>
      </c>
      <c r="G1402" s="12">
        <f>IF(D1402=TRUE,4,0)</f>
        <v/>
      </c>
      <c r="H1402">
        <f>IF(A1402="","",BDP(A1402&amp;" US Equity","GICS_SECTOR_NAME"))</f>
        <v/>
      </c>
    </row>
    <row r="1403">
      <c r="A1403">
        <f>'Factor Scores'!A1403</f>
        <v/>
      </c>
      <c r="B1403" s="10">
        <f>IF(A1403="","",0.40*'Factor Scores'!C1403+0.20*'Factor Scores'!E1403+0.20*'Factor Scores'!G1403+0.20*'Factor Scores'!H1403)</f>
        <v/>
      </c>
      <c r="C1403" s="12">
        <f>IF(B1403="","",RANK(B1403,$B$2:$B$2501,0))</f>
        <v/>
      </c>
      <c r="D1403">
        <f>IF(C1403="","",C1403&lt;=25)</f>
        <v/>
      </c>
      <c r="F1403">
        <f>IF(A1403="","",IF(AND(D1403=TRUE,E1403=""),"BUY",IF(AND(D1403=FALSE,E1403&lt;&gt;""),"SELL",IF(AND(D1403=TRUE,E1403&lt;&gt;""),"HOLD",""))))</f>
        <v/>
      </c>
      <c r="G1403" s="12">
        <f>IF(D1403=TRUE,4,0)</f>
        <v/>
      </c>
      <c r="H1403">
        <f>IF(A1403="","",BDP(A1403&amp;" US Equity","GICS_SECTOR_NAME"))</f>
        <v/>
      </c>
    </row>
    <row r="1404">
      <c r="A1404">
        <f>'Factor Scores'!A1404</f>
        <v/>
      </c>
      <c r="B1404" s="10">
        <f>IF(A1404="","",0.40*'Factor Scores'!C1404+0.20*'Factor Scores'!E1404+0.20*'Factor Scores'!G1404+0.20*'Factor Scores'!H1404)</f>
        <v/>
      </c>
      <c r="C1404" s="12">
        <f>IF(B1404="","",RANK(B1404,$B$2:$B$2501,0))</f>
        <v/>
      </c>
      <c r="D1404">
        <f>IF(C1404="","",C1404&lt;=25)</f>
        <v/>
      </c>
      <c r="F1404">
        <f>IF(A1404="","",IF(AND(D1404=TRUE,E1404=""),"BUY",IF(AND(D1404=FALSE,E1404&lt;&gt;""),"SELL",IF(AND(D1404=TRUE,E1404&lt;&gt;""),"HOLD",""))))</f>
        <v/>
      </c>
      <c r="G1404" s="12">
        <f>IF(D1404=TRUE,4,0)</f>
        <v/>
      </c>
      <c r="H1404">
        <f>IF(A1404="","",BDP(A1404&amp;" US Equity","GICS_SECTOR_NAME"))</f>
        <v/>
      </c>
    </row>
    <row r="1405">
      <c r="A1405">
        <f>'Factor Scores'!A1405</f>
        <v/>
      </c>
      <c r="B1405" s="10">
        <f>IF(A1405="","",0.40*'Factor Scores'!C1405+0.20*'Factor Scores'!E1405+0.20*'Factor Scores'!G1405+0.20*'Factor Scores'!H1405)</f>
        <v/>
      </c>
      <c r="C1405" s="12">
        <f>IF(B1405="","",RANK(B1405,$B$2:$B$2501,0))</f>
        <v/>
      </c>
      <c r="D1405">
        <f>IF(C1405="","",C1405&lt;=25)</f>
        <v/>
      </c>
      <c r="F1405">
        <f>IF(A1405="","",IF(AND(D1405=TRUE,E1405=""),"BUY",IF(AND(D1405=FALSE,E1405&lt;&gt;""),"SELL",IF(AND(D1405=TRUE,E1405&lt;&gt;""),"HOLD",""))))</f>
        <v/>
      </c>
      <c r="G1405" s="12">
        <f>IF(D1405=TRUE,4,0)</f>
        <v/>
      </c>
      <c r="H1405">
        <f>IF(A1405="","",BDP(A1405&amp;" US Equity","GICS_SECTOR_NAME"))</f>
        <v/>
      </c>
    </row>
    <row r="1406">
      <c r="A1406">
        <f>'Factor Scores'!A1406</f>
        <v/>
      </c>
      <c r="B1406" s="10">
        <f>IF(A1406="","",0.40*'Factor Scores'!C1406+0.20*'Factor Scores'!E1406+0.20*'Factor Scores'!G1406+0.20*'Factor Scores'!H1406)</f>
        <v/>
      </c>
      <c r="C1406" s="12">
        <f>IF(B1406="","",RANK(B1406,$B$2:$B$2501,0))</f>
        <v/>
      </c>
      <c r="D1406">
        <f>IF(C1406="","",C1406&lt;=25)</f>
        <v/>
      </c>
      <c r="F1406">
        <f>IF(A1406="","",IF(AND(D1406=TRUE,E1406=""),"BUY",IF(AND(D1406=FALSE,E1406&lt;&gt;""),"SELL",IF(AND(D1406=TRUE,E1406&lt;&gt;""),"HOLD",""))))</f>
        <v/>
      </c>
      <c r="G1406" s="12">
        <f>IF(D1406=TRUE,4,0)</f>
        <v/>
      </c>
      <c r="H1406">
        <f>IF(A1406="","",BDP(A1406&amp;" US Equity","GICS_SECTOR_NAME"))</f>
        <v/>
      </c>
    </row>
    <row r="1407">
      <c r="A1407">
        <f>'Factor Scores'!A1407</f>
        <v/>
      </c>
      <c r="B1407" s="10">
        <f>IF(A1407="","",0.40*'Factor Scores'!C1407+0.20*'Factor Scores'!E1407+0.20*'Factor Scores'!G1407+0.20*'Factor Scores'!H1407)</f>
        <v/>
      </c>
      <c r="C1407" s="12">
        <f>IF(B1407="","",RANK(B1407,$B$2:$B$2501,0))</f>
        <v/>
      </c>
      <c r="D1407">
        <f>IF(C1407="","",C1407&lt;=25)</f>
        <v/>
      </c>
      <c r="F1407">
        <f>IF(A1407="","",IF(AND(D1407=TRUE,E1407=""),"BUY",IF(AND(D1407=FALSE,E1407&lt;&gt;""),"SELL",IF(AND(D1407=TRUE,E1407&lt;&gt;""),"HOLD",""))))</f>
        <v/>
      </c>
      <c r="G1407" s="12">
        <f>IF(D1407=TRUE,4,0)</f>
        <v/>
      </c>
      <c r="H1407">
        <f>IF(A1407="","",BDP(A1407&amp;" US Equity","GICS_SECTOR_NAME"))</f>
        <v/>
      </c>
    </row>
    <row r="1408">
      <c r="A1408">
        <f>'Factor Scores'!A1408</f>
        <v/>
      </c>
      <c r="B1408" s="10">
        <f>IF(A1408="","",0.40*'Factor Scores'!C1408+0.20*'Factor Scores'!E1408+0.20*'Factor Scores'!G1408+0.20*'Factor Scores'!H1408)</f>
        <v/>
      </c>
      <c r="C1408" s="12">
        <f>IF(B1408="","",RANK(B1408,$B$2:$B$2501,0))</f>
        <v/>
      </c>
      <c r="D1408">
        <f>IF(C1408="","",C1408&lt;=25)</f>
        <v/>
      </c>
      <c r="F1408">
        <f>IF(A1408="","",IF(AND(D1408=TRUE,E1408=""),"BUY",IF(AND(D1408=FALSE,E1408&lt;&gt;""),"SELL",IF(AND(D1408=TRUE,E1408&lt;&gt;""),"HOLD",""))))</f>
        <v/>
      </c>
      <c r="G1408" s="12">
        <f>IF(D1408=TRUE,4,0)</f>
        <v/>
      </c>
      <c r="H1408">
        <f>IF(A1408="","",BDP(A1408&amp;" US Equity","GICS_SECTOR_NAME"))</f>
        <v/>
      </c>
    </row>
    <row r="1409">
      <c r="A1409">
        <f>'Factor Scores'!A1409</f>
        <v/>
      </c>
      <c r="B1409" s="10">
        <f>IF(A1409="","",0.40*'Factor Scores'!C1409+0.20*'Factor Scores'!E1409+0.20*'Factor Scores'!G1409+0.20*'Factor Scores'!H1409)</f>
        <v/>
      </c>
      <c r="C1409" s="12">
        <f>IF(B1409="","",RANK(B1409,$B$2:$B$2501,0))</f>
        <v/>
      </c>
      <c r="D1409">
        <f>IF(C1409="","",C1409&lt;=25)</f>
        <v/>
      </c>
      <c r="F1409">
        <f>IF(A1409="","",IF(AND(D1409=TRUE,E1409=""),"BUY",IF(AND(D1409=FALSE,E1409&lt;&gt;""),"SELL",IF(AND(D1409=TRUE,E1409&lt;&gt;""),"HOLD",""))))</f>
        <v/>
      </c>
      <c r="G1409" s="12">
        <f>IF(D1409=TRUE,4,0)</f>
        <v/>
      </c>
      <c r="H1409">
        <f>IF(A1409="","",BDP(A1409&amp;" US Equity","GICS_SECTOR_NAME"))</f>
        <v/>
      </c>
    </row>
    <row r="1410">
      <c r="A1410">
        <f>'Factor Scores'!A1410</f>
        <v/>
      </c>
      <c r="B1410" s="10">
        <f>IF(A1410="","",0.40*'Factor Scores'!C1410+0.20*'Factor Scores'!E1410+0.20*'Factor Scores'!G1410+0.20*'Factor Scores'!H1410)</f>
        <v/>
      </c>
      <c r="C1410" s="12">
        <f>IF(B1410="","",RANK(B1410,$B$2:$B$2501,0))</f>
        <v/>
      </c>
      <c r="D1410">
        <f>IF(C1410="","",C1410&lt;=25)</f>
        <v/>
      </c>
      <c r="F1410">
        <f>IF(A1410="","",IF(AND(D1410=TRUE,E1410=""),"BUY",IF(AND(D1410=FALSE,E1410&lt;&gt;""),"SELL",IF(AND(D1410=TRUE,E1410&lt;&gt;""),"HOLD",""))))</f>
        <v/>
      </c>
      <c r="G1410" s="12">
        <f>IF(D1410=TRUE,4,0)</f>
        <v/>
      </c>
      <c r="H1410">
        <f>IF(A1410="","",BDP(A1410&amp;" US Equity","GICS_SECTOR_NAME"))</f>
        <v/>
      </c>
    </row>
    <row r="1411">
      <c r="A1411">
        <f>'Factor Scores'!A1411</f>
        <v/>
      </c>
      <c r="B1411" s="10">
        <f>IF(A1411="","",0.40*'Factor Scores'!C1411+0.20*'Factor Scores'!E1411+0.20*'Factor Scores'!G1411+0.20*'Factor Scores'!H1411)</f>
        <v/>
      </c>
      <c r="C1411" s="12">
        <f>IF(B1411="","",RANK(B1411,$B$2:$B$2501,0))</f>
        <v/>
      </c>
      <c r="D1411">
        <f>IF(C1411="","",C1411&lt;=25)</f>
        <v/>
      </c>
      <c r="F1411">
        <f>IF(A1411="","",IF(AND(D1411=TRUE,E1411=""),"BUY",IF(AND(D1411=FALSE,E1411&lt;&gt;""),"SELL",IF(AND(D1411=TRUE,E1411&lt;&gt;""),"HOLD",""))))</f>
        <v/>
      </c>
      <c r="G1411" s="12">
        <f>IF(D1411=TRUE,4,0)</f>
        <v/>
      </c>
      <c r="H1411">
        <f>IF(A1411="","",BDP(A1411&amp;" US Equity","GICS_SECTOR_NAME"))</f>
        <v/>
      </c>
    </row>
    <row r="1412">
      <c r="A1412">
        <f>'Factor Scores'!A1412</f>
        <v/>
      </c>
      <c r="B1412" s="10">
        <f>IF(A1412="","",0.40*'Factor Scores'!C1412+0.20*'Factor Scores'!E1412+0.20*'Factor Scores'!G1412+0.20*'Factor Scores'!H1412)</f>
        <v/>
      </c>
      <c r="C1412" s="12">
        <f>IF(B1412="","",RANK(B1412,$B$2:$B$2501,0))</f>
        <v/>
      </c>
      <c r="D1412">
        <f>IF(C1412="","",C1412&lt;=25)</f>
        <v/>
      </c>
      <c r="F1412">
        <f>IF(A1412="","",IF(AND(D1412=TRUE,E1412=""),"BUY",IF(AND(D1412=FALSE,E1412&lt;&gt;""),"SELL",IF(AND(D1412=TRUE,E1412&lt;&gt;""),"HOLD",""))))</f>
        <v/>
      </c>
      <c r="G1412" s="12">
        <f>IF(D1412=TRUE,4,0)</f>
        <v/>
      </c>
      <c r="H1412">
        <f>IF(A1412="","",BDP(A1412&amp;" US Equity","GICS_SECTOR_NAME"))</f>
        <v/>
      </c>
    </row>
    <row r="1413">
      <c r="A1413">
        <f>'Factor Scores'!A1413</f>
        <v/>
      </c>
      <c r="B1413" s="10">
        <f>IF(A1413="","",0.40*'Factor Scores'!C1413+0.20*'Factor Scores'!E1413+0.20*'Factor Scores'!G1413+0.20*'Factor Scores'!H1413)</f>
        <v/>
      </c>
      <c r="C1413" s="12">
        <f>IF(B1413="","",RANK(B1413,$B$2:$B$2501,0))</f>
        <v/>
      </c>
      <c r="D1413">
        <f>IF(C1413="","",C1413&lt;=25)</f>
        <v/>
      </c>
      <c r="F1413">
        <f>IF(A1413="","",IF(AND(D1413=TRUE,E1413=""),"BUY",IF(AND(D1413=FALSE,E1413&lt;&gt;""),"SELL",IF(AND(D1413=TRUE,E1413&lt;&gt;""),"HOLD",""))))</f>
        <v/>
      </c>
      <c r="G1413" s="12">
        <f>IF(D1413=TRUE,4,0)</f>
        <v/>
      </c>
      <c r="H1413">
        <f>IF(A1413="","",BDP(A1413&amp;" US Equity","GICS_SECTOR_NAME"))</f>
        <v/>
      </c>
    </row>
    <row r="1414">
      <c r="A1414">
        <f>'Factor Scores'!A1414</f>
        <v/>
      </c>
      <c r="B1414" s="10">
        <f>IF(A1414="","",0.40*'Factor Scores'!C1414+0.20*'Factor Scores'!E1414+0.20*'Factor Scores'!G1414+0.20*'Factor Scores'!H1414)</f>
        <v/>
      </c>
      <c r="C1414" s="12">
        <f>IF(B1414="","",RANK(B1414,$B$2:$B$2501,0))</f>
        <v/>
      </c>
      <c r="D1414">
        <f>IF(C1414="","",C1414&lt;=25)</f>
        <v/>
      </c>
      <c r="F1414">
        <f>IF(A1414="","",IF(AND(D1414=TRUE,E1414=""),"BUY",IF(AND(D1414=FALSE,E1414&lt;&gt;""),"SELL",IF(AND(D1414=TRUE,E1414&lt;&gt;""),"HOLD",""))))</f>
        <v/>
      </c>
      <c r="G1414" s="12">
        <f>IF(D1414=TRUE,4,0)</f>
        <v/>
      </c>
      <c r="H1414">
        <f>IF(A1414="","",BDP(A1414&amp;" US Equity","GICS_SECTOR_NAME"))</f>
        <v/>
      </c>
    </row>
    <row r="1415">
      <c r="A1415">
        <f>'Factor Scores'!A1415</f>
        <v/>
      </c>
      <c r="B1415" s="10">
        <f>IF(A1415="","",0.40*'Factor Scores'!C1415+0.20*'Factor Scores'!E1415+0.20*'Factor Scores'!G1415+0.20*'Factor Scores'!H1415)</f>
        <v/>
      </c>
      <c r="C1415" s="12">
        <f>IF(B1415="","",RANK(B1415,$B$2:$B$2501,0))</f>
        <v/>
      </c>
      <c r="D1415">
        <f>IF(C1415="","",C1415&lt;=25)</f>
        <v/>
      </c>
      <c r="F1415">
        <f>IF(A1415="","",IF(AND(D1415=TRUE,E1415=""),"BUY",IF(AND(D1415=FALSE,E1415&lt;&gt;""),"SELL",IF(AND(D1415=TRUE,E1415&lt;&gt;""),"HOLD",""))))</f>
        <v/>
      </c>
      <c r="G1415" s="12">
        <f>IF(D1415=TRUE,4,0)</f>
        <v/>
      </c>
      <c r="H1415">
        <f>IF(A1415="","",BDP(A1415&amp;" US Equity","GICS_SECTOR_NAME"))</f>
        <v/>
      </c>
    </row>
    <row r="1416">
      <c r="A1416">
        <f>'Factor Scores'!A1416</f>
        <v/>
      </c>
      <c r="B1416" s="10">
        <f>IF(A1416="","",0.40*'Factor Scores'!C1416+0.20*'Factor Scores'!E1416+0.20*'Factor Scores'!G1416+0.20*'Factor Scores'!H1416)</f>
        <v/>
      </c>
      <c r="C1416" s="12">
        <f>IF(B1416="","",RANK(B1416,$B$2:$B$2501,0))</f>
        <v/>
      </c>
      <c r="D1416">
        <f>IF(C1416="","",C1416&lt;=25)</f>
        <v/>
      </c>
      <c r="F1416">
        <f>IF(A1416="","",IF(AND(D1416=TRUE,E1416=""),"BUY",IF(AND(D1416=FALSE,E1416&lt;&gt;""),"SELL",IF(AND(D1416=TRUE,E1416&lt;&gt;""),"HOLD",""))))</f>
        <v/>
      </c>
      <c r="G1416" s="12">
        <f>IF(D1416=TRUE,4,0)</f>
        <v/>
      </c>
      <c r="H1416">
        <f>IF(A1416="","",BDP(A1416&amp;" US Equity","GICS_SECTOR_NAME"))</f>
        <v/>
      </c>
    </row>
    <row r="1417">
      <c r="A1417">
        <f>'Factor Scores'!A1417</f>
        <v/>
      </c>
      <c r="B1417" s="10">
        <f>IF(A1417="","",0.40*'Factor Scores'!C1417+0.20*'Factor Scores'!E1417+0.20*'Factor Scores'!G1417+0.20*'Factor Scores'!H1417)</f>
        <v/>
      </c>
      <c r="C1417" s="12">
        <f>IF(B1417="","",RANK(B1417,$B$2:$B$2501,0))</f>
        <v/>
      </c>
      <c r="D1417">
        <f>IF(C1417="","",C1417&lt;=25)</f>
        <v/>
      </c>
      <c r="F1417">
        <f>IF(A1417="","",IF(AND(D1417=TRUE,E1417=""),"BUY",IF(AND(D1417=FALSE,E1417&lt;&gt;""),"SELL",IF(AND(D1417=TRUE,E1417&lt;&gt;""),"HOLD",""))))</f>
        <v/>
      </c>
      <c r="G1417" s="12">
        <f>IF(D1417=TRUE,4,0)</f>
        <v/>
      </c>
      <c r="H1417">
        <f>IF(A1417="","",BDP(A1417&amp;" US Equity","GICS_SECTOR_NAME"))</f>
        <v/>
      </c>
    </row>
    <row r="1418">
      <c r="A1418">
        <f>'Factor Scores'!A1418</f>
        <v/>
      </c>
      <c r="B1418" s="10">
        <f>IF(A1418="","",0.40*'Factor Scores'!C1418+0.20*'Factor Scores'!E1418+0.20*'Factor Scores'!G1418+0.20*'Factor Scores'!H1418)</f>
        <v/>
      </c>
      <c r="C1418" s="12">
        <f>IF(B1418="","",RANK(B1418,$B$2:$B$2501,0))</f>
        <v/>
      </c>
      <c r="D1418">
        <f>IF(C1418="","",C1418&lt;=25)</f>
        <v/>
      </c>
      <c r="F1418">
        <f>IF(A1418="","",IF(AND(D1418=TRUE,E1418=""),"BUY",IF(AND(D1418=FALSE,E1418&lt;&gt;""),"SELL",IF(AND(D1418=TRUE,E1418&lt;&gt;""),"HOLD",""))))</f>
        <v/>
      </c>
      <c r="G1418" s="12">
        <f>IF(D1418=TRUE,4,0)</f>
        <v/>
      </c>
      <c r="H1418">
        <f>IF(A1418="","",BDP(A1418&amp;" US Equity","GICS_SECTOR_NAME"))</f>
        <v/>
      </c>
    </row>
    <row r="1419">
      <c r="A1419">
        <f>'Factor Scores'!A1419</f>
        <v/>
      </c>
      <c r="B1419" s="10">
        <f>IF(A1419="","",0.40*'Factor Scores'!C1419+0.20*'Factor Scores'!E1419+0.20*'Factor Scores'!G1419+0.20*'Factor Scores'!H1419)</f>
        <v/>
      </c>
      <c r="C1419" s="12">
        <f>IF(B1419="","",RANK(B1419,$B$2:$B$2501,0))</f>
        <v/>
      </c>
      <c r="D1419">
        <f>IF(C1419="","",C1419&lt;=25)</f>
        <v/>
      </c>
      <c r="F1419">
        <f>IF(A1419="","",IF(AND(D1419=TRUE,E1419=""),"BUY",IF(AND(D1419=FALSE,E1419&lt;&gt;""),"SELL",IF(AND(D1419=TRUE,E1419&lt;&gt;""),"HOLD",""))))</f>
        <v/>
      </c>
      <c r="G1419" s="12">
        <f>IF(D1419=TRUE,4,0)</f>
        <v/>
      </c>
      <c r="H1419">
        <f>IF(A1419="","",BDP(A1419&amp;" US Equity","GICS_SECTOR_NAME"))</f>
        <v/>
      </c>
    </row>
    <row r="1420">
      <c r="A1420">
        <f>'Factor Scores'!A1420</f>
        <v/>
      </c>
      <c r="B1420" s="10">
        <f>IF(A1420="","",0.40*'Factor Scores'!C1420+0.20*'Factor Scores'!E1420+0.20*'Factor Scores'!G1420+0.20*'Factor Scores'!H1420)</f>
        <v/>
      </c>
      <c r="C1420" s="12">
        <f>IF(B1420="","",RANK(B1420,$B$2:$B$2501,0))</f>
        <v/>
      </c>
      <c r="D1420">
        <f>IF(C1420="","",C1420&lt;=25)</f>
        <v/>
      </c>
      <c r="F1420">
        <f>IF(A1420="","",IF(AND(D1420=TRUE,E1420=""),"BUY",IF(AND(D1420=FALSE,E1420&lt;&gt;""),"SELL",IF(AND(D1420=TRUE,E1420&lt;&gt;""),"HOLD",""))))</f>
        <v/>
      </c>
      <c r="G1420" s="12">
        <f>IF(D1420=TRUE,4,0)</f>
        <v/>
      </c>
      <c r="H1420">
        <f>IF(A1420="","",BDP(A1420&amp;" US Equity","GICS_SECTOR_NAME"))</f>
        <v/>
      </c>
    </row>
    <row r="1421">
      <c r="A1421">
        <f>'Factor Scores'!A1421</f>
        <v/>
      </c>
      <c r="B1421" s="10">
        <f>IF(A1421="","",0.40*'Factor Scores'!C1421+0.20*'Factor Scores'!E1421+0.20*'Factor Scores'!G1421+0.20*'Factor Scores'!H1421)</f>
        <v/>
      </c>
      <c r="C1421" s="12">
        <f>IF(B1421="","",RANK(B1421,$B$2:$B$2501,0))</f>
        <v/>
      </c>
      <c r="D1421">
        <f>IF(C1421="","",C1421&lt;=25)</f>
        <v/>
      </c>
      <c r="F1421">
        <f>IF(A1421="","",IF(AND(D1421=TRUE,E1421=""),"BUY",IF(AND(D1421=FALSE,E1421&lt;&gt;""),"SELL",IF(AND(D1421=TRUE,E1421&lt;&gt;""),"HOLD",""))))</f>
        <v/>
      </c>
      <c r="G1421" s="12">
        <f>IF(D1421=TRUE,4,0)</f>
        <v/>
      </c>
      <c r="H1421">
        <f>IF(A1421="","",BDP(A1421&amp;" US Equity","GICS_SECTOR_NAME"))</f>
        <v/>
      </c>
    </row>
    <row r="1422">
      <c r="A1422">
        <f>'Factor Scores'!A1422</f>
        <v/>
      </c>
      <c r="B1422" s="10">
        <f>IF(A1422="","",0.40*'Factor Scores'!C1422+0.20*'Factor Scores'!E1422+0.20*'Factor Scores'!G1422+0.20*'Factor Scores'!H1422)</f>
        <v/>
      </c>
      <c r="C1422" s="12">
        <f>IF(B1422="","",RANK(B1422,$B$2:$B$2501,0))</f>
        <v/>
      </c>
      <c r="D1422">
        <f>IF(C1422="","",C1422&lt;=25)</f>
        <v/>
      </c>
      <c r="F1422">
        <f>IF(A1422="","",IF(AND(D1422=TRUE,E1422=""),"BUY",IF(AND(D1422=FALSE,E1422&lt;&gt;""),"SELL",IF(AND(D1422=TRUE,E1422&lt;&gt;""),"HOLD",""))))</f>
        <v/>
      </c>
      <c r="G1422" s="12">
        <f>IF(D1422=TRUE,4,0)</f>
        <v/>
      </c>
      <c r="H1422">
        <f>IF(A1422="","",BDP(A1422&amp;" US Equity","GICS_SECTOR_NAME"))</f>
        <v/>
      </c>
    </row>
    <row r="1423">
      <c r="A1423">
        <f>'Factor Scores'!A1423</f>
        <v/>
      </c>
      <c r="B1423" s="10">
        <f>IF(A1423="","",0.40*'Factor Scores'!C1423+0.20*'Factor Scores'!E1423+0.20*'Factor Scores'!G1423+0.20*'Factor Scores'!H1423)</f>
        <v/>
      </c>
      <c r="C1423" s="12">
        <f>IF(B1423="","",RANK(B1423,$B$2:$B$2501,0))</f>
        <v/>
      </c>
      <c r="D1423">
        <f>IF(C1423="","",C1423&lt;=25)</f>
        <v/>
      </c>
      <c r="F1423">
        <f>IF(A1423="","",IF(AND(D1423=TRUE,E1423=""),"BUY",IF(AND(D1423=FALSE,E1423&lt;&gt;""),"SELL",IF(AND(D1423=TRUE,E1423&lt;&gt;""),"HOLD",""))))</f>
        <v/>
      </c>
      <c r="G1423" s="12">
        <f>IF(D1423=TRUE,4,0)</f>
        <v/>
      </c>
      <c r="H1423">
        <f>IF(A1423="","",BDP(A1423&amp;" US Equity","GICS_SECTOR_NAME"))</f>
        <v/>
      </c>
    </row>
    <row r="1424">
      <c r="A1424">
        <f>'Factor Scores'!A1424</f>
        <v/>
      </c>
      <c r="B1424" s="10">
        <f>IF(A1424="","",0.40*'Factor Scores'!C1424+0.20*'Factor Scores'!E1424+0.20*'Factor Scores'!G1424+0.20*'Factor Scores'!H1424)</f>
        <v/>
      </c>
      <c r="C1424" s="12">
        <f>IF(B1424="","",RANK(B1424,$B$2:$B$2501,0))</f>
        <v/>
      </c>
      <c r="D1424">
        <f>IF(C1424="","",C1424&lt;=25)</f>
        <v/>
      </c>
      <c r="F1424">
        <f>IF(A1424="","",IF(AND(D1424=TRUE,E1424=""),"BUY",IF(AND(D1424=FALSE,E1424&lt;&gt;""),"SELL",IF(AND(D1424=TRUE,E1424&lt;&gt;""),"HOLD",""))))</f>
        <v/>
      </c>
      <c r="G1424" s="12">
        <f>IF(D1424=TRUE,4,0)</f>
        <v/>
      </c>
      <c r="H1424">
        <f>IF(A1424="","",BDP(A1424&amp;" US Equity","GICS_SECTOR_NAME"))</f>
        <v/>
      </c>
    </row>
    <row r="1425">
      <c r="A1425">
        <f>'Factor Scores'!A1425</f>
        <v/>
      </c>
      <c r="B1425" s="10">
        <f>IF(A1425="","",0.40*'Factor Scores'!C1425+0.20*'Factor Scores'!E1425+0.20*'Factor Scores'!G1425+0.20*'Factor Scores'!H1425)</f>
        <v/>
      </c>
      <c r="C1425" s="12">
        <f>IF(B1425="","",RANK(B1425,$B$2:$B$2501,0))</f>
        <v/>
      </c>
      <c r="D1425">
        <f>IF(C1425="","",C1425&lt;=25)</f>
        <v/>
      </c>
      <c r="F1425">
        <f>IF(A1425="","",IF(AND(D1425=TRUE,E1425=""),"BUY",IF(AND(D1425=FALSE,E1425&lt;&gt;""),"SELL",IF(AND(D1425=TRUE,E1425&lt;&gt;""),"HOLD",""))))</f>
        <v/>
      </c>
      <c r="G1425" s="12">
        <f>IF(D1425=TRUE,4,0)</f>
        <v/>
      </c>
      <c r="H1425">
        <f>IF(A1425="","",BDP(A1425&amp;" US Equity","GICS_SECTOR_NAME"))</f>
        <v/>
      </c>
    </row>
    <row r="1426">
      <c r="A1426">
        <f>'Factor Scores'!A1426</f>
        <v/>
      </c>
      <c r="B1426" s="10">
        <f>IF(A1426="","",0.40*'Factor Scores'!C1426+0.20*'Factor Scores'!E1426+0.20*'Factor Scores'!G1426+0.20*'Factor Scores'!H1426)</f>
        <v/>
      </c>
      <c r="C1426" s="12">
        <f>IF(B1426="","",RANK(B1426,$B$2:$B$2501,0))</f>
        <v/>
      </c>
      <c r="D1426">
        <f>IF(C1426="","",C1426&lt;=25)</f>
        <v/>
      </c>
      <c r="F1426">
        <f>IF(A1426="","",IF(AND(D1426=TRUE,E1426=""),"BUY",IF(AND(D1426=FALSE,E1426&lt;&gt;""),"SELL",IF(AND(D1426=TRUE,E1426&lt;&gt;""),"HOLD",""))))</f>
        <v/>
      </c>
      <c r="G1426" s="12">
        <f>IF(D1426=TRUE,4,0)</f>
        <v/>
      </c>
      <c r="H1426">
        <f>IF(A1426="","",BDP(A1426&amp;" US Equity","GICS_SECTOR_NAME"))</f>
        <v/>
      </c>
    </row>
    <row r="1427">
      <c r="A1427">
        <f>'Factor Scores'!A1427</f>
        <v/>
      </c>
      <c r="B1427" s="10">
        <f>IF(A1427="","",0.40*'Factor Scores'!C1427+0.20*'Factor Scores'!E1427+0.20*'Factor Scores'!G1427+0.20*'Factor Scores'!H1427)</f>
        <v/>
      </c>
      <c r="C1427" s="12">
        <f>IF(B1427="","",RANK(B1427,$B$2:$B$2501,0))</f>
        <v/>
      </c>
      <c r="D1427">
        <f>IF(C1427="","",C1427&lt;=25)</f>
        <v/>
      </c>
      <c r="F1427">
        <f>IF(A1427="","",IF(AND(D1427=TRUE,E1427=""),"BUY",IF(AND(D1427=FALSE,E1427&lt;&gt;""),"SELL",IF(AND(D1427=TRUE,E1427&lt;&gt;""),"HOLD",""))))</f>
        <v/>
      </c>
      <c r="G1427" s="12">
        <f>IF(D1427=TRUE,4,0)</f>
        <v/>
      </c>
      <c r="H1427">
        <f>IF(A1427="","",BDP(A1427&amp;" US Equity","GICS_SECTOR_NAME"))</f>
        <v/>
      </c>
    </row>
    <row r="1428">
      <c r="A1428">
        <f>'Factor Scores'!A1428</f>
        <v/>
      </c>
      <c r="B1428" s="10">
        <f>IF(A1428="","",0.40*'Factor Scores'!C1428+0.20*'Factor Scores'!E1428+0.20*'Factor Scores'!G1428+0.20*'Factor Scores'!H1428)</f>
        <v/>
      </c>
      <c r="C1428" s="12">
        <f>IF(B1428="","",RANK(B1428,$B$2:$B$2501,0))</f>
        <v/>
      </c>
      <c r="D1428">
        <f>IF(C1428="","",C1428&lt;=25)</f>
        <v/>
      </c>
      <c r="F1428">
        <f>IF(A1428="","",IF(AND(D1428=TRUE,E1428=""),"BUY",IF(AND(D1428=FALSE,E1428&lt;&gt;""),"SELL",IF(AND(D1428=TRUE,E1428&lt;&gt;""),"HOLD",""))))</f>
        <v/>
      </c>
      <c r="G1428" s="12">
        <f>IF(D1428=TRUE,4,0)</f>
        <v/>
      </c>
      <c r="H1428">
        <f>IF(A1428="","",BDP(A1428&amp;" US Equity","GICS_SECTOR_NAME"))</f>
        <v/>
      </c>
    </row>
    <row r="1429">
      <c r="A1429">
        <f>'Factor Scores'!A1429</f>
        <v/>
      </c>
      <c r="B1429" s="10">
        <f>IF(A1429="","",0.40*'Factor Scores'!C1429+0.20*'Factor Scores'!E1429+0.20*'Factor Scores'!G1429+0.20*'Factor Scores'!H1429)</f>
        <v/>
      </c>
      <c r="C1429" s="12">
        <f>IF(B1429="","",RANK(B1429,$B$2:$B$2501,0))</f>
        <v/>
      </c>
      <c r="D1429">
        <f>IF(C1429="","",C1429&lt;=25)</f>
        <v/>
      </c>
      <c r="F1429">
        <f>IF(A1429="","",IF(AND(D1429=TRUE,E1429=""),"BUY",IF(AND(D1429=FALSE,E1429&lt;&gt;""),"SELL",IF(AND(D1429=TRUE,E1429&lt;&gt;""),"HOLD",""))))</f>
        <v/>
      </c>
      <c r="G1429" s="12">
        <f>IF(D1429=TRUE,4,0)</f>
        <v/>
      </c>
      <c r="H1429">
        <f>IF(A1429="","",BDP(A1429&amp;" US Equity","GICS_SECTOR_NAME"))</f>
        <v/>
      </c>
    </row>
    <row r="1430">
      <c r="A1430">
        <f>'Factor Scores'!A1430</f>
        <v/>
      </c>
      <c r="B1430" s="10">
        <f>IF(A1430="","",0.40*'Factor Scores'!C1430+0.20*'Factor Scores'!E1430+0.20*'Factor Scores'!G1430+0.20*'Factor Scores'!H1430)</f>
        <v/>
      </c>
      <c r="C1430" s="12">
        <f>IF(B1430="","",RANK(B1430,$B$2:$B$2501,0))</f>
        <v/>
      </c>
      <c r="D1430">
        <f>IF(C1430="","",C1430&lt;=25)</f>
        <v/>
      </c>
      <c r="F1430">
        <f>IF(A1430="","",IF(AND(D1430=TRUE,E1430=""),"BUY",IF(AND(D1430=FALSE,E1430&lt;&gt;""),"SELL",IF(AND(D1430=TRUE,E1430&lt;&gt;""),"HOLD",""))))</f>
        <v/>
      </c>
      <c r="G1430" s="12">
        <f>IF(D1430=TRUE,4,0)</f>
        <v/>
      </c>
      <c r="H1430">
        <f>IF(A1430="","",BDP(A1430&amp;" US Equity","GICS_SECTOR_NAME"))</f>
        <v/>
      </c>
    </row>
    <row r="1431">
      <c r="A1431">
        <f>'Factor Scores'!A1431</f>
        <v/>
      </c>
      <c r="B1431" s="10">
        <f>IF(A1431="","",0.40*'Factor Scores'!C1431+0.20*'Factor Scores'!E1431+0.20*'Factor Scores'!G1431+0.20*'Factor Scores'!H1431)</f>
        <v/>
      </c>
      <c r="C1431" s="12">
        <f>IF(B1431="","",RANK(B1431,$B$2:$B$2501,0))</f>
        <v/>
      </c>
      <c r="D1431">
        <f>IF(C1431="","",C1431&lt;=25)</f>
        <v/>
      </c>
      <c r="F1431">
        <f>IF(A1431="","",IF(AND(D1431=TRUE,E1431=""),"BUY",IF(AND(D1431=FALSE,E1431&lt;&gt;""),"SELL",IF(AND(D1431=TRUE,E1431&lt;&gt;""),"HOLD",""))))</f>
        <v/>
      </c>
      <c r="G1431" s="12">
        <f>IF(D1431=TRUE,4,0)</f>
        <v/>
      </c>
      <c r="H1431">
        <f>IF(A1431="","",BDP(A1431&amp;" US Equity","GICS_SECTOR_NAME"))</f>
        <v/>
      </c>
    </row>
    <row r="1432">
      <c r="A1432">
        <f>'Factor Scores'!A1432</f>
        <v/>
      </c>
      <c r="B1432" s="10">
        <f>IF(A1432="","",0.40*'Factor Scores'!C1432+0.20*'Factor Scores'!E1432+0.20*'Factor Scores'!G1432+0.20*'Factor Scores'!H1432)</f>
        <v/>
      </c>
      <c r="C1432" s="12">
        <f>IF(B1432="","",RANK(B1432,$B$2:$B$2501,0))</f>
        <v/>
      </c>
      <c r="D1432">
        <f>IF(C1432="","",C1432&lt;=25)</f>
        <v/>
      </c>
      <c r="F1432">
        <f>IF(A1432="","",IF(AND(D1432=TRUE,E1432=""),"BUY",IF(AND(D1432=FALSE,E1432&lt;&gt;""),"SELL",IF(AND(D1432=TRUE,E1432&lt;&gt;""),"HOLD",""))))</f>
        <v/>
      </c>
      <c r="G1432" s="12">
        <f>IF(D1432=TRUE,4,0)</f>
        <v/>
      </c>
      <c r="H1432">
        <f>IF(A1432="","",BDP(A1432&amp;" US Equity","GICS_SECTOR_NAME"))</f>
        <v/>
      </c>
    </row>
    <row r="1433">
      <c r="A1433">
        <f>'Factor Scores'!A1433</f>
        <v/>
      </c>
      <c r="B1433" s="10">
        <f>IF(A1433="","",0.40*'Factor Scores'!C1433+0.20*'Factor Scores'!E1433+0.20*'Factor Scores'!G1433+0.20*'Factor Scores'!H1433)</f>
        <v/>
      </c>
      <c r="C1433" s="12">
        <f>IF(B1433="","",RANK(B1433,$B$2:$B$2501,0))</f>
        <v/>
      </c>
      <c r="D1433">
        <f>IF(C1433="","",C1433&lt;=25)</f>
        <v/>
      </c>
      <c r="F1433">
        <f>IF(A1433="","",IF(AND(D1433=TRUE,E1433=""),"BUY",IF(AND(D1433=FALSE,E1433&lt;&gt;""),"SELL",IF(AND(D1433=TRUE,E1433&lt;&gt;""),"HOLD",""))))</f>
        <v/>
      </c>
      <c r="G1433" s="12">
        <f>IF(D1433=TRUE,4,0)</f>
        <v/>
      </c>
      <c r="H1433">
        <f>IF(A1433="","",BDP(A1433&amp;" US Equity","GICS_SECTOR_NAME"))</f>
        <v/>
      </c>
    </row>
    <row r="1434">
      <c r="A1434">
        <f>'Factor Scores'!A1434</f>
        <v/>
      </c>
      <c r="B1434" s="10">
        <f>IF(A1434="","",0.40*'Factor Scores'!C1434+0.20*'Factor Scores'!E1434+0.20*'Factor Scores'!G1434+0.20*'Factor Scores'!H1434)</f>
        <v/>
      </c>
      <c r="C1434" s="12">
        <f>IF(B1434="","",RANK(B1434,$B$2:$B$2501,0))</f>
        <v/>
      </c>
      <c r="D1434">
        <f>IF(C1434="","",C1434&lt;=25)</f>
        <v/>
      </c>
      <c r="F1434">
        <f>IF(A1434="","",IF(AND(D1434=TRUE,E1434=""),"BUY",IF(AND(D1434=FALSE,E1434&lt;&gt;""),"SELL",IF(AND(D1434=TRUE,E1434&lt;&gt;""),"HOLD",""))))</f>
        <v/>
      </c>
      <c r="G1434" s="12">
        <f>IF(D1434=TRUE,4,0)</f>
        <v/>
      </c>
      <c r="H1434">
        <f>IF(A1434="","",BDP(A1434&amp;" US Equity","GICS_SECTOR_NAME"))</f>
        <v/>
      </c>
    </row>
    <row r="1435">
      <c r="A1435">
        <f>'Factor Scores'!A1435</f>
        <v/>
      </c>
      <c r="B1435" s="10">
        <f>IF(A1435="","",0.40*'Factor Scores'!C1435+0.20*'Factor Scores'!E1435+0.20*'Factor Scores'!G1435+0.20*'Factor Scores'!H1435)</f>
        <v/>
      </c>
      <c r="C1435" s="12">
        <f>IF(B1435="","",RANK(B1435,$B$2:$B$2501,0))</f>
        <v/>
      </c>
      <c r="D1435">
        <f>IF(C1435="","",C1435&lt;=25)</f>
        <v/>
      </c>
      <c r="F1435">
        <f>IF(A1435="","",IF(AND(D1435=TRUE,E1435=""),"BUY",IF(AND(D1435=FALSE,E1435&lt;&gt;""),"SELL",IF(AND(D1435=TRUE,E1435&lt;&gt;""),"HOLD",""))))</f>
        <v/>
      </c>
      <c r="G1435" s="12">
        <f>IF(D1435=TRUE,4,0)</f>
        <v/>
      </c>
      <c r="H1435">
        <f>IF(A1435="","",BDP(A1435&amp;" US Equity","GICS_SECTOR_NAME"))</f>
        <v/>
      </c>
    </row>
    <row r="1436">
      <c r="A1436">
        <f>'Factor Scores'!A1436</f>
        <v/>
      </c>
      <c r="B1436" s="10">
        <f>IF(A1436="","",0.40*'Factor Scores'!C1436+0.20*'Factor Scores'!E1436+0.20*'Factor Scores'!G1436+0.20*'Factor Scores'!H1436)</f>
        <v/>
      </c>
      <c r="C1436" s="12">
        <f>IF(B1436="","",RANK(B1436,$B$2:$B$2501,0))</f>
        <v/>
      </c>
      <c r="D1436">
        <f>IF(C1436="","",C1436&lt;=25)</f>
        <v/>
      </c>
      <c r="F1436">
        <f>IF(A1436="","",IF(AND(D1436=TRUE,E1436=""),"BUY",IF(AND(D1436=FALSE,E1436&lt;&gt;""),"SELL",IF(AND(D1436=TRUE,E1436&lt;&gt;""),"HOLD",""))))</f>
        <v/>
      </c>
      <c r="G1436" s="12">
        <f>IF(D1436=TRUE,4,0)</f>
        <v/>
      </c>
      <c r="H1436">
        <f>IF(A1436="","",BDP(A1436&amp;" US Equity","GICS_SECTOR_NAME"))</f>
        <v/>
      </c>
    </row>
    <row r="1437">
      <c r="A1437">
        <f>'Factor Scores'!A1437</f>
        <v/>
      </c>
      <c r="B1437" s="10">
        <f>IF(A1437="","",0.40*'Factor Scores'!C1437+0.20*'Factor Scores'!E1437+0.20*'Factor Scores'!G1437+0.20*'Factor Scores'!H1437)</f>
        <v/>
      </c>
      <c r="C1437" s="12">
        <f>IF(B1437="","",RANK(B1437,$B$2:$B$2501,0))</f>
        <v/>
      </c>
      <c r="D1437">
        <f>IF(C1437="","",C1437&lt;=25)</f>
        <v/>
      </c>
      <c r="F1437">
        <f>IF(A1437="","",IF(AND(D1437=TRUE,E1437=""),"BUY",IF(AND(D1437=FALSE,E1437&lt;&gt;""),"SELL",IF(AND(D1437=TRUE,E1437&lt;&gt;""),"HOLD",""))))</f>
        <v/>
      </c>
      <c r="G1437" s="12">
        <f>IF(D1437=TRUE,4,0)</f>
        <v/>
      </c>
      <c r="H1437">
        <f>IF(A1437="","",BDP(A1437&amp;" US Equity","GICS_SECTOR_NAME"))</f>
        <v/>
      </c>
    </row>
    <row r="1438">
      <c r="A1438">
        <f>'Factor Scores'!A1438</f>
        <v/>
      </c>
      <c r="B1438" s="10">
        <f>IF(A1438="","",0.40*'Factor Scores'!C1438+0.20*'Factor Scores'!E1438+0.20*'Factor Scores'!G1438+0.20*'Factor Scores'!H1438)</f>
        <v/>
      </c>
      <c r="C1438" s="12">
        <f>IF(B1438="","",RANK(B1438,$B$2:$B$2501,0))</f>
        <v/>
      </c>
      <c r="D1438">
        <f>IF(C1438="","",C1438&lt;=25)</f>
        <v/>
      </c>
      <c r="F1438">
        <f>IF(A1438="","",IF(AND(D1438=TRUE,E1438=""),"BUY",IF(AND(D1438=FALSE,E1438&lt;&gt;""),"SELL",IF(AND(D1438=TRUE,E1438&lt;&gt;""),"HOLD",""))))</f>
        <v/>
      </c>
      <c r="G1438" s="12">
        <f>IF(D1438=TRUE,4,0)</f>
        <v/>
      </c>
      <c r="H1438">
        <f>IF(A1438="","",BDP(A1438&amp;" US Equity","GICS_SECTOR_NAME"))</f>
        <v/>
      </c>
    </row>
    <row r="1439">
      <c r="A1439">
        <f>'Factor Scores'!A1439</f>
        <v/>
      </c>
      <c r="B1439" s="10">
        <f>IF(A1439="","",0.40*'Factor Scores'!C1439+0.20*'Factor Scores'!E1439+0.20*'Factor Scores'!G1439+0.20*'Factor Scores'!H1439)</f>
        <v/>
      </c>
      <c r="C1439" s="12">
        <f>IF(B1439="","",RANK(B1439,$B$2:$B$2501,0))</f>
        <v/>
      </c>
      <c r="D1439">
        <f>IF(C1439="","",C1439&lt;=25)</f>
        <v/>
      </c>
      <c r="F1439">
        <f>IF(A1439="","",IF(AND(D1439=TRUE,E1439=""),"BUY",IF(AND(D1439=FALSE,E1439&lt;&gt;""),"SELL",IF(AND(D1439=TRUE,E1439&lt;&gt;""),"HOLD",""))))</f>
        <v/>
      </c>
      <c r="G1439" s="12">
        <f>IF(D1439=TRUE,4,0)</f>
        <v/>
      </c>
      <c r="H1439">
        <f>IF(A1439="","",BDP(A1439&amp;" US Equity","GICS_SECTOR_NAME"))</f>
        <v/>
      </c>
    </row>
    <row r="1440">
      <c r="A1440">
        <f>'Factor Scores'!A1440</f>
        <v/>
      </c>
      <c r="B1440" s="10">
        <f>IF(A1440="","",0.40*'Factor Scores'!C1440+0.20*'Factor Scores'!E1440+0.20*'Factor Scores'!G1440+0.20*'Factor Scores'!H1440)</f>
        <v/>
      </c>
      <c r="C1440" s="12">
        <f>IF(B1440="","",RANK(B1440,$B$2:$B$2501,0))</f>
        <v/>
      </c>
      <c r="D1440">
        <f>IF(C1440="","",C1440&lt;=25)</f>
        <v/>
      </c>
      <c r="F1440">
        <f>IF(A1440="","",IF(AND(D1440=TRUE,E1440=""),"BUY",IF(AND(D1440=FALSE,E1440&lt;&gt;""),"SELL",IF(AND(D1440=TRUE,E1440&lt;&gt;""),"HOLD",""))))</f>
        <v/>
      </c>
      <c r="G1440" s="12">
        <f>IF(D1440=TRUE,4,0)</f>
        <v/>
      </c>
      <c r="H1440">
        <f>IF(A1440="","",BDP(A1440&amp;" US Equity","GICS_SECTOR_NAME"))</f>
        <v/>
      </c>
    </row>
    <row r="1441">
      <c r="A1441">
        <f>'Factor Scores'!A1441</f>
        <v/>
      </c>
      <c r="B1441" s="10">
        <f>IF(A1441="","",0.40*'Factor Scores'!C1441+0.20*'Factor Scores'!E1441+0.20*'Factor Scores'!G1441+0.20*'Factor Scores'!H1441)</f>
        <v/>
      </c>
      <c r="C1441" s="12">
        <f>IF(B1441="","",RANK(B1441,$B$2:$B$2501,0))</f>
        <v/>
      </c>
      <c r="D1441">
        <f>IF(C1441="","",C1441&lt;=25)</f>
        <v/>
      </c>
      <c r="F1441">
        <f>IF(A1441="","",IF(AND(D1441=TRUE,E1441=""),"BUY",IF(AND(D1441=FALSE,E1441&lt;&gt;""),"SELL",IF(AND(D1441=TRUE,E1441&lt;&gt;""),"HOLD",""))))</f>
        <v/>
      </c>
      <c r="G1441" s="12">
        <f>IF(D1441=TRUE,4,0)</f>
        <v/>
      </c>
      <c r="H1441">
        <f>IF(A1441="","",BDP(A1441&amp;" US Equity","GICS_SECTOR_NAME"))</f>
        <v/>
      </c>
    </row>
    <row r="1442">
      <c r="A1442">
        <f>'Factor Scores'!A1442</f>
        <v/>
      </c>
      <c r="B1442" s="10">
        <f>IF(A1442="","",0.40*'Factor Scores'!C1442+0.20*'Factor Scores'!E1442+0.20*'Factor Scores'!G1442+0.20*'Factor Scores'!H1442)</f>
        <v/>
      </c>
      <c r="C1442" s="12">
        <f>IF(B1442="","",RANK(B1442,$B$2:$B$2501,0))</f>
        <v/>
      </c>
      <c r="D1442">
        <f>IF(C1442="","",C1442&lt;=25)</f>
        <v/>
      </c>
      <c r="F1442">
        <f>IF(A1442="","",IF(AND(D1442=TRUE,E1442=""),"BUY",IF(AND(D1442=FALSE,E1442&lt;&gt;""),"SELL",IF(AND(D1442=TRUE,E1442&lt;&gt;""),"HOLD",""))))</f>
        <v/>
      </c>
      <c r="G1442" s="12">
        <f>IF(D1442=TRUE,4,0)</f>
        <v/>
      </c>
      <c r="H1442">
        <f>IF(A1442="","",BDP(A1442&amp;" US Equity","GICS_SECTOR_NAME"))</f>
        <v/>
      </c>
    </row>
    <row r="1443">
      <c r="A1443">
        <f>'Factor Scores'!A1443</f>
        <v/>
      </c>
      <c r="B1443" s="10">
        <f>IF(A1443="","",0.40*'Factor Scores'!C1443+0.20*'Factor Scores'!E1443+0.20*'Factor Scores'!G1443+0.20*'Factor Scores'!H1443)</f>
        <v/>
      </c>
      <c r="C1443" s="12">
        <f>IF(B1443="","",RANK(B1443,$B$2:$B$2501,0))</f>
        <v/>
      </c>
      <c r="D1443">
        <f>IF(C1443="","",C1443&lt;=25)</f>
        <v/>
      </c>
      <c r="F1443">
        <f>IF(A1443="","",IF(AND(D1443=TRUE,E1443=""),"BUY",IF(AND(D1443=FALSE,E1443&lt;&gt;""),"SELL",IF(AND(D1443=TRUE,E1443&lt;&gt;""),"HOLD",""))))</f>
        <v/>
      </c>
      <c r="G1443" s="12">
        <f>IF(D1443=TRUE,4,0)</f>
        <v/>
      </c>
      <c r="H1443">
        <f>IF(A1443="","",BDP(A1443&amp;" US Equity","GICS_SECTOR_NAME"))</f>
        <v/>
      </c>
    </row>
    <row r="1444">
      <c r="A1444">
        <f>'Factor Scores'!A1444</f>
        <v/>
      </c>
      <c r="B1444" s="10">
        <f>IF(A1444="","",0.40*'Factor Scores'!C1444+0.20*'Factor Scores'!E1444+0.20*'Factor Scores'!G1444+0.20*'Factor Scores'!H1444)</f>
        <v/>
      </c>
      <c r="C1444" s="12">
        <f>IF(B1444="","",RANK(B1444,$B$2:$B$2501,0))</f>
        <v/>
      </c>
      <c r="D1444">
        <f>IF(C1444="","",C1444&lt;=25)</f>
        <v/>
      </c>
      <c r="F1444">
        <f>IF(A1444="","",IF(AND(D1444=TRUE,E1444=""),"BUY",IF(AND(D1444=FALSE,E1444&lt;&gt;""),"SELL",IF(AND(D1444=TRUE,E1444&lt;&gt;""),"HOLD",""))))</f>
        <v/>
      </c>
      <c r="G1444" s="12">
        <f>IF(D1444=TRUE,4,0)</f>
        <v/>
      </c>
      <c r="H1444">
        <f>IF(A1444="","",BDP(A1444&amp;" US Equity","GICS_SECTOR_NAME"))</f>
        <v/>
      </c>
    </row>
    <row r="1445">
      <c r="A1445">
        <f>'Factor Scores'!A1445</f>
        <v/>
      </c>
      <c r="B1445" s="10">
        <f>IF(A1445="","",0.40*'Factor Scores'!C1445+0.20*'Factor Scores'!E1445+0.20*'Factor Scores'!G1445+0.20*'Factor Scores'!H1445)</f>
        <v/>
      </c>
      <c r="C1445" s="12">
        <f>IF(B1445="","",RANK(B1445,$B$2:$B$2501,0))</f>
        <v/>
      </c>
      <c r="D1445">
        <f>IF(C1445="","",C1445&lt;=25)</f>
        <v/>
      </c>
      <c r="F1445">
        <f>IF(A1445="","",IF(AND(D1445=TRUE,E1445=""),"BUY",IF(AND(D1445=FALSE,E1445&lt;&gt;""),"SELL",IF(AND(D1445=TRUE,E1445&lt;&gt;""),"HOLD",""))))</f>
        <v/>
      </c>
      <c r="G1445" s="12">
        <f>IF(D1445=TRUE,4,0)</f>
        <v/>
      </c>
      <c r="H1445">
        <f>IF(A1445="","",BDP(A1445&amp;" US Equity","GICS_SECTOR_NAME"))</f>
        <v/>
      </c>
    </row>
    <row r="1446">
      <c r="A1446">
        <f>'Factor Scores'!A1446</f>
        <v/>
      </c>
      <c r="B1446" s="10">
        <f>IF(A1446="","",0.40*'Factor Scores'!C1446+0.20*'Factor Scores'!E1446+0.20*'Factor Scores'!G1446+0.20*'Factor Scores'!H1446)</f>
        <v/>
      </c>
      <c r="C1446" s="12">
        <f>IF(B1446="","",RANK(B1446,$B$2:$B$2501,0))</f>
        <v/>
      </c>
      <c r="D1446">
        <f>IF(C1446="","",C1446&lt;=25)</f>
        <v/>
      </c>
      <c r="F1446">
        <f>IF(A1446="","",IF(AND(D1446=TRUE,E1446=""),"BUY",IF(AND(D1446=FALSE,E1446&lt;&gt;""),"SELL",IF(AND(D1446=TRUE,E1446&lt;&gt;""),"HOLD",""))))</f>
        <v/>
      </c>
      <c r="G1446" s="12">
        <f>IF(D1446=TRUE,4,0)</f>
        <v/>
      </c>
      <c r="H1446">
        <f>IF(A1446="","",BDP(A1446&amp;" US Equity","GICS_SECTOR_NAME"))</f>
        <v/>
      </c>
    </row>
    <row r="1447">
      <c r="A1447">
        <f>'Factor Scores'!A1447</f>
        <v/>
      </c>
      <c r="B1447" s="10">
        <f>IF(A1447="","",0.40*'Factor Scores'!C1447+0.20*'Factor Scores'!E1447+0.20*'Factor Scores'!G1447+0.20*'Factor Scores'!H1447)</f>
        <v/>
      </c>
      <c r="C1447" s="12">
        <f>IF(B1447="","",RANK(B1447,$B$2:$B$2501,0))</f>
        <v/>
      </c>
      <c r="D1447">
        <f>IF(C1447="","",C1447&lt;=25)</f>
        <v/>
      </c>
      <c r="F1447">
        <f>IF(A1447="","",IF(AND(D1447=TRUE,E1447=""),"BUY",IF(AND(D1447=FALSE,E1447&lt;&gt;""),"SELL",IF(AND(D1447=TRUE,E1447&lt;&gt;""),"HOLD",""))))</f>
        <v/>
      </c>
      <c r="G1447" s="12">
        <f>IF(D1447=TRUE,4,0)</f>
        <v/>
      </c>
      <c r="H1447">
        <f>IF(A1447="","",BDP(A1447&amp;" US Equity","GICS_SECTOR_NAME"))</f>
        <v/>
      </c>
    </row>
    <row r="1448">
      <c r="A1448">
        <f>'Factor Scores'!A1448</f>
        <v/>
      </c>
      <c r="B1448" s="10">
        <f>IF(A1448="","",0.40*'Factor Scores'!C1448+0.20*'Factor Scores'!E1448+0.20*'Factor Scores'!G1448+0.20*'Factor Scores'!H1448)</f>
        <v/>
      </c>
      <c r="C1448" s="12">
        <f>IF(B1448="","",RANK(B1448,$B$2:$B$2501,0))</f>
        <v/>
      </c>
      <c r="D1448">
        <f>IF(C1448="","",C1448&lt;=25)</f>
        <v/>
      </c>
      <c r="F1448">
        <f>IF(A1448="","",IF(AND(D1448=TRUE,E1448=""),"BUY",IF(AND(D1448=FALSE,E1448&lt;&gt;""),"SELL",IF(AND(D1448=TRUE,E1448&lt;&gt;""),"HOLD",""))))</f>
        <v/>
      </c>
      <c r="G1448" s="12">
        <f>IF(D1448=TRUE,4,0)</f>
        <v/>
      </c>
      <c r="H1448">
        <f>IF(A1448="","",BDP(A1448&amp;" US Equity","GICS_SECTOR_NAME"))</f>
        <v/>
      </c>
    </row>
    <row r="1449">
      <c r="A1449">
        <f>'Factor Scores'!A1449</f>
        <v/>
      </c>
      <c r="B1449" s="10">
        <f>IF(A1449="","",0.40*'Factor Scores'!C1449+0.20*'Factor Scores'!E1449+0.20*'Factor Scores'!G1449+0.20*'Factor Scores'!H1449)</f>
        <v/>
      </c>
      <c r="C1449" s="12">
        <f>IF(B1449="","",RANK(B1449,$B$2:$B$2501,0))</f>
        <v/>
      </c>
      <c r="D1449">
        <f>IF(C1449="","",C1449&lt;=25)</f>
        <v/>
      </c>
      <c r="F1449">
        <f>IF(A1449="","",IF(AND(D1449=TRUE,E1449=""),"BUY",IF(AND(D1449=FALSE,E1449&lt;&gt;""),"SELL",IF(AND(D1449=TRUE,E1449&lt;&gt;""),"HOLD",""))))</f>
        <v/>
      </c>
      <c r="G1449" s="12">
        <f>IF(D1449=TRUE,4,0)</f>
        <v/>
      </c>
      <c r="H1449">
        <f>IF(A1449="","",BDP(A1449&amp;" US Equity","GICS_SECTOR_NAME"))</f>
        <v/>
      </c>
    </row>
    <row r="1450">
      <c r="A1450">
        <f>'Factor Scores'!A1450</f>
        <v/>
      </c>
      <c r="B1450" s="10">
        <f>IF(A1450="","",0.40*'Factor Scores'!C1450+0.20*'Factor Scores'!E1450+0.20*'Factor Scores'!G1450+0.20*'Factor Scores'!H1450)</f>
        <v/>
      </c>
      <c r="C1450" s="12">
        <f>IF(B1450="","",RANK(B1450,$B$2:$B$2501,0))</f>
        <v/>
      </c>
      <c r="D1450">
        <f>IF(C1450="","",C1450&lt;=25)</f>
        <v/>
      </c>
      <c r="F1450">
        <f>IF(A1450="","",IF(AND(D1450=TRUE,E1450=""),"BUY",IF(AND(D1450=FALSE,E1450&lt;&gt;""),"SELL",IF(AND(D1450=TRUE,E1450&lt;&gt;""),"HOLD",""))))</f>
        <v/>
      </c>
      <c r="G1450" s="12">
        <f>IF(D1450=TRUE,4,0)</f>
        <v/>
      </c>
      <c r="H1450">
        <f>IF(A1450="","",BDP(A1450&amp;" US Equity","GICS_SECTOR_NAME"))</f>
        <v/>
      </c>
    </row>
    <row r="1451">
      <c r="A1451">
        <f>'Factor Scores'!A1451</f>
        <v/>
      </c>
      <c r="B1451" s="10">
        <f>IF(A1451="","",0.40*'Factor Scores'!C1451+0.20*'Factor Scores'!E1451+0.20*'Factor Scores'!G1451+0.20*'Factor Scores'!H1451)</f>
        <v/>
      </c>
      <c r="C1451" s="12">
        <f>IF(B1451="","",RANK(B1451,$B$2:$B$2501,0))</f>
        <v/>
      </c>
      <c r="D1451">
        <f>IF(C1451="","",C1451&lt;=25)</f>
        <v/>
      </c>
      <c r="F1451">
        <f>IF(A1451="","",IF(AND(D1451=TRUE,E1451=""),"BUY",IF(AND(D1451=FALSE,E1451&lt;&gt;""),"SELL",IF(AND(D1451=TRUE,E1451&lt;&gt;""),"HOLD",""))))</f>
        <v/>
      </c>
      <c r="G1451" s="12">
        <f>IF(D1451=TRUE,4,0)</f>
        <v/>
      </c>
      <c r="H1451">
        <f>IF(A1451="","",BDP(A1451&amp;" US Equity","GICS_SECTOR_NAME"))</f>
        <v/>
      </c>
    </row>
    <row r="1452">
      <c r="A1452">
        <f>'Factor Scores'!A1452</f>
        <v/>
      </c>
      <c r="B1452" s="10">
        <f>IF(A1452="","",0.40*'Factor Scores'!C1452+0.20*'Factor Scores'!E1452+0.20*'Factor Scores'!G1452+0.20*'Factor Scores'!H1452)</f>
        <v/>
      </c>
      <c r="C1452" s="12">
        <f>IF(B1452="","",RANK(B1452,$B$2:$B$2501,0))</f>
        <v/>
      </c>
      <c r="D1452">
        <f>IF(C1452="","",C1452&lt;=25)</f>
        <v/>
      </c>
      <c r="F1452">
        <f>IF(A1452="","",IF(AND(D1452=TRUE,E1452=""),"BUY",IF(AND(D1452=FALSE,E1452&lt;&gt;""),"SELL",IF(AND(D1452=TRUE,E1452&lt;&gt;""),"HOLD",""))))</f>
        <v/>
      </c>
      <c r="G1452" s="12">
        <f>IF(D1452=TRUE,4,0)</f>
        <v/>
      </c>
      <c r="H1452">
        <f>IF(A1452="","",BDP(A1452&amp;" US Equity","GICS_SECTOR_NAME"))</f>
        <v/>
      </c>
    </row>
    <row r="1453">
      <c r="A1453">
        <f>'Factor Scores'!A1453</f>
        <v/>
      </c>
      <c r="B1453" s="10">
        <f>IF(A1453="","",0.40*'Factor Scores'!C1453+0.20*'Factor Scores'!E1453+0.20*'Factor Scores'!G1453+0.20*'Factor Scores'!H1453)</f>
        <v/>
      </c>
      <c r="C1453" s="12">
        <f>IF(B1453="","",RANK(B1453,$B$2:$B$2501,0))</f>
        <v/>
      </c>
      <c r="D1453">
        <f>IF(C1453="","",C1453&lt;=25)</f>
        <v/>
      </c>
      <c r="F1453">
        <f>IF(A1453="","",IF(AND(D1453=TRUE,E1453=""),"BUY",IF(AND(D1453=FALSE,E1453&lt;&gt;""),"SELL",IF(AND(D1453=TRUE,E1453&lt;&gt;""),"HOLD",""))))</f>
        <v/>
      </c>
      <c r="G1453" s="12">
        <f>IF(D1453=TRUE,4,0)</f>
        <v/>
      </c>
      <c r="H1453">
        <f>IF(A1453="","",BDP(A1453&amp;" US Equity","GICS_SECTOR_NAME"))</f>
        <v/>
      </c>
    </row>
    <row r="1454">
      <c r="A1454">
        <f>'Factor Scores'!A1454</f>
        <v/>
      </c>
      <c r="B1454" s="10">
        <f>IF(A1454="","",0.40*'Factor Scores'!C1454+0.20*'Factor Scores'!E1454+0.20*'Factor Scores'!G1454+0.20*'Factor Scores'!H1454)</f>
        <v/>
      </c>
      <c r="C1454" s="12">
        <f>IF(B1454="","",RANK(B1454,$B$2:$B$2501,0))</f>
        <v/>
      </c>
      <c r="D1454">
        <f>IF(C1454="","",C1454&lt;=25)</f>
        <v/>
      </c>
      <c r="F1454">
        <f>IF(A1454="","",IF(AND(D1454=TRUE,E1454=""),"BUY",IF(AND(D1454=FALSE,E1454&lt;&gt;""),"SELL",IF(AND(D1454=TRUE,E1454&lt;&gt;""),"HOLD",""))))</f>
        <v/>
      </c>
      <c r="G1454" s="12">
        <f>IF(D1454=TRUE,4,0)</f>
        <v/>
      </c>
      <c r="H1454">
        <f>IF(A1454="","",BDP(A1454&amp;" US Equity","GICS_SECTOR_NAME"))</f>
        <v/>
      </c>
    </row>
    <row r="1455">
      <c r="A1455">
        <f>'Factor Scores'!A1455</f>
        <v/>
      </c>
      <c r="B1455" s="10">
        <f>IF(A1455="","",0.40*'Factor Scores'!C1455+0.20*'Factor Scores'!E1455+0.20*'Factor Scores'!G1455+0.20*'Factor Scores'!H1455)</f>
        <v/>
      </c>
      <c r="C1455" s="12">
        <f>IF(B1455="","",RANK(B1455,$B$2:$B$2501,0))</f>
        <v/>
      </c>
      <c r="D1455">
        <f>IF(C1455="","",C1455&lt;=25)</f>
        <v/>
      </c>
      <c r="F1455">
        <f>IF(A1455="","",IF(AND(D1455=TRUE,E1455=""),"BUY",IF(AND(D1455=FALSE,E1455&lt;&gt;""),"SELL",IF(AND(D1455=TRUE,E1455&lt;&gt;""),"HOLD",""))))</f>
        <v/>
      </c>
      <c r="G1455" s="12">
        <f>IF(D1455=TRUE,4,0)</f>
        <v/>
      </c>
      <c r="H1455">
        <f>IF(A1455="","",BDP(A1455&amp;" US Equity","GICS_SECTOR_NAME"))</f>
        <v/>
      </c>
    </row>
    <row r="1456">
      <c r="A1456">
        <f>'Factor Scores'!A1456</f>
        <v/>
      </c>
      <c r="B1456" s="10">
        <f>IF(A1456="","",0.40*'Factor Scores'!C1456+0.20*'Factor Scores'!E1456+0.20*'Factor Scores'!G1456+0.20*'Factor Scores'!H1456)</f>
        <v/>
      </c>
      <c r="C1456" s="12">
        <f>IF(B1456="","",RANK(B1456,$B$2:$B$2501,0))</f>
        <v/>
      </c>
      <c r="D1456">
        <f>IF(C1456="","",C1456&lt;=25)</f>
        <v/>
      </c>
      <c r="F1456">
        <f>IF(A1456="","",IF(AND(D1456=TRUE,E1456=""),"BUY",IF(AND(D1456=FALSE,E1456&lt;&gt;""),"SELL",IF(AND(D1456=TRUE,E1456&lt;&gt;""),"HOLD",""))))</f>
        <v/>
      </c>
      <c r="G1456" s="12">
        <f>IF(D1456=TRUE,4,0)</f>
        <v/>
      </c>
      <c r="H1456">
        <f>IF(A1456="","",BDP(A1456&amp;" US Equity","GICS_SECTOR_NAME"))</f>
        <v/>
      </c>
    </row>
    <row r="1457">
      <c r="A1457">
        <f>'Factor Scores'!A1457</f>
        <v/>
      </c>
      <c r="B1457" s="10">
        <f>IF(A1457="","",0.40*'Factor Scores'!C1457+0.20*'Factor Scores'!E1457+0.20*'Factor Scores'!G1457+0.20*'Factor Scores'!H1457)</f>
        <v/>
      </c>
      <c r="C1457" s="12">
        <f>IF(B1457="","",RANK(B1457,$B$2:$B$2501,0))</f>
        <v/>
      </c>
      <c r="D1457">
        <f>IF(C1457="","",C1457&lt;=25)</f>
        <v/>
      </c>
      <c r="F1457">
        <f>IF(A1457="","",IF(AND(D1457=TRUE,E1457=""),"BUY",IF(AND(D1457=FALSE,E1457&lt;&gt;""),"SELL",IF(AND(D1457=TRUE,E1457&lt;&gt;""),"HOLD",""))))</f>
        <v/>
      </c>
      <c r="G1457" s="12">
        <f>IF(D1457=TRUE,4,0)</f>
        <v/>
      </c>
      <c r="H1457">
        <f>IF(A1457="","",BDP(A1457&amp;" US Equity","GICS_SECTOR_NAME"))</f>
        <v/>
      </c>
    </row>
    <row r="1458">
      <c r="A1458">
        <f>'Factor Scores'!A1458</f>
        <v/>
      </c>
      <c r="B1458" s="10">
        <f>IF(A1458="","",0.40*'Factor Scores'!C1458+0.20*'Factor Scores'!E1458+0.20*'Factor Scores'!G1458+0.20*'Factor Scores'!H1458)</f>
        <v/>
      </c>
      <c r="C1458" s="12">
        <f>IF(B1458="","",RANK(B1458,$B$2:$B$2501,0))</f>
        <v/>
      </c>
      <c r="D1458">
        <f>IF(C1458="","",C1458&lt;=25)</f>
        <v/>
      </c>
      <c r="F1458">
        <f>IF(A1458="","",IF(AND(D1458=TRUE,E1458=""),"BUY",IF(AND(D1458=FALSE,E1458&lt;&gt;""),"SELL",IF(AND(D1458=TRUE,E1458&lt;&gt;""),"HOLD",""))))</f>
        <v/>
      </c>
      <c r="G1458" s="12">
        <f>IF(D1458=TRUE,4,0)</f>
        <v/>
      </c>
      <c r="H1458">
        <f>IF(A1458="","",BDP(A1458&amp;" US Equity","GICS_SECTOR_NAME"))</f>
        <v/>
      </c>
    </row>
    <row r="1459">
      <c r="A1459">
        <f>'Factor Scores'!A1459</f>
        <v/>
      </c>
      <c r="B1459" s="10">
        <f>IF(A1459="","",0.40*'Factor Scores'!C1459+0.20*'Factor Scores'!E1459+0.20*'Factor Scores'!G1459+0.20*'Factor Scores'!H1459)</f>
        <v/>
      </c>
      <c r="C1459" s="12">
        <f>IF(B1459="","",RANK(B1459,$B$2:$B$2501,0))</f>
        <v/>
      </c>
      <c r="D1459">
        <f>IF(C1459="","",C1459&lt;=25)</f>
        <v/>
      </c>
      <c r="F1459">
        <f>IF(A1459="","",IF(AND(D1459=TRUE,E1459=""),"BUY",IF(AND(D1459=FALSE,E1459&lt;&gt;""),"SELL",IF(AND(D1459=TRUE,E1459&lt;&gt;""),"HOLD",""))))</f>
        <v/>
      </c>
      <c r="G1459" s="12">
        <f>IF(D1459=TRUE,4,0)</f>
        <v/>
      </c>
      <c r="H1459">
        <f>IF(A1459="","",BDP(A1459&amp;" US Equity","GICS_SECTOR_NAME"))</f>
        <v/>
      </c>
    </row>
    <row r="1460">
      <c r="A1460">
        <f>'Factor Scores'!A1460</f>
        <v/>
      </c>
      <c r="B1460" s="10">
        <f>IF(A1460="","",0.40*'Factor Scores'!C1460+0.20*'Factor Scores'!E1460+0.20*'Factor Scores'!G1460+0.20*'Factor Scores'!H1460)</f>
        <v/>
      </c>
      <c r="C1460" s="12">
        <f>IF(B1460="","",RANK(B1460,$B$2:$B$2501,0))</f>
        <v/>
      </c>
      <c r="D1460">
        <f>IF(C1460="","",C1460&lt;=25)</f>
        <v/>
      </c>
      <c r="F1460">
        <f>IF(A1460="","",IF(AND(D1460=TRUE,E1460=""),"BUY",IF(AND(D1460=FALSE,E1460&lt;&gt;""),"SELL",IF(AND(D1460=TRUE,E1460&lt;&gt;""),"HOLD",""))))</f>
        <v/>
      </c>
      <c r="G1460" s="12">
        <f>IF(D1460=TRUE,4,0)</f>
        <v/>
      </c>
      <c r="H1460">
        <f>IF(A1460="","",BDP(A1460&amp;" US Equity","GICS_SECTOR_NAME"))</f>
        <v/>
      </c>
    </row>
    <row r="1461">
      <c r="A1461">
        <f>'Factor Scores'!A1461</f>
        <v/>
      </c>
      <c r="B1461" s="10">
        <f>IF(A1461="","",0.40*'Factor Scores'!C1461+0.20*'Factor Scores'!E1461+0.20*'Factor Scores'!G1461+0.20*'Factor Scores'!H1461)</f>
        <v/>
      </c>
      <c r="C1461" s="12">
        <f>IF(B1461="","",RANK(B1461,$B$2:$B$2501,0))</f>
        <v/>
      </c>
      <c r="D1461">
        <f>IF(C1461="","",C1461&lt;=25)</f>
        <v/>
      </c>
      <c r="F1461">
        <f>IF(A1461="","",IF(AND(D1461=TRUE,E1461=""),"BUY",IF(AND(D1461=FALSE,E1461&lt;&gt;""),"SELL",IF(AND(D1461=TRUE,E1461&lt;&gt;""),"HOLD",""))))</f>
        <v/>
      </c>
      <c r="G1461" s="12">
        <f>IF(D1461=TRUE,4,0)</f>
        <v/>
      </c>
      <c r="H1461">
        <f>IF(A1461="","",BDP(A1461&amp;" US Equity","GICS_SECTOR_NAME"))</f>
        <v/>
      </c>
    </row>
    <row r="1462">
      <c r="A1462">
        <f>'Factor Scores'!A1462</f>
        <v/>
      </c>
      <c r="B1462" s="10">
        <f>IF(A1462="","",0.40*'Factor Scores'!C1462+0.20*'Factor Scores'!E1462+0.20*'Factor Scores'!G1462+0.20*'Factor Scores'!H1462)</f>
        <v/>
      </c>
      <c r="C1462" s="12">
        <f>IF(B1462="","",RANK(B1462,$B$2:$B$2501,0))</f>
        <v/>
      </c>
      <c r="D1462">
        <f>IF(C1462="","",C1462&lt;=25)</f>
        <v/>
      </c>
      <c r="F1462">
        <f>IF(A1462="","",IF(AND(D1462=TRUE,E1462=""),"BUY",IF(AND(D1462=FALSE,E1462&lt;&gt;""),"SELL",IF(AND(D1462=TRUE,E1462&lt;&gt;""),"HOLD",""))))</f>
        <v/>
      </c>
      <c r="G1462" s="12">
        <f>IF(D1462=TRUE,4,0)</f>
        <v/>
      </c>
      <c r="H1462">
        <f>IF(A1462="","",BDP(A1462&amp;" US Equity","GICS_SECTOR_NAME"))</f>
        <v/>
      </c>
    </row>
    <row r="1463">
      <c r="A1463">
        <f>'Factor Scores'!A1463</f>
        <v/>
      </c>
      <c r="B1463" s="10">
        <f>IF(A1463="","",0.40*'Factor Scores'!C1463+0.20*'Factor Scores'!E1463+0.20*'Factor Scores'!G1463+0.20*'Factor Scores'!H1463)</f>
        <v/>
      </c>
      <c r="C1463" s="12">
        <f>IF(B1463="","",RANK(B1463,$B$2:$B$2501,0))</f>
        <v/>
      </c>
      <c r="D1463">
        <f>IF(C1463="","",C1463&lt;=25)</f>
        <v/>
      </c>
      <c r="F1463">
        <f>IF(A1463="","",IF(AND(D1463=TRUE,E1463=""),"BUY",IF(AND(D1463=FALSE,E1463&lt;&gt;""),"SELL",IF(AND(D1463=TRUE,E1463&lt;&gt;""),"HOLD",""))))</f>
        <v/>
      </c>
      <c r="G1463" s="12">
        <f>IF(D1463=TRUE,4,0)</f>
        <v/>
      </c>
      <c r="H1463">
        <f>IF(A1463="","",BDP(A1463&amp;" US Equity","GICS_SECTOR_NAME"))</f>
        <v/>
      </c>
    </row>
    <row r="1464">
      <c r="A1464">
        <f>'Factor Scores'!A1464</f>
        <v/>
      </c>
      <c r="B1464" s="10">
        <f>IF(A1464="","",0.40*'Factor Scores'!C1464+0.20*'Factor Scores'!E1464+0.20*'Factor Scores'!G1464+0.20*'Factor Scores'!H1464)</f>
        <v/>
      </c>
      <c r="C1464" s="12">
        <f>IF(B1464="","",RANK(B1464,$B$2:$B$2501,0))</f>
        <v/>
      </c>
      <c r="D1464">
        <f>IF(C1464="","",C1464&lt;=25)</f>
        <v/>
      </c>
      <c r="F1464">
        <f>IF(A1464="","",IF(AND(D1464=TRUE,E1464=""),"BUY",IF(AND(D1464=FALSE,E1464&lt;&gt;""),"SELL",IF(AND(D1464=TRUE,E1464&lt;&gt;""),"HOLD",""))))</f>
        <v/>
      </c>
      <c r="G1464" s="12">
        <f>IF(D1464=TRUE,4,0)</f>
        <v/>
      </c>
      <c r="H1464">
        <f>IF(A1464="","",BDP(A1464&amp;" US Equity","GICS_SECTOR_NAME"))</f>
        <v/>
      </c>
    </row>
    <row r="1465">
      <c r="A1465">
        <f>'Factor Scores'!A1465</f>
        <v/>
      </c>
      <c r="B1465" s="10">
        <f>IF(A1465="","",0.40*'Factor Scores'!C1465+0.20*'Factor Scores'!E1465+0.20*'Factor Scores'!G1465+0.20*'Factor Scores'!H1465)</f>
        <v/>
      </c>
      <c r="C1465" s="12">
        <f>IF(B1465="","",RANK(B1465,$B$2:$B$2501,0))</f>
        <v/>
      </c>
      <c r="D1465">
        <f>IF(C1465="","",C1465&lt;=25)</f>
        <v/>
      </c>
      <c r="F1465">
        <f>IF(A1465="","",IF(AND(D1465=TRUE,E1465=""),"BUY",IF(AND(D1465=FALSE,E1465&lt;&gt;""),"SELL",IF(AND(D1465=TRUE,E1465&lt;&gt;""),"HOLD",""))))</f>
        <v/>
      </c>
      <c r="G1465" s="12">
        <f>IF(D1465=TRUE,4,0)</f>
        <v/>
      </c>
      <c r="H1465">
        <f>IF(A1465="","",BDP(A1465&amp;" US Equity","GICS_SECTOR_NAME"))</f>
        <v/>
      </c>
    </row>
    <row r="1466">
      <c r="A1466">
        <f>'Factor Scores'!A1466</f>
        <v/>
      </c>
      <c r="B1466" s="10">
        <f>IF(A1466="","",0.40*'Factor Scores'!C1466+0.20*'Factor Scores'!E1466+0.20*'Factor Scores'!G1466+0.20*'Factor Scores'!H1466)</f>
        <v/>
      </c>
      <c r="C1466" s="12">
        <f>IF(B1466="","",RANK(B1466,$B$2:$B$2501,0))</f>
        <v/>
      </c>
      <c r="D1466">
        <f>IF(C1466="","",C1466&lt;=25)</f>
        <v/>
      </c>
      <c r="F1466">
        <f>IF(A1466="","",IF(AND(D1466=TRUE,E1466=""),"BUY",IF(AND(D1466=FALSE,E1466&lt;&gt;""),"SELL",IF(AND(D1466=TRUE,E1466&lt;&gt;""),"HOLD",""))))</f>
        <v/>
      </c>
      <c r="G1466" s="12">
        <f>IF(D1466=TRUE,4,0)</f>
        <v/>
      </c>
      <c r="H1466">
        <f>IF(A1466="","",BDP(A1466&amp;" US Equity","GICS_SECTOR_NAME"))</f>
        <v/>
      </c>
    </row>
    <row r="1467">
      <c r="A1467">
        <f>'Factor Scores'!A1467</f>
        <v/>
      </c>
      <c r="B1467" s="10">
        <f>IF(A1467="","",0.40*'Factor Scores'!C1467+0.20*'Factor Scores'!E1467+0.20*'Factor Scores'!G1467+0.20*'Factor Scores'!H1467)</f>
        <v/>
      </c>
      <c r="C1467" s="12">
        <f>IF(B1467="","",RANK(B1467,$B$2:$B$2501,0))</f>
        <v/>
      </c>
      <c r="D1467">
        <f>IF(C1467="","",C1467&lt;=25)</f>
        <v/>
      </c>
      <c r="F1467">
        <f>IF(A1467="","",IF(AND(D1467=TRUE,E1467=""),"BUY",IF(AND(D1467=FALSE,E1467&lt;&gt;""),"SELL",IF(AND(D1467=TRUE,E1467&lt;&gt;""),"HOLD",""))))</f>
        <v/>
      </c>
      <c r="G1467" s="12">
        <f>IF(D1467=TRUE,4,0)</f>
        <v/>
      </c>
      <c r="H1467">
        <f>IF(A1467="","",BDP(A1467&amp;" US Equity","GICS_SECTOR_NAME"))</f>
        <v/>
      </c>
    </row>
    <row r="1468">
      <c r="A1468">
        <f>'Factor Scores'!A1468</f>
        <v/>
      </c>
      <c r="B1468" s="10">
        <f>IF(A1468="","",0.40*'Factor Scores'!C1468+0.20*'Factor Scores'!E1468+0.20*'Factor Scores'!G1468+0.20*'Factor Scores'!H1468)</f>
        <v/>
      </c>
      <c r="C1468" s="12">
        <f>IF(B1468="","",RANK(B1468,$B$2:$B$2501,0))</f>
        <v/>
      </c>
      <c r="D1468">
        <f>IF(C1468="","",C1468&lt;=25)</f>
        <v/>
      </c>
      <c r="F1468">
        <f>IF(A1468="","",IF(AND(D1468=TRUE,E1468=""),"BUY",IF(AND(D1468=FALSE,E1468&lt;&gt;""),"SELL",IF(AND(D1468=TRUE,E1468&lt;&gt;""),"HOLD",""))))</f>
        <v/>
      </c>
      <c r="G1468" s="12">
        <f>IF(D1468=TRUE,4,0)</f>
        <v/>
      </c>
      <c r="H1468">
        <f>IF(A1468="","",BDP(A1468&amp;" US Equity","GICS_SECTOR_NAME"))</f>
        <v/>
      </c>
    </row>
    <row r="1469">
      <c r="A1469">
        <f>'Factor Scores'!A1469</f>
        <v/>
      </c>
      <c r="B1469" s="10">
        <f>IF(A1469="","",0.40*'Factor Scores'!C1469+0.20*'Factor Scores'!E1469+0.20*'Factor Scores'!G1469+0.20*'Factor Scores'!H1469)</f>
        <v/>
      </c>
      <c r="C1469" s="12">
        <f>IF(B1469="","",RANK(B1469,$B$2:$B$2501,0))</f>
        <v/>
      </c>
      <c r="D1469">
        <f>IF(C1469="","",C1469&lt;=25)</f>
        <v/>
      </c>
      <c r="F1469">
        <f>IF(A1469="","",IF(AND(D1469=TRUE,E1469=""),"BUY",IF(AND(D1469=FALSE,E1469&lt;&gt;""),"SELL",IF(AND(D1469=TRUE,E1469&lt;&gt;""),"HOLD",""))))</f>
        <v/>
      </c>
      <c r="G1469" s="12">
        <f>IF(D1469=TRUE,4,0)</f>
        <v/>
      </c>
      <c r="H1469">
        <f>IF(A1469="","",BDP(A1469&amp;" US Equity","GICS_SECTOR_NAME"))</f>
        <v/>
      </c>
    </row>
    <row r="1470">
      <c r="A1470">
        <f>'Factor Scores'!A1470</f>
        <v/>
      </c>
      <c r="B1470" s="10">
        <f>IF(A1470="","",0.40*'Factor Scores'!C1470+0.20*'Factor Scores'!E1470+0.20*'Factor Scores'!G1470+0.20*'Factor Scores'!H1470)</f>
        <v/>
      </c>
      <c r="C1470" s="12">
        <f>IF(B1470="","",RANK(B1470,$B$2:$B$2501,0))</f>
        <v/>
      </c>
      <c r="D1470">
        <f>IF(C1470="","",C1470&lt;=25)</f>
        <v/>
      </c>
      <c r="F1470">
        <f>IF(A1470="","",IF(AND(D1470=TRUE,E1470=""),"BUY",IF(AND(D1470=FALSE,E1470&lt;&gt;""),"SELL",IF(AND(D1470=TRUE,E1470&lt;&gt;""),"HOLD",""))))</f>
        <v/>
      </c>
      <c r="G1470" s="12">
        <f>IF(D1470=TRUE,4,0)</f>
        <v/>
      </c>
      <c r="H1470">
        <f>IF(A1470="","",BDP(A1470&amp;" US Equity","GICS_SECTOR_NAME"))</f>
        <v/>
      </c>
    </row>
    <row r="1471">
      <c r="A1471">
        <f>'Factor Scores'!A1471</f>
        <v/>
      </c>
      <c r="B1471" s="10">
        <f>IF(A1471="","",0.40*'Factor Scores'!C1471+0.20*'Factor Scores'!E1471+0.20*'Factor Scores'!G1471+0.20*'Factor Scores'!H1471)</f>
        <v/>
      </c>
      <c r="C1471" s="12">
        <f>IF(B1471="","",RANK(B1471,$B$2:$B$2501,0))</f>
        <v/>
      </c>
      <c r="D1471">
        <f>IF(C1471="","",C1471&lt;=25)</f>
        <v/>
      </c>
      <c r="F1471">
        <f>IF(A1471="","",IF(AND(D1471=TRUE,E1471=""),"BUY",IF(AND(D1471=FALSE,E1471&lt;&gt;""),"SELL",IF(AND(D1471=TRUE,E1471&lt;&gt;""),"HOLD",""))))</f>
        <v/>
      </c>
      <c r="G1471" s="12">
        <f>IF(D1471=TRUE,4,0)</f>
        <v/>
      </c>
      <c r="H1471">
        <f>IF(A1471="","",BDP(A1471&amp;" US Equity","GICS_SECTOR_NAME"))</f>
        <v/>
      </c>
    </row>
    <row r="1472">
      <c r="A1472">
        <f>'Factor Scores'!A1472</f>
        <v/>
      </c>
      <c r="B1472" s="10">
        <f>IF(A1472="","",0.40*'Factor Scores'!C1472+0.20*'Factor Scores'!E1472+0.20*'Factor Scores'!G1472+0.20*'Factor Scores'!H1472)</f>
        <v/>
      </c>
      <c r="C1472" s="12">
        <f>IF(B1472="","",RANK(B1472,$B$2:$B$2501,0))</f>
        <v/>
      </c>
      <c r="D1472">
        <f>IF(C1472="","",C1472&lt;=25)</f>
        <v/>
      </c>
      <c r="F1472">
        <f>IF(A1472="","",IF(AND(D1472=TRUE,E1472=""),"BUY",IF(AND(D1472=FALSE,E1472&lt;&gt;""),"SELL",IF(AND(D1472=TRUE,E1472&lt;&gt;""),"HOLD",""))))</f>
        <v/>
      </c>
      <c r="G1472" s="12">
        <f>IF(D1472=TRUE,4,0)</f>
        <v/>
      </c>
      <c r="H1472">
        <f>IF(A1472="","",BDP(A1472&amp;" US Equity","GICS_SECTOR_NAME"))</f>
        <v/>
      </c>
    </row>
    <row r="1473">
      <c r="A1473">
        <f>'Factor Scores'!A1473</f>
        <v/>
      </c>
      <c r="B1473" s="10">
        <f>IF(A1473="","",0.40*'Factor Scores'!C1473+0.20*'Factor Scores'!E1473+0.20*'Factor Scores'!G1473+0.20*'Factor Scores'!H1473)</f>
        <v/>
      </c>
      <c r="C1473" s="12">
        <f>IF(B1473="","",RANK(B1473,$B$2:$B$2501,0))</f>
        <v/>
      </c>
      <c r="D1473">
        <f>IF(C1473="","",C1473&lt;=25)</f>
        <v/>
      </c>
      <c r="F1473">
        <f>IF(A1473="","",IF(AND(D1473=TRUE,E1473=""),"BUY",IF(AND(D1473=FALSE,E1473&lt;&gt;""),"SELL",IF(AND(D1473=TRUE,E1473&lt;&gt;""),"HOLD",""))))</f>
        <v/>
      </c>
      <c r="G1473" s="12">
        <f>IF(D1473=TRUE,4,0)</f>
        <v/>
      </c>
      <c r="H1473">
        <f>IF(A1473="","",BDP(A1473&amp;" US Equity","GICS_SECTOR_NAME"))</f>
        <v/>
      </c>
    </row>
    <row r="1474">
      <c r="A1474">
        <f>'Factor Scores'!A1474</f>
        <v/>
      </c>
      <c r="B1474" s="10">
        <f>IF(A1474="","",0.40*'Factor Scores'!C1474+0.20*'Factor Scores'!E1474+0.20*'Factor Scores'!G1474+0.20*'Factor Scores'!H1474)</f>
        <v/>
      </c>
      <c r="C1474" s="12">
        <f>IF(B1474="","",RANK(B1474,$B$2:$B$2501,0))</f>
        <v/>
      </c>
      <c r="D1474">
        <f>IF(C1474="","",C1474&lt;=25)</f>
        <v/>
      </c>
      <c r="F1474">
        <f>IF(A1474="","",IF(AND(D1474=TRUE,E1474=""),"BUY",IF(AND(D1474=FALSE,E1474&lt;&gt;""),"SELL",IF(AND(D1474=TRUE,E1474&lt;&gt;""),"HOLD",""))))</f>
        <v/>
      </c>
      <c r="G1474" s="12">
        <f>IF(D1474=TRUE,4,0)</f>
        <v/>
      </c>
      <c r="H1474">
        <f>IF(A1474="","",BDP(A1474&amp;" US Equity","GICS_SECTOR_NAME"))</f>
        <v/>
      </c>
    </row>
    <row r="1475">
      <c r="A1475">
        <f>'Factor Scores'!A1475</f>
        <v/>
      </c>
      <c r="B1475" s="10">
        <f>IF(A1475="","",0.40*'Factor Scores'!C1475+0.20*'Factor Scores'!E1475+0.20*'Factor Scores'!G1475+0.20*'Factor Scores'!H1475)</f>
        <v/>
      </c>
      <c r="C1475" s="12">
        <f>IF(B1475="","",RANK(B1475,$B$2:$B$2501,0))</f>
        <v/>
      </c>
      <c r="D1475">
        <f>IF(C1475="","",C1475&lt;=25)</f>
        <v/>
      </c>
      <c r="F1475">
        <f>IF(A1475="","",IF(AND(D1475=TRUE,E1475=""),"BUY",IF(AND(D1475=FALSE,E1475&lt;&gt;""),"SELL",IF(AND(D1475=TRUE,E1475&lt;&gt;""),"HOLD",""))))</f>
        <v/>
      </c>
      <c r="G1475" s="12">
        <f>IF(D1475=TRUE,4,0)</f>
        <v/>
      </c>
      <c r="H1475">
        <f>IF(A1475="","",BDP(A1475&amp;" US Equity","GICS_SECTOR_NAME"))</f>
        <v/>
      </c>
    </row>
    <row r="1476">
      <c r="A1476">
        <f>'Factor Scores'!A1476</f>
        <v/>
      </c>
      <c r="B1476" s="10">
        <f>IF(A1476="","",0.40*'Factor Scores'!C1476+0.20*'Factor Scores'!E1476+0.20*'Factor Scores'!G1476+0.20*'Factor Scores'!H1476)</f>
        <v/>
      </c>
      <c r="C1476" s="12">
        <f>IF(B1476="","",RANK(B1476,$B$2:$B$2501,0))</f>
        <v/>
      </c>
      <c r="D1476">
        <f>IF(C1476="","",C1476&lt;=25)</f>
        <v/>
      </c>
      <c r="F1476">
        <f>IF(A1476="","",IF(AND(D1476=TRUE,E1476=""),"BUY",IF(AND(D1476=FALSE,E1476&lt;&gt;""),"SELL",IF(AND(D1476=TRUE,E1476&lt;&gt;""),"HOLD",""))))</f>
        <v/>
      </c>
      <c r="G1476" s="12">
        <f>IF(D1476=TRUE,4,0)</f>
        <v/>
      </c>
      <c r="H1476">
        <f>IF(A1476="","",BDP(A1476&amp;" US Equity","GICS_SECTOR_NAME"))</f>
        <v/>
      </c>
    </row>
    <row r="1477">
      <c r="A1477">
        <f>'Factor Scores'!A1477</f>
        <v/>
      </c>
      <c r="B1477" s="10">
        <f>IF(A1477="","",0.40*'Factor Scores'!C1477+0.20*'Factor Scores'!E1477+0.20*'Factor Scores'!G1477+0.20*'Factor Scores'!H1477)</f>
        <v/>
      </c>
      <c r="C1477" s="12">
        <f>IF(B1477="","",RANK(B1477,$B$2:$B$2501,0))</f>
        <v/>
      </c>
      <c r="D1477">
        <f>IF(C1477="","",C1477&lt;=25)</f>
        <v/>
      </c>
      <c r="F1477">
        <f>IF(A1477="","",IF(AND(D1477=TRUE,E1477=""),"BUY",IF(AND(D1477=FALSE,E1477&lt;&gt;""),"SELL",IF(AND(D1477=TRUE,E1477&lt;&gt;""),"HOLD",""))))</f>
        <v/>
      </c>
      <c r="G1477" s="12">
        <f>IF(D1477=TRUE,4,0)</f>
        <v/>
      </c>
      <c r="H1477">
        <f>IF(A1477="","",BDP(A1477&amp;" US Equity","GICS_SECTOR_NAME"))</f>
        <v/>
      </c>
    </row>
    <row r="1478">
      <c r="A1478">
        <f>'Factor Scores'!A1478</f>
        <v/>
      </c>
      <c r="B1478" s="10">
        <f>IF(A1478="","",0.40*'Factor Scores'!C1478+0.20*'Factor Scores'!E1478+0.20*'Factor Scores'!G1478+0.20*'Factor Scores'!H1478)</f>
        <v/>
      </c>
      <c r="C1478" s="12">
        <f>IF(B1478="","",RANK(B1478,$B$2:$B$2501,0))</f>
        <v/>
      </c>
      <c r="D1478">
        <f>IF(C1478="","",C1478&lt;=25)</f>
        <v/>
      </c>
      <c r="F1478">
        <f>IF(A1478="","",IF(AND(D1478=TRUE,E1478=""),"BUY",IF(AND(D1478=FALSE,E1478&lt;&gt;""),"SELL",IF(AND(D1478=TRUE,E1478&lt;&gt;""),"HOLD",""))))</f>
        <v/>
      </c>
      <c r="G1478" s="12">
        <f>IF(D1478=TRUE,4,0)</f>
        <v/>
      </c>
      <c r="H1478">
        <f>IF(A1478="","",BDP(A1478&amp;" US Equity","GICS_SECTOR_NAME"))</f>
        <v/>
      </c>
    </row>
    <row r="1479">
      <c r="A1479">
        <f>'Factor Scores'!A1479</f>
        <v/>
      </c>
      <c r="B1479" s="10">
        <f>IF(A1479="","",0.40*'Factor Scores'!C1479+0.20*'Factor Scores'!E1479+0.20*'Factor Scores'!G1479+0.20*'Factor Scores'!H1479)</f>
        <v/>
      </c>
      <c r="C1479" s="12">
        <f>IF(B1479="","",RANK(B1479,$B$2:$B$2501,0))</f>
        <v/>
      </c>
      <c r="D1479">
        <f>IF(C1479="","",C1479&lt;=25)</f>
        <v/>
      </c>
      <c r="F1479">
        <f>IF(A1479="","",IF(AND(D1479=TRUE,E1479=""),"BUY",IF(AND(D1479=FALSE,E1479&lt;&gt;""),"SELL",IF(AND(D1479=TRUE,E1479&lt;&gt;""),"HOLD",""))))</f>
        <v/>
      </c>
      <c r="G1479" s="12">
        <f>IF(D1479=TRUE,4,0)</f>
        <v/>
      </c>
      <c r="H1479">
        <f>IF(A1479="","",BDP(A1479&amp;" US Equity","GICS_SECTOR_NAME"))</f>
        <v/>
      </c>
    </row>
    <row r="1480">
      <c r="A1480">
        <f>'Factor Scores'!A1480</f>
        <v/>
      </c>
      <c r="B1480" s="10">
        <f>IF(A1480="","",0.40*'Factor Scores'!C1480+0.20*'Factor Scores'!E1480+0.20*'Factor Scores'!G1480+0.20*'Factor Scores'!H1480)</f>
        <v/>
      </c>
      <c r="C1480" s="12">
        <f>IF(B1480="","",RANK(B1480,$B$2:$B$2501,0))</f>
        <v/>
      </c>
      <c r="D1480">
        <f>IF(C1480="","",C1480&lt;=25)</f>
        <v/>
      </c>
      <c r="F1480">
        <f>IF(A1480="","",IF(AND(D1480=TRUE,E1480=""),"BUY",IF(AND(D1480=FALSE,E1480&lt;&gt;""),"SELL",IF(AND(D1480=TRUE,E1480&lt;&gt;""),"HOLD",""))))</f>
        <v/>
      </c>
      <c r="G1480" s="12">
        <f>IF(D1480=TRUE,4,0)</f>
        <v/>
      </c>
      <c r="H1480">
        <f>IF(A1480="","",BDP(A1480&amp;" US Equity","GICS_SECTOR_NAME"))</f>
        <v/>
      </c>
    </row>
    <row r="1481">
      <c r="A1481">
        <f>'Factor Scores'!A1481</f>
        <v/>
      </c>
      <c r="B1481" s="10">
        <f>IF(A1481="","",0.40*'Factor Scores'!C1481+0.20*'Factor Scores'!E1481+0.20*'Factor Scores'!G1481+0.20*'Factor Scores'!H1481)</f>
        <v/>
      </c>
      <c r="C1481" s="12">
        <f>IF(B1481="","",RANK(B1481,$B$2:$B$2501,0))</f>
        <v/>
      </c>
      <c r="D1481">
        <f>IF(C1481="","",C1481&lt;=25)</f>
        <v/>
      </c>
      <c r="F1481">
        <f>IF(A1481="","",IF(AND(D1481=TRUE,E1481=""),"BUY",IF(AND(D1481=FALSE,E1481&lt;&gt;""),"SELL",IF(AND(D1481=TRUE,E1481&lt;&gt;""),"HOLD",""))))</f>
        <v/>
      </c>
      <c r="G1481" s="12">
        <f>IF(D1481=TRUE,4,0)</f>
        <v/>
      </c>
      <c r="H1481">
        <f>IF(A1481="","",BDP(A1481&amp;" US Equity","GICS_SECTOR_NAME"))</f>
        <v/>
      </c>
    </row>
    <row r="1482">
      <c r="A1482">
        <f>'Factor Scores'!A1482</f>
        <v/>
      </c>
      <c r="B1482" s="10">
        <f>IF(A1482="","",0.40*'Factor Scores'!C1482+0.20*'Factor Scores'!E1482+0.20*'Factor Scores'!G1482+0.20*'Factor Scores'!H1482)</f>
        <v/>
      </c>
      <c r="C1482" s="12">
        <f>IF(B1482="","",RANK(B1482,$B$2:$B$2501,0))</f>
        <v/>
      </c>
      <c r="D1482">
        <f>IF(C1482="","",C1482&lt;=25)</f>
        <v/>
      </c>
      <c r="F1482">
        <f>IF(A1482="","",IF(AND(D1482=TRUE,E1482=""),"BUY",IF(AND(D1482=FALSE,E1482&lt;&gt;""),"SELL",IF(AND(D1482=TRUE,E1482&lt;&gt;""),"HOLD",""))))</f>
        <v/>
      </c>
      <c r="G1482" s="12">
        <f>IF(D1482=TRUE,4,0)</f>
        <v/>
      </c>
      <c r="H1482">
        <f>IF(A1482="","",BDP(A1482&amp;" US Equity","GICS_SECTOR_NAME"))</f>
        <v/>
      </c>
    </row>
    <row r="1483">
      <c r="A1483">
        <f>'Factor Scores'!A1483</f>
        <v/>
      </c>
      <c r="B1483" s="10">
        <f>IF(A1483="","",0.40*'Factor Scores'!C1483+0.20*'Factor Scores'!E1483+0.20*'Factor Scores'!G1483+0.20*'Factor Scores'!H1483)</f>
        <v/>
      </c>
      <c r="C1483" s="12">
        <f>IF(B1483="","",RANK(B1483,$B$2:$B$2501,0))</f>
        <v/>
      </c>
      <c r="D1483">
        <f>IF(C1483="","",C1483&lt;=25)</f>
        <v/>
      </c>
      <c r="F1483">
        <f>IF(A1483="","",IF(AND(D1483=TRUE,E1483=""),"BUY",IF(AND(D1483=FALSE,E1483&lt;&gt;""),"SELL",IF(AND(D1483=TRUE,E1483&lt;&gt;""),"HOLD",""))))</f>
        <v/>
      </c>
      <c r="G1483" s="12">
        <f>IF(D1483=TRUE,4,0)</f>
        <v/>
      </c>
      <c r="H1483">
        <f>IF(A1483="","",BDP(A1483&amp;" US Equity","GICS_SECTOR_NAME"))</f>
        <v/>
      </c>
    </row>
    <row r="1484">
      <c r="A1484">
        <f>'Factor Scores'!A1484</f>
        <v/>
      </c>
      <c r="B1484" s="10">
        <f>IF(A1484="","",0.40*'Factor Scores'!C1484+0.20*'Factor Scores'!E1484+0.20*'Factor Scores'!G1484+0.20*'Factor Scores'!H1484)</f>
        <v/>
      </c>
      <c r="C1484" s="12">
        <f>IF(B1484="","",RANK(B1484,$B$2:$B$2501,0))</f>
        <v/>
      </c>
      <c r="D1484">
        <f>IF(C1484="","",C1484&lt;=25)</f>
        <v/>
      </c>
      <c r="F1484">
        <f>IF(A1484="","",IF(AND(D1484=TRUE,E1484=""),"BUY",IF(AND(D1484=FALSE,E1484&lt;&gt;""),"SELL",IF(AND(D1484=TRUE,E1484&lt;&gt;""),"HOLD",""))))</f>
        <v/>
      </c>
      <c r="G1484" s="12">
        <f>IF(D1484=TRUE,4,0)</f>
        <v/>
      </c>
      <c r="H1484">
        <f>IF(A1484="","",BDP(A1484&amp;" US Equity","GICS_SECTOR_NAME"))</f>
        <v/>
      </c>
    </row>
    <row r="1485">
      <c r="A1485">
        <f>'Factor Scores'!A1485</f>
        <v/>
      </c>
      <c r="B1485" s="10">
        <f>IF(A1485="","",0.40*'Factor Scores'!C1485+0.20*'Factor Scores'!E1485+0.20*'Factor Scores'!G1485+0.20*'Factor Scores'!H1485)</f>
        <v/>
      </c>
      <c r="C1485" s="12">
        <f>IF(B1485="","",RANK(B1485,$B$2:$B$2501,0))</f>
        <v/>
      </c>
      <c r="D1485">
        <f>IF(C1485="","",C1485&lt;=25)</f>
        <v/>
      </c>
      <c r="F1485">
        <f>IF(A1485="","",IF(AND(D1485=TRUE,E1485=""),"BUY",IF(AND(D1485=FALSE,E1485&lt;&gt;""),"SELL",IF(AND(D1485=TRUE,E1485&lt;&gt;""),"HOLD",""))))</f>
        <v/>
      </c>
      <c r="G1485" s="12">
        <f>IF(D1485=TRUE,4,0)</f>
        <v/>
      </c>
      <c r="H1485">
        <f>IF(A1485="","",BDP(A1485&amp;" US Equity","GICS_SECTOR_NAME"))</f>
        <v/>
      </c>
    </row>
    <row r="1486">
      <c r="A1486">
        <f>'Factor Scores'!A1486</f>
        <v/>
      </c>
      <c r="B1486" s="10">
        <f>IF(A1486="","",0.40*'Factor Scores'!C1486+0.20*'Factor Scores'!E1486+0.20*'Factor Scores'!G1486+0.20*'Factor Scores'!H1486)</f>
        <v/>
      </c>
      <c r="C1486" s="12">
        <f>IF(B1486="","",RANK(B1486,$B$2:$B$2501,0))</f>
        <v/>
      </c>
      <c r="D1486">
        <f>IF(C1486="","",C1486&lt;=25)</f>
        <v/>
      </c>
      <c r="F1486">
        <f>IF(A1486="","",IF(AND(D1486=TRUE,E1486=""),"BUY",IF(AND(D1486=FALSE,E1486&lt;&gt;""),"SELL",IF(AND(D1486=TRUE,E1486&lt;&gt;""),"HOLD",""))))</f>
        <v/>
      </c>
      <c r="G1486" s="12">
        <f>IF(D1486=TRUE,4,0)</f>
        <v/>
      </c>
      <c r="H1486">
        <f>IF(A1486="","",BDP(A1486&amp;" US Equity","GICS_SECTOR_NAME"))</f>
        <v/>
      </c>
    </row>
    <row r="1487">
      <c r="A1487">
        <f>'Factor Scores'!A1487</f>
        <v/>
      </c>
      <c r="B1487" s="10">
        <f>IF(A1487="","",0.40*'Factor Scores'!C1487+0.20*'Factor Scores'!E1487+0.20*'Factor Scores'!G1487+0.20*'Factor Scores'!H1487)</f>
        <v/>
      </c>
      <c r="C1487" s="12">
        <f>IF(B1487="","",RANK(B1487,$B$2:$B$2501,0))</f>
        <v/>
      </c>
      <c r="D1487">
        <f>IF(C1487="","",C1487&lt;=25)</f>
        <v/>
      </c>
      <c r="F1487">
        <f>IF(A1487="","",IF(AND(D1487=TRUE,E1487=""),"BUY",IF(AND(D1487=FALSE,E1487&lt;&gt;""),"SELL",IF(AND(D1487=TRUE,E1487&lt;&gt;""),"HOLD",""))))</f>
        <v/>
      </c>
      <c r="G1487" s="12">
        <f>IF(D1487=TRUE,4,0)</f>
        <v/>
      </c>
      <c r="H1487">
        <f>IF(A1487="","",BDP(A1487&amp;" US Equity","GICS_SECTOR_NAME"))</f>
        <v/>
      </c>
    </row>
    <row r="1488">
      <c r="A1488">
        <f>'Factor Scores'!A1488</f>
        <v/>
      </c>
      <c r="B1488" s="10">
        <f>IF(A1488="","",0.40*'Factor Scores'!C1488+0.20*'Factor Scores'!E1488+0.20*'Factor Scores'!G1488+0.20*'Factor Scores'!H1488)</f>
        <v/>
      </c>
      <c r="C1488" s="12">
        <f>IF(B1488="","",RANK(B1488,$B$2:$B$2501,0))</f>
        <v/>
      </c>
      <c r="D1488">
        <f>IF(C1488="","",C1488&lt;=25)</f>
        <v/>
      </c>
      <c r="F1488">
        <f>IF(A1488="","",IF(AND(D1488=TRUE,E1488=""),"BUY",IF(AND(D1488=FALSE,E1488&lt;&gt;""),"SELL",IF(AND(D1488=TRUE,E1488&lt;&gt;""),"HOLD",""))))</f>
        <v/>
      </c>
      <c r="G1488" s="12">
        <f>IF(D1488=TRUE,4,0)</f>
        <v/>
      </c>
      <c r="H1488">
        <f>IF(A1488="","",BDP(A1488&amp;" US Equity","GICS_SECTOR_NAME"))</f>
        <v/>
      </c>
    </row>
    <row r="1489">
      <c r="A1489">
        <f>'Factor Scores'!A1489</f>
        <v/>
      </c>
      <c r="B1489" s="10">
        <f>IF(A1489="","",0.40*'Factor Scores'!C1489+0.20*'Factor Scores'!E1489+0.20*'Factor Scores'!G1489+0.20*'Factor Scores'!H1489)</f>
        <v/>
      </c>
      <c r="C1489" s="12">
        <f>IF(B1489="","",RANK(B1489,$B$2:$B$2501,0))</f>
        <v/>
      </c>
      <c r="D1489">
        <f>IF(C1489="","",C1489&lt;=25)</f>
        <v/>
      </c>
      <c r="F1489">
        <f>IF(A1489="","",IF(AND(D1489=TRUE,E1489=""),"BUY",IF(AND(D1489=FALSE,E1489&lt;&gt;""),"SELL",IF(AND(D1489=TRUE,E1489&lt;&gt;""),"HOLD",""))))</f>
        <v/>
      </c>
      <c r="G1489" s="12">
        <f>IF(D1489=TRUE,4,0)</f>
        <v/>
      </c>
      <c r="H1489">
        <f>IF(A1489="","",BDP(A1489&amp;" US Equity","GICS_SECTOR_NAME"))</f>
        <v/>
      </c>
    </row>
    <row r="1490">
      <c r="A1490">
        <f>'Factor Scores'!A1490</f>
        <v/>
      </c>
      <c r="B1490" s="10">
        <f>IF(A1490="","",0.40*'Factor Scores'!C1490+0.20*'Factor Scores'!E1490+0.20*'Factor Scores'!G1490+0.20*'Factor Scores'!H1490)</f>
        <v/>
      </c>
      <c r="C1490" s="12">
        <f>IF(B1490="","",RANK(B1490,$B$2:$B$2501,0))</f>
        <v/>
      </c>
      <c r="D1490">
        <f>IF(C1490="","",C1490&lt;=25)</f>
        <v/>
      </c>
      <c r="F1490">
        <f>IF(A1490="","",IF(AND(D1490=TRUE,E1490=""),"BUY",IF(AND(D1490=FALSE,E1490&lt;&gt;""),"SELL",IF(AND(D1490=TRUE,E1490&lt;&gt;""),"HOLD",""))))</f>
        <v/>
      </c>
      <c r="G1490" s="12">
        <f>IF(D1490=TRUE,4,0)</f>
        <v/>
      </c>
      <c r="H1490">
        <f>IF(A1490="","",BDP(A1490&amp;" US Equity","GICS_SECTOR_NAME"))</f>
        <v/>
      </c>
    </row>
    <row r="1491">
      <c r="A1491">
        <f>'Factor Scores'!A1491</f>
        <v/>
      </c>
      <c r="B1491" s="10">
        <f>IF(A1491="","",0.40*'Factor Scores'!C1491+0.20*'Factor Scores'!E1491+0.20*'Factor Scores'!G1491+0.20*'Factor Scores'!H1491)</f>
        <v/>
      </c>
      <c r="C1491" s="12">
        <f>IF(B1491="","",RANK(B1491,$B$2:$B$2501,0))</f>
        <v/>
      </c>
      <c r="D1491">
        <f>IF(C1491="","",C1491&lt;=25)</f>
        <v/>
      </c>
      <c r="F1491">
        <f>IF(A1491="","",IF(AND(D1491=TRUE,E1491=""),"BUY",IF(AND(D1491=FALSE,E1491&lt;&gt;""),"SELL",IF(AND(D1491=TRUE,E1491&lt;&gt;""),"HOLD",""))))</f>
        <v/>
      </c>
      <c r="G1491" s="12">
        <f>IF(D1491=TRUE,4,0)</f>
        <v/>
      </c>
      <c r="H1491">
        <f>IF(A1491="","",BDP(A1491&amp;" US Equity","GICS_SECTOR_NAME"))</f>
        <v/>
      </c>
    </row>
    <row r="1492">
      <c r="A1492">
        <f>'Factor Scores'!A1492</f>
        <v/>
      </c>
      <c r="B1492" s="10">
        <f>IF(A1492="","",0.40*'Factor Scores'!C1492+0.20*'Factor Scores'!E1492+0.20*'Factor Scores'!G1492+0.20*'Factor Scores'!H1492)</f>
        <v/>
      </c>
      <c r="C1492" s="12">
        <f>IF(B1492="","",RANK(B1492,$B$2:$B$2501,0))</f>
        <v/>
      </c>
      <c r="D1492">
        <f>IF(C1492="","",C1492&lt;=25)</f>
        <v/>
      </c>
      <c r="F1492">
        <f>IF(A1492="","",IF(AND(D1492=TRUE,E1492=""),"BUY",IF(AND(D1492=FALSE,E1492&lt;&gt;""),"SELL",IF(AND(D1492=TRUE,E1492&lt;&gt;""),"HOLD",""))))</f>
        <v/>
      </c>
      <c r="G1492" s="12">
        <f>IF(D1492=TRUE,4,0)</f>
        <v/>
      </c>
      <c r="H1492">
        <f>IF(A1492="","",BDP(A1492&amp;" US Equity","GICS_SECTOR_NAME"))</f>
        <v/>
      </c>
    </row>
    <row r="1493">
      <c r="A1493">
        <f>'Factor Scores'!A1493</f>
        <v/>
      </c>
      <c r="B1493" s="10">
        <f>IF(A1493="","",0.40*'Factor Scores'!C1493+0.20*'Factor Scores'!E1493+0.20*'Factor Scores'!G1493+0.20*'Factor Scores'!H1493)</f>
        <v/>
      </c>
      <c r="C1493" s="12">
        <f>IF(B1493="","",RANK(B1493,$B$2:$B$2501,0))</f>
        <v/>
      </c>
      <c r="D1493">
        <f>IF(C1493="","",C1493&lt;=25)</f>
        <v/>
      </c>
      <c r="F1493">
        <f>IF(A1493="","",IF(AND(D1493=TRUE,E1493=""),"BUY",IF(AND(D1493=FALSE,E1493&lt;&gt;""),"SELL",IF(AND(D1493=TRUE,E1493&lt;&gt;""),"HOLD",""))))</f>
        <v/>
      </c>
      <c r="G1493" s="12">
        <f>IF(D1493=TRUE,4,0)</f>
        <v/>
      </c>
      <c r="H1493">
        <f>IF(A1493="","",BDP(A1493&amp;" US Equity","GICS_SECTOR_NAME"))</f>
        <v/>
      </c>
    </row>
    <row r="1494">
      <c r="A1494">
        <f>'Factor Scores'!A1494</f>
        <v/>
      </c>
      <c r="B1494" s="10">
        <f>IF(A1494="","",0.40*'Factor Scores'!C1494+0.20*'Factor Scores'!E1494+0.20*'Factor Scores'!G1494+0.20*'Factor Scores'!H1494)</f>
        <v/>
      </c>
      <c r="C1494" s="12">
        <f>IF(B1494="","",RANK(B1494,$B$2:$B$2501,0))</f>
        <v/>
      </c>
      <c r="D1494">
        <f>IF(C1494="","",C1494&lt;=25)</f>
        <v/>
      </c>
      <c r="F1494">
        <f>IF(A1494="","",IF(AND(D1494=TRUE,E1494=""),"BUY",IF(AND(D1494=FALSE,E1494&lt;&gt;""),"SELL",IF(AND(D1494=TRUE,E1494&lt;&gt;""),"HOLD",""))))</f>
        <v/>
      </c>
      <c r="G1494" s="12">
        <f>IF(D1494=TRUE,4,0)</f>
        <v/>
      </c>
      <c r="H1494">
        <f>IF(A1494="","",BDP(A1494&amp;" US Equity","GICS_SECTOR_NAME"))</f>
        <v/>
      </c>
    </row>
    <row r="1495">
      <c r="A1495">
        <f>'Factor Scores'!A1495</f>
        <v/>
      </c>
      <c r="B1495" s="10">
        <f>IF(A1495="","",0.40*'Factor Scores'!C1495+0.20*'Factor Scores'!E1495+0.20*'Factor Scores'!G1495+0.20*'Factor Scores'!H1495)</f>
        <v/>
      </c>
      <c r="C1495" s="12">
        <f>IF(B1495="","",RANK(B1495,$B$2:$B$2501,0))</f>
        <v/>
      </c>
      <c r="D1495">
        <f>IF(C1495="","",C1495&lt;=25)</f>
        <v/>
      </c>
      <c r="F1495">
        <f>IF(A1495="","",IF(AND(D1495=TRUE,E1495=""),"BUY",IF(AND(D1495=FALSE,E1495&lt;&gt;""),"SELL",IF(AND(D1495=TRUE,E1495&lt;&gt;""),"HOLD",""))))</f>
        <v/>
      </c>
      <c r="G1495" s="12">
        <f>IF(D1495=TRUE,4,0)</f>
        <v/>
      </c>
      <c r="H1495">
        <f>IF(A1495="","",BDP(A1495&amp;" US Equity","GICS_SECTOR_NAME"))</f>
        <v/>
      </c>
    </row>
    <row r="1496">
      <c r="A1496">
        <f>'Factor Scores'!A1496</f>
        <v/>
      </c>
      <c r="B1496" s="10">
        <f>IF(A1496="","",0.40*'Factor Scores'!C1496+0.20*'Factor Scores'!E1496+0.20*'Factor Scores'!G1496+0.20*'Factor Scores'!H1496)</f>
        <v/>
      </c>
      <c r="C1496" s="12">
        <f>IF(B1496="","",RANK(B1496,$B$2:$B$2501,0))</f>
        <v/>
      </c>
      <c r="D1496">
        <f>IF(C1496="","",C1496&lt;=25)</f>
        <v/>
      </c>
      <c r="F1496">
        <f>IF(A1496="","",IF(AND(D1496=TRUE,E1496=""),"BUY",IF(AND(D1496=FALSE,E1496&lt;&gt;""),"SELL",IF(AND(D1496=TRUE,E1496&lt;&gt;""),"HOLD",""))))</f>
        <v/>
      </c>
      <c r="G1496" s="12">
        <f>IF(D1496=TRUE,4,0)</f>
        <v/>
      </c>
      <c r="H1496">
        <f>IF(A1496="","",BDP(A1496&amp;" US Equity","GICS_SECTOR_NAME"))</f>
        <v/>
      </c>
    </row>
    <row r="1497">
      <c r="A1497">
        <f>'Factor Scores'!A1497</f>
        <v/>
      </c>
      <c r="B1497" s="10">
        <f>IF(A1497="","",0.40*'Factor Scores'!C1497+0.20*'Factor Scores'!E1497+0.20*'Factor Scores'!G1497+0.20*'Factor Scores'!H1497)</f>
        <v/>
      </c>
      <c r="C1497" s="12">
        <f>IF(B1497="","",RANK(B1497,$B$2:$B$2501,0))</f>
        <v/>
      </c>
      <c r="D1497">
        <f>IF(C1497="","",C1497&lt;=25)</f>
        <v/>
      </c>
      <c r="F1497">
        <f>IF(A1497="","",IF(AND(D1497=TRUE,E1497=""),"BUY",IF(AND(D1497=FALSE,E1497&lt;&gt;""),"SELL",IF(AND(D1497=TRUE,E1497&lt;&gt;""),"HOLD",""))))</f>
        <v/>
      </c>
      <c r="G1497" s="12">
        <f>IF(D1497=TRUE,4,0)</f>
        <v/>
      </c>
      <c r="H1497">
        <f>IF(A1497="","",BDP(A1497&amp;" US Equity","GICS_SECTOR_NAME"))</f>
        <v/>
      </c>
    </row>
    <row r="1498">
      <c r="A1498">
        <f>'Factor Scores'!A1498</f>
        <v/>
      </c>
      <c r="B1498" s="10">
        <f>IF(A1498="","",0.40*'Factor Scores'!C1498+0.20*'Factor Scores'!E1498+0.20*'Factor Scores'!G1498+0.20*'Factor Scores'!H1498)</f>
        <v/>
      </c>
      <c r="C1498" s="12">
        <f>IF(B1498="","",RANK(B1498,$B$2:$B$2501,0))</f>
        <v/>
      </c>
      <c r="D1498">
        <f>IF(C1498="","",C1498&lt;=25)</f>
        <v/>
      </c>
      <c r="F1498">
        <f>IF(A1498="","",IF(AND(D1498=TRUE,E1498=""),"BUY",IF(AND(D1498=FALSE,E1498&lt;&gt;""),"SELL",IF(AND(D1498=TRUE,E1498&lt;&gt;""),"HOLD",""))))</f>
        <v/>
      </c>
      <c r="G1498" s="12">
        <f>IF(D1498=TRUE,4,0)</f>
        <v/>
      </c>
      <c r="H1498">
        <f>IF(A1498="","",BDP(A1498&amp;" US Equity","GICS_SECTOR_NAME"))</f>
        <v/>
      </c>
    </row>
    <row r="1499">
      <c r="A1499">
        <f>'Factor Scores'!A1499</f>
        <v/>
      </c>
      <c r="B1499" s="10">
        <f>IF(A1499="","",0.40*'Factor Scores'!C1499+0.20*'Factor Scores'!E1499+0.20*'Factor Scores'!G1499+0.20*'Factor Scores'!H1499)</f>
        <v/>
      </c>
      <c r="C1499" s="12">
        <f>IF(B1499="","",RANK(B1499,$B$2:$B$2501,0))</f>
        <v/>
      </c>
      <c r="D1499">
        <f>IF(C1499="","",C1499&lt;=25)</f>
        <v/>
      </c>
      <c r="F1499">
        <f>IF(A1499="","",IF(AND(D1499=TRUE,E1499=""),"BUY",IF(AND(D1499=FALSE,E1499&lt;&gt;""),"SELL",IF(AND(D1499=TRUE,E1499&lt;&gt;""),"HOLD",""))))</f>
        <v/>
      </c>
      <c r="G1499" s="12">
        <f>IF(D1499=TRUE,4,0)</f>
        <v/>
      </c>
      <c r="H1499">
        <f>IF(A1499="","",BDP(A1499&amp;" US Equity","GICS_SECTOR_NAME"))</f>
        <v/>
      </c>
    </row>
    <row r="1500">
      <c r="A1500">
        <f>'Factor Scores'!A1500</f>
        <v/>
      </c>
      <c r="B1500" s="10">
        <f>IF(A1500="","",0.40*'Factor Scores'!C1500+0.20*'Factor Scores'!E1500+0.20*'Factor Scores'!G1500+0.20*'Factor Scores'!H1500)</f>
        <v/>
      </c>
      <c r="C1500" s="12">
        <f>IF(B1500="","",RANK(B1500,$B$2:$B$2501,0))</f>
        <v/>
      </c>
      <c r="D1500">
        <f>IF(C1500="","",C1500&lt;=25)</f>
        <v/>
      </c>
      <c r="F1500">
        <f>IF(A1500="","",IF(AND(D1500=TRUE,E1500=""),"BUY",IF(AND(D1500=FALSE,E1500&lt;&gt;""),"SELL",IF(AND(D1500=TRUE,E1500&lt;&gt;""),"HOLD",""))))</f>
        <v/>
      </c>
      <c r="G1500" s="12">
        <f>IF(D1500=TRUE,4,0)</f>
        <v/>
      </c>
      <c r="H1500">
        <f>IF(A1500="","",BDP(A1500&amp;" US Equity","GICS_SECTOR_NAME"))</f>
        <v/>
      </c>
    </row>
    <row r="1501">
      <c r="A1501">
        <f>'Factor Scores'!A1501</f>
        <v/>
      </c>
      <c r="B1501" s="10">
        <f>IF(A1501="","",0.40*'Factor Scores'!C1501+0.20*'Factor Scores'!E1501+0.20*'Factor Scores'!G1501+0.20*'Factor Scores'!H1501)</f>
        <v/>
      </c>
      <c r="C1501" s="12">
        <f>IF(B1501="","",RANK(B1501,$B$2:$B$2501,0))</f>
        <v/>
      </c>
      <c r="D1501">
        <f>IF(C1501="","",C1501&lt;=25)</f>
        <v/>
      </c>
      <c r="F1501">
        <f>IF(A1501="","",IF(AND(D1501=TRUE,E1501=""),"BUY",IF(AND(D1501=FALSE,E1501&lt;&gt;""),"SELL",IF(AND(D1501=TRUE,E1501&lt;&gt;""),"HOLD",""))))</f>
        <v/>
      </c>
      <c r="G1501" s="12">
        <f>IF(D1501=TRUE,4,0)</f>
        <v/>
      </c>
      <c r="H1501">
        <f>IF(A1501="","",BDP(A1501&amp;" US Equity","GICS_SECTOR_NAME"))</f>
        <v/>
      </c>
    </row>
    <row r="1502">
      <c r="A1502">
        <f>'Factor Scores'!A1502</f>
        <v/>
      </c>
      <c r="B1502" s="10">
        <f>IF(A1502="","",0.40*'Factor Scores'!C1502+0.20*'Factor Scores'!E1502+0.20*'Factor Scores'!G1502+0.20*'Factor Scores'!H1502)</f>
        <v/>
      </c>
      <c r="C1502" s="12">
        <f>IF(B1502="","",RANK(B1502,$B$2:$B$2501,0))</f>
        <v/>
      </c>
      <c r="D1502">
        <f>IF(C1502="","",C1502&lt;=25)</f>
        <v/>
      </c>
      <c r="F1502">
        <f>IF(A1502="","",IF(AND(D1502=TRUE,E1502=""),"BUY",IF(AND(D1502=FALSE,E1502&lt;&gt;""),"SELL",IF(AND(D1502=TRUE,E1502&lt;&gt;""),"HOLD",""))))</f>
        <v/>
      </c>
      <c r="G1502" s="12">
        <f>IF(D1502=TRUE,4,0)</f>
        <v/>
      </c>
      <c r="H1502">
        <f>IF(A1502="","",BDP(A1502&amp;" US Equity","GICS_SECTOR_NAME"))</f>
        <v/>
      </c>
    </row>
    <row r="1503">
      <c r="A1503">
        <f>'Factor Scores'!A1503</f>
        <v/>
      </c>
      <c r="B1503" s="10">
        <f>IF(A1503="","",0.40*'Factor Scores'!C1503+0.20*'Factor Scores'!E1503+0.20*'Factor Scores'!G1503+0.20*'Factor Scores'!H1503)</f>
        <v/>
      </c>
      <c r="C1503" s="12">
        <f>IF(B1503="","",RANK(B1503,$B$2:$B$2501,0))</f>
        <v/>
      </c>
      <c r="D1503">
        <f>IF(C1503="","",C1503&lt;=25)</f>
        <v/>
      </c>
      <c r="F1503">
        <f>IF(A1503="","",IF(AND(D1503=TRUE,E1503=""),"BUY",IF(AND(D1503=FALSE,E1503&lt;&gt;""),"SELL",IF(AND(D1503=TRUE,E1503&lt;&gt;""),"HOLD",""))))</f>
        <v/>
      </c>
      <c r="G1503" s="12">
        <f>IF(D1503=TRUE,4,0)</f>
        <v/>
      </c>
      <c r="H1503">
        <f>IF(A1503="","",BDP(A1503&amp;" US Equity","GICS_SECTOR_NAME"))</f>
        <v/>
      </c>
    </row>
    <row r="1504">
      <c r="A1504">
        <f>'Factor Scores'!A1504</f>
        <v/>
      </c>
      <c r="B1504" s="10">
        <f>IF(A1504="","",0.40*'Factor Scores'!C1504+0.20*'Factor Scores'!E1504+0.20*'Factor Scores'!G1504+0.20*'Factor Scores'!H1504)</f>
        <v/>
      </c>
      <c r="C1504" s="12">
        <f>IF(B1504="","",RANK(B1504,$B$2:$B$2501,0))</f>
        <v/>
      </c>
      <c r="D1504">
        <f>IF(C1504="","",C1504&lt;=25)</f>
        <v/>
      </c>
      <c r="F1504">
        <f>IF(A1504="","",IF(AND(D1504=TRUE,E1504=""),"BUY",IF(AND(D1504=FALSE,E1504&lt;&gt;""),"SELL",IF(AND(D1504=TRUE,E1504&lt;&gt;""),"HOLD",""))))</f>
        <v/>
      </c>
      <c r="G1504" s="12">
        <f>IF(D1504=TRUE,4,0)</f>
        <v/>
      </c>
      <c r="H1504">
        <f>IF(A1504="","",BDP(A1504&amp;" US Equity","GICS_SECTOR_NAME"))</f>
        <v/>
      </c>
    </row>
    <row r="1505">
      <c r="A1505">
        <f>'Factor Scores'!A1505</f>
        <v/>
      </c>
      <c r="B1505" s="10">
        <f>IF(A1505="","",0.40*'Factor Scores'!C1505+0.20*'Factor Scores'!E1505+0.20*'Factor Scores'!G1505+0.20*'Factor Scores'!H1505)</f>
        <v/>
      </c>
      <c r="C1505" s="12">
        <f>IF(B1505="","",RANK(B1505,$B$2:$B$2501,0))</f>
        <v/>
      </c>
      <c r="D1505">
        <f>IF(C1505="","",C1505&lt;=25)</f>
        <v/>
      </c>
      <c r="F1505">
        <f>IF(A1505="","",IF(AND(D1505=TRUE,E1505=""),"BUY",IF(AND(D1505=FALSE,E1505&lt;&gt;""),"SELL",IF(AND(D1505=TRUE,E1505&lt;&gt;""),"HOLD",""))))</f>
        <v/>
      </c>
      <c r="G1505" s="12">
        <f>IF(D1505=TRUE,4,0)</f>
        <v/>
      </c>
      <c r="H1505">
        <f>IF(A1505="","",BDP(A1505&amp;" US Equity","GICS_SECTOR_NAME"))</f>
        <v/>
      </c>
    </row>
    <row r="1506">
      <c r="A1506">
        <f>'Factor Scores'!A1506</f>
        <v/>
      </c>
      <c r="B1506" s="10">
        <f>IF(A1506="","",0.40*'Factor Scores'!C1506+0.20*'Factor Scores'!E1506+0.20*'Factor Scores'!G1506+0.20*'Factor Scores'!H1506)</f>
        <v/>
      </c>
      <c r="C1506" s="12">
        <f>IF(B1506="","",RANK(B1506,$B$2:$B$2501,0))</f>
        <v/>
      </c>
      <c r="D1506">
        <f>IF(C1506="","",C1506&lt;=25)</f>
        <v/>
      </c>
      <c r="F1506">
        <f>IF(A1506="","",IF(AND(D1506=TRUE,E1506=""),"BUY",IF(AND(D1506=FALSE,E1506&lt;&gt;""),"SELL",IF(AND(D1506=TRUE,E1506&lt;&gt;""),"HOLD",""))))</f>
        <v/>
      </c>
      <c r="G1506" s="12">
        <f>IF(D1506=TRUE,4,0)</f>
        <v/>
      </c>
      <c r="H1506">
        <f>IF(A1506="","",BDP(A1506&amp;" US Equity","GICS_SECTOR_NAME"))</f>
        <v/>
      </c>
    </row>
    <row r="1507">
      <c r="A1507">
        <f>'Factor Scores'!A1507</f>
        <v/>
      </c>
      <c r="B1507" s="10">
        <f>IF(A1507="","",0.40*'Factor Scores'!C1507+0.20*'Factor Scores'!E1507+0.20*'Factor Scores'!G1507+0.20*'Factor Scores'!H1507)</f>
        <v/>
      </c>
      <c r="C1507" s="12">
        <f>IF(B1507="","",RANK(B1507,$B$2:$B$2501,0))</f>
        <v/>
      </c>
      <c r="D1507">
        <f>IF(C1507="","",C1507&lt;=25)</f>
        <v/>
      </c>
      <c r="F1507">
        <f>IF(A1507="","",IF(AND(D1507=TRUE,E1507=""),"BUY",IF(AND(D1507=FALSE,E1507&lt;&gt;""),"SELL",IF(AND(D1507=TRUE,E1507&lt;&gt;""),"HOLD",""))))</f>
        <v/>
      </c>
      <c r="G1507" s="12">
        <f>IF(D1507=TRUE,4,0)</f>
        <v/>
      </c>
      <c r="H1507">
        <f>IF(A1507="","",BDP(A1507&amp;" US Equity","GICS_SECTOR_NAME"))</f>
        <v/>
      </c>
    </row>
    <row r="1508">
      <c r="A1508">
        <f>'Factor Scores'!A1508</f>
        <v/>
      </c>
      <c r="B1508" s="10">
        <f>IF(A1508="","",0.40*'Factor Scores'!C1508+0.20*'Factor Scores'!E1508+0.20*'Factor Scores'!G1508+0.20*'Factor Scores'!H1508)</f>
        <v/>
      </c>
      <c r="C1508" s="12">
        <f>IF(B1508="","",RANK(B1508,$B$2:$B$2501,0))</f>
        <v/>
      </c>
      <c r="D1508">
        <f>IF(C1508="","",C1508&lt;=25)</f>
        <v/>
      </c>
      <c r="F1508">
        <f>IF(A1508="","",IF(AND(D1508=TRUE,E1508=""),"BUY",IF(AND(D1508=FALSE,E1508&lt;&gt;""),"SELL",IF(AND(D1508=TRUE,E1508&lt;&gt;""),"HOLD",""))))</f>
        <v/>
      </c>
      <c r="G1508" s="12">
        <f>IF(D1508=TRUE,4,0)</f>
        <v/>
      </c>
      <c r="H1508">
        <f>IF(A1508="","",BDP(A1508&amp;" US Equity","GICS_SECTOR_NAME"))</f>
        <v/>
      </c>
    </row>
    <row r="1509">
      <c r="A1509">
        <f>'Factor Scores'!A1509</f>
        <v/>
      </c>
      <c r="B1509" s="10">
        <f>IF(A1509="","",0.40*'Factor Scores'!C1509+0.20*'Factor Scores'!E1509+0.20*'Factor Scores'!G1509+0.20*'Factor Scores'!H1509)</f>
        <v/>
      </c>
      <c r="C1509" s="12">
        <f>IF(B1509="","",RANK(B1509,$B$2:$B$2501,0))</f>
        <v/>
      </c>
      <c r="D1509">
        <f>IF(C1509="","",C1509&lt;=25)</f>
        <v/>
      </c>
      <c r="F1509">
        <f>IF(A1509="","",IF(AND(D1509=TRUE,E1509=""),"BUY",IF(AND(D1509=FALSE,E1509&lt;&gt;""),"SELL",IF(AND(D1509=TRUE,E1509&lt;&gt;""),"HOLD",""))))</f>
        <v/>
      </c>
      <c r="G1509" s="12">
        <f>IF(D1509=TRUE,4,0)</f>
        <v/>
      </c>
      <c r="H1509">
        <f>IF(A1509="","",BDP(A1509&amp;" US Equity","GICS_SECTOR_NAME"))</f>
        <v/>
      </c>
    </row>
    <row r="1510">
      <c r="A1510">
        <f>'Factor Scores'!A1510</f>
        <v/>
      </c>
      <c r="B1510" s="10">
        <f>IF(A1510="","",0.40*'Factor Scores'!C1510+0.20*'Factor Scores'!E1510+0.20*'Factor Scores'!G1510+0.20*'Factor Scores'!H1510)</f>
        <v/>
      </c>
      <c r="C1510" s="12">
        <f>IF(B1510="","",RANK(B1510,$B$2:$B$2501,0))</f>
        <v/>
      </c>
      <c r="D1510">
        <f>IF(C1510="","",C1510&lt;=25)</f>
        <v/>
      </c>
      <c r="F1510">
        <f>IF(A1510="","",IF(AND(D1510=TRUE,E1510=""),"BUY",IF(AND(D1510=FALSE,E1510&lt;&gt;""),"SELL",IF(AND(D1510=TRUE,E1510&lt;&gt;""),"HOLD",""))))</f>
        <v/>
      </c>
      <c r="G1510" s="12">
        <f>IF(D1510=TRUE,4,0)</f>
        <v/>
      </c>
      <c r="H1510">
        <f>IF(A1510="","",BDP(A1510&amp;" US Equity","GICS_SECTOR_NAME"))</f>
        <v/>
      </c>
    </row>
    <row r="1511">
      <c r="A1511">
        <f>'Factor Scores'!A1511</f>
        <v/>
      </c>
      <c r="B1511" s="10">
        <f>IF(A1511="","",0.40*'Factor Scores'!C1511+0.20*'Factor Scores'!E1511+0.20*'Factor Scores'!G1511+0.20*'Factor Scores'!H1511)</f>
        <v/>
      </c>
      <c r="C1511" s="12">
        <f>IF(B1511="","",RANK(B1511,$B$2:$B$2501,0))</f>
        <v/>
      </c>
      <c r="D1511">
        <f>IF(C1511="","",C1511&lt;=25)</f>
        <v/>
      </c>
      <c r="F1511">
        <f>IF(A1511="","",IF(AND(D1511=TRUE,E1511=""),"BUY",IF(AND(D1511=FALSE,E1511&lt;&gt;""),"SELL",IF(AND(D1511=TRUE,E1511&lt;&gt;""),"HOLD",""))))</f>
        <v/>
      </c>
      <c r="G1511" s="12">
        <f>IF(D1511=TRUE,4,0)</f>
        <v/>
      </c>
      <c r="H1511">
        <f>IF(A1511="","",BDP(A1511&amp;" US Equity","GICS_SECTOR_NAME"))</f>
        <v/>
      </c>
    </row>
    <row r="1512">
      <c r="A1512">
        <f>'Factor Scores'!A1512</f>
        <v/>
      </c>
      <c r="B1512" s="10">
        <f>IF(A1512="","",0.40*'Factor Scores'!C1512+0.20*'Factor Scores'!E1512+0.20*'Factor Scores'!G1512+0.20*'Factor Scores'!H1512)</f>
        <v/>
      </c>
      <c r="C1512" s="12">
        <f>IF(B1512="","",RANK(B1512,$B$2:$B$2501,0))</f>
        <v/>
      </c>
      <c r="D1512">
        <f>IF(C1512="","",C1512&lt;=25)</f>
        <v/>
      </c>
      <c r="F1512">
        <f>IF(A1512="","",IF(AND(D1512=TRUE,E1512=""),"BUY",IF(AND(D1512=FALSE,E1512&lt;&gt;""),"SELL",IF(AND(D1512=TRUE,E1512&lt;&gt;""),"HOLD",""))))</f>
        <v/>
      </c>
      <c r="G1512" s="12">
        <f>IF(D1512=TRUE,4,0)</f>
        <v/>
      </c>
      <c r="H1512">
        <f>IF(A1512="","",BDP(A1512&amp;" US Equity","GICS_SECTOR_NAME"))</f>
        <v/>
      </c>
    </row>
    <row r="1513">
      <c r="A1513">
        <f>'Factor Scores'!A1513</f>
        <v/>
      </c>
      <c r="B1513" s="10">
        <f>IF(A1513="","",0.40*'Factor Scores'!C1513+0.20*'Factor Scores'!E1513+0.20*'Factor Scores'!G1513+0.20*'Factor Scores'!H1513)</f>
        <v/>
      </c>
      <c r="C1513" s="12">
        <f>IF(B1513="","",RANK(B1513,$B$2:$B$2501,0))</f>
        <v/>
      </c>
      <c r="D1513">
        <f>IF(C1513="","",C1513&lt;=25)</f>
        <v/>
      </c>
      <c r="F1513">
        <f>IF(A1513="","",IF(AND(D1513=TRUE,E1513=""),"BUY",IF(AND(D1513=FALSE,E1513&lt;&gt;""),"SELL",IF(AND(D1513=TRUE,E1513&lt;&gt;""),"HOLD",""))))</f>
        <v/>
      </c>
      <c r="G1513" s="12">
        <f>IF(D1513=TRUE,4,0)</f>
        <v/>
      </c>
      <c r="H1513">
        <f>IF(A1513="","",BDP(A1513&amp;" US Equity","GICS_SECTOR_NAME"))</f>
        <v/>
      </c>
    </row>
    <row r="1514">
      <c r="A1514">
        <f>'Factor Scores'!A1514</f>
        <v/>
      </c>
      <c r="B1514" s="10">
        <f>IF(A1514="","",0.40*'Factor Scores'!C1514+0.20*'Factor Scores'!E1514+0.20*'Factor Scores'!G1514+0.20*'Factor Scores'!H1514)</f>
        <v/>
      </c>
      <c r="C1514" s="12">
        <f>IF(B1514="","",RANK(B1514,$B$2:$B$2501,0))</f>
        <v/>
      </c>
      <c r="D1514">
        <f>IF(C1514="","",C1514&lt;=25)</f>
        <v/>
      </c>
      <c r="F1514">
        <f>IF(A1514="","",IF(AND(D1514=TRUE,E1514=""),"BUY",IF(AND(D1514=FALSE,E1514&lt;&gt;""),"SELL",IF(AND(D1514=TRUE,E1514&lt;&gt;""),"HOLD",""))))</f>
        <v/>
      </c>
      <c r="G1514" s="12">
        <f>IF(D1514=TRUE,4,0)</f>
        <v/>
      </c>
      <c r="H1514">
        <f>IF(A1514="","",BDP(A1514&amp;" US Equity","GICS_SECTOR_NAME"))</f>
        <v/>
      </c>
    </row>
    <row r="1515">
      <c r="A1515">
        <f>'Factor Scores'!A1515</f>
        <v/>
      </c>
      <c r="B1515" s="10">
        <f>IF(A1515="","",0.40*'Factor Scores'!C1515+0.20*'Factor Scores'!E1515+0.20*'Factor Scores'!G1515+0.20*'Factor Scores'!H1515)</f>
        <v/>
      </c>
      <c r="C1515" s="12">
        <f>IF(B1515="","",RANK(B1515,$B$2:$B$2501,0))</f>
        <v/>
      </c>
      <c r="D1515">
        <f>IF(C1515="","",C1515&lt;=25)</f>
        <v/>
      </c>
      <c r="F1515">
        <f>IF(A1515="","",IF(AND(D1515=TRUE,E1515=""),"BUY",IF(AND(D1515=FALSE,E1515&lt;&gt;""),"SELL",IF(AND(D1515=TRUE,E1515&lt;&gt;""),"HOLD",""))))</f>
        <v/>
      </c>
      <c r="G1515" s="12">
        <f>IF(D1515=TRUE,4,0)</f>
        <v/>
      </c>
      <c r="H1515">
        <f>IF(A1515="","",BDP(A1515&amp;" US Equity","GICS_SECTOR_NAME"))</f>
        <v/>
      </c>
    </row>
    <row r="1516">
      <c r="A1516">
        <f>'Factor Scores'!A1516</f>
        <v/>
      </c>
      <c r="B1516" s="10">
        <f>IF(A1516="","",0.40*'Factor Scores'!C1516+0.20*'Factor Scores'!E1516+0.20*'Factor Scores'!G1516+0.20*'Factor Scores'!H1516)</f>
        <v/>
      </c>
      <c r="C1516" s="12">
        <f>IF(B1516="","",RANK(B1516,$B$2:$B$2501,0))</f>
        <v/>
      </c>
      <c r="D1516">
        <f>IF(C1516="","",C1516&lt;=25)</f>
        <v/>
      </c>
      <c r="F1516">
        <f>IF(A1516="","",IF(AND(D1516=TRUE,E1516=""),"BUY",IF(AND(D1516=FALSE,E1516&lt;&gt;""),"SELL",IF(AND(D1516=TRUE,E1516&lt;&gt;""),"HOLD",""))))</f>
        <v/>
      </c>
      <c r="G1516" s="12">
        <f>IF(D1516=TRUE,4,0)</f>
        <v/>
      </c>
      <c r="H1516">
        <f>IF(A1516="","",BDP(A1516&amp;" US Equity","GICS_SECTOR_NAME"))</f>
        <v/>
      </c>
    </row>
    <row r="1517">
      <c r="A1517">
        <f>'Factor Scores'!A1517</f>
        <v/>
      </c>
      <c r="B1517" s="10">
        <f>IF(A1517="","",0.40*'Factor Scores'!C1517+0.20*'Factor Scores'!E1517+0.20*'Factor Scores'!G1517+0.20*'Factor Scores'!H1517)</f>
        <v/>
      </c>
      <c r="C1517" s="12">
        <f>IF(B1517="","",RANK(B1517,$B$2:$B$2501,0))</f>
        <v/>
      </c>
      <c r="D1517">
        <f>IF(C1517="","",C1517&lt;=25)</f>
        <v/>
      </c>
      <c r="F1517">
        <f>IF(A1517="","",IF(AND(D1517=TRUE,E1517=""),"BUY",IF(AND(D1517=FALSE,E1517&lt;&gt;""),"SELL",IF(AND(D1517=TRUE,E1517&lt;&gt;""),"HOLD",""))))</f>
        <v/>
      </c>
      <c r="G1517" s="12">
        <f>IF(D1517=TRUE,4,0)</f>
        <v/>
      </c>
      <c r="H1517">
        <f>IF(A1517="","",BDP(A1517&amp;" US Equity","GICS_SECTOR_NAME"))</f>
        <v/>
      </c>
    </row>
    <row r="1518">
      <c r="A1518">
        <f>'Factor Scores'!A1518</f>
        <v/>
      </c>
      <c r="B1518" s="10">
        <f>IF(A1518="","",0.40*'Factor Scores'!C1518+0.20*'Factor Scores'!E1518+0.20*'Factor Scores'!G1518+0.20*'Factor Scores'!H1518)</f>
        <v/>
      </c>
      <c r="C1518" s="12">
        <f>IF(B1518="","",RANK(B1518,$B$2:$B$2501,0))</f>
        <v/>
      </c>
      <c r="D1518">
        <f>IF(C1518="","",C1518&lt;=25)</f>
        <v/>
      </c>
      <c r="F1518">
        <f>IF(A1518="","",IF(AND(D1518=TRUE,E1518=""),"BUY",IF(AND(D1518=FALSE,E1518&lt;&gt;""),"SELL",IF(AND(D1518=TRUE,E1518&lt;&gt;""),"HOLD",""))))</f>
        <v/>
      </c>
      <c r="G1518" s="12">
        <f>IF(D1518=TRUE,4,0)</f>
        <v/>
      </c>
      <c r="H1518">
        <f>IF(A1518="","",BDP(A1518&amp;" US Equity","GICS_SECTOR_NAME"))</f>
        <v/>
      </c>
    </row>
    <row r="1519">
      <c r="A1519">
        <f>'Factor Scores'!A1519</f>
        <v/>
      </c>
      <c r="B1519" s="10">
        <f>IF(A1519="","",0.40*'Factor Scores'!C1519+0.20*'Factor Scores'!E1519+0.20*'Factor Scores'!G1519+0.20*'Factor Scores'!H1519)</f>
        <v/>
      </c>
      <c r="C1519" s="12">
        <f>IF(B1519="","",RANK(B1519,$B$2:$B$2501,0))</f>
        <v/>
      </c>
      <c r="D1519">
        <f>IF(C1519="","",C1519&lt;=25)</f>
        <v/>
      </c>
      <c r="F1519">
        <f>IF(A1519="","",IF(AND(D1519=TRUE,E1519=""),"BUY",IF(AND(D1519=FALSE,E1519&lt;&gt;""),"SELL",IF(AND(D1519=TRUE,E1519&lt;&gt;""),"HOLD",""))))</f>
        <v/>
      </c>
      <c r="G1519" s="12">
        <f>IF(D1519=TRUE,4,0)</f>
        <v/>
      </c>
      <c r="H1519">
        <f>IF(A1519="","",BDP(A1519&amp;" US Equity","GICS_SECTOR_NAME"))</f>
        <v/>
      </c>
    </row>
    <row r="1520">
      <c r="A1520">
        <f>'Factor Scores'!A1520</f>
        <v/>
      </c>
      <c r="B1520" s="10">
        <f>IF(A1520="","",0.40*'Factor Scores'!C1520+0.20*'Factor Scores'!E1520+0.20*'Factor Scores'!G1520+0.20*'Factor Scores'!H1520)</f>
        <v/>
      </c>
      <c r="C1520" s="12">
        <f>IF(B1520="","",RANK(B1520,$B$2:$B$2501,0))</f>
        <v/>
      </c>
      <c r="D1520">
        <f>IF(C1520="","",C1520&lt;=25)</f>
        <v/>
      </c>
      <c r="F1520">
        <f>IF(A1520="","",IF(AND(D1520=TRUE,E1520=""),"BUY",IF(AND(D1520=FALSE,E1520&lt;&gt;""),"SELL",IF(AND(D1520=TRUE,E1520&lt;&gt;""),"HOLD",""))))</f>
        <v/>
      </c>
      <c r="G1520" s="12">
        <f>IF(D1520=TRUE,4,0)</f>
        <v/>
      </c>
      <c r="H1520">
        <f>IF(A1520="","",BDP(A1520&amp;" US Equity","GICS_SECTOR_NAME"))</f>
        <v/>
      </c>
    </row>
    <row r="1521">
      <c r="A1521">
        <f>'Factor Scores'!A1521</f>
        <v/>
      </c>
      <c r="B1521" s="10">
        <f>IF(A1521="","",0.40*'Factor Scores'!C1521+0.20*'Factor Scores'!E1521+0.20*'Factor Scores'!G1521+0.20*'Factor Scores'!H1521)</f>
        <v/>
      </c>
      <c r="C1521" s="12">
        <f>IF(B1521="","",RANK(B1521,$B$2:$B$2501,0))</f>
        <v/>
      </c>
      <c r="D1521">
        <f>IF(C1521="","",C1521&lt;=25)</f>
        <v/>
      </c>
      <c r="F1521">
        <f>IF(A1521="","",IF(AND(D1521=TRUE,E1521=""),"BUY",IF(AND(D1521=FALSE,E1521&lt;&gt;""),"SELL",IF(AND(D1521=TRUE,E1521&lt;&gt;""),"HOLD",""))))</f>
        <v/>
      </c>
      <c r="G1521" s="12">
        <f>IF(D1521=TRUE,4,0)</f>
        <v/>
      </c>
      <c r="H1521">
        <f>IF(A1521="","",BDP(A1521&amp;" US Equity","GICS_SECTOR_NAME"))</f>
        <v/>
      </c>
    </row>
    <row r="1522">
      <c r="A1522">
        <f>'Factor Scores'!A1522</f>
        <v/>
      </c>
      <c r="B1522" s="10">
        <f>IF(A1522="","",0.40*'Factor Scores'!C1522+0.20*'Factor Scores'!E1522+0.20*'Factor Scores'!G1522+0.20*'Factor Scores'!H1522)</f>
        <v/>
      </c>
      <c r="C1522" s="12">
        <f>IF(B1522="","",RANK(B1522,$B$2:$B$2501,0))</f>
        <v/>
      </c>
      <c r="D1522">
        <f>IF(C1522="","",C1522&lt;=25)</f>
        <v/>
      </c>
      <c r="F1522">
        <f>IF(A1522="","",IF(AND(D1522=TRUE,E1522=""),"BUY",IF(AND(D1522=FALSE,E1522&lt;&gt;""),"SELL",IF(AND(D1522=TRUE,E1522&lt;&gt;""),"HOLD",""))))</f>
        <v/>
      </c>
      <c r="G1522" s="12">
        <f>IF(D1522=TRUE,4,0)</f>
        <v/>
      </c>
      <c r="H1522">
        <f>IF(A1522="","",BDP(A1522&amp;" US Equity","GICS_SECTOR_NAME"))</f>
        <v/>
      </c>
    </row>
    <row r="1523">
      <c r="A1523">
        <f>'Factor Scores'!A1523</f>
        <v/>
      </c>
      <c r="B1523" s="10">
        <f>IF(A1523="","",0.40*'Factor Scores'!C1523+0.20*'Factor Scores'!E1523+0.20*'Factor Scores'!G1523+0.20*'Factor Scores'!H1523)</f>
        <v/>
      </c>
      <c r="C1523" s="12">
        <f>IF(B1523="","",RANK(B1523,$B$2:$B$2501,0))</f>
        <v/>
      </c>
      <c r="D1523">
        <f>IF(C1523="","",C1523&lt;=25)</f>
        <v/>
      </c>
      <c r="F1523">
        <f>IF(A1523="","",IF(AND(D1523=TRUE,E1523=""),"BUY",IF(AND(D1523=FALSE,E1523&lt;&gt;""),"SELL",IF(AND(D1523=TRUE,E1523&lt;&gt;""),"HOLD",""))))</f>
        <v/>
      </c>
      <c r="G1523" s="12">
        <f>IF(D1523=TRUE,4,0)</f>
        <v/>
      </c>
      <c r="H1523">
        <f>IF(A1523="","",BDP(A1523&amp;" US Equity","GICS_SECTOR_NAME"))</f>
        <v/>
      </c>
    </row>
    <row r="1524">
      <c r="A1524">
        <f>'Factor Scores'!A1524</f>
        <v/>
      </c>
      <c r="B1524" s="10">
        <f>IF(A1524="","",0.40*'Factor Scores'!C1524+0.20*'Factor Scores'!E1524+0.20*'Factor Scores'!G1524+0.20*'Factor Scores'!H1524)</f>
        <v/>
      </c>
      <c r="C1524" s="12">
        <f>IF(B1524="","",RANK(B1524,$B$2:$B$2501,0))</f>
        <v/>
      </c>
      <c r="D1524">
        <f>IF(C1524="","",C1524&lt;=25)</f>
        <v/>
      </c>
      <c r="F1524">
        <f>IF(A1524="","",IF(AND(D1524=TRUE,E1524=""),"BUY",IF(AND(D1524=FALSE,E1524&lt;&gt;""),"SELL",IF(AND(D1524=TRUE,E1524&lt;&gt;""),"HOLD",""))))</f>
        <v/>
      </c>
      <c r="G1524" s="12">
        <f>IF(D1524=TRUE,4,0)</f>
        <v/>
      </c>
      <c r="H1524">
        <f>IF(A1524="","",BDP(A1524&amp;" US Equity","GICS_SECTOR_NAME"))</f>
        <v/>
      </c>
    </row>
    <row r="1525">
      <c r="A1525">
        <f>'Factor Scores'!A1525</f>
        <v/>
      </c>
      <c r="B1525" s="10">
        <f>IF(A1525="","",0.40*'Factor Scores'!C1525+0.20*'Factor Scores'!E1525+0.20*'Factor Scores'!G1525+0.20*'Factor Scores'!H1525)</f>
        <v/>
      </c>
      <c r="C1525" s="12">
        <f>IF(B1525="","",RANK(B1525,$B$2:$B$2501,0))</f>
        <v/>
      </c>
      <c r="D1525">
        <f>IF(C1525="","",C1525&lt;=25)</f>
        <v/>
      </c>
      <c r="F1525">
        <f>IF(A1525="","",IF(AND(D1525=TRUE,E1525=""),"BUY",IF(AND(D1525=FALSE,E1525&lt;&gt;""),"SELL",IF(AND(D1525=TRUE,E1525&lt;&gt;""),"HOLD",""))))</f>
        <v/>
      </c>
      <c r="G1525" s="12">
        <f>IF(D1525=TRUE,4,0)</f>
        <v/>
      </c>
      <c r="H1525">
        <f>IF(A1525="","",BDP(A1525&amp;" US Equity","GICS_SECTOR_NAME"))</f>
        <v/>
      </c>
    </row>
    <row r="1526">
      <c r="A1526">
        <f>'Factor Scores'!A1526</f>
        <v/>
      </c>
      <c r="B1526" s="10">
        <f>IF(A1526="","",0.40*'Factor Scores'!C1526+0.20*'Factor Scores'!E1526+0.20*'Factor Scores'!G1526+0.20*'Factor Scores'!H1526)</f>
        <v/>
      </c>
      <c r="C1526" s="12">
        <f>IF(B1526="","",RANK(B1526,$B$2:$B$2501,0))</f>
        <v/>
      </c>
      <c r="D1526">
        <f>IF(C1526="","",C1526&lt;=25)</f>
        <v/>
      </c>
      <c r="F1526">
        <f>IF(A1526="","",IF(AND(D1526=TRUE,E1526=""),"BUY",IF(AND(D1526=FALSE,E1526&lt;&gt;""),"SELL",IF(AND(D1526=TRUE,E1526&lt;&gt;""),"HOLD",""))))</f>
        <v/>
      </c>
      <c r="G1526" s="12">
        <f>IF(D1526=TRUE,4,0)</f>
        <v/>
      </c>
      <c r="H1526">
        <f>IF(A1526="","",BDP(A1526&amp;" US Equity","GICS_SECTOR_NAME"))</f>
        <v/>
      </c>
    </row>
    <row r="1527">
      <c r="A1527">
        <f>'Factor Scores'!A1527</f>
        <v/>
      </c>
      <c r="B1527" s="10">
        <f>IF(A1527="","",0.40*'Factor Scores'!C1527+0.20*'Factor Scores'!E1527+0.20*'Factor Scores'!G1527+0.20*'Factor Scores'!H1527)</f>
        <v/>
      </c>
      <c r="C1527" s="12">
        <f>IF(B1527="","",RANK(B1527,$B$2:$B$2501,0))</f>
        <v/>
      </c>
      <c r="D1527">
        <f>IF(C1527="","",C1527&lt;=25)</f>
        <v/>
      </c>
      <c r="F1527">
        <f>IF(A1527="","",IF(AND(D1527=TRUE,E1527=""),"BUY",IF(AND(D1527=FALSE,E1527&lt;&gt;""),"SELL",IF(AND(D1527=TRUE,E1527&lt;&gt;""),"HOLD",""))))</f>
        <v/>
      </c>
      <c r="G1527" s="12">
        <f>IF(D1527=TRUE,4,0)</f>
        <v/>
      </c>
      <c r="H1527">
        <f>IF(A1527="","",BDP(A1527&amp;" US Equity","GICS_SECTOR_NAME"))</f>
        <v/>
      </c>
    </row>
    <row r="1528">
      <c r="A1528">
        <f>'Factor Scores'!A1528</f>
        <v/>
      </c>
      <c r="B1528" s="10">
        <f>IF(A1528="","",0.40*'Factor Scores'!C1528+0.20*'Factor Scores'!E1528+0.20*'Factor Scores'!G1528+0.20*'Factor Scores'!H1528)</f>
        <v/>
      </c>
      <c r="C1528" s="12">
        <f>IF(B1528="","",RANK(B1528,$B$2:$B$2501,0))</f>
        <v/>
      </c>
      <c r="D1528">
        <f>IF(C1528="","",C1528&lt;=25)</f>
        <v/>
      </c>
      <c r="F1528">
        <f>IF(A1528="","",IF(AND(D1528=TRUE,E1528=""),"BUY",IF(AND(D1528=FALSE,E1528&lt;&gt;""),"SELL",IF(AND(D1528=TRUE,E1528&lt;&gt;""),"HOLD",""))))</f>
        <v/>
      </c>
      <c r="G1528" s="12">
        <f>IF(D1528=TRUE,4,0)</f>
        <v/>
      </c>
      <c r="H1528">
        <f>IF(A1528="","",BDP(A1528&amp;" US Equity","GICS_SECTOR_NAME"))</f>
        <v/>
      </c>
    </row>
    <row r="1529">
      <c r="A1529">
        <f>'Factor Scores'!A1529</f>
        <v/>
      </c>
      <c r="B1529" s="10">
        <f>IF(A1529="","",0.40*'Factor Scores'!C1529+0.20*'Factor Scores'!E1529+0.20*'Factor Scores'!G1529+0.20*'Factor Scores'!H1529)</f>
        <v/>
      </c>
      <c r="C1529" s="12">
        <f>IF(B1529="","",RANK(B1529,$B$2:$B$2501,0))</f>
        <v/>
      </c>
      <c r="D1529">
        <f>IF(C1529="","",C1529&lt;=25)</f>
        <v/>
      </c>
      <c r="F1529">
        <f>IF(A1529="","",IF(AND(D1529=TRUE,E1529=""),"BUY",IF(AND(D1529=FALSE,E1529&lt;&gt;""),"SELL",IF(AND(D1529=TRUE,E1529&lt;&gt;""),"HOLD",""))))</f>
        <v/>
      </c>
      <c r="G1529" s="12">
        <f>IF(D1529=TRUE,4,0)</f>
        <v/>
      </c>
      <c r="H1529">
        <f>IF(A1529="","",BDP(A1529&amp;" US Equity","GICS_SECTOR_NAME"))</f>
        <v/>
      </c>
    </row>
    <row r="1530">
      <c r="A1530">
        <f>'Factor Scores'!A1530</f>
        <v/>
      </c>
      <c r="B1530" s="10">
        <f>IF(A1530="","",0.40*'Factor Scores'!C1530+0.20*'Factor Scores'!E1530+0.20*'Factor Scores'!G1530+0.20*'Factor Scores'!H1530)</f>
        <v/>
      </c>
      <c r="C1530" s="12">
        <f>IF(B1530="","",RANK(B1530,$B$2:$B$2501,0))</f>
        <v/>
      </c>
      <c r="D1530">
        <f>IF(C1530="","",C1530&lt;=25)</f>
        <v/>
      </c>
      <c r="F1530">
        <f>IF(A1530="","",IF(AND(D1530=TRUE,E1530=""),"BUY",IF(AND(D1530=FALSE,E1530&lt;&gt;""),"SELL",IF(AND(D1530=TRUE,E1530&lt;&gt;""),"HOLD",""))))</f>
        <v/>
      </c>
      <c r="G1530" s="12">
        <f>IF(D1530=TRUE,4,0)</f>
        <v/>
      </c>
      <c r="H1530">
        <f>IF(A1530="","",BDP(A1530&amp;" US Equity","GICS_SECTOR_NAME"))</f>
        <v/>
      </c>
    </row>
    <row r="1531">
      <c r="A1531">
        <f>'Factor Scores'!A1531</f>
        <v/>
      </c>
      <c r="B1531" s="10">
        <f>IF(A1531="","",0.40*'Factor Scores'!C1531+0.20*'Factor Scores'!E1531+0.20*'Factor Scores'!G1531+0.20*'Factor Scores'!H1531)</f>
        <v/>
      </c>
      <c r="C1531" s="12">
        <f>IF(B1531="","",RANK(B1531,$B$2:$B$2501,0))</f>
        <v/>
      </c>
      <c r="D1531">
        <f>IF(C1531="","",C1531&lt;=25)</f>
        <v/>
      </c>
      <c r="F1531">
        <f>IF(A1531="","",IF(AND(D1531=TRUE,E1531=""),"BUY",IF(AND(D1531=FALSE,E1531&lt;&gt;""),"SELL",IF(AND(D1531=TRUE,E1531&lt;&gt;""),"HOLD",""))))</f>
        <v/>
      </c>
      <c r="G1531" s="12">
        <f>IF(D1531=TRUE,4,0)</f>
        <v/>
      </c>
      <c r="H1531">
        <f>IF(A1531="","",BDP(A1531&amp;" US Equity","GICS_SECTOR_NAME"))</f>
        <v/>
      </c>
    </row>
    <row r="1532">
      <c r="A1532">
        <f>'Factor Scores'!A1532</f>
        <v/>
      </c>
      <c r="B1532" s="10">
        <f>IF(A1532="","",0.40*'Factor Scores'!C1532+0.20*'Factor Scores'!E1532+0.20*'Factor Scores'!G1532+0.20*'Factor Scores'!H1532)</f>
        <v/>
      </c>
      <c r="C1532" s="12">
        <f>IF(B1532="","",RANK(B1532,$B$2:$B$2501,0))</f>
        <v/>
      </c>
      <c r="D1532">
        <f>IF(C1532="","",C1532&lt;=25)</f>
        <v/>
      </c>
      <c r="F1532">
        <f>IF(A1532="","",IF(AND(D1532=TRUE,E1532=""),"BUY",IF(AND(D1532=FALSE,E1532&lt;&gt;""),"SELL",IF(AND(D1532=TRUE,E1532&lt;&gt;""),"HOLD",""))))</f>
        <v/>
      </c>
      <c r="G1532" s="12">
        <f>IF(D1532=TRUE,4,0)</f>
        <v/>
      </c>
      <c r="H1532">
        <f>IF(A1532="","",BDP(A1532&amp;" US Equity","GICS_SECTOR_NAME"))</f>
        <v/>
      </c>
    </row>
    <row r="1533">
      <c r="A1533">
        <f>'Factor Scores'!A1533</f>
        <v/>
      </c>
      <c r="B1533" s="10">
        <f>IF(A1533="","",0.40*'Factor Scores'!C1533+0.20*'Factor Scores'!E1533+0.20*'Factor Scores'!G1533+0.20*'Factor Scores'!H1533)</f>
        <v/>
      </c>
      <c r="C1533" s="12">
        <f>IF(B1533="","",RANK(B1533,$B$2:$B$2501,0))</f>
        <v/>
      </c>
      <c r="D1533">
        <f>IF(C1533="","",C1533&lt;=25)</f>
        <v/>
      </c>
      <c r="F1533">
        <f>IF(A1533="","",IF(AND(D1533=TRUE,E1533=""),"BUY",IF(AND(D1533=FALSE,E1533&lt;&gt;""),"SELL",IF(AND(D1533=TRUE,E1533&lt;&gt;""),"HOLD",""))))</f>
        <v/>
      </c>
      <c r="G1533" s="12">
        <f>IF(D1533=TRUE,4,0)</f>
        <v/>
      </c>
      <c r="H1533">
        <f>IF(A1533="","",BDP(A1533&amp;" US Equity","GICS_SECTOR_NAME"))</f>
        <v/>
      </c>
    </row>
    <row r="1534">
      <c r="A1534">
        <f>'Factor Scores'!A1534</f>
        <v/>
      </c>
      <c r="B1534" s="10">
        <f>IF(A1534="","",0.40*'Factor Scores'!C1534+0.20*'Factor Scores'!E1534+0.20*'Factor Scores'!G1534+0.20*'Factor Scores'!H1534)</f>
        <v/>
      </c>
      <c r="C1534" s="12">
        <f>IF(B1534="","",RANK(B1534,$B$2:$B$2501,0))</f>
        <v/>
      </c>
      <c r="D1534">
        <f>IF(C1534="","",C1534&lt;=25)</f>
        <v/>
      </c>
      <c r="F1534">
        <f>IF(A1534="","",IF(AND(D1534=TRUE,E1534=""),"BUY",IF(AND(D1534=FALSE,E1534&lt;&gt;""),"SELL",IF(AND(D1534=TRUE,E1534&lt;&gt;""),"HOLD",""))))</f>
        <v/>
      </c>
      <c r="G1534" s="12">
        <f>IF(D1534=TRUE,4,0)</f>
        <v/>
      </c>
      <c r="H1534">
        <f>IF(A1534="","",BDP(A1534&amp;" US Equity","GICS_SECTOR_NAME"))</f>
        <v/>
      </c>
    </row>
    <row r="1535">
      <c r="A1535">
        <f>'Factor Scores'!A1535</f>
        <v/>
      </c>
      <c r="B1535" s="10">
        <f>IF(A1535="","",0.40*'Factor Scores'!C1535+0.20*'Factor Scores'!E1535+0.20*'Factor Scores'!G1535+0.20*'Factor Scores'!H1535)</f>
        <v/>
      </c>
      <c r="C1535" s="12">
        <f>IF(B1535="","",RANK(B1535,$B$2:$B$2501,0))</f>
        <v/>
      </c>
      <c r="D1535">
        <f>IF(C1535="","",C1535&lt;=25)</f>
        <v/>
      </c>
      <c r="F1535">
        <f>IF(A1535="","",IF(AND(D1535=TRUE,E1535=""),"BUY",IF(AND(D1535=FALSE,E1535&lt;&gt;""),"SELL",IF(AND(D1535=TRUE,E1535&lt;&gt;""),"HOLD",""))))</f>
        <v/>
      </c>
      <c r="G1535" s="12">
        <f>IF(D1535=TRUE,4,0)</f>
        <v/>
      </c>
      <c r="H1535">
        <f>IF(A1535="","",BDP(A1535&amp;" US Equity","GICS_SECTOR_NAME"))</f>
        <v/>
      </c>
    </row>
    <row r="1536">
      <c r="A1536">
        <f>'Factor Scores'!A1536</f>
        <v/>
      </c>
      <c r="B1536" s="10">
        <f>IF(A1536="","",0.40*'Factor Scores'!C1536+0.20*'Factor Scores'!E1536+0.20*'Factor Scores'!G1536+0.20*'Factor Scores'!H1536)</f>
        <v/>
      </c>
      <c r="C1536" s="12">
        <f>IF(B1536="","",RANK(B1536,$B$2:$B$2501,0))</f>
        <v/>
      </c>
      <c r="D1536">
        <f>IF(C1536="","",C1536&lt;=25)</f>
        <v/>
      </c>
      <c r="F1536">
        <f>IF(A1536="","",IF(AND(D1536=TRUE,E1536=""),"BUY",IF(AND(D1536=FALSE,E1536&lt;&gt;""),"SELL",IF(AND(D1536=TRUE,E1536&lt;&gt;""),"HOLD",""))))</f>
        <v/>
      </c>
      <c r="G1536" s="12">
        <f>IF(D1536=TRUE,4,0)</f>
        <v/>
      </c>
      <c r="H1536">
        <f>IF(A1536="","",BDP(A1536&amp;" US Equity","GICS_SECTOR_NAME"))</f>
        <v/>
      </c>
    </row>
    <row r="1537">
      <c r="A1537">
        <f>'Factor Scores'!A1537</f>
        <v/>
      </c>
      <c r="B1537" s="10">
        <f>IF(A1537="","",0.40*'Factor Scores'!C1537+0.20*'Factor Scores'!E1537+0.20*'Factor Scores'!G1537+0.20*'Factor Scores'!H1537)</f>
        <v/>
      </c>
      <c r="C1537" s="12">
        <f>IF(B1537="","",RANK(B1537,$B$2:$B$2501,0))</f>
        <v/>
      </c>
      <c r="D1537">
        <f>IF(C1537="","",C1537&lt;=25)</f>
        <v/>
      </c>
      <c r="F1537">
        <f>IF(A1537="","",IF(AND(D1537=TRUE,E1537=""),"BUY",IF(AND(D1537=FALSE,E1537&lt;&gt;""),"SELL",IF(AND(D1537=TRUE,E1537&lt;&gt;""),"HOLD",""))))</f>
        <v/>
      </c>
      <c r="G1537" s="12">
        <f>IF(D1537=TRUE,4,0)</f>
        <v/>
      </c>
      <c r="H1537">
        <f>IF(A1537="","",BDP(A1537&amp;" US Equity","GICS_SECTOR_NAME"))</f>
        <v/>
      </c>
    </row>
    <row r="1538">
      <c r="A1538">
        <f>'Factor Scores'!A1538</f>
        <v/>
      </c>
      <c r="B1538" s="10">
        <f>IF(A1538="","",0.40*'Factor Scores'!C1538+0.20*'Factor Scores'!E1538+0.20*'Factor Scores'!G1538+0.20*'Factor Scores'!H1538)</f>
        <v/>
      </c>
      <c r="C1538" s="12">
        <f>IF(B1538="","",RANK(B1538,$B$2:$B$2501,0))</f>
        <v/>
      </c>
      <c r="D1538">
        <f>IF(C1538="","",C1538&lt;=25)</f>
        <v/>
      </c>
      <c r="F1538">
        <f>IF(A1538="","",IF(AND(D1538=TRUE,E1538=""),"BUY",IF(AND(D1538=FALSE,E1538&lt;&gt;""),"SELL",IF(AND(D1538=TRUE,E1538&lt;&gt;""),"HOLD",""))))</f>
        <v/>
      </c>
      <c r="G1538" s="12">
        <f>IF(D1538=TRUE,4,0)</f>
        <v/>
      </c>
      <c r="H1538">
        <f>IF(A1538="","",BDP(A1538&amp;" US Equity","GICS_SECTOR_NAME"))</f>
        <v/>
      </c>
    </row>
    <row r="1539">
      <c r="A1539">
        <f>'Factor Scores'!A1539</f>
        <v/>
      </c>
      <c r="B1539" s="10">
        <f>IF(A1539="","",0.40*'Factor Scores'!C1539+0.20*'Factor Scores'!E1539+0.20*'Factor Scores'!G1539+0.20*'Factor Scores'!H1539)</f>
        <v/>
      </c>
      <c r="C1539" s="12">
        <f>IF(B1539="","",RANK(B1539,$B$2:$B$2501,0))</f>
        <v/>
      </c>
      <c r="D1539">
        <f>IF(C1539="","",C1539&lt;=25)</f>
        <v/>
      </c>
      <c r="F1539">
        <f>IF(A1539="","",IF(AND(D1539=TRUE,E1539=""),"BUY",IF(AND(D1539=FALSE,E1539&lt;&gt;""),"SELL",IF(AND(D1539=TRUE,E1539&lt;&gt;""),"HOLD",""))))</f>
        <v/>
      </c>
      <c r="G1539" s="12">
        <f>IF(D1539=TRUE,4,0)</f>
        <v/>
      </c>
      <c r="H1539">
        <f>IF(A1539="","",BDP(A1539&amp;" US Equity","GICS_SECTOR_NAME"))</f>
        <v/>
      </c>
    </row>
    <row r="1540">
      <c r="A1540">
        <f>'Factor Scores'!A1540</f>
        <v/>
      </c>
      <c r="B1540" s="10">
        <f>IF(A1540="","",0.40*'Factor Scores'!C1540+0.20*'Factor Scores'!E1540+0.20*'Factor Scores'!G1540+0.20*'Factor Scores'!H1540)</f>
        <v/>
      </c>
      <c r="C1540" s="12">
        <f>IF(B1540="","",RANK(B1540,$B$2:$B$2501,0))</f>
        <v/>
      </c>
      <c r="D1540">
        <f>IF(C1540="","",C1540&lt;=25)</f>
        <v/>
      </c>
      <c r="F1540">
        <f>IF(A1540="","",IF(AND(D1540=TRUE,E1540=""),"BUY",IF(AND(D1540=FALSE,E1540&lt;&gt;""),"SELL",IF(AND(D1540=TRUE,E1540&lt;&gt;""),"HOLD",""))))</f>
        <v/>
      </c>
      <c r="G1540" s="12">
        <f>IF(D1540=TRUE,4,0)</f>
        <v/>
      </c>
      <c r="H1540">
        <f>IF(A1540="","",BDP(A1540&amp;" US Equity","GICS_SECTOR_NAME"))</f>
        <v/>
      </c>
    </row>
    <row r="1541">
      <c r="A1541">
        <f>'Factor Scores'!A1541</f>
        <v/>
      </c>
      <c r="B1541" s="10">
        <f>IF(A1541="","",0.40*'Factor Scores'!C1541+0.20*'Factor Scores'!E1541+0.20*'Factor Scores'!G1541+0.20*'Factor Scores'!H1541)</f>
        <v/>
      </c>
      <c r="C1541" s="12">
        <f>IF(B1541="","",RANK(B1541,$B$2:$B$2501,0))</f>
        <v/>
      </c>
      <c r="D1541">
        <f>IF(C1541="","",C1541&lt;=25)</f>
        <v/>
      </c>
      <c r="F1541">
        <f>IF(A1541="","",IF(AND(D1541=TRUE,E1541=""),"BUY",IF(AND(D1541=FALSE,E1541&lt;&gt;""),"SELL",IF(AND(D1541=TRUE,E1541&lt;&gt;""),"HOLD",""))))</f>
        <v/>
      </c>
      <c r="G1541" s="12">
        <f>IF(D1541=TRUE,4,0)</f>
        <v/>
      </c>
      <c r="H1541">
        <f>IF(A1541="","",BDP(A1541&amp;" US Equity","GICS_SECTOR_NAME"))</f>
        <v/>
      </c>
    </row>
    <row r="1542">
      <c r="A1542">
        <f>'Factor Scores'!A1542</f>
        <v/>
      </c>
      <c r="B1542" s="10">
        <f>IF(A1542="","",0.40*'Factor Scores'!C1542+0.20*'Factor Scores'!E1542+0.20*'Factor Scores'!G1542+0.20*'Factor Scores'!H1542)</f>
        <v/>
      </c>
      <c r="C1542" s="12">
        <f>IF(B1542="","",RANK(B1542,$B$2:$B$2501,0))</f>
        <v/>
      </c>
      <c r="D1542">
        <f>IF(C1542="","",C1542&lt;=25)</f>
        <v/>
      </c>
      <c r="F1542">
        <f>IF(A1542="","",IF(AND(D1542=TRUE,E1542=""),"BUY",IF(AND(D1542=FALSE,E1542&lt;&gt;""),"SELL",IF(AND(D1542=TRUE,E1542&lt;&gt;""),"HOLD",""))))</f>
        <v/>
      </c>
      <c r="G1542" s="12">
        <f>IF(D1542=TRUE,4,0)</f>
        <v/>
      </c>
      <c r="H1542">
        <f>IF(A1542="","",BDP(A1542&amp;" US Equity","GICS_SECTOR_NAME"))</f>
        <v/>
      </c>
    </row>
    <row r="1543">
      <c r="A1543">
        <f>'Factor Scores'!A1543</f>
        <v/>
      </c>
      <c r="B1543" s="10">
        <f>IF(A1543="","",0.40*'Factor Scores'!C1543+0.20*'Factor Scores'!E1543+0.20*'Factor Scores'!G1543+0.20*'Factor Scores'!H1543)</f>
        <v/>
      </c>
      <c r="C1543" s="12">
        <f>IF(B1543="","",RANK(B1543,$B$2:$B$2501,0))</f>
        <v/>
      </c>
      <c r="D1543">
        <f>IF(C1543="","",C1543&lt;=25)</f>
        <v/>
      </c>
      <c r="F1543">
        <f>IF(A1543="","",IF(AND(D1543=TRUE,E1543=""),"BUY",IF(AND(D1543=FALSE,E1543&lt;&gt;""),"SELL",IF(AND(D1543=TRUE,E1543&lt;&gt;""),"HOLD",""))))</f>
        <v/>
      </c>
      <c r="G1543" s="12">
        <f>IF(D1543=TRUE,4,0)</f>
        <v/>
      </c>
      <c r="H1543">
        <f>IF(A1543="","",BDP(A1543&amp;" US Equity","GICS_SECTOR_NAME"))</f>
        <v/>
      </c>
    </row>
    <row r="1544">
      <c r="A1544">
        <f>'Factor Scores'!A1544</f>
        <v/>
      </c>
      <c r="B1544" s="10">
        <f>IF(A1544="","",0.40*'Factor Scores'!C1544+0.20*'Factor Scores'!E1544+0.20*'Factor Scores'!G1544+0.20*'Factor Scores'!H1544)</f>
        <v/>
      </c>
      <c r="C1544" s="12">
        <f>IF(B1544="","",RANK(B1544,$B$2:$B$2501,0))</f>
        <v/>
      </c>
      <c r="D1544">
        <f>IF(C1544="","",C1544&lt;=25)</f>
        <v/>
      </c>
      <c r="F1544">
        <f>IF(A1544="","",IF(AND(D1544=TRUE,E1544=""),"BUY",IF(AND(D1544=FALSE,E1544&lt;&gt;""),"SELL",IF(AND(D1544=TRUE,E1544&lt;&gt;""),"HOLD",""))))</f>
        <v/>
      </c>
      <c r="G1544" s="12">
        <f>IF(D1544=TRUE,4,0)</f>
        <v/>
      </c>
      <c r="H1544">
        <f>IF(A1544="","",BDP(A1544&amp;" US Equity","GICS_SECTOR_NAME"))</f>
        <v/>
      </c>
    </row>
    <row r="1545">
      <c r="A1545">
        <f>'Factor Scores'!A1545</f>
        <v/>
      </c>
      <c r="B1545" s="10">
        <f>IF(A1545="","",0.40*'Factor Scores'!C1545+0.20*'Factor Scores'!E1545+0.20*'Factor Scores'!G1545+0.20*'Factor Scores'!H1545)</f>
        <v/>
      </c>
      <c r="C1545" s="12">
        <f>IF(B1545="","",RANK(B1545,$B$2:$B$2501,0))</f>
        <v/>
      </c>
      <c r="D1545">
        <f>IF(C1545="","",C1545&lt;=25)</f>
        <v/>
      </c>
      <c r="F1545">
        <f>IF(A1545="","",IF(AND(D1545=TRUE,E1545=""),"BUY",IF(AND(D1545=FALSE,E1545&lt;&gt;""),"SELL",IF(AND(D1545=TRUE,E1545&lt;&gt;""),"HOLD",""))))</f>
        <v/>
      </c>
      <c r="G1545" s="12">
        <f>IF(D1545=TRUE,4,0)</f>
        <v/>
      </c>
      <c r="H1545">
        <f>IF(A1545="","",BDP(A1545&amp;" US Equity","GICS_SECTOR_NAME"))</f>
        <v/>
      </c>
    </row>
    <row r="1546">
      <c r="A1546">
        <f>'Factor Scores'!A1546</f>
        <v/>
      </c>
      <c r="B1546" s="10">
        <f>IF(A1546="","",0.40*'Factor Scores'!C1546+0.20*'Factor Scores'!E1546+0.20*'Factor Scores'!G1546+0.20*'Factor Scores'!H1546)</f>
        <v/>
      </c>
      <c r="C1546" s="12">
        <f>IF(B1546="","",RANK(B1546,$B$2:$B$2501,0))</f>
        <v/>
      </c>
      <c r="D1546">
        <f>IF(C1546="","",C1546&lt;=25)</f>
        <v/>
      </c>
      <c r="F1546">
        <f>IF(A1546="","",IF(AND(D1546=TRUE,E1546=""),"BUY",IF(AND(D1546=FALSE,E1546&lt;&gt;""),"SELL",IF(AND(D1546=TRUE,E1546&lt;&gt;""),"HOLD",""))))</f>
        <v/>
      </c>
      <c r="G1546" s="12">
        <f>IF(D1546=TRUE,4,0)</f>
        <v/>
      </c>
      <c r="H1546">
        <f>IF(A1546="","",BDP(A1546&amp;" US Equity","GICS_SECTOR_NAME"))</f>
        <v/>
      </c>
    </row>
    <row r="1547">
      <c r="A1547">
        <f>'Factor Scores'!A1547</f>
        <v/>
      </c>
      <c r="B1547" s="10">
        <f>IF(A1547="","",0.40*'Factor Scores'!C1547+0.20*'Factor Scores'!E1547+0.20*'Factor Scores'!G1547+0.20*'Factor Scores'!H1547)</f>
        <v/>
      </c>
      <c r="C1547" s="12">
        <f>IF(B1547="","",RANK(B1547,$B$2:$B$2501,0))</f>
        <v/>
      </c>
      <c r="D1547">
        <f>IF(C1547="","",C1547&lt;=25)</f>
        <v/>
      </c>
      <c r="F1547">
        <f>IF(A1547="","",IF(AND(D1547=TRUE,E1547=""),"BUY",IF(AND(D1547=FALSE,E1547&lt;&gt;""),"SELL",IF(AND(D1547=TRUE,E1547&lt;&gt;""),"HOLD",""))))</f>
        <v/>
      </c>
      <c r="G1547" s="12">
        <f>IF(D1547=TRUE,4,0)</f>
        <v/>
      </c>
      <c r="H1547">
        <f>IF(A1547="","",BDP(A1547&amp;" US Equity","GICS_SECTOR_NAME"))</f>
        <v/>
      </c>
    </row>
    <row r="1548">
      <c r="A1548">
        <f>'Factor Scores'!A1548</f>
        <v/>
      </c>
      <c r="B1548" s="10">
        <f>IF(A1548="","",0.40*'Factor Scores'!C1548+0.20*'Factor Scores'!E1548+0.20*'Factor Scores'!G1548+0.20*'Factor Scores'!H1548)</f>
        <v/>
      </c>
      <c r="C1548" s="12">
        <f>IF(B1548="","",RANK(B1548,$B$2:$B$2501,0))</f>
        <v/>
      </c>
      <c r="D1548">
        <f>IF(C1548="","",C1548&lt;=25)</f>
        <v/>
      </c>
      <c r="F1548">
        <f>IF(A1548="","",IF(AND(D1548=TRUE,E1548=""),"BUY",IF(AND(D1548=FALSE,E1548&lt;&gt;""),"SELL",IF(AND(D1548=TRUE,E1548&lt;&gt;""),"HOLD",""))))</f>
        <v/>
      </c>
      <c r="G1548" s="12">
        <f>IF(D1548=TRUE,4,0)</f>
        <v/>
      </c>
      <c r="H1548">
        <f>IF(A1548="","",BDP(A1548&amp;" US Equity","GICS_SECTOR_NAME"))</f>
        <v/>
      </c>
    </row>
    <row r="1549">
      <c r="A1549">
        <f>'Factor Scores'!A1549</f>
        <v/>
      </c>
      <c r="B1549" s="10">
        <f>IF(A1549="","",0.40*'Factor Scores'!C1549+0.20*'Factor Scores'!E1549+0.20*'Factor Scores'!G1549+0.20*'Factor Scores'!H1549)</f>
        <v/>
      </c>
      <c r="C1549" s="12">
        <f>IF(B1549="","",RANK(B1549,$B$2:$B$2501,0))</f>
        <v/>
      </c>
      <c r="D1549">
        <f>IF(C1549="","",C1549&lt;=25)</f>
        <v/>
      </c>
      <c r="F1549">
        <f>IF(A1549="","",IF(AND(D1549=TRUE,E1549=""),"BUY",IF(AND(D1549=FALSE,E1549&lt;&gt;""),"SELL",IF(AND(D1549=TRUE,E1549&lt;&gt;""),"HOLD",""))))</f>
        <v/>
      </c>
      <c r="G1549" s="12">
        <f>IF(D1549=TRUE,4,0)</f>
        <v/>
      </c>
      <c r="H1549">
        <f>IF(A1549="","",BDP(A1549&amp;" US Equity","GICS_SECTOR_NAME"))</f>
        <v/>
      </c>
    </row>
    <row r="1550">
      <c r="A1550">
        <f>'Factor Scores'!A1550</f>
        <v/>
      </c>
      <c r="B1550" s="10">
        <f>IF(A1550="","",0.40*'Factor Scores'!C1550+0.20*'Factor Scores'!E1550+0.20*'Factor Scores'!G1550+0.20*'Factor Scores'!H1550)</f>
        <v/>
      </c>
      <c r="C1550" s="12">
        <f>IF(B1550="","",RANK(B1550,$B$2:$B$2501,0))</f>
        <v/>
      </c>
      <c r="D1550">
        <f>IF(C1550="","",C1550&lt;=25)</f>
        <v/>
      </c>
      <c r="F1550">
        <f>IF(A1550="","",IF(AND(D1550=TRUE,E1550=""),"BUY",IF(AND(D1550=FALSE,E1550&lt;&gt;""),"SELL",IF(AND(D1550=TRUE,E1550&lt;&gt;""),"HOLD",""))))</f>
        <v/>
      </c>
      <c r="G1550" s="12">
        <f>IF(D1550=TRUE,4,0)</f>
        <v/>
      </c>
      <c r="H1550">
        <f>IF(A1550="","",BDP(A1550&amp;" US Equity","GICS_SECTOR_NAME"))</f>
        <v/>
      </c>
    </row>
    <row r="1551">
      <c r="A1551">
        <f>'Factor Scores'!A1551</f>
        <v/>
      </c>
      <c r="B1551" s="10">
        <f>IF(A1551="","",0.40*'Factor Scores'!C1551+0.20*'Factor Scores'!E1551+0.20*'Factor Scores'!G1551+0.20*'Factor Scores'!H1551)</f>
        <v/>
      </c>
      <c r="C1551" s="12">
        <f>IF(B1551="","",RANK(B1551,$B$2:$B$2501,0))</f>
        <v/>
      </c>
      <c r="D1551">
        <f>IF(C1551="","",C1551&lt;=25)</f>
        <v/>
      </c>
      <c r="F1551">
        <f>IF(A1551="","",IF(AND(D1551=TRUE,E1551=""),"BUY",IF(AND(D1551=FALSE,E1551&lt;&gt;""),"SELL",IF(AND(D1551=TRUE,E1551&lt;&gt;""),"HOLD",""))))</f>
        <v/>
      </c>
      <c r="G1551" s="12">
        <f>IF(D1551=TRUE,4,0)</f>
        <v/>
      </c>
      <c r="H1551">
        <f>IF(A1551="","",BDP(A1551&amp;" US Equity","GICS_SECTOR_NAME"))</f>
        <v/>
      </c>
    </row>
    <row r="1552">
      <c r="A1552">
        <f>'Factor Scores'!A1552</f>
        <v/>
      </c>
      <c r="B1552" s="10">
        <f>IF(A1552="","",0.40*'Factor Scores'!C1552+0.20*'Factor Scores'!E1552+0.20*'Factor Scores'!G1552+0.20*'Factor Scores'!H1552)</f>
        <v/>
      </c>
      <c r="C1552" s="12">
        <f>IF(B1552="","",RANK(B1552,$B$2:$B$2501,0))</f>
        <v/>
      </c>
      <c r="D1552">
        <f>IF(C1552="","",C1552&lt;=25)</f>
        <v/>
      </c>
      <c r="F1552">
        <f>IF(A1552="","",IF(AND(D1552=TRUE,E1552=""),"BUY",IF(AND(D1552=FALSE,E1552&lt;&gt;""),"SELL",IF(AND(D1552=TRUE,E1552&lt;&gt;""),"HOLD",""))))</f>
        <v/>
      </c>
      <c r="G1552" s="12">
        <f>IF(D1552=TRUE,4,0)</f>
        <v/>
      </c>
      <c r="H1552">
        <f>IF(A1552="","",BDP(A1552&amp;" US Equity","GICS_SECTOR_NAME"))</f>
        <v/>
      </c>
    </row>
    <row r="1553">
      <c r="A1553">
        <f>'Factor Scores'!A1553</f>
        <v/>
      </c>
      <c r="B1553" s="10">
        <f>IF(A1553="","",0.40*'Factor Scores'!C1553+0.20*'Factor Scores'!E1553+0.20*'Factor Scores'!G1553+0.20*'Factor Scores'!H1553)</f>
        <v/>
      </c>
      <c r="C1553" s="12">
        <f>IF(B1553="","",RANK(B1553,$B$2:$B$2501,0))</f>
        <v/>
      </c>
      <c r="D1553">
        <f>IF(C1553="","",C1553&lt;=25)</f>
        <v/>
      </c>
      <c r="F1553">
        <f>IF(A1553="","",IF(AND(D1553=TRUE,E1553=""),"BUY",IF(AND(D1553=FALSE,E1553&lt;&gt;""),"SELL",IF(AND(D1553=TRUE,E1553&lt;&gt;""),"HOLD",""))))</f>
        <v/>
      </c>
      <c r="G1553" s="12">
        <f>IF(D1553=TRUE,4,0)</f>
        <v/>
      </c>
      <c r="H1553">
        <f>IF(A1553="","",BDP(A1553&amp;" US Equity","GICS_SECTOR_NAME"))</f>
        <v/>
      </c>
    </row>
    <row r="1554">
      <c r="A1554">
        <f>'Factor Scores'!A1554</f>
        <v/>
      </c>
      <c r="B1554" s="10">
        <f>IF(A1554="","",0.40*'Factor Scores'!C1554+0.20*'Factor Scores'!E1554+0.20*'Factor Scores'!G1554+0.20*'Factor Scores'!H1554)</f>
        <v/>
      </c>
      <c r="C1554" s="12">
        <f>IF(B1554="","",RANK(B1554,$B$2:$B$2501,0))</f>
        <v/>
      </c>
      <c r="D1554">
        <f>IF(C1554="","",C1554&lt;=25)</f>
        <v/>
      </c>
      <c r="F1554">
        <f>IF(A1554="","",IF(AND(D1554=TRUE,E1554=""),"BUY",IF(AND(D1554=FALSE,E1554&lt;&gt;""),"SELL",IF(AND(D1554=TRUE,E1554&lt;&gt;""),"HOLD",""))))</f>
        <v/>
      </c>
      <c r="G1554" s="12">
        <f>IF(D1554=TRUE,4,0)</f>
        <v/>
      </c>
      <c r="H1554">
        <f>IF(A1554="","",BDP(A1554&amp;" US Equity","GICS_SECTOR_NAME"))</f>
        <v/>
      </c>
    </row>
    <row r="1555">
      <c r="A1555">
        <f>'Factor Scores'!A1555</f>
        <v/>
      </c>
      <c r="B1555" s="10">
        <f>IF(A1555="","",0.40*'Factor Scores'!C1555+0.20*'Factor Scores'!E1555+0.20*'Factor Scores'!G1555+0.20*'Factor Scores'!H1555)</f>
        <v/>
      </c>
      <c r="C1555" s="12">
        <f>IF(B1555="","",RANK(B1555,$B$2:$B$2501,0))</f>
        <v/>
      </c>
      <c r="D1555">
        <f>IF(C1555="","",C1555&lt;=25)</f>
        <v/>
      </c>
      <c r="F1555">
        <f>IF(A1555="","",IF(AND(D1555=TRUE,E1555=""),"BUY",IF(AND(D1555=FALSE,E1555&lt;&gt;""),"SELL",IF(AND(D1555=TRUE,E1555&lt;&gt;""),"HOLD",""))))</f>
        <v/>
      </c>
      <c r="G1555" s="12">
        <f>IF(D1555=TRUE,4,0)</f>
        <v/>
      </c>
      <c r="H1555">
        <f>IF(A1555="","",BDP(A1555&amp;" US Equity","GICS_SECTOR_NAME"))</f>
        <v/>
      </c>
    </row>
    <row r="1556">
      <c r="A1556">
        <f>'Factor Scores'!A1556</f>
        <v/>
      </c>
      <c r="B1556" s="10">
        <f>IF(A1556="","",0.40*'Factor Scores'!C1556+0.20*'Factor Scores'!E1556+0.20*'Factor Scores'!G1556+0.20*'Factor Scores'!H1556)</f>
        <v/>
      </c>
      <c r="C1556" s="12">
        <f>IF(B1556="","",RANK(B1556,$B$2:$B$2501,0))</f>
        <v/>
      </c>
      <c r="D1556">
        <f>IF(C1556="","",C1556&lt;=25)</f>
        <v/>
      </c>
      <c r="F1556">
        <f>IF(A1556="","",IF(AND(D1556=TRUE,E1556=""),"BUY",IF(AND(D1556=FALSE,E1556&lt;&gt;""),"SELL",IF(AND(D1556=TRUE,E1556&lt;&gt;""),"HOLD",""))))</f>
        <v/>
      </c>
      <c r="G1556" s="12">
        <f>IF(D1556=TRUE,4,0)</f>
        <v/>
      </c>
      <c r="H1556">
        <f>IF(A1556="","",BDP(A1556&amp;" US Equity","GICS_SECTOR_NAME"))</f>
        <v/>
      </c>
    </row>
    <row r="1557">
      <c r="A1557">
        <f>'Factor Scores'!A1557</f>
        <v/>
      </c>
      <c r="B1557" s="10">
        <f>IF(A1557="","",0.40*'Factor Scores'!C1557+0.20*'Factor Scores'!E1557+0.20*'Factor Scores'!G1557+0.20*'Factor Scores'!H1557)</f>
        <v/>
      </c>
      <c r="C1557" s="12">
        <f>IF(B1557="","",RANK(B1557,$B$2:$B$2501,0))</f>
        <v/>
      </c>
      <c r="D1557">
        <f>IF(C1557="","",C1557&lt;=25)</f>
        <v/>
      </c>
      <c r="F1557">
        <f>IF(A1557="","",IF(AND(D1557=TRUE,E1557=""),"BUY",IF(AND(D1557=FALSE,E1557&lt;&gt;""),"SELL",IF(AND(D1557=TRUE,E1557&lt;&gt;""),"HOLD",""))))</f>
        <v/>
      </c>
      <c r="G1557" s="12">
        <f>IF(D1557=TRUE,4,0)</f>
        <v/>
      </c>
      <c r="H1557">
        <f>IF(A1557="","",BDP(A1557&amp;" US Equity","GICS_SECTOR_NAME"))</f>
        <v/>
      </c>
    </row>
    <row r="1558">
      <c r="A1558">
        <f>'Factor Scores'!A1558</f>
        <v/>
      </c>
      <c r="B1558" s="10">
        <f>IF(A1558="","",0.40*'Factor Scores'!C1558+0.20*'Factor Scores'!E1558+0.20*'Factor Scores'!G1558+0.20*'Factor Scores'!H1558)</f>
        <v/>
      </c>
      <c r="C1558" s="12">
        <f>IF(B1558="","",RANK(B1558,$B$2:$B$2501,0))</f>
        <v/>
      </c>
      <c r="D1558">
        <f>IF(C1558="","",C1558&lt;=25)</f>
        <v/>
      </c>
      <c r="F1558">
        <f>IF(A1558="","",IF(AND(D1558=TRUE,E1558=""),"BUY",IF(AND(D1558=FALSE,E1558&lt;&gt;""),"SELL",IF(AND(D1558=TRUE,E1558&lt;&gt;""),"HOLD",""))))</f>
        <v/>
      </c>
      <c r="G1558" s="12">
        <f>IF(D1558=TRUE,4,0)</f>
        <v/>
      </c>
      <c r="H1558">
        <f>IF(A1558="","",BDP(A1558&amp;" US Equity","GICS_SECTOR_NAME"))</f>
        <v/>
      </c>
    </row>
    <row r="1559">
      <c r="A1559">
        <f>'Factor Scores'!A1559</f>
        <v/>
      </c>
      <c r="B1559" s="10">
        <f>IF(A1559="","",0.40*'Factor Scores'!C1559+0.20*'Factor Scores'!E1559+0.20*'Factor Scores'!G1559+0.20*'Factor Scores'!H1559)</f>
        <v/>
      </c>
      <c r="C1559" s="12">
        <f>IF(B1559="","",RANK(B1559,$B$2:$B$2501,0))</f>
        <v/>
      </c>
      <c r="D1559">
        <f>IF(C1559="","",C1559&lt;=25)</f>
        <v/>
      </c>
      <c r="F1559">
        <f>IF(A1559="","",IF(AND(D1559=TRUE,E1559=""),"BUY",IF(AND(D1559=FALSE,E1559&lt;&gt;""),"SELL",IF(AND(D1559=TRUE,E1559&lt;&gt;""),"HOLD",""))))</f>
        <v/>
      </c>
      <c r="G1559" s="12">
        <f>IF(D1559=TRUE,4,0)</f>
        <v/>
      </c>
      <c r="H1559">
        <f>IF(A1559="","",BDP(A1559&amp;" US Equity","GICS_SECTOR_NAME"))</f>
        <v/>
      </c>
    </row>
    <row r="1560">
      <c r="A1560">
        <f>'Factor Scores'!A1560</f>
        <v/>
      </c>
      <c r="B1560" s="10">
        <f>IF(A1560="","",0.40*'Factor Scores'!C1560+0.20*'Factor Scores'!E1560+0.20*'Factor Scores'!G1560+0.20*'Factor Scores'!H1560)</f>
        <v/>
      </c>
      <c r="C1560" s="12">
        <f>IF(B1560="","",RANK(B1560,$B$2:$B$2501,0))</f>
        <v/>
      </c>
      <c r="D1560">
        <f>IF(C1560="","",C1560&lt;=25)</f>
        <v/>
      </c>
      <c r="F1560">
        <f>IF(A1560="","",IF(AND(D1560=TRUE,E1560=""),"BUY",IF(AND(D1560=FALSE,E1560&lt;&gt;""),"SELL",IF(AND(D1560=TRUE,E1560&lt;&gt;""),"HOLD",""))))</f>
        <v/>
      </c>
      <c r="G1560" s="12">
        <f>IF(D1560=TRUE,4,0)</f>
        <v/>
      </c>
      <c r="H1560">
        <f>IF(A1560="","",BDP(A1560&amp;" US Equity","GICS_SECTOR_NAME"))</f>
        <v/>
      </c>
    </row>
    <row r="1561">
      <c r="A1561">
        <f>'Factor Scores'!A1561</f>
        <v/>
      </c>
      <c r="B1561" s="10">
        <f>IF(A1561="","",0.40*'Factor Scores'!C1561+0.20*'Factor Scores'!E1561+0.20*'Factor Scores'!G1561+0.20*'Factor Scores'!H1561)</f>
        <v/>
      </c>
      <c r="C1561" s="12">
        <f>IF(B1561="","",RANK(B1561,$B$2:$B$2501,0))</f>
        <v/>
      </c>
      <c r="D1561">
        <f>IF(C1561="","",C1561&lt;=25)</f>
        <v/>
      </c>
      <c r="F1561">
        <f>IF(A1561="","",IF(AND(D1561=TRUE,E1561=""),"BUY",IF(AND(D1561=FALSE,E1561&lt;&gt;""),"SELL",IF(AND(D1561=TRUE,E1561&lt;&gt;""),"HOLD",""))))</f>
        <v/>
      </c>
      <c r="G1561" s="12">
        <f>IF(D1561=TRUE,4,0)</f>
        <v/>
      </c>
      <c r="H1561">
        <f>IF(A1561="","",BDP(A1561&amp;" US Equity","GICS_SECTOR_NAME"))</f>
        <v/>
      </c>
    </row>
    <row r="1562">
      <c r="A1562">
        <f>'Factor Scores'!A1562</f>
        <v/>
      </c>
      <c r="B1562" s="10">
        <f>IF(A1562="","",0.40*'Factor Scores'!C1562+0.20*'Factor Scores'!E1562+0.20*'Factor Scores'!G1562+0.20*'Factor Scores'!H1562)</f>
        <v/>
      </c>
      <c r="C1562" s="12">
        <f>IF(B1562="","",RANK(B1562,$B$2:$B$2501,0))</f>
        <v/>
      </c>
      <c r="D1562">
        <f>IF(C1562="","",C1562&lt;=25)</f>
        <v/>
      </c>
      <c r="F1562">
        <f>IF(A1562="","",IF(AND(D1562=TRUE,E1562=""),"BUY",IF(AND(D1562=FALSE,E1562&lt;&gt;""),"SELL",IF(AND(D1562=TRUE,E1562&lt;&gt;""),"HOLD",""))))</f>
        <v/>
      </c>
      <c r="G1562" s="12">
        <f>IF(D1562=TRUE,4,0)</f>
        <v/>
      </c>
      <c r="H1562">
        <f>IF(A1562="","",BDP(A1562&amp;" US Equity","GICS_SECTOR_NAME"))</f>
        <v/>
      </c>
    </row>
    <row r="1563">
      <c r="A1563">
        <f>'Factor Scores'!A1563</f>
        <v/>
      </c>
      <c r="B1563" s="10">
        <f>IF(A1563="","",0.40*'Factor Scores'!C1563+0.20*'Factor Scores'!E1563+0.20*'Factor Scores'!G1563+0.20*'Factor Scores'!H1563)</f>
        <v/>
      </c>
      <c r="C1563" s="12">
        <f>IF(B1563="","",RANK(B1563,$B$2:$B$2501,0))</f>
        <v/>
      </c>
      <c r="D1563">
        <f>IF(C1563="","",C1563&lt;=25)</f>
        <v/>
      </c>
      <c r="F1563">
        <f>IF(A1563="","",IF(AND(D1563=TRUE,E1563=""),"BUY",IF(AND(D1563=FALSE,E1563&lt;&gt;""),"SELL",IF(AND(D1563=TRUE,E1563&lt;&gt;""),"HOLD",""))))</f>
        <v/>
      </c>
      <c r="G1563" s="12">
        <f>IF(D1563=TRUE,4,0)</f>
        <v/>
      </c>
      <c r="H1563">
        <f>IF(A1563="","",BDP(A1563&amp;" US Equity","GICS_SECTOR_NAME"))</f>
        <v/>
      </c>
    </row>
    <row r="1564">
      <c r="A1564">
        <f>'Factor Scores'!A1564</f>
        <v/>
      </c>
      <c r="B1564" s="10">
        <f>IF(A1564="","",0.40*'Factor Scores'!C1564+0.20*'Factor Scores'!E1564+0.20*'Factor Scores'!G1564+0.20*'Factor Scores'!H1564)</f>
        <v/>
      </c>
      <c r="C1564" s="12">
        <f>IF(B1564="","",RANK(B1564,$B$2:$B$2501,0))</f>
        <v/>
      </c>
      <c r="D1564">
        <f>IF(C1564="","",C1564&lt;=25)</f>
        <v/>
      </c>
      <c r="F1564">
        <f>IF(A1564="","",IF(AND(D1564=TRUE,E1564=""),"BUY",IF(AND(D1564=FALSE,E1564&lt;&gt;""),"SELL",IF(AND(D1564=TRUE,E1564&lt;&gt;""),"HOLD",""))))</f>
        <v/>
      </c>
      <c r="G1564" s="12">
        <f>IF(D1564=TRUE,4,0)</f>
        <v/>
      </c>
      <c r="H1564">
        <f>IF(A1564="","",BDP(A1564&amp;" US Equity","GICS_SECTOR_NAME"))</f>
        <v/>
      </c>
    </row>
    <row r="1565">
      <c r="A1565">
        <f>'Factor Scores'!A1565</f>
        <v/>
      </c>
      <c r="B1565" s="10">
        <f>IF(A1565="","",0.40*'Factor Scores'!C1565+0.20*'Factor Scores'!E1565+0.20*'Factor Scores'!G1565+0.20*'Factor Scores'!H1565)</f>
        <v/>
      </c>
      <c r="C1565" s="12">
        <f>IF(B1565="","",RANK(B1565,$B$2:$B$2501,0))</f>
        <v/>
      </c>
      <c r="D1565">
        <f>IF(C1565="","",C1565&lt;=25)</f>
        <v/>
      </c>
      <c r="F1565">
        <f>IF(A1565="","",IF(AND(D1565=TRUE,E1565=""),"BUY",IF(AND(D1565=FALSE,E1565&lt;&gt;""),"SELL",IF(AND(D1565=TRUE,E1565&lt;&gt;""),"HOLD",""))))</f>
        <v/>
      </c>
      <c r="G1565" s="12">
        <f>IF(D1565=TRUE,4,0)</f>
        <v/>
      </c>
      <c r="H1565">
        <f>IF(A1565="","",BDP(A1565&amp;" US Equity","GICS_SECTOR_NAME"))</f>
        <v/>
      </c>
    </row>
    <row r="1566">
      <c r="A1566">
        <f>'Factor Scores'!A1566</f>
        <v/>
      </c>
      <c r="B1566" s="10">
        <f>IF(A1566="","",0.40*'Factor Scores'!C1566+0.20*'Factor Scores'!E1566+0.20*'Factor Scores'!G1566+0.20*'Factor Scores'!H1566)</f>
        <v/>
      </c>
      <c r="C1566" s="12">
        <f>IF(B1566="","",RANK(B1566,$B$2:$B$2501,0))</f>
        <v/>
      </c>
      <c r="D1566">
        <f>IF(C1566="","",C1566&lt;=25)</f>
        <v/>
      </c>
      <c r="F1566">
        <f>IF(A1566="","",IF(AND(D1566=TRUE,E1566=""),"BUY",IF(AND(D1566=FALSE,E1566&lt;&gt;""),"SELL",IF(AND(D1566=TRUE,E1566&lt;&gt;""),"HOLD",""))))</f>
        <v/>
      </c>
      <c r="G1566" s="12">
        <f>IF(D1566=TRUE,4,0)</f>
        <v/>
      </c>
      <c r="H1566">
        <f>IF(A1566="","",BDP(A1566&amp;" US Equity","GICS_SECTOR_NAME"))</f>
        <v/>
      </c>
    </row>
    <row r="1567">
      <c r="A1567">
        <f>'Factor Scores'!A1567</f>
        <v/>
      </c>
      <c r="B1567" s="10">
        <f>IF(A1567="","",0.40*'Factor Scores'!C1567+0.20*'Factor Scores'!E1567+0.20*'Factor Scores'!G1567+0.20*'Factor Scores'!H1567)</f>
        <v/>
      </c>
      <c r="C1567" s="12">
        <f>IF(B1567="","",RANK(B1567,$B$2:$B$2501,0))</f>
        <v/>
      </c>
      <c r="D1567">
        <f>IF(C1567="","",C1567&lt;=25)</f>
        <v/>
      </c>
      <c r="F1567">
        <f>IF(A1567="","",IF(AND(D1567=TRUE,E1567=""),"BUY",IF(AND(D1567=FALSE,E1567&lt;&gt;""),"SELL",IF(AND(D1567=TRUE,E1567&lt;&gt;""),"HOLD",""))))</f>
        <v/>
      </c>
      <c r="G1567" s="12">
        <f>IF(D1567=TRUE,4,0)</f>
        <v/>
      </c>
      <c r="H1567">
        <f>IF(A1567="","",BDP(A1567&amp;" US Equity","GICS_SECTOR_NAME"))</f>
        <v/>
      </c>
    </row>
    <row r="1568">
      <c r="A1568">
        <f>'Factor Scores'!A1568</f>
        <v/>
      </c>
      <c r="B1568" s="10">
        <f>IF(A1568="","",0.40*'Factor Scores'!C1568+0.20*'Factor Scores'!E1568+0.20*'Factor Scores'!G1568+0.20*'Factor Scores'!H1568)</f>
        <v/>
      </c>
      <c r="C1568" s="12">
        <f>IF(B1568="","",RANK(B1568,$B$2:$B$2501,0))</f>
        <v/>
      </c>
      <c r="D1568">
        <f>IF(C1568="","",C1568&lt;=25)</f>
        <v/>
      </c>
      <c r="F1568">
        <f>IF(A1568="","",IF(AND(D1568=TRUE,E1568=""),"BUY",IF(AND(D1568=FALSE,E1568&lt;&gt;""),"SELL",IF(AND(D1568=TRUE,E1568&lt;&gt;""),"HOLD",""))))</f>
        <v/>
      </c>
      <c r="G1568" s="12">
        <f>IF(D1568=TRUE,4,0)</f>
        <v/>
      </c>
      <c r="H1568">
        <f>IF(A1568="","",BDP(A1568&amp;" US Equity","GICS_SECTOR_NAME"))</f>
        <v/>
      </c>
    </row>
    <row r="1569">
      <c r="A1569">
        <f>'Factor Scores'!A1569</f>
        <v/>
      </c>
      <c r="B1569" s="10">
        <f>IF(A1569="","",0.40*'Factor Scores'!C1569+0.20*'Factor Scores'!E1569+0.20*'Factor Scores'!G1569+0.20*'Factor Scores'!H1569)</f>
        <v/>
      </c>
      <c r="C1569" s="12">
        <f>IF(B1569="","",RANK(B1569,$B$2:$B$2501,0))</f>
        <v/>
      </c>
      <c r="D1569">
        <f>IF(C1569="","",C1569&lt;=25)</f>
        <v/>
      </c>
      <c r="F1569">
        <f>IF(A1569="","",IF(AND(D1569=TRUE,E1569=""),"BUY",IF(AND(D1569=FALSE,E1569&lt;&gt;""),"SELL",IF(AND(D1569=TRUE,E1569&lt;&gt;""),"HOLD",""))))</f>
        <v/>
      </c>
      <c r="G1569" s="12">
        <f>IF(D1569=TRUE,4,0)</f>
        <v/>
      </c>
      <c r="H1569">
        <f>IF(A1569="","",BDP(A1569&amp;" US Equity","GICS_SECTOR_NAME"))</f>
        <v/>
      </c>
    </row>
    <row r="1570">
      <c r="A1570">
        <f>'Factor Scores'!A1570</f>
        <v/>
      </c>
      <c r="B1570" s="10">
        <f>IF(A1570="","",0.40*'Factor Scores'!C1570+0.20*'Factor Scores'!E1570+0.20*'Factor Scores'!G1570+0.20*'Factor Scores'!H1570)</f>
        <v/>
      </c>
      <c r="C1570" s="12">
        <f>IF(B1570="","",RANK(B1570,$B$2:$B$2501,0))</f>
        <v/>
      </c>
      <c r="D1570">
        <f>IF(C1570="","",C1570&lt;=25)</f>
        <v/>
      </c>
      <c r="F1570">
        <f>IF(A1570="","",IF(AND(D1570=TRUE,E1570=""),"BUY",IF(AND(D1570=FALSE,E1570&lt;&gt;""),"SELL",IF(AND(D1570=TRUE,E1570&lt;&gt;""),"HOLD",""))))</f>
        <v/>
      </c>
      <c r="G1570" s="12">
        <f>IF(D1570=TRUE,4,0)</f>
        <v/>
      </c>
      <c r="H1570">
        <f>IF(A1570="","",BDP(A1570&amp;" US Equity","GICS_SECTOR_NAME"))</f>
        <v/>
      </c>
    </row>
    <row r="1571">
      <c r="A1571">
        <f>'Factor Scores'!A1571</f>
        <v/>
      </c>
      <c r="B1571" s="10">
        <f>IF(A1571="","",0.40*'Factor Scores'!C1571+0.20*'Factor Scores'!E1571+0.20*'Factor Scores'!G1571+0.20*'Factor Scores'!H1571)</f>
        <v/>
      </c>
      <c r="C1571" s="12">
        <f>IF(B1571="","",RANK(B1571,$B$2:$B$2501,0))</f>
        <v/>
      </c>
      <c r="D1571">
        <f>IF(C1571="","",C1571&lt;=25)</f>
        <v/>
      </c>
      <c r="F1571">
        <f>IF(A1571="","",IF(AND(D1571=TRUE,E1571=""),"BUY",IF(AND(D1571=FALSE,E1571&lt;&gt;""),"SELL",IF(AND(D1571=TRUE,E1571&lt;&gt;""),"HOLD",""))))</f>
        <v/>
      </c>
      <c r="G1571" s="12">
        <f>IF(D1571=TRUE,4,0)</f>
        <v/>
      </c>
      <c r="H1571">
        <f>IF(A1571="","",BDP(A1571&amp;" US Equity","GICS_SECTOR_NAME"))</f>
        <v/>
      </c>
    </row>
    <row r="1572">
      <c r="A1572">
        <f>'Factor Scores'!A1572</f>
        <v/>
      </c>
      <c r="B1572" s="10">
        <f>IF(A1572="","",0.40*'Factor Scores'!C1572+0.20*'Factor Scores'!E1572+0.20*'Factor Scores'!G1572+0.20*'Factor Scores'!H1572)</f>
        <v/>
      </c>
      <c r="C1572" s="12">
        <f>IF(B1572="","",RANK(B1572,$B$2:$B$2501,0))</f>
        <v/>
      </c>
      <c r="D1572">
        <f>IF(C1572="","",C1572&lt;=25)</f>
        <v/>
      </c>
      <c r="F1572">
        <f>IF(A1572="","",IF(AND(D1572=TRUE,E1572=""),"BUY",IF(AND(D1572=FALSE,E1572&lt;&gt;""),"SELL",IF(AND(D1572=TRUE,E1572&lt;&gt;""),"HOLD",""))))</f>
        <v/>
      </c>
      <c r="G1572" s="12">
        <f>IF(D1572=TRUE,4,0)</f>
        <v/>
      </c>
      <c r="H1572">
        <f>IF(A1572="","",BDP(A1572&amp;" US Equity","GICS_SECTOR_NAME"))</f>
        <v/>
      </c>
    </row>
    <row r="1573">
      <c r="A1573">
        <f>'Factor Scores'!A1573</f>
        <v/>
      </c>
      <c r="B1573" s="10">
        <f>IF(A1573="","",0.40*'Factor Scores'!C1573+0.20*'Factor Scores'!E1573+0.20*'Factor Scores'!G1573+0.20*'Factor Scores'!H1573)</f>
        <v/>
      </c>
      <c r="C1573" s="12">
        <f>IF(B1573="","",RANK(B1573,$B$2:$B$2501,0))</f>
        <v/>
      </c>
      <c r="D1573">
        <f>IF(C1573="","",C1573&lt;=25)</f>
        <v/>
      </c>
      <c r="F1573">
        <f>IF(A1573="","",IF(AND(D1573=TRUE,E1573=""),"BUY",IF(AND(D1573=FALSE,E1573&lt;&gt;""),"SELL",IF(AND(D1573=TRUE,E1573&lt;&gt;""),"HOLD",""))))</f>
        <v/>
      </c>
      <c r="G1573" s="12">
        <f>IF(D1573=TRUE,4,0)</f>
        <v/>
      </c>
      <c r="H1573">
        <f>IF(A1573="","",BDP(A1573&amp;" US Equity","GICS_SECTOR_NAME"))</f>
        <v/>
      </c>
    </row>
    <row r="1574">
      <c r="A1574">
        <f>'Factor Scores'!A1574</f>
        <v/>
      </c>
      <c r="B1574" s="10">
        <f>IF(A1574="","",0.40*'Factor Scores'!C1574+0.20*'Factor Scores'!E1574+0.20*'Factor Scores'!G1574+0.20*'Factor Scores'!H1574)</f>
        <v/>
      </c>
      <c r="C1574" s="12">
        <f>IF(B1574="","",RANK(B1574,$B$2:$B$2501,0))</f>
        <v/>
      </c>
      <c r="D1574">
        <f>IF(C1574="","",C1574&lt;=25)</f>
        <v/>
      </c>
      <c r="F1574">
        <f>IF(A1574="","",IF(AND(D1574=TRUE,E1574=""),"BUY",IF(AND(D1574=FALSE,E1574&lt;&gt;""),"SELL",IF(AND(D1574=TRUE,E1574&lt;&gt;""),"HOLD",""))))</f>
        <v/>
      </c>
      <c r="G1574" s="12">
        <f>IF(D1574=TRUE,4,0)</f>
        <v/>
      </c>
      <c r="H1574">
        <f>IF(A1574="","",BDP(A1574&amp;" US Equity","GICS_SECTOR_NAME"))</f>
        <v/>
      </c>
    </row>
    <row r="1575">
      <c r="A1575">
        <f>'Factor Scores'!A1575</f>
        <v/>
      </c>
      <c r="B1575" s="10">
        <f>IF(A1575="","",0.40*'Factor Scores'!C1575+0.20*'Factor Scores'!E1575+0.20*'Factor Scores'!G1575+0.20*'Factor Scores'!H1575)</f>
        <v/>
      </c>
      <c r="C1575" s="12">
        <f>IF(B1575="","",RANK(B1575,$B$2:$B$2501,0))</f>
        <v/>
      </c>
      <c r="D1575">
        <f>IF(C1575="","",C1575&lt;=25)</f>
        <v/>
      </c>
      <c r="F1575">
        <f>IF(A1575="","",IF(AND(D1575=TRUE,E1575=""),"BUY",IF(AND(D1575=FALSE,E1575&lt;&gt;""),"SELL",IF(AND(D1575=TRUE,E1575&lt;&gt;""),"HOLD",""))))</f>
        <v/>
      </c>
      <c r="G1575" s="12">
        <f>IF(D1575=TRUE,4,0)</f>
        <v/>
      </c>
      <c r="H1575">
        <f>IF(A1575="","",BDP(A1575&amp;" US Equity","GICS_SECTOR_NAME"))</f>
        <v/>
      </c>
    </row>
    <row r="1576">
      <c r="A1576">
        <f>'Factor Scores'!A1576</f>
        <v/>
      </c>
      <c r="B1576" s="10">
        <f>IF(A1576="","",0.40*'Factor Scores'!C1576+0.20*'Factor Scores'!E1576+0.20*'Factor Scores'!G1576+0.20*'Factor Scores'!H1576)</f>
        <v/>
      </c>
      <c r="C1576" s="12">
        <f>IF(B1576="","",RANK(B1576,$B$2:$B$2501,0))</f>
        <v/>
      </c>
      <c r="D1576">
        <f>IF(C1576="","",C1576&lt;=25)</f>
        <v/>
      </c>
      <c r="F1576">
        <f>IF(A1576="","",IF(AND(D1576=TRUE,E1576=""),"BUY",IF(AND(D1576=FALSE,E1576&lt;&gt;""),"SELL",IF(AND(D1576=TRUE,E1576&lt;&gt;""),"HOLD",""))))</f>
        <v/>
      </c>
      <c r="G1576" s="12">
        <f>IF(D1576=TRUE,4,0)</f>
        <v/>
      </c>
      <c r="H1576">
        <f>IF(A1576="","",BDP(A1576&amp;" US Equity","GICS_SECTOR_NAME"))</f>
        <v/>
      </c>
    </row>
    <row r="1577">
      <c r="A1577">
        <f>'Factor Scores'!A1577</f>
        <v/>
      </c>
      <c r="B1577" s="10">
        <f>IF(A1577="","",0.40*'Factor Scores'!C1577+0.20*'Factor Scores'!E1577+0.20*'Factor Scores'!G1577+0.20*'Factor Scores'!H1577)</f>
        <v/>
      </c>
      <c r="C1577" s="12">
        <f>IF(B1577="","",RANK(B1577,$B$2:$B$2501,0))</f>
        <v/>
      </c>
      <c r="D1577">
        <f>IF(C1577="","",C1577&lt;=25)</f>
        <v/>
      </c>
      <c r="F1577">
        <f>IF(A1577="","",IF(AND(D1577=TRUE,E1577=""),"BUY",IF(AND(D1577=FALSE,E1577&lt;&gt;""),"SELL",IF(AND(D1577=TRUE,E1577&lt;&gt;""),"HOLD",""))))</f>
        <v/>
      </c>
      <c r="G1577" s="12">
        <f>IF(D1577=TRUE,4,0)</f>
        <v/>
      </c>
      <c r="H1577">
        <f>IF(A1577="","",BDP(A1577&amp;" US Equity","GICS_SECTOR_NAME"))</f>
        <v/>
      </c>
    </row>
    <row r="1578">
      <c r="A1578">
        <f>'Factor Scores'!A1578</f>
        <v/>
      </c>
      <c r="B1578" s="10">
        <f>IF(A1578="","",0.40*'Factor Scores'!C1578+0.20*'Factor Scores'!E1578+0.20*'Factor Scores'!G1578+0.20*'Factor Scores'!H1578)</f>
        <v/>
      </c>
      <c r="C1578" s="12">
        <f>IF(B1578="","",RANK(B1578,$B$2:$B$2501,0))</f>
        <v/>
      </c>
      <c r="D1578">
        <f>IF(C1578="","",C1578&lt;=25)</f>
        <v/>
      </c>
      <c r="F1578">
        <f>IF(A1578="","",IF(AND(D1578=TRUE,E1578=""),"BUY",IF(AND(D1578=FALSE,E1578&lt;&gt;""),"SELL",IF(AND(D1578=TRUE,E1578&lt;&gt;""),"HOLD",""))))</f>
        <v/>
      </c>
      <c r="G1578" s="12">
        <f>IF(D1578=TRUE,4,0)</f>
        <v/>
      </c>
      <c r="H1578">
        <f>IF(A1578="","",BDP(A1578&amp;" US Equity","GICS_SECTOR_NAME"))</f>
        <v/>
      </c>
    </row>
    <row r="1579">
      <c r="A1579">
        <f>'Factor Scores'!A1579</f>
        <v/>
      </c>
      <c r="B1579" s="10">
        <f>IF(A1579="","",0.40*'Factor Scores'!C1579+0.20*'Factor Scores'!E1579+0.20*'Factor Scores'!G1579+0.20*'Factor Scores'!H1579)</f>
        <v/>
      </c>
      <c r="C1579" s="12">
        <f>IF(B1579="","",RANK(B1579,$B$2:$B$2501,0))</f>
        <v/>
      </c>
      <c r="D1579">
        <f>IF(C1579="","",C1579&lt;=25)</f>
        <v/>
      </c>
      <c r="F1579">
        <f>IF(A1579="","",IF(AND(D1579=TRUE,E1579=""),"BUY",IF(AND(D1579=FALSE,E1579&lt;&gt;""),"SELL",IF(AND(D1579=TRUE,E1579&lt;&gt;""),"HOLD",""))))</f>
        <v/>
      </c>
      <c r="G1579" s="12">
        <f>IF(D1579=TRUE,4,0)</f>
        <v/>
      </c>
      <c r="H1579">
        <f>IF(A1579="","",BDP(A1579&amp;" US Equity","GICS_SECTOR_NAME"))</f>
        <v/>
      </c>
    </row>
    <row r="1580">
      <c r="A1580">
        <f>'Factor Scores'!A1580</f>
        <v/>
      </c>
      <c r="B1580" s="10">
        <f>IF(A1580="","",0.40*'Factor Scores'!C1580+0.20*'Factor Scores'!E1580+0.20*'Factor Scores'!G1580+0.20*'Factor Scores'!H1580)</f>
        <v/>
      </c>
      <c r="C1580" s="12">
        <f>IF(B1580="","",RANK(B1580,$B$2:$B$2501,0))</f>
        <v/>
      </c>
      <c r="D1580">
        <f>IF(C1580="","",C1580&lt;=25)</f>
        <v/>
      </c>
      <c r="F1580">
        <f>IF(A1580="","",IF(AND(D1580=TRUE,E1580=""),"BUY",IF(AND(D1580=FALSE,E1580&lt;&gt;""),"SELL",IF(AND(D1580=TRUE,E1580&lt;&gt;""),"HOLD",""))))</f>
        <v/>
      </c>
      <c r="G1580" s="12">
        <f>IF(D1580=TRUE,4,0)</f>
        <v/>
      </c>
      <c r="H1580">
        <f>IF(A1580="","",BDP(A1580&amp;" US Equity","GICS_SECTOR_NAME"))</f>
        <v/>
      </c>
    </row>
    <row r="1581">
      <c r="A1581">
        <f>'Factor Scores'!A1581</f>
        <v/>
      </c>
      <c r="B1581" s="10">
        <f>IF(A1581="","",0.40*'Factor Scores'!C1581+0.20*'Factor Scores'!E1581+0.20*'Factor Scores'!G1581+0.20*'Factor Scores'!H1581)</f>
        <v/>
      </c>
      <c r="C1581" s="12">
        <f>IF(B1581="","",RANK(B1581,$B$2:$B$2501,0))</f>
        <v/>
      </c>
      <c r="D1581">
        <f>IF(C1581="","",C1581&lt;=25)</f>
        <v/>
      </c>
      <c r="F1581">
        <f>IF(A1581="","",IF(AND(D1581=TRUE,E1581=""),"BUY",IF(AND(D1581=FALSE,E1581&lt;&gt;""),"SELL",IF(AND(D1581=TRUE,E1581&lt;&gt;""),"HOLD",""))))</f>
        <v/>
      </c>
      <c r="G1581" s="12">
        <f>IF(D1581=TRUE,4,0)</f>
        <v/>
      </c>
      <c r="H1581">
        <f>IF(A1581="","",BDP(A1581&amp;" US Equity","GICS_SECTOR_NAME"))</f>
        <v/>
      </c>
    </row>
    <row r="1582">
      <c r="A1582">
        <f>'Factor Scores'!A1582</f>
        <v/>
      </c>
      <c r="B1582" s="10">
        <f>IF(A1582="","",0.40*'Factor Scores'!C1582+0.20*'Factor Scores'!E1582+0.20*'Factor Scores'!G1582+0.20*'Factor Scores'!H1582)</f>
        <v/>
      </c>
      <c r="C1582" s="12">
        <f>IF(B1582="","",RANK(B1582,$B$2:$B$2501,0))</f>
        <v/>
      </c>
      <c r="D1582">
        <f>IF(C1582="","",C1582&lt;=25)</f>
        <v/>
      </c>
      <c r="F1582">
        <f>IF(A1582="","",IF(AND(D1582=TRUE,E1582=""),"BUY",IF(AND(D1582=FALSE,E1582&lt;&gt;""),"SELL",IF(AND(D1582=TRUE,E1582&lt;&gt;""),"HOLD",""))))</f>
        <v/>
      </c>
      <c r="G1582" s="12">
        <f>IF(D1582=TRUE,4,0)</f>
        <v/>
      </c>
      <c r="H1582">
        <f>IF(A1582="","",BDP(A1582&amp;" US Equity","GICS_SECTOR_NAME"))</f>
        <v/>
      </c>
    </row>
    <row r="1583">
      <c r="A1583">
        <f>'Factor Scores'!A1583</f>
        <v/>
      </c>
      <c r="B1583" s="10">
        <f>IF(A1583="","",0.40*'Factor Scores'!C1583+0.20*'Factor Scores'!E1583+0.20*'Factor Scores'!G1583+0.20*'Factor Scores'!H1583)</f>
        <v/>
      </c>
      <c r="C1583" s="12">
        <f>IF(B1583="","",RANK(B1583,$B$2:$B$2501,0))</f>
        <v/>
      </c>
      <c r="D1583">
        <f>IF(C1583="","",C1583&lt;=25)</f>
        <v/>
      </c>
      <c r="F1583">
        <f>IF(A1583="","",IF(AND(D1583=TRUE,E1583=""),"BUY",IF(AND(D1583=FALSE,E1583&lt;&gt;""),"SELL",IF(AND(D1583=TRUE,E1583&lt;&gt;""),"HOLD",""))))</f>
        <v/>
      </c>
      <c r="G1583" s="12">
        <f>IF(D1583=TRUE,4,0)</f>
        <v/>
      </c>
      <c r="H1583">
        <f>IF(A1583="","",BDP(A1583&amp;" US Equity","GICS_SECTOR_NAME"))</f>
        <v/>
      </c>
    </row>
    <row r="1584">
      <c r="A1584">
        <f>'Factor Scores'!A1584</f>
        <v/>
      </c>
      <c r="B1584" s="10">
        <f>IF(A1584="","",0.40*'Factor Scores'!C1584+0.20*'Factor Scores'!E1584+0.20*'Factor Scores'!G1584+0.20*'Factor Scores'!H1584)</f>
        <v/>
      </c>
      <c r="C1584" s="12">
        <f>IF(B1584="","",RANK(B1584,$B$2:$B$2501,0))</f>
        <v/>
      </c>
      <c r="D1584">
        <f>IF(C1584="","",C1584&lt;=25)</f>
        <v/>
      </c>
      <c r="F1584">
        <f>IF(A1584="","",IF(AND(D1584=TRUE,E1584=""),"BUY",IF(AND(D1584=FALSE,E1584&lt;&gt;""),"SELL",IF(AND(D1584=TRUE,E1584&lt;&gt;""),"HOLD",""))))</f>
        <v/>
      </c>
      <c r="G1584" s="12">
        <f>IF(D1584=TRUE,4,0)</f>
        <v/>
      </c>
      <c r="H1584">
        <f>IF(A1584="","",BDP(A1584&amp;" US Equity","GICS_SECTOR_NAME"))</f>
        <v/>
      </c>
    </row>
    <row r="1585">
      <c r="A1585">
        <f>'Factor Scores'!A1585</f>
        <v/>
      </c>
      <c r="B1585" s="10">
        <f>IF(A1585="","",0.40*'Factor Scores'!C1585+0.20*'Factor Scores'!E1585+0.20*'Factor Scores'!G1585+0.20*'Factor Scores'!H1585)</f>
        <v/>
      </c>
      <c r="C1585" s="12">
        <f>IF(B1585="","",RANK(B1585,$B$2:$B$2501,0))</f>
        <v/>
      </c>
      <c r="D1585">
        <f>IF(C1585="","",C1585&lt;=25)</f>
        <v/>
      </c>
      <c r="F1585">
        <f>IF(A1585="","",IF(AND(D1585=TRUE,E1585=""),"BUY",IF(AND(D1585=FALSE,E1585&lt;&gt;""),"SELL",IF(AND(D1585=TRUE,E1585&lt;&gt;""),"HOLD",""))))</f>
        <v/>
      </c>
      <c r="G1585" s="12">
        <f>IF(D1585=TRUE,4,0)</f>
        <v/>
      </c>
      <c r="H1585">
        <f>IF(A1585="","",BDP(A1585&amp;" US Equity","GICS_SECTOR_NAME"))</f>
        <v/>
      </c>
    </row>
    <row r="1586">
      <c r="A1586">
        <f>'Factor Scores'!A1586</f>
        <v/>
      </c>
      <c r="B1586" s="10">
        <f>IF(A1586="","",0.40*'Factor Scores'!C1586+0.20*'Factor Scores'!E1586+0.20*'Factor Scores'!G1586+0.20*'Factor Scores'!H1586)</f>
        <v/>
      </c>
      <c r="C1586" s="12">
        <f>IF(B1586="","",RANK(B1586,$B$2:$B$2501,0))</f>
        <v/>
      </c>
      <c r="D1586">
        <f>IF(C1586="","",C1586&lt;=25)</f>
        <v/>
      </c>
      <c r="F1586">
        <f>IF(A1586="","",IF(AND(D1586=TRUE,E1586=""),"BUY",IF(AND(D1586=FALSE,E1586&lt;&gt;""),"SELL",IF(AND(D1586=TRUE,E1586&lt;&gt;""),"HOLD",""))))</f>
        <v/>
      </c>
      <c r="G1586" s="12">
        <f>IF(D1586=TRUE,4,0)</f>
        <v/>
      </c>
      <c r="H1586">
        <f>IF(A1586="","",BDP(A1586&amp;" US Equity","GICS_SECTOR_NAME"))</f>
        <v/>
      </c>
    </row>
    <row r="1587">
      <c r="A1587">
        <f>'Factor Scores'!A1587</f>
        <v/>
      </c>
      <c r="B1587" s="10">
        <f>IF(A1587="","",0.40*'Factor Scores'!C1587+0.20*'Factor Scores'!E1587+0.20*'Factor Scores'!G1587+0.20*'Factor Scores'!H1587)</f>
        <v/>
      </c>
      <c r="C1587" s="12">
        <f>IF(B1587="","",RANK(B1587,$B$2:$B$2501,0))</f>
        <v/>
      </c>
      <c r="D1587">
        <f>IF(C1587="","",C1587&lt;=25)</f>
        <v/>
      </c>
      <c r="F1587">
        <f>IF(A1587="","",IF(AND(D1587=TRUE,E1587=""),"BUY",IF(AND(D1587=FALSE,E1587&lt;&gt;""),"SELL",IF(AND(D1587=TRUE,E1587&lt;&gt;""),"HOLD",""))))</f>
        <v/>
      </c>
      <c r="G1587" s="12">
        <f>IF(D1587=TRUE,4,0)</f>
        <v/>
      </c>
      <c r="H1587">
        <f>IF(A1587="","",BDP(A1587&amp;" US Equity","GICS_SECTOR_NAME"))</f>
        <v/>
      </c>
    </row>
    <row r="1588">
      <c r="A1588">
        <f>'Factor Scores'!A1588</f>
        <v/>
      </c>
      <c r="B1588" s="10">
        <f>IF(A1588="","",0.40*'Factor Scores'!C1588+0.20*'Factor Scores'!E1588+0.20*'Factor Scores'!G1588+0.20*'Factor Scores'!H1588)</f>
        <v/>
      </c>
      <c r="C1588" s="12">
        <f>IF(B1588="","",RANK(B1588,$B$2:$B$2501,0))</f>
        <v/>
      </c>
      <c r="D1588">
        <f>IF(C1588="","",C1588&lt;=25)</f>
        <v/>
      </c>
      <c r="F1588">
        <f>IF(A1588="","",IF(AND(D1588=TRUE,E1588=""),"BUY",IF(AND(D1588=FALSE,E1588&lt;&gt;""),"SELL",IF(AND(D1588=TRUE,E1588&lt;&gt;""),"HOLD",""))))</f>
        <v/>
      </c>
      <c r="G1588" s="12">
        <f>IF(D1588=TRUE,4,0)</f>
        <v/>
      </c>
      <c r="H1588">
        <f>IF(A1588="","",BDP(A1588&amp;" US Equity","GICS_SECTOR_NAME"))</f>
        <v/>
      </c>
    </row>
    <row r="1589">
      <c r="A1589">
        <f>'Factor Scores'!A1589</f>
        <v/>
      </c>
      <c r="B1589" s="10">
        <f>IF(A1589="","",0.40*'Factor Scores'!C1589+0.20*'Factor Scores'!E1589+0.20*'Factor Scores'!G1589+0.20*'Factor Scores'!H1589)</f>
        <v/>
      </c>
      <c r="C1589" s="12">
        <f>IF(B1589="","",RANK(B1589,$B$2:$B$2501,0))</f>
        <v/>
      </c>
      <c r="D1589">
        <f>IF(C1589="","",C1589&lt;=25)</f>
        <v/>
      </c>
      <c r="F1589">
        <f>IF(A1589="","",IF(AND(D1589=TRUE,E1589=""),"BUY",IF(AND(D1589=FALSE,E1589&lt;&gt;""),"SELL",IF(AND(D1589=TRUE,E1589&lt;&gt;""),"HOLD",""))))</f>
        <v/>
      </c>
      <c r="G1589" s="12">
        <f>IF(D1589=TRUE,4,0)</f>
        <v/>
      </c>
      <c r="H1589">
        <f>IF(A1589="","",BDP(A1589&amp;" US Equity","GICS_SECTOR_NAME"))</f>
        <v/>
      </c>
    </row>
    <row r="1590">
      <c r="A1590">
        <f>'Factor Scores'!A1590</f>
        <v/>
      </c>
      <c r="B1590" s="10">
        <f>IF(A1590="","",0.40*'Factor Scores'!C1590+0.20*'Factor Scores'!E1590+0.20*'Factor Scores'!G1590+0.20*'Factor Scores'!H1590)</f>
        <v/>
      </c>
      <c r="C1590" s="12">
        <f>IF(B1590="","",RANK(B1590,$B$2:$B$2501,0))</f>
        <v/>
      </c>
      <c r="D1590">
        <f>IF(C1590="","",C1590&lt;=25)</f>
        <v/>
      </c>
      <c r="F1590">
        <f>IF(A1590="","",IF(AND(D1590=TRUE,E1590=""),"BUY",IF(AND(D1590=FALSE,E1590&lt;&gt;""),"SELL",IF(AND(D1590=TRUE,E1590&lt;&gt;""),"HOLD",""))))</f>
        <v/>
      </c>
      <c r="G1590" s="12">
        <f>IF(D1590=TRUE,4,0)</f>
        <v/>
      </c>
      <c r="H1590">
        <f>IF(A1590="","",BDP(A1590&amp;" US Equity","GICS_SECTOR_NAME"))</f>
        <v/>
      </c>
    </row>
    <row r="1591">
      <c r="A1591">
        <f>'Factor Scores'!A1591</f>
        <v/>
      </c>
      <c r="B1591" s="10">
        <f>IF(A1591="","",0.40*'Factor Scores'!C1591+0.20*'Factor Scores'!E1591+0.20*'Factor Scores'!G1591+0.20*'Factor Scores'!H1591)</f>
        <v/>
      </c>
      <c r="C1591" s="12">
        <f>IF(B1591="","",RANK(B1591,$B$2:$B$2501,0))</f>
        <v/>
      </c>
      <c r="D1591">
        <f>IF(C1591="","",C1591&lt;=25)</f>
        <v/>
      </c>
      <c r="F1591">
        <f>IF(A1591="","",IF(AND(D1591=TRUE,E1591=""),"BUY",IF(AND(D1591=FALSE,E1591&lt;&gt;""),"SELL",IF(AND(D1591=TRUE,E1591&lt;&gt;""),"HOLD",""))))</f>
        <v/>
      </c>
      <c r="G1591" s="12">
        <f>IF(D1591=TRUE,4,0)</f>
        <v/>
      </c>
      <c r="H1591">
        <f>IF(A1591="","",BDP(A1591&amp;" US Equity","GICS_SECTOR_NAME"))</f>
        <v/>
      </c>
    </row>
    <row r="1592">
      <c r="A1592">
        <f>'Factor Scores'!A1592</f>
        <v/>
      </c>
      <c r="B1592" s="10">
        <f>IF(A1592="","",0.40*'Factor Scores'!C1592+0.20*'Factor Scores'!E1592+0.20*'Factor Scores'!G1592+0.20*'Factor Scores'!H1592)</f>
        <v/>
      </c>
      <c r="C1592" s="12">
        <f>IF(B1592="","",RANK(B1592,$B$2:$B$2501,0))</f>
        <v/>
      </c>
      <c r="D1592">
        <f>IF(C1592="","",C1592&lt;=25)</f>
        <v/>
      </c>
      <c r="F1592">
        <f>IF(A1592="","",IF(AND(D1592=TRUE,E1592=""),"BUY",IF(AND(D1592=FALSE,E1592&lt;&gt;""),"SELL",IF(AND(D1592=TRUE,E1592&lt;&gt;""),"HOLD",""))))</f>
        <v/>
      </c>
      <c r="G1592" s="12">
        <f>IF(D1592=TRUE,4,0)</f>
        <v/>
      </c>
      <c r="H1592">
        <f>IF(A1592="","",BDP(A1592&amp;" US Equity","GICS_SECTOR_NAME"))</f>
        <v/>
      </c>
    </row>
    <row r="1593">
      <c r="A1593">
        <f>'Factor Scores'!A1593</f>
        <v/>
      </c>
      <c r="B1593" s="10">
        <f>IF(A1593="","",0.40*'Factor Scores'!C1593+0.20*'Factor Scores'!E1593+0.20*'Factor Scores'!G1593+0.20*'Factor Scores'!H1593)</f>
        <v/>
      </c>
      <c r="C1593" s="12">
        <f>IF(B1593="","",RANK(B1593,$B$2:$B$2501,0))</f>
        <v/>
      </c>
      <c r="D1593">
        <f>IF(C1593="","",C1593&lt;=25)</f>
        <v/>
      </c>
      <c r="F1593">
        <f>IF(A1593="","",IF(AND(D1593=TRUE,E1593=""),"BUY",IF(AND(D1593=FALSE,E1593&lt;&gt;""),"SELL",IF(AND(D1593=TRUE,E1593&lt;&gt;""),"HOLD",""))))</f>
        <v/>
      </c>
      <c r="G1593" s="12">
        <f>IF(D1593=TRUE,4,0)</f>
        <v/>
      </c>
      <c r="H1593">
        <f>IF(A1593="","",BDP(A1593&amp;" US Equity","GICS_SECTOR_NAME"))</f>
        <v/>
      </c>
    </row>
    <row r="1594">
      <c r="A1594">
        <f>'Factor Scores'!A1594</f>
        <v/>
      </c>
      <c r="B1594" s="10">
        <f>IF(A1594="","",0.40*'Factor Scores'!C1594+0.20*'Factor Scores'!E1594+0.20*'Factor Scores'!G1594+0.20*'Factor Scores'!H1594)</f>
        <v/>
      </c>
      <c r="C1594" s="12">
        <f>IF(B1594="","",RANK(B1594,$B$2:$B$2501,0))</f>
        <v/>
      </c>
      <c r="D1594">
        <f>IF(C1594="","",C1594&lt;=25)</f>
        <v/>
      </c>
      <c r="F1594">
        <f>IF(A1594="","",IF(AND(D1594=TRUE,E1594=""),"BUY",IF(AND(D1594=FALSE,E1594&lt;&gt;""),"SELL",IF(AND(D1594=TRUE,E1594&lt;&gt;""),"HOLD",""))))</f>
        <v/>
      </c>
      <c r="G1594" s="12">
        <f>IF(D1594=TRUE,4,0)</f>
        <v/>
      </c>
      <c r="H1594">
        <f>IF(A1594="","",BDP(A1594&amp;" US Equity","GICS_SECTOR_NAME"))</f>
        <v/>
      </c>
    </row>
    <row r="1595">
      <c r="A1595">
        <f>'Factor Scores'!A1595</f>
        <v/>
      </c>
      <c r="B1595" s="10">
        <f>IF(A1595="","",0.40*'Factor Scores'!C1595+0.20*'Factor Scores'!E1595+0.20*'Factor Scores'!G1595+0.20*'Factor Scores'!H1595)</f>
        <v/>
      </c>
      <c r="C1595" s="12">
        <f>IF(B1595="","",RANK(B1595,$B$2:$B$2501,0))</f>
        <v/>
      </c>
      <c r="D1595">
        <f>IF(C1595="","",C1595&lt;=25)</f>
        <v/>
      </c>
      <c r="F1595">
        <f>IF(A1595="","",IF(AND(D1595=TRUE,E1595=""),"BUY",IF(AND(D1595=FALSE,E1595&lt;&gt;""),"SELL",IF(AND(D1595=TRUE,E1595&lt;&gt;""),"HOLD",""))))</f>
        <v/>
      </c>
      <c r="G1595" s="12">
        <f>IF(D1595=TRUE,4,0)</f>
        <v/>
      </c>
      <c r="H1595">
        <f>IF(A1595="","",BDP(A1595&amp;" US Equity","GICS_SECTOR_NAME"))</f>
        <v/>
      </c>
    </row>
    <row r="1596">
      <c r="A1596">
        <f>'Factor Scores'!A1596</f>
        <v/>
      </c>
      <c r="B1596" s="10">
        <f>IF(A1596="","",0.40*'Factor Scores'!C1596+0.20*'Factor Scores'!E1596+0.20*'Factor Scores'!G1596+0.20*'Factor Scores'!H1596)</f>
        <v/>
      </c>
      <c r="C1596" s="12">
        <f>IF(B1596="","",RANK(B1596,$B$2:$B$2501,0))</f>
        <v/>
      </c>
      <c r="D1596">
        <f>IF(C1596="","",C1596&lt;=25)</f>
        <v/>
      </c>
      <c r="F1596">
        <f>IF(A1596="","",IF(AND(D1596=TRUE,E1596=""),"BUY",IF(AND(D1596=FALSE,E1596&lt;&gt;""),"SELL",IF(AND(D1596=TRUE,E1596&lt;&gt;""),"HOLD",""))))</f>
        <v/>
      </c>
      <c r="G1596" s="12">
        <f>IF(D1596=TRUE,4,0)</f>
        <v/>
      </c>
      <c r="H1596">
        <f>IF(A1596="","",BDP(A1596&amp;" US Equity","GICS_SECTOR_NAME"))</f>
        <v/>
      </c>
    </row>
    <row r="1597">
      <c r="A1597">
        <f>'Factor Scores'!A1597</f>
        <v/>
      </c>
      <c r="B1597" s="10">
        <f>IF(A1597="","",0.40*'Factor Scores'!C1597+0.20*'Factor Scores'!E1597+0.20*'Factor Scores'!G1597+0.20*'Factor Scores'!H1597)</f>
        <v/>
      </c>
      <c r="C1597" s="12">
        <f>IF(B1597="","",RANK(B1597,$B$2:$B$2501,0))</f>
        <v/>
      </c>
      <c r="D1597">
        <f>IF(C1597="","",C1597&lt;=25)</f>
        <v/>
      </c>
      <c r="F1597">
        <f>IF(A1597="","",IF(AND(D1597=TRUE,E1597=""),"BUY",IF(AND(D1597=FALSE,E1597&lt;&gt;""),"SELL",IF(AND(D1597=TRUE,E1597&lt;&gt;""),"HOLD",""))))</f>
        <v/>
      </c>
      <c r="G1597" s="12">
        <f>IF(D1597=TRUE,4,0)</f>
        <v/>
      </c>
      <c r="H1597">
        <f>IF(A1597="","",BDP(A1597&amp;" US Equity","GICS_SECTOR_NAME"))</f>
        <v/>
      </c>
    </row>
    <row r="1598">
      <c r="A1598">
        <f>'Factor Scores'!A1598</f>
        <v/>
      </c>
      <c r="B1598" s="10">
        <f>IF(A1598="","",0.40*'Factor Scores'!C1598+0.20*'Factor Scores'!E1598+0.20*'Factor Scores'!G1598+0.20*'Factor Scores'!H1598)</f>
        <v/>
      </c>
      <c r="C1598" s="12">
        <f>IF(B1598="","",RANK(B1598,$B$2:$B$2501,0))</f>
        <v/>
      </c>
      <c r="D1598">
        <f>IF(C1598="","",C1598&lt;=25)</f>
        <v/>
      </c>
      <c r="F1598">
        <f>IF(A1598="","",IF(AND(D1598=TRUE,E1598=""),"BUY",IF(AND(D1598=FALSE,E1598&lt;&gt;""),"SELL",IF(AND(D1598=TRUE,E1598&lt;&gt;""),"HOLD",""))))</f>
        <v/>
      </c>
      <c r="G1598" s="12">
        <f>IF(D1598=TRUE,4,0)</f>
        <v/>
      </c>
      <c r="H1598">
        <f>IF(A1598="","",BDP(A1598&amp;" US Equity","GICS_SECTOR_NAME"))</f>
        <v/>
      </c>
    </row>
    <row r="1599">
      <c r="A1599">
        <f>'Factor Scores'!A1599</f>
        <v/>
      </c>
      <c r="B1599" s="10">
        <f>IF(A1599="","",0.40*'Factor Scores'!C1599+0.20*'Factor Scores'!E1599+0.20*'Factor Scores'!G1599+0.20*'Factor Scores'!H1599)</f>
        <v/>
      </c>
      <c r="C1599" s="12">
        <f>IF(B1599="","",RANK(B1599,$B$2:$B$2501,0))</f>
        <v/>
      </c>
      <c r="D1599">
        <f>IF(C1599="","",C1599&lt;=25)</f>
        <v/>
      </c>
      <c r="F1599">
        <f>IF(A1599="","",IF(AND(D1599=TRUE,E1599=""),"BUY",IF(AND(D1599=FALSE,E1599&lt;&gt;""),"SELL",IF(AND(D1599=TRUE,E1599&lt;&gt;""),"HOLD",""))))</f>
        <v/>
      </c>
      <c r="G1599" s="12">
        <f>IF(D1599=TRUE,4,0)</f>
        <v/>
      </c>
      <c r="H1599">
        <f>IF(A1599="","",BDP(A1599&amp;" US Equity","GICS_SECTOR_NAME"))</f>
        <v/>
      </c>
    </row>
    <row r="1600">
      <c r="A1600">
        <f>'Factor Scores'!A1600</f>
        <v/>
      </c>
      <c r="B1600" s="10">
        <f>IF(A1600="","",0.40*'Factor Scores'!C1600+0.20*'Factor Scores'!E1600+0.20*'Factor Scores'!G1600+0.20*'Factor Scores'!H1600)</f>
        <v/>
      </c>
      <c r="C1600" s="12">
        <f>IF(B1600="","",RANK(B1600,$B$2:$B$2501,0))</f>
        <v/>
      </c>
      <c r="D1600">
        <f>IF(C1600="","",C1600&lt;=25)</f>
        <v/>
      </c>
      <c r="F1600">
        <f>IF(A1600="","",IF(AND(D1600=TRUE,E1600=""),"BUY",IF(AND(D1600=FALSE,E1600&lt;&gt;""),"SELL",IF(AND(D1600=TRUE,E1600&lt;&gt;""),"HOLD",""))))</f>
        <v/>
      </c>
      <c r="G1600" s="12">
        <f>IF(D1600=TRUE,4,0)</f>
        <v/>
      </c>
      <c r="H1600">
        <f>IF(A1600="","",BDP(A1600&amp;" US Equity","GICS_SECTOR_NAME"))</f>
        <v/>
      </c>
    </row>
    <row r="1601">
      <c r="A1601">
        <f>'Factor Scores'!A1601</f>
        <v/>
      </c>
      <c r="B1601" s="10">
        <f>IF(A1601="","",0.40*'Factor Scores'!C1601+0.20*'Factor Scores'!E1601+0.20*'Factor Scores'!G1601+0.20*'Factor Scores'!H1601)</f>
        <v/>
      </c>
      <c r="C1601" s="12">
        <f>IF(B1601="","",RANK(B1601,$B$2:$B$2501,0))</f>
        <v/>
      </c>
      <c r="D1601">
        <f>IF(C1601="","",C1601&lt;=25)</f>
        <v/>
      </c>
      <c r="F1601">
        <f>IF(A1601="","",IF(AND(D1601=TRUE,E1601=""),"BUY",IF(AND(D1601=FALSE,E1601&lt;&gt;""),"SELL",IF(AND(D1601=TRUE,E1601&lt;&gt;""),"HOLD",""))))</f>
        <v/>
      </c>
      <c r="G1601" s="12">
        <f>IF(D1601=TRUE,4,0)</f>
        <v/>
      </c>
      <c r="H1601">
        <f>IF(A1601="","",BDP(A1601&amp;" US Equity","GICS_SECTOR_NAME"))</f>
        <v/>
      </c>
    </row>
    <row r="1602">
      <c r="A1602">
        <f>'Factor Scores'!A1602</f>
        <v/>
      </c>
      <c r="B1602" s="10">
        <f>IF(A1602="","",0.40*'Factor Scores'!C1602+0.20*'Factor Scores'!E1602+0.20*'Factor Scores'!G1602+0.20*'Factor Scores'!H1602)</f>
        <v/>
      </c>
      <c r="C1602" s="12">
        <f>IF(B1602="","",RANK(B1602,$B$2:$B$2501,0))</f>
        <v/>
      </c>
      <c r="D1602">
        <f>IF(C1602="","",C1602&lt;=25)</f>
        <v/>
      </c>
      <c r="F1602">
        <f>IF(A1602="","",IF(AND(D1602=TRUE,E1602=""),"BUY",IF(AND(D1602=FALSE,E1602&lt;&gt;""),"SELL",IF(AND(D1602=TRUE,E1602&lt;&gt;""),"HOLD",""))))</f>
        <v/>
      </c>
      <c r="G1602" s="12">
        <f>IF(D1602=TRUE,4,0)</f>
        <v/>
      </c>
      <c r="H1602">
        <f>IF(A1602="","",BDP(A1602&amp;" US Equity","GICS_SECTOR_NAME"))</f>
        <v/>
      </c>
    </row>
    <row r="1603">
      <c r="A1603">
        <f>'Factor Scores'!A1603</f>
        <v/>
      </c>
      <c r="B1603" s="10">
        <f>IF(A1603="","",0.40*'Factor Scores'!C1603+0.20*'Factor Scores'!E1603+0.20*'Factor Scores'!G1603+0.20*'Factor Scores'!H1603)</f>
        <v/>
      </c>
      <c r="C1603" s="12">
        <f>IF(B1603="","",RANK(B1603,$B$2:$B$2501,0))</f>
        <v/>
      </c>
      <c r="D1603">
        <f>IF(C1603="","",C1603&lt;=25)</f>
        <v/>
      </c>
      <c r="F1603">
        <f>IF(A1603="","",IF(AND(D1603=TRUE,E1603=""),"BUY",IF(AND(D1603=FALSE,E1603&lt;&gt;""),"SELL",IF(AND(D1603=TRUE,E1603&lt;&gt;""),"HOLD",""))))</f>
        <v/>
      </c>
      <c r="G1603" s="12">
        <f>IF(D1603=TRUE,4,0)</f>
        <v/>
      </c>
      <c r="H1603">
        <f>IF(A1603="","",BDP(A1603&amp;" US Equity","GICS_SECTOR_NAME"))</f>
        <v/>
      </c>
    </row>
    <row r="1604">
      <c r="A1604">
        <f>'Factor Scores'!A1604</f>
        <v/>
      </c>
      <c r="B1604" s="10">
        <f>IF(A1604="","",0.40*'Factor Scores'!C1604+0.20*'Factor Scores'!E1604+0.20*'Factor Scores'!G1604+0.20*'Factor Scores'!H1604)</f>
        <v/>
      </c>
      <c r="C1604" s="12">
        <f>IF(B1604="","",RANK(B1604,$B$2:$B$2501,0))</f>
        <v/>
      </c>
      <c r="D1604">
        <f>IF(C1604="","",C1604&lt;=25)</f>
        <v/>
      </c>
      <c r="F1604">
        <f>IF(A1604="","",IF(AND(D1604=TRUE,E1604=""),"BUY",IF(AND(D1604=FALSE,E1604&lt;&gt;""),"SELL",IF(AND(D1604=TRUE,E1604&lt;&gt;""),"HOLD",""))))</f>
        <v/>
      </c>
      <c r="G1604" s="12">
        <f>IF(D1604=TRUE,4,0)</f>
        <v/>
      </c>
      <c r="H1604">
        <f>IF(A1604="","",BDP(A1604&amp;" US Equity","GICS_SECTOR_NAME"))</f>
        <v/>
      </c>
    </row>
    <row r="1605">
      <c r="A1605">
        <f>'Factor Scores'!A1605</f>
        <v/>
      </c>
      <c r="B1605" s="10">
        <f>IF(A1605="","",0.40*'Factor Scores'!C1605+0.20*'Factor Scores'!E1605+0.20*'Factor Scores'!G1605+0.20*'Factor Scores'!H1605)</f>
        <v/>
      </c>
      <c r="C1605" s="12">
        <f>IF(B1605="","",RANK(B1605,$B$2:$B$2501,0))</f>
        <v/>
      </c>
      <c r="D1605">
        <f>IF(C1605="","",C1605&lt;=25)</f>
        <v/>
      </c>
      <c r="F1605">
        <f>IF(A1605="","",IF(AND(D1605=TRUE,E1605=""),"BUY",IF(AND(D1605=FALSE,E1605&lt;&gt;""),"SELL",IF(AND(D1605=TRUE,E1605&lt;&gt;""),"HOLD",""))))</f>
        <v/>
      </c>
      <c r="G1605" s="12">
        <f>IF(D1605=TRUE,4,0)</f>
        <v/>
      </c>
      <c r="H1605">
        <f>IF(A1605="","",BDP(A1605&amp;" US Equity","GICS_SECTOR_NAME"))</f>
        <v/>
      </c>
    </row>
    <row r="1606">
      <c r="A1606">
        <f>'Factor Scores'!A1606</f>
        <v/>
      </c>
      <c r="B1606" s="10">
        <f>IF(A1606="","",0.40*'Factor Scores'!C1606+0.20*'Factor Scores'!E1606+0.20*'Factor Scores'!G1606+0.20*'Factor Scores'!H1606)</f>
        <v/>
      </c>
      <c r="C1606" s="12">
        <f>IF(B1606="","",RANK(B1606,$B$2:$B$2501,0))</f>
        <v/>
      </c>
      <c r="D1606">
        <f>IF(C1606="","",C1606&lt;=25)</f>
        <v/>
      </c>
      <c r="F1606">
        <f>IF(A1606="","",IF(AND(D1606=TRUE,E1606=""),"BUY",IF(AND(D1606=FALSE,E1606&lt;&gt;""),"SELL",IF(AND(D1606=TRUE,E1606&lt;&gt;""),"HOLD",""))))</f>
        <v/>
      </c>
      <c r="G1606" s="12">
        <f>IF(D1606=TRUE,4,0)</f>
        <v/>
      </c>
      <c r="H1606">
        <f>IF(A1606="","",BDP(A1606&amp;" US Equity","GICS_SECTOR_NAME"))</f>
        <v/>
      </c>
    </row>
    <row r="1607">
      <c r="A1607">
        <f>'Factor Scores'!A1607</f>
        <v/>
      </c>
      <c r="B1607" s="10">
        <f>IF(A1607="","",0.40*'Factor Scores'!C1607+0.20*'Factor Scores'!E1607+0.20*'Factor Scores'!G1607+0.20*'Factor Scores'!H1607)</f>
        <v/>
      </c>
      <c r="C1607" s="12">
        <f>IF(B1607="","",RANK(B1607,$B$2:$B$2501,0))</f>
        <v/>
      </c>
      <c r="D1607">
        <f>IF(C1607="","",C1607&lt;=25)</f>
        <v/>
      </c>
      <c r="F1607">
        <f>IF(A1607="","",IF(AND(D1607=TRUE,E1607=""),"BUY",IF(AND(D1607=FALSE,E1607&lt;&gt;""),"SELL",IF(AND(D1607=TRUE,E1607&lt;&gt;""),"HOLD",""))))</f>
        <v/>
      </c>
      <c r="G1607" s="12">
        <f>IF(D1607=TRUE,4,0)</f>
        <v/>
      </c>
      <c r="H1607">
        <f>IF(A1607="","",BDP(A1607&amp;" US Equity","GICS_SECTOR_NAME"))</f>
        <v/>
      </c>
    </row>
    <row r="1608">
      <c r="A1608">
        <f>'Factor Scores'!A1608</f>
        <v/>
      </c>
      <c r="B1608" s="10">
        <f>IF(A1608="","",0.40*'Factor Scores'!C1608+0.20*'Factor Scores'!E1608+0.20*'Factor Scores'!G1608+0.20*'Factor Scores'!H1608)</f>
        <v/>
      </c>
      <c r="C1608" s="12">
        <f>IF(B1608="","",RANK(B1608,$B$2:$B$2501,0))</f>
        <v/>
      </c>
      <c r="D1608">
        <f>IF(C1608="","",C1608&lt;=25)</f>
        <v/>
      </c>
      <c r="F1608">
        <f>IF(A1608="","",IF(AND(D1608=TRUE,E1608=""),"BUY",IF(AND(D1608=FALSE,E1608&lt;&gt;""),"SELL",IF(AND(D1608=TRUE,E1608&lt;&gt;""),"HOLD",""))))</f>
        <v/>
      </c>
      <c r="G1608" s="12">
        <f>IF(D1608=TRUE,4,0)</f>
        <v/>
      </c>
      <c r="H1608">
        <f>IF(A1608="","",BDP(A1608&amp;" US Equity","GICS_SECTOR_NAME"))</f>
        <v/>
      </c>
    </row>
    <row r="1609">
      <c r="A1609">
        <f>'Factor Scores'!A1609</f>
        <v/>
      </c>
      <c r="B1609" s="10">
        <f>IF(A1609="","",0.40*'Factor Scores'!C1609+0.20*'Factor Scores'!E1609+0.20*'Factor Scores'!G1609+0.20*'Factor Scores'!H1609)</f>
        <v/>
      </c>
      <c r="C1609" s="12">
        <f>IF(B1609="","",RANK(B1609,$B$2:$B$2501,0))</f>
        <v/>
      </c>
      <c r="D1609">
        <f>IF(C1609="","",C1609&lt;=25)</f>
        <v/>
      </c>
      <c r="F1609">
        <f>IF(A1609="","",IF(AND(D1609=TRUE,E1609=""),"BUY",IF(AND(D1609=FALSE,E1609&lt;&gt;""),"SELL",IF(AND(D1609=TRUE,E1609&lt;&gt;""),"HOLD",""))))</f>
        <v/>
      </c>
      <c r="G1609" s="12">
        <f>IF(D1609=TRUE,4,0)</f>
        <v/>
      </c>
      <c r="H1609">
        <f>IF(A1609="","",BDP(A1609&amp;" US Equity","GICS_SECTOR_NAME"))</f>
        <v/>
      </c>
    </row>
    <row r="1610">
      <c r="A1610">
        <f>'Factor Scores'!A1610</f>
        <v/>
      </c>
      <c r="B1610" s="10">
        <f>IF(A1610="","",0.40*'Factor Scores'!C1610+0.20*'Factor Scores'!E1610+0.20*'Factor Scores'!G1610+0.20*'Factor Scores'!H1610)</f>
        <v/>
      </c>
      <c r="C1610" s="12">
        <f>IF(B1610="","",RANK(B1610,$B$2:$B$2501,0))</f>
        <v/>
      </c>
      <c r="D1610">
        <f>IF(C1610="","",C1610&lt;=25)</f>
        <v/>
      </c>
      <c r="F1610">
        <f>IF(A1610="","",IF(AND(D1610=TRUE,E1610=""),"BUY",IF(AND(D1610=FALSE,E1610&lt;&gt;""),"SELL",IF(AND(D1610=TRUE,E1610&lt;&gt;""),"HOLD",""))))</f>
        <v/>
      </c>
      <c r="G1610" s="12">
        <f>IF(D1610=TRUE,4,0)</f>
        <v/>
      </c>
      <c r="H1610">
        <f>IF(A1610="","",BDP(A1610&amp;" US Equity","GICS_SECTOR_NAME"))</f>
        <v/>
      </c>
    </row>
    <row r="1611">
      <c r="A1611">
        <f>'Factor Scores'!A1611</f>
        <v/>
      </c>
      <c r="B1611" s="10">
        <f>IF(A1611="","",0.40*'Factor Scores'!C1611+0.20*'Factor Scores'!E1611+0.20*'Factor Scores'!G1611+0.20*'Factor Scores'!H1611)</f>
        <v/>
      </c>
      <c r="C1611" s="12">
        <f>IF(B1611="","",RANK(B1611,$B$2:$B$2501,0))</f>
        <v/>
      </c>
      <c r="D1611">
        <f>IF(C1611="","",C1611&lt;=25)</f>
        <v/>
      </c>
      <c r="F1611">
        <f>IF(A1611="","",IF(AND(D1611=TRUE,E1611=""),"BUY",IF(AND(D1611=FALSE,E1611&lt;&gt;""),"SELL",IF(AND(D1611=TRUE,E1611&lt;&gt;""),"HOLD",""))))</f>
        <v/>
      </c>
      <c r="G1611" s="12">
        <f>IF(D1611=TRUE,4,0)</f>
        <v/>
      </c>
      <c r="H1611">
        <f>IF(A1611="","",BDP(A1611&amp;" US Equity","GICS_SECTOR_NAME"))</f>
        <v/>
      </c>
    </row>
    <row r="1612">
      <c r="A1612">
        <f>'Factor Scores'!A1612</f>
        <v/>
      </c>
      <c r="B1612" s="10">
        <f>IF(A1612="","",0.40*'Factor Scores'!C1612+0.20*'Factor Scores'!E1612+0.20*'Factor Scores'!G1612+0.20*'Factor Scores'!H1612)</f>
        <v/>
      </c>
      <c r="C1612" s="12">
        <f>IF(B1612="","",RANK(B1612,$B$2:$B$2501,0))</f>
        <v/>
      </c>
      <c r="D1612">
        <f>IF(C1612="","",C1612&lt;=25)</f>
        <v/>
      </c>
      <c r="F1612">
        <f>IF(A1612="","",IF(AND(D1612=TRUE,E1612=""),"BUY",IF(AND(D1612=FALSE,E1612&lt;&gt;""),"SELL",IF(AND(D1612=TRUE,E1612&lt;&gt;""),"HOLD",""))))</f>
        <v/>
      </c>
      <c r="G1612" s="12">
        <f>IF(D1612=TRUE,4,0)</f>
        <v/>
      </c>
      <c r="H1612">
        <f>IF(A1612="","",BDP(A1612&amp;" US Equity","GICS_SECTOR_NAME"))</f>
        <v/>
      </c>
    </row>
    <row r="1613">
      <c r="A1613">
        <f>'Factor Scores'!A1613</f>
        <v/>
      </c>
      <c r="B1613" s="10">
        <f>IF(A1613="","",0.40*'Factor Scores'!C1613+0.20*'Factor Scores'!E1613+0.20*'Factor Scores'!G1613+0.20*'Factor Scores'!H1613)</f>
        <v/>
      </c>
      <c r="C1613" s="12">
        <f>IF(B1613="","",RANK(B1613,$B$2:$B$2501,0))</f>
        <v/>
      </c>
      <c r="D1613">
        <f>IF(C1613="","",C1613&lt;=25)</f>
        <v/>
      </c>
      <c r="F1613">
        <f>IF(A1613="","",IF(AND(D1613=TRUE,E1613=""),"BUY",IF(AND(D1613=FALSE,E1613&lt;&gt;""),"SELL",IF(AND(D1613=TRUE,E1613&lt;&gt;""),"HOLD",""))))</f>
        <v/>
      </c>
      <c r="G1613" s="12">
        <f>IF(D1613=TRUE,4,0)</f>
        <v/>
      </c>
      <c r="H1613">
        <f>IF(A1613="","",BDP(A1613&amp;" US Equity","GICS_SECTOR_NAME"))</f>
        <v/>
      </c>
    </row>
    <row r="1614">
      <c r="A1614">
        <f>'Factor Scores'!A1614</f>
        <v/>
      </c>
      <c r="B1614" s="10">
        <f>IF(A1614="","",0.40*'Factor Scores'!C1614+0.20*'Factor Scores'!E1614+0.20*'Factor Scores'!G1614+0.20*'Factor Scores'!H1614)</f>
        <v/>
      </c>
      <c r="C1614" s="12">
        <f>IF(B1614="","",RANK(B1614,$B$2:$B$2501,0))</f>
        <v/>
      </c>
      <c r="D1614">
        <f>IF(C1614="","",C1614&lt;=25)</f>
        <v/>
      </c>
      <c r="F1614">
        <f>IF(A1614="","",IF(AND(D1614=TRUE,E1614=""),"BUY",IF(AND(D1614=FALSE,E1614&lt;&gt;""),"SELL",IF(AND(D1614=TRUE,E1614&lt;&gt;""),"HOLD",""))))</f>
        <v/>
      </c>
      <c r="G1614" s="12">
        <f>IF(D1614=TRUE,4,0)</f>
        <v/>
      </c>
      <c r="H1614">
        <f>IF(A1614="","",BDP(A1614&amp;" US Equity","GICS_SECTOR_NAME"))</f>
        <v/>
      </c>
    </row>
    <row r="1615">
      <c r="A1615">
        <f>'Factor Scores'!A1615</f>
        <v/>
      </c>
      <c r="B1615" s="10">
        <f>IF(A1615="","",0.40*'Factor Scores'!C1615+0.20*'Factor Scores'!E1615+0.20*'Factor Scores'!G1615+0.20*'Factor Scores'!H1615)</f>
        <v/>
      </c>
      <c r="C1615" s="12">
        <f>IF(B1615="","",RANK(B1615,$B$2:$B$2501,0))</f>
        <v/>
      </c>
      <c r="D1615">
        <f>IF(C1615="","",C1615&lt;=25)</f>
        <v/>
      </c>
      <c r="F1615">
        <f>IF(A1615="","",IF(AND(D1615=TRUE,E1615=""),"BUY",IF(AND(D1615=FALSE,E1615&lt;&gt;""),"SELL",IF(AND(D1615=TRUE,E1615&lt;&gt;""),"HOLD",""))))</f>
        <v/>
      </c>
      <c r="G1615" s="12">
        <f>IF(D1615=TRUE,4,0)</f>
        <v/>
      </c>
      <c r="H1615">
        <f>IF(A1615="","",BDP(A1615&amp;" US Equity","GICS_SECTOR_NAME"))</f>
        <v/>
      </c>
    </row>
    <row r="1616">
      <c r="A1616">
        <f>'Factor Scores'!A1616</f>
        <v/>
      </c>
      <c r="B1616" s="10">
        <f>IF(A1616="","",0.40*'Factor Scores'!C1616+0.20*'Factor Scores'!E1616+0.20*'Factor Scores'!G1616+0.20*'Factor Scores'!H1616)</f>
        <v/>
      </c>
      <c r="C1616" s="12">
        <f>IF(B1616="","",RANK(B1616,$B$2:$B$2501,0))</f>
        <v/>
      </c>
      <c r="D1616">
        <f>IF(C1616="","",C1616&lt;=25)</f>
        <v/>
      </c>
      <c r="F1616">
        <f>IF(A1616="","",IF(AND(D1616=TRUE,E1616=""),"BUY",IF(AND(D1616=FALSE,E1616&lt;&gt;""),"SELL",IF(AND(D1616=TRUE,E1616&lt;&gt;""),"HOLD",""))))</f>
        <v/>
      </c>
      <c r="G1616" s="12">
        <f>IF(D1616=TRUE,4,0)</f>
        <v/>
      </c>
      <c r="H1616">
        <f>IF(A1616="","",BDP(A1616&amp;" US Equity","GICS_SECTOR_NAME"))</f>
        <v/>
      </c>
    </row>
    <row r="1617">
      <c r="A1617">
        <f>'Factor Scores'!A1617</f>
        <v/>
      </c>
      <c r="B1617" s="10">
        <f>IF(A1617="","",0.40*'Factor Scores'!C1617+0.20*'Factor Scores'!E1617+0.20*'Factor Scores'!G1617+0.20*'Factor Scores'!H1617)</f>
        <v/>
      </c>
      <c r="C1617" s="12">
        <f>IF(B1617="","",RANK(B1617,$B$2:$B$2501,0))</f>
        <v/>
      </c>
      <c r="D1617">
        <f>IF(C1617="","",C1617&lt;=25)</f>
        <v/>
      </c>
      <c r="F1617">
        <f>IF(A1617="","",IF(AND(D1617=TRUE,E1617=""),"BUY",IF(AND(D1617=FALSE,E1617&lt;&gt;""),"SELL",IF(AND(D1617=TRUE,E1617&lt;&gt;""),"HOLD",""))))</f>
        <v/>
      </c>
      <c r="G1617" s="12">
        <f>IF(D1617=TRUE,4,0)</f>
        <v/>
      </c>
      <c r="H1617">
        <f>IF(A1617="","",BDP(A1617&amp;" US Equity","GICS_SECTOR_NAME"))</f>
        <v/>
      </c>
    </row>
    <row r="1618">
      <c r="A1618">
        <f>'Factor Scores'!A1618</f>
        <v/>
      </c>
      <c r="B1618" s="10">
        <f>IF(A1618="","",0.40*'Factor Scores'!C1618+0.20*'Factor Scores'!E1618+0.20*'Factor Scores'!G1618+0.20*'Factor Scores'!H1618)</f>
        <v/>
      </c>
      <c r="C1618" s="12">
        <f>IF(B1618="","",RANK(B1618,$B$2:$B$2501,0))</f>
        <v/>
      </c>
      <c r="D1618">
        <f>IF(C1618="","",C1618&lt;=25)</f>
        <v/>
      </c>
      <c r="F1618">
        <f>IF(A1618="","",IF(AND(D1618=TRUE,E1618=""),"BUY",IF(AND(D1618=FALSE,E1618&lt;&gt;""),"SELL",IF(AND(D1618=TRUE,E1618&lt;&gt;""),"HOLD",""))))</f>
        <v/>
      </c>
      <c r="G1618" s="12">
        <f>IF(D1618=TRUE,4,0)</f>
        <v/>
      </c>
      <c r="H1618">
        <f>IF(A1618="","",BDP(A1618&amp;" US Equity","GICS_SECTOR_NAME"))</f>
        <v/>
      </c>
    </row>
    <row r="1619">
      <c r="A1619">
        <f>'Factor Scores'!A1619</f>
        <v/>
      </c>
      <c r="B1619" s="10">
        <f>IF(A1619="","",0.40*'Factor Scores'!C1619+0.20*'Factor Scores'!E1619+0.20*'Factor Scores'!G1619+0.20*'Factor Scores'!H1619)</f>
        <v/>
      </c>
      <c r="C1619" s="12">
        <f>IF(B1619="","",RANK(B1619,$B$2:$B$2501,0))</f>
        <v/>
      </c>
      <c r="D1619">
        <f>IF(C1619="","",C1619&lt;=25)</f>
        <v/>
      </c>
      <c r="F1619">
        <f>IF(A1619="","",IF(AND(D1619=TRUE,E1619=""),"BUY",IF(AND(D1619=FALSE,E1619&lt;&gt;""),"SELL",IF(AND(D1619=TRUE,E1619&lt;&gt;""),"HOLD",""))))</f>
        <v/>
      </c>
      <c r="G1619" s="12">
        <f>IF(D1619=TRUE,4,0)</f>
        <v/>
      </c>
      <c r="H1619">
        <f>IF(A1619="","",BDP(A1619&amp;" US Equity","GICS_SECTOR_NAME"))</f>
        <v/>
      </c>
    </row>
    <row r="1620">
      <c r="A1620">
        <f>'Factor Scores'!A1620</f>
        <v/>
      </c>
      <c r="B1620" s="10">
        <f>IF(A1620="","",0.40*'Factor Scores'!C1620+0.20*'Factor Scores'!E1620+0.20*'Factor Scores'!G1620+0.20*'Factor Scores'!H1620)</f>
        <v/>
      </c>
      <c r="C1620" s="12">
        <f>IF(B1620="","",RANK(B1620,$B$2:$B$2501,0))</f>
        <v/>
      </c>
      <c r="D1620">
        <f>IF(C1620="","",C1620&lt;=25)</f>
        <v/>
      </c>
      <c r="F1620">
        <f>IF(A1620="","",IF(AND(D1620=TRUE,E1620=""),"BUY",IF(AND(D1620=FALSE,E1620&lt;&gt;""),"SELL",IF(AND(D1620=TRUE,E1620&lt;&gt;""),"HOLD",""))))</f>
        <v/>
      </c>
      <c r="G1620" s="12">
        <f>IF(D1620=TRUE,4,0)</f>
        <v/>
      </c>
      <c r="H1620">
        <f>IF(A1620="","",BDP(A1620&amp;" US Equity","GICS_SECTOR_NAME"))</f>
        <v/>
      </c>
    </row>
    <row r="1621">
      <c r="A1621">
        <f>'Factor Scores'!A1621</f>
        <v/>
      </c>
      <c r="B1621" s="10">
        <f>IF(A1621="","",0.40*'Factor Scores'!C1621+0.20*'Factor Scores'!E1621+0.20*'Factor Scores'!G1621+0.20*'Factor Scores'!H1621)</f>
        <v/>
      </c>
      <c r="C1621" s="12">
        <f>IF(B1621="","",RANK(B1621,$B$2:$B$2501,0))</f>
        <v/>
      </c>
      <c r="D1621">
        <f>IF(C1621="","",C1621&lt;=25)</f>
        <v/>
      </c>
      <c r="F1621">
        <f>IF(A1621="","",IF(AND(D1621=TRUE,E1621=""),"BUY",IF(AND(D1621=FALSE,E1621&lt;&gt;""),"SELL",IF(AND(D1621=TRUE,E1621&lt;&gt;""),"HOLD",""))))</f>
        <v/>
      </c>
      <c r="G1621" s="12">
        <f>IF(D1621=TRUE,4,0)</f>
        <v/>
      </c>
      <c r="H1621">
        <f>IF(A1621="","",BDP(A1621&amp;" US Equity","GICS_SECTOR_NAME"))</f>
        <v/>
      </c>
    </row>
    <row r="1622">
      <c r="A1622">
        <f>'Factor Scores'!A1622</f>
        <v/>
      </c>
      <c r="B1622" s="10">
        <f>IF(A1622="","",0.40*'Factor Scores'!C1622+0.20*'Factor Scores'!E1622+0.20*'Factor Scores'!G1622+0.20*'Factor Scores'!H1622)</f>
        <v/>
      </c>
      <c r="C1622" s="12">
        <f>IF(B1622="","",RANK(B1622,$B$2:$B$2501,0))</f>
        <v/>
      </c>
      <c r="D1622">
        <f>IF(C1622="","",C1622&lt;=25)</f>
        <v/>
      </c>
      <c r="F1622">
        <f>IF(A1622="","",IF(AND(D1622=TRUE,E1622=""),"BUY",IF(AND(D1622=FALSE,E1622&lt;&gt;""),"SELL",IF(AND(D1622=TRUE,E1622&lt;&gt;""),"HOLD",""))))</f>
        <v/>
      </c>
      <c r="G1622" s="12">
        <f>IF(D1622=TRUE,4,0)</f>
        <v/>
      </c>
      <c r="H1622">
        <f>IF(A1622="","",BDP(A1622&amp;" US Equity","GICS_SECTOR_NAME"))</f>
        <v/>
      </c>
    </row>
    <row r="1623">
      <c r="A1623">
        <f>'Factor Scores'!A1623</f>
        <v/>
      </c>
      <c r="B1623" s="10">
        <f>IF(A1623="","",0.40*'Factor Scores'!C1623+0.20*'Factor Scores'!E1623+0.20*'Factor Scores'!G1623+0.20*'Factor Scores'!H1623)</f>
        <v/>
      </c>
      <c r="C1623" s="12">
        <f>IF(B1623="","",RANK(B1623,$B$2:$B$2501,0))</f>
        <v/>
      </c>
      <c r="D1623">
        <f>IF(C1623="","",C1623&lt;=25)</f>
        <v/>
      </c>
      <c r="F1623">
        <f>IF(A1623="","",IF(AND(D1623=TRUE,E1623=""),"BUY",IF(AND(D1623=FALSE,E1623&lt;&gt;""),"SELL",IF(AND(D1623=TRUE,E1623&lt;&gt;""),"HOLD",""))))</f>
        <v/>
      </c>
      <c r="G1623" s="12">
        <f>IF(D1623=TRUE,4,0)</f>
        <v/>
      </c>
      <c r="H1623">
        <f>IF(A1623="","",BDP(A1623&amp;" US Equity","GICS_SECTOR_NAME"))</f>
        <v/>
      </c>
    </row>
    <row r="1624">
      <c r="A1624">
        <f>'Factor Scores'!A1624</f>
        <v/>
      </c>
      <c r="B1624" s="10">
        <f>IF(A1624="","",0.40*'Factor Scores'!C1624+0.20*'Factor Scores'!E1624+0.20*'Factor Scores'!G1624+0.20*'Factor Scores'!H1624)</f>
        <v/>
      </c>
      <c r="C1624" s="12">
        <f>IF(B1624="","",RANK(B1624,$B$2:$B$2501,0))</f>
        <v/>
      </c>
      <c r="D1624">
        <f>IF(C1624="","",C1624&lt;=25)</f>
        <v/>
      </c>
      <c r="F1624">
        <f>IF(A1624="","",IF(AND(D1624=TRUE,E1624=""),"BUY",IF(AND(D1624=FALSE,E1624&lt;&gt;""),"SELL",IF(AND(D1624=TRUE,E1624&lt;&gt;""),"HOLD",""))))</f>
        <v/>
      </c>
      <c r="G1624" s="12">
        <f>IF(D1624=TRUE,4,0)</f>
        <v/>
      </c>
      <c r="H1624">
        <f>IF(A1624="","",BDP(A1624&amp;" US Equity","GICS_SECTOR_NAME"))</f>
        <v/>
      </c>
    </row>
    <row r="1625">
      <c r="A1625">
        <f>'Factor Scores'!A1625</f>
        <v/>
      </c>
      <c r="B1625" s="10">
        <f>IF(A1625="","",0.40*'Factor Scores'!C1625+0.20*'Factor Scores'!E1625+0.20*'Factor Scores'!G1625+0.20*'Factor Scores'!H1625)</f>
        <v/>
      </c>
      <c r="C1625" s="12">
        <f>IF(B1625="","",RANK(B1625,$B$2:$B$2501,0))</f>
        <v/>
      </c>
      <c r="D1625">
        <f>IF(C1625="","",C1625&lt;=25)</f>
        <v/>
      </c>
      <c r="F1625">
        <f>IF(A1625="","",IF(AND(D1625=TRUE,E1625=""),"BUY",IF(AND(D1625=FALSE,E1625&lt;&gt;""),"SELL",IF(AND(D1625=TRUE,E1625&lt;&gt;""),"HOLD",""))))</f>
        <v/>
      </c>
      <c r="G1625" s="12">
        <f>IF(D1625=TRUE,4,0)</f>
        <v/>
      </c>
      <c r="H1625">
        <f>IF(A1625="","",BDP(A1625&amp;" US Equity","GICS_SECTOR_NAME"))</f>
        <v/>
      </c>
    </row>
    <row r="1626">
      <c r="A1626">
        <f>'Factor Scores'!A1626</f>
        <v/>
      </c>
      <c r="B1626" s="10">
        <f>IF(A1626="","",0.40*'Factor Scores'!C1626+0.20*'Factor Scores'!E1626+0.20*'Factor Scores'!G1626+0.20*'Factor Scores'!H1626)</f>
        <v/>
      </c>
      <c r="C1626" s="12">
        <f>IF(B1626="","",RANK(B1626,$B$2:$B$2501,0))</f>
        <v/>
      </c>
      <c r="D1626">
        <f>IF(C1626="","",C1626&lt;=25)</f>
        <v/>
      </c>
      <c r="F1626">
        <f>IF(A1626="","",IF(AND(D1626=TRUE,E1626=""),"BUY",IF(AND(D1626=FALSE,E1626&lt;&gt;""),"SELL",IF(AND(D1626=TRUE,E1626&lt;&gt;""),"HOLD",""))))</f>
        <v/>
      </c>
      <c r="G1626" s="12">
        <f>IF(D1626=TRUE,4,0)</f>
        <v/>
      </c>
      <c r="H1626">
        <f>IF(A1626="","",BDP(A1626&amp;" US Equity","GICS_SECTOR_NAME"))</f>
        <v/>
      </c>
    </row>
    <row r="1627">
      <c r="A1627">
        <f>'Factor Scores'!A1627</f>
        <v/>
      </c>
      <c r="B1627" s="10">
        <f>IF(A1627="","",0.40*'Factor Scores'!C1627+0.20*'Factor Scores'!E1627+0.20*'Factor Scores'!G1627+0.20*'Factor Scores'!H1627)</f>
        <v/>
      </c>
      <c r="C1627" s="12">
        <f>IF(B1627="","",RANK(B1627,$B$2:$B$2501,0))</f>
        <v/>
      </c>
      <c r="D1627">
        <f>IF(C1627="","",C1627&lt;=25)</f>
        <v/>
      </c>
      <c r="F1627">
        <f>IF(A1627="","",IF(AND(D1627=TRUE,E1627=""),"BUY",IF(AND(D1627=FALSE,E1627&lt;&gt;""),"SELL",IF(AND(D1627=TRUE,E1627&lt;&gt;""),"HOLD",""))))</f>
        <v/>
      </c>
      <c r="G1627" s="12">
        <f>IF(D1627=TRUE,4,0)</f>
        <v/>
      </c>
      <c r="H1627">
        <f>IF(A1627="","",BDP(A1627&amp;" US Equity","GICS_SECTOR_NAME"))</f>
        <v/>
      </c>
    </row>
    <row r="1628">
      <c r="A1628">
        <f>'Factor Scores'!A1628</f>
        <v/>
      </c>
      <c r="B1628" s="10">
        <f>IF(A1628="","",0.40*'Factor Scores'!C1628+0.20*'Factor Scores'!E1628+0.20*'Factor Scores'!G1628+0.20*'Factor Scores'!H1628)</f>
        <v/>
      </c>
      <c r="C1628" s="12">
        <f>IF(B1628="","",RANK(B1628,$B$2:$B$2501,0))</f>
        <v/>
      </c>
      <c r="D1628">
        <f>IF(C1628="","",C1628&lt;=25)</f>
        <v/>
      </c>
      <c r="F1628">
        <f>IF(A1628="","",IF(AND(D1628=TRUE,E1628=""),"BUY",IF(AND(D1628=FALSE,E1628&lt;&gt;""),"SELL",IF(AND(D1628=TRUE,E1628&lt;&gt;""),"HOLD",""))))</f>
        <v/>
      </c>
      <c r="G1628" s="12">
        <f>IF(D1628=TRUE,4,0)</f>
        <v/>
      </c>
      <c r="H1628">
        <f>IF(A1628="","",BDP(A1628&amp;" US Equity","GICS_SECTOR_NAME"))</f>
        <v/>
      </c>
    </row>
    <row r="1629">
      <c r="A1629">
        <f>'Factor Scores'!A1629</f>
        <v/>
      </c>
      <c r="B1629" s="10">
        <f>IF(A1629="","",0.40*'Factor Scores'!C1629+0.20*'Factor Scores'!E1629+0.20*'Factor Scores'!G1629+0.20*'Factor Scores'!H1629)</f>
        <v/>
      </c>
      <c r="C1629" s="12">
        <f>IF(B1629="","",RANK(B1629,$B$2:$B$2501,0))</f>
        <v/>
      </c>
      <c r="D1629">
        <f>IF(C1629="","",C1629&lt;=25)</f>
        <v/>
      </c>
      <c r="F1629">
        <f>IF(A1629="","",IF(AND(D1629=TRUE,E1629=""),"BUY",IF(AND(D1629=FALSE,E1629&lt;&gt;""),"SELL",IF(AND(D1629=TRUE,E1629&lt;&gt;""),"HOLD",""))))</f>
        <v/>
      </c>
      <c r="G1629" s="12">
        <f>IF(D1629=TRUE,4,0)</f>
        <v/>
      </c>
      <c r="H1629">
        <f>IF(A1629="","",BDP(A1629&amp;" US Equity","GICS_SECTOR_NAME"))</f>
        <v/>
      </c>
    </row>
    <row r="1630">
      <c r="A1630">
        <f>'Factor Scores'!A1630</f>
        <v/>
      </c>
      <c r="B1630" s="10">
        <f>IF(A1630="","",0.40*'Factor Scores'!C1630+0.20*'Factor Scores'!E1630+0.20*'Factor Scores'!G1630+0.20*'Factor Scores'!H1630)</f>
        <v/>
      </c>
      <c r="C1630" s="12">
        <f>IF(B1630="","",RANK(B1630,$B$2:$B$2501,0))</f>
        <v/>
      </c>
      <c r="D1630">
        <f>IF(C1630="","",C1630&lt;=25)</f>
        <v/>
      </c>
      <c r="F1630">
        <f>IF(A1630="","",IF(AND(D1630=TRUE,E1630=""),"BUY",IF(AND(D1630=FALSE,E1630&lt;&gt;""),"SELL",IF(AND(D1630=TRUE,E1630&lt;&gt;""),"HOLD",""))))</f>
        <v/>
      </c>
      <c r="G1630" s="12">
        <f>IF(D1630=TRUE,4,0)</f>
        <v/>
      </c>
      <c r="H1630">
        <f>IF(A1630="","",BDP(A1630&amp;" US Equity","GICS_SECTOR_NAME"))</f>
        <v/>
      </c>
    </row>
    <row r="1631">
      <c r="A1631">
        <f>'Factor Scores'!A1631</f>
        <v/>
      </c>
      <c r="B1631" s="10">
        <f>IF(A1631="","",0.40*'Factor Scores'!C1631+0.20*'Factor Scores'!E1631+0.20*'Factor Scores'!G1631+0.20*'Factor Scores'!H1631)</f>
        <v/>
      </c>
      <c r="C1631" s="12">
        <f>IF(B1631="","",RANK(B1631,$B$2:$B$2501,0))</f>
        <v/>
      </c>
      <c r="D1631">
        <f>IF(C1631="","",C1631&lt;=25)</f>
        <v/>
      </c>
      <c r="F1631">
        <f>IF(A1631="","",IF(AND(D1631=TRUE,E1631=""),"BUY",IF(AND(D1631=FALSE,E1631&lt;&gt;""),"SELL",IF(AND(D1631=TRUE,E1631&lt;&gt;""),"HOLD",""))))</f>
        <v/>
      </c>
      <c r="G1631" s="12">
        <f>IF(D1631=TRUE,4,0)</f>
        <v/>
      </c>
      <c r="H1631">
        <f>IF(A1631="","",BDP(A1631&amp;" US Equity","GICS_SECTOR_NAME"))</f>
        <v/>
      </c>
    </row>
    <row r="1632">
      <c r="A1632">
        <f>'Factor Scores'!A1632</f>
        <v/>
      </c>
      <c r="B1632" s="10">
        <f>IF(A1632="","",0.40*'Factor Scores'!C1632+0.20*'Factor Scores'!E1632+0.20*'Factor Scores'!G1632+0.20*'Factor Scores'!H1632)</f>
        <v/>
      </c>
      <c r="C1632" s="12">
        <f>IF(B1632="","",RANK(B1632,$B$2:$B$2501,0))</f>
        <v/>
      </c>
      <c r="D1632">
        <f>IF(C1632="","",C1632&lt;=25)</f>
        <v/>
      </c>
      <c r="F1632">
        <f>IF(A1632="","",IF(AND(D1632=TRUE,E1632=""),"BUY",IF(AND(D1632=FALSE,E1632&lt;&gt;""),"SELL",IF(AND(D1632=TRUE,E1632&lt;&gt;""),"HOLD",""))))</f>
        <v/>
      </c>
      <c r="G1632" s="12">
        <f>IF(D1632=TRUE,4,0)</f>
        <v/>
      </c>
      <c r="H1632">
        <f>IF(A1632="","",BDP(A1632&amp;" US Equity","GICS_SECTOR_NAME"))</f>
        <v/>
      </c>
    </row>
    <row r="1633">
      <c r="A1633">
        <f>'Factor Scores'!A1633</f>
        <v/>
      </c>
      <c r="B1633" s="10">
        <f>IF(A1633="","",0.40*'Factor Scores'!C1633+0.20*'Factor Scores'!E1633+0.20*'Factor Scores'!G1633+0.20*'Factor Scores'!H1633)</f>
        <v/>
      </c>
      <c r="C1633" s="12">
        <f>IF(B1633="","",RANK(B1633,$B$2:$B$2501,0))</f>
        <v/>
      </c>
      <c r="D1633">
        <f>IF(C1633="","",C1633&lt;=25)</f>
        <v/>
      </c>
      <c r="F1633">
        <f>IF(A1633="","",IF(AND(D1633=TRUE,E1633=""),"BUY",IF(AND(D1633=FALSE,E1633&lt;&gt;""),"SELL",IF(AND(D1633=TRUE,E1633&lt;&gt;""),"HOLD",""))))</f>
        <v/>
      </c>
      <c r="G1633" s="12">
        <f>IF(D1633=TRUE,4,0)</f>
        <v/>
      </c>
      <c r="H1633">
        <f>IF(A1633="","",BDP(A1633&amp;" US Equity","GICS_SECTOR_NAME"))</f>
        <v/>
      </c>
    </row>
    <row r="1634">
      <c r="A1634">
        <f>'Factor Scores'!A1634</f>
        <v/>
      </c>
      <c r="B1634" s="10">
        <f>IF(A1634="","",0.40*'Factor Scores'!C1634+0.20*'Factor Scores'!E1634+0.20*'Factor Scores'!G1634+0.20*'Factor Scores'!H1634)</f>
        <v/>
      </c>
      <c r="C1634" s="12">
        <f>IF(B1634="","",RANK(B1634,$B$2:$B$2501,0))</f>
        <v/>
      </c>
      <c r="D1634">
        <f>IF(C1634="","",C1634&lt;=25)</f>
        <v/>
      </c>
      <c r="F1634">
        <f>IF(A1634="","",IF(AND(D1634=TRUE,E1634=""),"BUY",IF(AND(D1634=FALSE,E1634&lt;&gt;""),"SELL",IF(AND(D1634=TRUE,E1634&lt;&gt;""),"HOLD",""))))</f>
        <v/>
      </c>
      <c r="G1634" s="12">
        <f>IF(D1634=TRUE,4,0)</f>
        <v/>
      </c>
      <c r="H1634">
        <f>IF(A1634="","",BDP(A1634&amp;" US Equity","GICS_SECTOR_NAME"))</f>
        <v/>
      </c>
    </row>
    <row r="1635">
      <c r="A1635">
        <f>'Factor Scores'!A1635</f>
        <v/>
      </c>
      <c r="B1635" s="10">
        <f>IF(A1635="","",0.40*'Factor Scores'!C1635+0.20*'Factor Scores'!E1635+0.20*'Factor Scores'!G1635+0.20*'Factor Scores'!H1635)</f>
        <v/>
      </c>
      <c r="C1635" s="12">
        <f>IF(B1635="","",RANK(B1635,$B$2:$B$2501,0))</f>
        <v/>
      </c>
      <c r="D1635">
        <f>IF(C1635="","",C1635&lt;=25)</f>
        <v/>
      </c>
      <c r="F1635">
        <f>IF(A1635="","",IF(AND(D1635=TRUE,E1635=""),"BUY",IF(AND(D1635=FALSE,E1635&lt;&gt;""),"SELL",IF(AND(D1635=TRUE,E1635&lt;&gt;""),"HOLD",""))))</f>
        <v/>
      </c>
      <c r="G1635" s="12">
        <f>IF(D1635=TRUE,4,0)</f>
        <v/>
      </c>
      <c r="H1635">
        <f>IF(A1635="","",BDP(A1635&amp;" US Equity","GICS_SECTOR_NAME"))</f>
        <v/>
      </c>
    </row>
    <row r="1636">
      <c r="A1636">
        <f>'Factor Scores'!A1636</f>
        <v/>
      </c>
      <c r="B1636" s="10">
        <f>IF(A1636="","",0.40*'Factor Scores'!C1636+0.20*'Factor Scores'!E1636+0.20*'Factor Scores'!G1636+0.20*'Factor Scores'!H1636)</f>
        <v/>
      </c>
      <c r="C1636" s="12">
        <f>IF(B1636="","",RANK(B1636,$B$2:$B$2501,0))</f>
        <v/>
      </c>
      <c r="D1636">
        <f>IF(C1636="","",C1636&lt;=25)</f>
        <v/>
      </c>
      <c r="F1636">
        <f>IF(A1636="","",IF(AND(D1636=TRUE,E1636=""),"BUY",IF(AND(D1636=FALSE,E1636&lt;&gt;""),"SELL",IF(AND(D1636=TRUE,E1636&lt;&gt;""),"HOLD",""))))</f>
        <v/>
      </c>
      <c r="G1636" s="12">
        <f>IF(D1636=TRUE,4,0)</f>
        <v/>
      </c>
      <c r="H1636">
        <f>IF(A1636="","",BDP(A1636&amp;" US Equity","GICS_SECTOR_NAME"))</f>
        <v/>
      </c>
    </row>
    <row r="1637">
      <c r="A1637">
        <f>'Factor Scores'!A1637</f>
        <v/>
      </c>
      <c r="B1637" s="10">
        <f>IF(A1637="","",0.40*'Factor Scores'!C1637+0.20*'Factor Scores'!E1637+0.20*'Factor Scores'!G1637+0.20*'Factor Scores'!H1637)</f>
        <v/>
      </c>
      <c r="C1637" s="12">
        <f>IF(B1637="","",RANK(B1637,$B$2:$B$2501,0))</f>
        <v/>
      </c>
      <c r="D1637">
        <f>IF(C1637="","",C1637&lt;=25)</f>
        <v/>
      </c>
      <c r="F1637">
        <f>IF(A1637="","",IF(AND(D1637=TRUE,E1637=""),"BUY",IF(AND(D1637=FALSE,E1637&lt;&gt;""),"SELL",IF(AND(D1637=TRUE,E1637&lt;&gt;""),"HOLD",""))))</f>
        <v/>
      </c>
      <c r="G1637" s="12">
        <f>IF(D1637=TRUE,4,0)</f>
        <v/>
      </c>
      <c r="H1637">
        <f>IF(A1637="","",BDP(A1637&amp;" US Equity","GICS_SECTOR_NAME"))</f>
        <v/>
      </c>
    </row>
    <row r="1638">
      <c r="A1638">
        <f>'Factor Scores'!A1638</f>
        <v/>
      </c>
      <c r="B1638" s="10">
        <f>IF(A1638="","",0.40*'Factor Scores'!C1638+0.20*'Factor Scores'!E1638+0.20*'Factor Scores'!G1638+0.20*'Factor Scores'!H1638)</f>
        <v/>
      </c>
      <c r="C1638" s="12">
        <f>IF(B1638="","",RANK(B1638,$B$2:$B$2501,0))</f>
        <v/>
      </c>
      <c r="D1638">
        <f>IF(C1638="","",C1638&lt;=25)</f>
        <v/>
      </c>
      <c r="F1638">
        <f>IF(A1638="","",IF(AND(D1638=TRUE,E1638=""),"BUY",IF(AND(D1638=FALSE,E1638&lt;&gt;""),"SELL",IF(AND(D1638=TRUE,E1638&lt;&gt;""),"HOLD",""))))</f>
        <v/>
      </c>
      <c r="G1638" s="12">
        <f>IF(D1638=TRUE,4,0)</f>
        <v/>
      </c>
      <c r="H1638">
        <f>IF(A1638="","",BDP(A1638&amp;" US Equity","GICS_SECTOR_NAME"))</f>
        <v/>
      </c>
    </row>
    <row r="1639">
      <c r="A1639">
        <f>'Factor Scores'!A1639</f>
        <v/>
      </c>
      <c r="B1639" s="10">
        <f>IF(A1639="","",0.40*'Factor Scores'!C1639+0.20*'Factor Scores'!E1639+0.20*'Factor Scores'!G1639+0.20*'Factor Scores'!H1639)</f>
        <v/>
      </c>
      <c r="C1639" s="12">
        <f>IF(B1639="","",RANK(B1639,$B$2:$B$2501,0))</f>
        <v/>
      </c>
      <c r="D1639">
        <f>IF(C1639="","",C1639&lt;=25)</f>
        <v/>
      </c>
      <c r="F1639">
        <f>IF(A1639="","",IF(AND(D1639=TRUE,E1639=""),"BUY",IF(AND(D1639=FALSE,E1639&lt;&gt;""),"SELL",IF(AND(D1639=TRUE,E1639&lt;&gt;""),"HOLD",""))))</f>
        <v/>
      </c>
      <c r="G1639" s="12">
        <f>IF(D1639=TRUE,4,0)</f>
        <v/>
      </c>
      <c r="H1639">
        <f>IF(A1639="","",BDP(A1639&amp;" US Equity","GICS_SECTOR_NAME"))</f>
        <v/>
      </c>
    </row>
    <row r="1640">
      <c r="A1640">
        <f>'Factor Scores'!A1640</f>
        <v/>
      </c>
      <c r="B1640" s="10">
        <f>IF(A1640="","",0.40*'Factor Scores'!C1640+0.20*'Factor Scores'!E1640+0.20*'Factor Scores'!G1640+0.20*'Factor Scores'!H1640)</f>
        <v/>
      </c>
      <c r="C1640" s="12">
        <f>IF(B1640="","",RANK(B1640,$B$2:$B$2501,0))</f>
        <v/>
      </c>
      <c r="D1640">
        <f>IF(C1640="","",C1640&lt;=25)</f>
        <v/>
      </c>
      <c r="F1640">
        <f>IF(A1640="","",IF(AND(D1640=TRUE,E1640=""),"BUY",IF(AND(D1640=FALSE,E1640&lt;&gt;""),"SELL",IF(AND(D1640=TRUE,E1640&lt;&gt;""),"HOLD",""))))</f>
        <v/>
      </c>
      <c r="G1640" s="12">
        <f>IF(D1640=TRUE,4,0)</f>
        <v/>
      </c>
      <c r="H1640">
        <f>IF(A1640="","",BDP(A1640&amp;" US Equity","GICS_SECTOR_NAME"))</f>
        <v/>
      </c>
    </row>
    <row r="1641">
      <c r="A1641">
        <f>'Factor Scores'!A1641</f>
        <v/>
      </c>
      <c r="B1641" s="10">
        <f>IF(A1641="","",0.40*'Factor Scores'!C1641+0.20*'Factor Scores'!E1641+0.20*'Factor Scores'!G1641+0.20*'Factor Scores'!H1641)</f>
        <v/>
      </c>
      <c r="C1641" s="12">
        <f>IF(B1641="","",RANK(B1641,$B$2:$B$2501,0))</f>
        <v/>
      </c>
      <c r="D1641">
        <f>IF(C1641="","",C1641&lt;=25)</f>
        <v/>
      </c>
      <c r="F1641">
        <f>IF(A1641="","",IF(AND(D1641=TRUE,E1641=""),"BUY",IF(AND(D1641=FALSE,E1641&lt;&gt;""),"SELL",IF(AND(D1641=TRUE,E1641&lt;&gt;""),"HOLD",""))))</f>
        <v/>
      </c>
      <c r="G1641" s="12">
        <f>IF(D1641=TRUE,4,0)</f>
        <v/>
      </c>
      <c r="H1641">
        <f>IF(A1641="","",BDP(A1641&amp;" US Equity","GICS_SECTOR_NAME"))</f>
        <v/>
      </c>
    </row>
    <row r="1642">
      <c r="A1642">
        <f>'Factor Scores'!A1642</f>
        <v/>
      </c>
      <c r="B1642" s="10">
        <f>IF(A1642="","",0.40*'Factor Scores'!C1642+0.20*'Factor Scores'!E1642+0.20*'Factor Scores'!G1642+0.20*'Factor Scores'!H1642)</f>
        <v/>
      </c>
      <c r="C1642" s="12">
        <f>IF(B1642="","",RANK(B1642,$B$2:$B$2501,0))</f>
        <v/>
      </c>
      <c r="D1642">
        <f>IF(C1642="","",C1642&lt;=25)</f>
        <v/>
      </c>
      <c r="F1642">
        <f>IF(A1642="","",IF(AND(D1642=TRUE,E1642=""),"BUY",IF(AND(D1642=FALSE,E1642&lt;&gt;""),"SELL",IF(AND(D1642=TRUE,E1642&lt;&gt;""),"HOLD",""))))</f>
        <v/>
      </c>
      <c r="G1642" s="12">
        <f>IF(D1642=TRUE,4,0)</f>
        <v/>
      </c>
      <c r="H1642">
        <f>IF(A1642="","",BDP(A1642&amp;" US Equity","GICS_SECTOR_NAME"))</f>
        <v/>
      </c>
    </row>
    <row r="1643">
      <c r="A1643">
        <f>'Factor Scores'!A1643</f>
        <v/>
      </c>
      <c r="B1643" s="10">
        <f>IF(A1643="","",0.40*'Factor Scores'!C1643+0.20*'Factor Scores'!E1643+0.20*'Factor Scores'!G1643+0.20*'Factor Scores'!H1643)</f>
        <v/>
      </c>
      <c r="C1643" s="12">
        <f>IF(B1643="","",RANK(B1643,$B$2:$B$2501,0))</f>
        <v/>
      </c>
      <c r="D1643">
        <f>IF(C1643="","",C1643&lt;=25)</f>
        <v/>
      </c>
      <c r="F1643">
        <f>IF(A1643="","",IF(AND(D1643=TRUE,E1643=""),"BUY",IF(AND(D1643=FALSE,E1643&lt;&gt;""),"SELL",IF(AND(D1643=TRUE,E1643&lt;&gt;""),"HOLD",""))))</f>
        <v/>
      </c>
      <c r="G1643" s="12">
        <f>IF(D1643=TRUE,4,0)</f>
        <v/>
      </c>
      <c r="H1643">
        <f>IF(A1643="","",BDP(A1643&amp;" US Equity","GICS_SECTOR_NAME"))</f>
        <v/>
      </c>
    </row>
    <row r="1644">
      <c r="A1644">
        <f>'Factor Scores'!A1644</f>
        <v/>
      </c>
      <c r="B1644" s="10">
        <f>IF(A1644="","",0.40*'Factor Scores'!C1644+0.20*'Factor Scores'!E1644+0.20*'Factor Scores'!G1644+0.20*'Factor Scores'!H1644)</f>
        <v/>
      </c>
      <c r="C1644" s="12">
        <f>IF(B1644="","",RANK(B1644,$B$2:$B$2501,0))</f>
        <v/>
      </c>
      <c r="D1644">
        <f>IF(C1644="","",C1644&lt;=25)</f>
        <v/>
      </c>
      <c r="F1644">
        <f>IF(A1644="","",IF(AND(D1644=TRUE,E1644=""),"BUY",IF(AND(D1644=FALSE,E1644&lt;&gt;""),"SELL",IF(AND(D1644=TRUE,E1644&lt;&gt;""),"HOLD",""))))</f>
        <v/>
      </c>
      <c r="G1644" s="12">
        <f>IF(D1644=TRUE,4,0)</f>
        <v/>
      </c>
      <c r="H1644">
        <f>IF(A1644="","",BDP(A1644&amp;" US Equity","GICS_SECTOR_NAME"))</f>
        <v/>
      </c>
    </row>
    <row r="1645">
      <c r="A1645">
        <f>'Factor Scores'!A1645</f>
        <v/>
      </c>
      <c r="B1645" s="10">
        <f>IF(A1645="","",0.40*'Factor Scores'!C1645+0.20*'Factor Scores'!E1645+0.20*'Factor Scores'!G1645+0.20*'Factor Scores'!H1645)</f>
        <v/>
      </c>
      <c r="C1645" s="12">
        <f>IF(B1645="","",RANK(B1645,$B$2:$B$2501,0))</f>
        <v/>
      </c>
      <c r="D1645">
        <f>IF(C1645="","",C1645&lt;=25)</f>
        <v/>
      </c>
      <c r="F1645">
        <f>IF(A1645="","",IF(AND(D1645=TRUE,E1645=""),"BUY",IF(AND(D1645=FALSE,E1645&lt;&gt;""),"SELL",IF(AND(D1645=TRUE,E1645&lt;&gt;""),"HOLD",""))))</f>
        <v/>
      </c>
      <c r="G1645" s="12">
        <f>IF(D1645=TRUE,4,0)</f>
        <v/>
      </c>
      <c r="H1645">
        <f>IF(A1645="","",BDP(A1645&amp;" US Equity","GICS_SECTOR_NAME"))</f>
        <v/>
      </c>
    </row>
    <row r="1646">
      <c r="A1646">
        <f>'Factor Scores'!A1646</f>
        <v/>
      </c>
      <c r="B1646" s="10">
        <f>IF(A1646="","",0.40*'Factor Scores'!C1646+0.20*'Factor Scores'!E1646+0.20*'Factor Scores'!G1646+0.20*'Factor Scores'!H1646)</f>
        <v/>
      </c>
      <c r="C1646" s="12">
        <f>IF(B1646="","",RANK(B1646,$B$2:$B$2501,0))</f>
        <v/>
      </c>
      <c r="D1646">
        <f>IF(C1646="","",C1646&lt;=25)</f>
        <v/>
      </c>
      <c r="F1646">
        <f>IF(A1646="","",IF(AND(D1646=TRUE,E1646=""),"BUY",IF(AND(D1646=FALSE,E1646&lt;&gt;""),"SELL",IF(AND(D1646=TRUE,E1646&lt;&gt;""),"HOLD",""))))</f>
        <v/>
      </c>
      <c r="G1646" s="12">
        <f>IF(D1646=TRUE,4,0)</f>
        <v/>
      </c>
      <c r="H1646">
        <f>IF(A1646="","",BDP(A1646&amp;" US Equity","GICS_SECTOR_NAME"))</f>
        <v/>
      </c>
    </row>
    <row r="1647">
      <c r="A1647">
        <f>'Factor Scores'!A1647</f>
        <v/>
      </c>
      <c r="B1647" s="10">
        <f>IF(A1647="","",0.40*'Factor Scores'!C1647+0.20*'Factor Scores'!E1647+0.20*'Factor Scores'!G1647+0.20*'Factor Scores'!H1647)</f>
        <v/>
      </c>
      <c r="C1647" s="12">
        <f>IF(B1647="","",RANK(B1647,$B$2:$B$2501,0))</f>
        <v/>
      </c>
      <c r="D1647">
        <f>IF(C1647="","",C1647&lt;=25)</f>
        <v/>
      </c>
      <c r="F1647">
        <f>IF(A1647="","",IF(AND(D1647=TRUE,E1647=""),"BUY",IF(AND(D1647=FALSE,E1647&lt;&gt;""),"SELL",IF(AND(D1647=TRUE,E1647&lt;&gt;""),"HOLD",""))))</f>
        <v/>
      </c>
      <c r="G1647" s="12">
        <f>IF(D1647=TRUE,4,0)</f>
        <v/>
      </c>
      <c r="H1647">
        <f>IF(A1647="","",BDP(A1647&amp;" US Equity","GICS_SECTOR_NAME"))</f>
        <v/>
      </c>
    </row>
    <row r="1648">
      <c r="A1648">
        <f>'Factor Scores'!A1648</f>
        <v/>
      </c>
      <c r="B1648" s="10">
        <f>IF(A1648="","",0.40*'Factor Scores'!C1648+0.20*'Factor Scores'!E1648+0.20*'Factor Scores'!G1648+0.20*'Factor Scores'!H1648)</f>
        <v/>
      </c>
      <c r="C1648" s="12">
        <f>IF(B1648="","",RANK(B1648,$B$2:$B$2501,0))</f>
        <v/>
      </c>
      <c r="D1648">
        <f>IF(C1648="","",C1648&lt;=25)</f>
        <v/>
      </c>
      <c r="F1648">
        <f>IF(A1648="","",IF(AND(D1648=TRUE,E1648=""),"BUY",IF(AND(D1648=FALSE,E1648&lt;&gt;""),"SELL",IF(AND(D1648=TRUE,E1648&lt;&gt;""),"HOLD",""))))</f>
        <v/>
      </c>
      <c r="G1648" s="12">
        <f>IF(D1648=TRUE,4,0)</f>
        <v/>
      </c>
      <c r="H1648">
        <f>IF(A1648="","",BDP(A1648&amp;" US Equity","GICS_SECTOR_NAME"))</f>
        <v/>
      </c>
    </row>
    <row r="1649">
      <c r="A1649">
        <f>'Factor Scores'!A1649</f>
        <v/>
      </c>
      <c r="B1649" s="10">
        <f>IF(A1649="","",0.40*'Factor Scores'!C1649+0.20*'Factor Scores'!E1649+0.20*'Factor Scores'!G1649+0.20*'Factor Scores'!H1649)</f>
        <v/>
      </c>
      <c r="C1649" s="12">
        <f>IF(B1649="","",RANK(B1649,$B$2:$B$2501,0))</f>
        <v/>
      </c>
      <c r="D1649">
        <f>IF(C1649="","",C1649&lt;=25)</f>
        <v/>
      </c>
      <c r="F1649">
        <f>IF(A1649="","",IF(AND(D1649=TRUE,E1649=""),"BUY",IF(AND(D1649=FALSE,E1649&lt;&gt;""),"SELL",IF(AND(D1649=TRUE,E1649&lt;&gt;""),"HOLD",""))))</f>
        <v/>
      </c>
      <c r="G1649" s="12">
        <f>IF(D1649=TRUE,4,0)</f>
        <v/>
      </c>
      <c r="H1649">
        <f>IF(A1649="","",BDP(A1649&amp;" US Equity","GICS_SECTOR_NAME"))</f>
        <v/>
      </c>
    </row>
    <row r="1650">
      <c r="A1650">
        <f>'Factor Scores'!A1650</f>
        <v/>
      </c>
      <c r="B1650" s="10">
        <f>IF(A1650="","",0.40*'Factor Scores'!C1650+0.20*'Factor Scores'!E1650+0.20*'Factor Scores'!G1650+0.20*'Factor Scores'!H1650)</f>
        <v/>
      </c>
      <c r="C1650" s="12">
        <f>IF(B1650="","",RANK(B1650,$B$2:$B$2501,0))</f>
        <v/>
      </c>
      <c r="D1650">
        <f>IF(C1650="","",C1650&lt;=25)</f>
        <v/>
      </c>
      <c r="F1650">
        <f>IF(A1650="","",IF(AND(D1650=TRUE,E1650=""),"BUY",IF(AND(D1650=FALSE,E1650&lt;&gt;""),"SELL",IF(AND(D1650=TRUE,E1650&lt;&gt;""),"HOLD",""))))</f>
        <v/>
      </c>
      <c r="G1650" s="12">
        <f>IF(D1650=TRUE,4,0)</f>
        <v/>
      </c>
      <c r="H1650">
        <f>IF(A1650="","",BDP(A1650&amp;" US Equity","GICS_SECTOR_NAME"))</f>
        <v/>
      </c>
    </row>
    <row r="1651">
      <c r="A1651">
        <f>'Factor Scores'!A1651</f>
        <v/>
      </c>
      <c r="B1651" s="10">
        <f>IF(A1651="","",0.40*'Factor Scores'!C1651+0.20*'Factor Scores'!E1651+0.20*'Factor Scores'!G1651+0.20*'Factor Scores'!H1651)</f>
        <v/>
      </c>
      <c r="C1651" s="12">
        <f>IF(B1651="","",RANK(B1651,$B$2:$B$2501,0))</f>
        <v/>
      </c>
      <c r="D1651">
        <f>IF(C1651="","",C1651&lt;=25)</f>
        <v/>
      </c>
      <c r="F1651">
        <f>IF(A1651="","",IF(AND(D1651=TRUE,E1651=""),"BUY",IF(AND(D1651=FALSE,E1651&lt;&gt;""),"SELL",IF(AND(D1651=TRUE,E1651&lt;&gt;""),"HOLD",""))))</f>
        <v/>
      </c>
      <c r="G1651" s="12">
        <f>IF(D1651=TRUE,4,0)</f>
        <v/>
      </c>
      <c r="H1651">
        <f>IF(A1651="","",BDP(A1651&amp;" US Equity","GICS_SECTOR_NAME"))</f>
        <v/>
      </c>
    </row>
    <row r="1652">
      <c r="A1652">
        <f>'Factor Scores'!A1652</f>
        <v/>
      </c>
      <c r="B1652" s="10">
        <f>IF(A1652="","",0.40*'Factor Scores'!C1652+0.20*'Factor Scores'!E1652+0.20*'Factor Scores'!G1652+0.20*'Factor Scores'!H1652)</f>
        <v/>
      </c>
      <c r="C1652" s="12">
        <f>IF(B1652="","",RANK(B1652,$B$2:$B$2501,0))</f>
        <v/>
      </c>
      <c r="D1652">
        <f>IF(C1652="","",C1652&lt;=25)</f>
        <v/>
      </c>
      <c r="F1652">
        <f>IF(A1652="","",IF(AND(D1652=TRUE,E1652=""),"BUY",IF(AND(D1652=FALSE,E1652&lt;&gt;""),"SELL",IF(AND(D1652=TRUE,E1652&lt;&gt;""),"HOLD",""))))</f>
        <v/>
      </c>
      <c r="G1652" s="12">
        <f>IF(D1652=TRUE,4,0)</f>
        <v/>
      </c>
      <c r="H1652">
        <f>IF(A1652="","",BDP(A1652&amp;" US Equity","GICS_SECTOR_NAME"))</f>
        <v/>
      </c>
    </row>
    <row r="1653">
      <c r="A1653">
        <f>'Factor Scores'!A1653</f>
        <v/>
      </c>
      <c r="B1653" s="10">
        <f>IF(A1653="","",0.40*'Factor Scores'!C1653+0.20*'Factor Scores'!E1653+0.20*'Factor Scores'!G1653+0.20*'Factor Scores'!H1653)</f>
        <v/>
      </c>
      <c r="C1653" s="12">
        <f>IF(B1653="","",RANK(B1653,$B$2:$B$2501,0))</f>
        <v/>
      </c>
      <c r="D1653">
        <f>IF(C1653="","",C1653&lt;=25)</f>
        <v/>
      </c>
      <c r="F1653">
        <f>IF(A1653="","",IF(AND(D1653=TRUE,E1653=""),"BUY",IF(AND(D1653=FALSE,E1653&lt;&gt;""),"SELL",IF(AND(D1653=TRUE,E1653&lt;&gt;""),"HOLD",""))))</f>
        <v/>
      </c>
      <c r="G1653" s="12">
        <f>IF(D1653=TRUE,4,0)</f>
        <v/>
      </c>
      <c r="H1653">
        <f>IF(A1653="","",BDP(A1653&amp;" US Equity","GICS_SECTOR_NAME"))</f>
        <v/>
      </c>
    </row>
    <row r="1654">
      <c r="A1654">
        <f>'Factor Scores'!A1654</f>
        <v/>
      </c>
      <c r="B1654" s="10">
        <f>IF(A1654="","",0.40*'Factor Scores'!C1654+0.20*'Factor Scores'!E1654+0.20*'Factor Scores'!G1654+0.20*'Factor Scores'!H1654)</f>
        <v/>
      </c>
      <c r="C1654" s="12">
        <f>IF(B1654="","",RANK(B1654,$B$2:$B$2501,0))</f>
        <v/>
      </c>
      <c r="D1654">
        <f>IF(C1654="","",C1654&lt;=25)</f>
        <v/>
      </c>
      <c r="F1654">
        <f>IF(A1654="","",IF(AND(D1654=TRUE,E1654=""),"BUY",IF(AND(D1654=FALSE,E1654&lt;&gt;""),"SELL",IF(AND(D1654=TRUE,E1654&lt;&gt;""),"HOLD",""))))</f>
        <v/>
      </c>
      <c r="G1654" s="12">
        <f>IF(D1654=TRUE,4,0)</f>
        <v/>
      </c>
      <c r="H1654">
        <f>IF(A1654="","",BDP(A1654&amp;" US Equity","GICS_SECTOR_NAME"))</f>
        <v/>
      </c>
    </row>
    <row r="1655">
      <c r="A1655">
        <f>'Factor Scores'!A1655</f>
        <v/>
      </c>
      <c r="B1655" s="10">
        <f>IF(A1655="","",0.40*'Factor Scores'!C1655+0.20*'Factor Scores'!E1655+0.20*'Factor Scores'!G1655+0.20*'Factor Scores'!H1655)</f>
        <v/>
      </c>
      <c r="C1655" s="12">
        <f>IF(B1655="","",RANK(B1655,$B$2:$B$2501,0))</f>
        <v/>
      </c>
      <c r="D1655">
        <f>IF(C1655="","",C1655&lt;=25)</f>
        <v/>
      </c>
      <c r="F1655">
        <f>IF(A1655="","",IF(AND(D1655=TRUE,E1655=""),"BUY",IF(AND(D1655=FALSE,E1655&lt;&gt;""),"SELL",IF(AND(D1655=TRUE,E1655&lt;&gt;""),"HOLD",""))))</f>
        <v/>
      </c>
      <c r="G1655" s="12">
        <f>IF(D1655=TRUE,4,0)</f>
        <v/>
      </c>
      <c r="H1655">
        <f>IF(A1655="","",BDP(A1655&amp;" US Equity","GICS_SECTOR_NAME"))</f>
        <v/>
      </c>
    </row>
    <row r="1656">
      <c r="A1656">
        <f>'Factor Scores'!A1656</f>
        <v/>
      </c>
      <c r="B1656" s="10">
        <f>IF(A1656="","",0.40*'Factor Scores'!C1656+0.20*'Factor Scores'!E1656+0.20*'Factor Scores'!G1656+0.20*'Factor Scores'!H1656)</f>
        <v/>
      </c>
      <c r="C1656" s="12">
        <f>IF(B1656="","",RANK(B1656,$B$2:$B$2501,0))</f>
        <v/>
      </c>
      <c r="D1656">
        <f>IF(C1656="","",C1656&lt;=25)</f>
        <v/>
      </c>
      <c r="F1656">
        <f>IF(A1656="","",IF(AND(D1656=TRUE,E1656=""),"BUY",IF(AND(D1656=FALSE,E1656&lt;&gt;""),"SELL",IF(AND(D1656=TRUE,E1656&lt;&gt;""),"HOLD",""))))</f>
        <v/>
      </c>
      <c r="G1656" s="12">
        <f>IF(D1656=TRUE,4,0)</f>
        <v/>
      </c>
      <c r="H1656">
        <f>IF(A1656="","",BDP(A1656&amp;" US Equity","GICS_SECTOR_NAME"))</f>
        <v/>
      </c>
    </row>
    <row r="1657">
      <c r="A1657">
        <f>'Factor Scores'!A1657</f>
        <v/>
      </c>
      <c r="B1657" s="10">
        <f>IF(A1657="","",0.40*'Factor Scores'!C1657+0.20*'Factor Scores'!E1657+0.20*'Factor Scores'!G1657+0.20*'Factor Scores'!H1657)</f>
        <v/>
      </c>
      <c r="C1657" s="12">
        <f>IF(B1657="","",RANK(B1657,$B$2:$B$2501,0))</f>
        <v/>
      </c>
      <c r="D1657">
        <f>IF(C1657="","",C1657&lt;=25)</f>
        <v/>
      </c>
      <c r="F1657">
        <f>IF(A1657="","",IF(AND(D1657=TRUE,E1657=""),"BUY",IF(AND(D1657=FALSE,E1657&lt;&gt;""),"SELL",IF(AND(D1657=TRUE,E1657&lt;&gt;""),"HOLD",""))))</f>
        <v/>
      </c>
      <c r="G1657" s="12">
        <f>IF(D1657=TRUE,4,0)</f>
        <v/>
      </c>
      <c r="H1657">
        <f>IF(A1657="","",BDP(A1657&amp;" US Equity","GICS_SECTOR_NAME"))</f>
        <v/>
      </c>
    </row>
    <row r="1658">
      <c r="A1658">
        <f>'Factor Scores'!A1658</f>
        <v/>
      </c>
      <c r="B1658" s="10">
        <f>IF(A1658="","",0.40*'Factor Scores'!C1658+0.20*'Factor Scores'!E1658+0.20*'Factor Scores'!G1658+0.20*'Factor Scores'!H1658)</f>
        <v/>
      </c>
      <c r="C1658" s="12">
        <f>IF(B1658="","",RANK(B1658,$B$2:$B$2501,0))</f>
        <v/>
      </c>
      <c r="D1658">
        <f>IF(C1658="","",C1658&lt;=25)</f>
        <v/>
      </c>
      <c r="F1658">
        <f>IF(A1658="","",IF(AND(D1658=TRUE,E1658=""),"BUY",IF(AND(D1658=FALSE,E1658&lt;&gt;""),"SELL",IF(AND(D1658=TRUE,E1658&lt;&gt;""),"HOLD",""))))</f>
        <v/>
      </c>
      <c r="G1658" s="12">
        <f>IF(D1658=TRUE,4,0)</f>
        <v/>
      </c>
      <c r="H1658">
        <f>IF(A1658="","",BDP(A1658&amp;" US Equity","GICS_SECTOR_NAME"))</f>
        <v/>
      </c>
    </row>
    <row r="1659">
      <c r="A1659">
        <f>'Factor Scores'!A1659</f>
        <v/>
      </c>
      <c r="B1659" s="10">
        <f>IF(A1659="","",0.40*'Factor Scores'!C1659+0.20*'Factor Scores'!E1659+0.20*'Factor Scores'!G1659+0.20*'Factor Scores'!H1659)</f>
        <v/>
      </c>
      <c r="C1659" s="12">
        <f>IF(B1659="","",RANK(B1659,$B$2:$B$2501,0))</f>
        <v/>
      </c>
      <c r="D1659">
        <f>IF(C1659="","",C1659&lt;=25)</f>
        <v/>
      </c>
      <c r="F1659">
        <f>IF(A1659="","",IF(AND(D1659=TRUE,E1659=""),"BUY",IF(AND(D1659=FALSE,E1659&lt;&gt;""),"SELL",IF(AND(D1659=TRUE,E1659&lt;&gt;""),"HOLD",""))))</f>
        <v/>
      </c>
      <c r="G1659" s="12">
        <f>IF(D1659=TRUE,4,0)</f>
        <v/>
      </c>
      <c r="H1659">
        <f>IF(A1659="","",BDP(A1659&amp;" US Equity","GICS_SECTOR_NAME"))</f>
        <v/>
      </c>
    </row>
    <row r="1660">
      <c r="A1660">
        <f>'Factor Scores'!A1660</f>
        <v/>
      </c>
      <c r="B1660" s="10">
        <f>IF(A1660="","",0.40*'Factor Scores'!C1660+0.20*'Factor Scores'!E1660+0.20*'Factor Scores'!G1660+0.20*'Factor Scores'!H1660)</f>
        <v/>
      </c>
      <c r="C1660" s="12">
        <f>IF(B1660="","",RANK(B1660,$B$2:$B$2501,0))</f>
        <v/>
      </c>
      <c r="D1660">
        <f>IF(C1660="","",C1660&lt;=25)</f>
        <v/>
      </c>
      <c r="F1660">
        <f>IF(A1660="","",IF(AND(D1660=TRUE,E1660=""),"BUY",IF(AND(D1660=FALSE,E1660&lt;&gt;""),"SELL",IF(AND(D1660=TRUE,E1660&lt;&gt;""),"HOLD",""))))</f>
        <v/>
      </c>
      <c r="G1660" s="12">
        <f>IF(D1660=TRUE,4,0)</f>
        <v/>
      </c>
      <c r="H1660">
        <f>IF(A1660="","",BDP(A1660&amp;" US Equity","GICS_SECTOR_NAME"))</f>
        <v/>
      </c>
    </row>
    <row r="1661">
      <c r="A1661">
        <f>'Factor Scores'!A1661</f>
        <v/>
      </c>
      <c r="B1661" s="10">
        <f>IF(A1661="","",0.40*'Factor Scores'!C1661+0.20*'Factor Scores'!E1661+0.20*'Factor Scores'!G1661+0.20*'Factor Scores'!H1661)</f>
        <v/>
      </c>
      <c r="C1661" s="12">
        <f>IF(B1661="","",RANK(B1661,$B$2:$B$2501,0))</f>
        <v/>
      </c>
      <c r="D1661">
        <f>IF(C1661="","",C1661&lt;=25)</f>
        <v/>
      </c>
      <c r="F1661">
        <f>IF(A1661="","",IF(AND(D1661=TRUE,E1661=""),"BUY",IF(AND(D1661=FALSE,E1661&lt;&gt;""),"SELL",IF(AND(D1661=TRUE,E1661&lt;&gt;""),"HOLD",""))))</f>
        <v/>
      </c>
      <c r="G1661" s="12">
        <f>IF(D1661=TRUE,4,0)</f>
        <v/>
      </c>
      <c r="H1661">
        <f>IF(A1661="","",BDP(A1661&amp;" US Equity","GICS_SECTOR_NAME"))</f>
        <v/>
      </c>
    </row>
    <row r="1662">
      <c r="A1662">
        <f>'Factor Scores'!A1662</f>
        <v/>
      </c>
      <c r="B1662" s="10">
        <f>IF(A1662="","",0.40*'Factor Scores'!C1662+0.20*'Factor Scores'!E1662+0.20*'Factor Scores'!G1662+0.20*'Factor Scores'!H1662)</f>
        <v/>
      </c>
      <c r="C1662" s="12">
        <f>IF(B1662="","",RANK(B1662,$B$2:$B$2501,0))</f>
        <v/>
      </c>
      <c r="D1662">
        <f>IF(C1662="","",C1662&lt;=25)</f>
        <v/>
      </c>
      <c r="F1662">
        <f>IF(A1662="","",IF(AND(D1662=TRUE,E1662=""),"BUY",IF(AND(D1662=FALSE,E1662&lt;&gt;""),"SELL",IF(AND(D1662=TRUE,E1662&lt;&gt;""),"HOLD",""))))</f>
        <v/>
      </c>
      <c r="G1662" s="12">
        <f>IF(D1662=TRUE,4,0)</f>
        <v/>
      </c>
      <c r="H1662">
        <f>IF(A1662="","",BDP(A1662&amp;" US Equity","GICS_SECTOR_NAME"))</f>
        <v/>
      </c>
    </row>
    <row r="1663">
      <c r="A1663">
        <f>'Factor Scores'!A1663</f>
        <v/>
      </c>
      <c r="B1663" s="10">
        <f>IF(A1663="","",0.40*'Factor Scores'!C1663+0.20*'Factor Scores'!E1663+0.20*'Factor Scores'!G1663+0.20*'Factor Scores'!H1663)</f>
        <v/>
      </c>
      <c r="C1663" s="12">
        <f>IF(B1663="","",RANK(B1663,$B$2:$B$2501,0))</f>
        <v/>
      </c>
      <c r="D1663">
        <f>IF(C1663="","",C1663&lt;=25)</f>
        <v/>
      </c>
      <c r="F1663">
        <f>IF(A1663="","",IF(AND(D1663=TRUE,E1663=""),"BUY",IF(AND(D1663=FALSE,E1663&lt;&gt;""),"SELL",IF(AND(D1663=TRUE,E1663&lt;&gt;""),"HOLD",""))))</f>
        <v/>
      </c>
      <c r="G1663" s="12">
        <f>IF(D1663=TRUE,4,0)</f>
        <v/>
      </c>
      <c r="H1663">
        <f>IF(A1663="","",BDP(A1663&amp;" US Equity","GICS_SECTOR_NAME"))</f>
        <v/>
      </c>
    </row>
    <row r="1664">
      <c r="A1664">
        <f>'Factor Scores'!A1664</f>
        <v/>
      </c>
      <c r="B1664" s="10">
        <f>IF(A1664="","",0.40*'Factor Scores'!C1664+0.20*'Factor Scores'!E1664+0.20*'Factor Scores'!G1664+0.20*'Factor Scores'!H1664)</f>
        <v/>
      </c>
      <c r="C1664" s="12">
        <f>IF(B1664="","",RANK(B1664,$B$2:$B$2501,0))</f>
        <v/>
      </c>
      <c r="D1664">
        <f>IF(C1664="","",C1664&lt;=25)</f>
        <v/>
      </c>
      <c r="F1664">
        <f>IF(A1664="","",IF(AND(D1664=TRUE,E1664=""),"BUY",IF(AND(D1664=FALSE,E1664&lt;&gt;""),"SELL",IF(AND(D1664=TRUE,E1664&lt;&gt;""),"HOLD",""))))</f>
        <v/>
      </c>
      <c r="G1664" s="12">
        <f>IF(D1664=TRUE,4,0)</f>
        <v/>
      </c>
      <c r="H1664">
        <f>IF(A1664="","",BDP(A1664&amp;" US Equity","GICS_SECTOR_NAME"))</f>
        <v/>
      </c>
    </row>
    <row r="1665">
      <c r="A1665">
        <f>'Factor Scores'!A1665</f>
        <v/>
      </c>
      <c r="B1665" s="10">
        <f>IF(A1665="","",0.40*'Factor Scores'!C1665+0.20*'Factor Scores'!E1665+0.20*'Factor Scores'!G1665+0.20*'Factor Scores'!H1665)</f>
        <v/>
      </c>
      <c r="C1665" s="12">
        <f>IF(B1665="","",RANK(B1665,$B$2:$B$2501,0))</f>
        <v/>
      </c>
      <c r="D1665">
        <f>IF(C1665="","",C1665&lt;=25)</f>
        <v/>
      </c>
      <c r="F1665">
        <f>IF(A1665="","",IF(AND(D1665=TRUE,E1665=""),"BUY",IF(AND(D1665=FALSE,E1665&lt;&gt;""),"SELL",IF(AND(D1665=TRUE,E1665&lt;&gt;""),"HOLD",""))))</f>
        <v/>
      </c>
      <c r="G1665" s="12">
        <f>IF(D1665=TRUE,4,0)</f>
        <v/>
      </c>
      <c r="H1665">
        <f>IF(A1665="","",BDP(A1665&amp;" US Equity","GICS_SECTOR_NAME"))</f>
        <v/>
      </c>
    </row>
    <row r="1666">
      <c r="A1666">
        <f>'Factor Scores'!A1666</f>
        <v/>
      </c>
      <c r="B1666" s="10">
        <f>IF(A1666="","",0.40*'Factor Scores'!C1666+0.20*'Factor Scores'!E1666+0.20*'Factor Scores'!G1666+0.20*'Factor Scores'!H1666)</f>
        <v/>
      </c>
      <c r="C1666" s="12">
        <f>IF(B1666="","",RANK(B1666,$B$2:$B$2501,0))</f>
        <v/>
      </c>
      <c r="D1666">
        <f>IF(C1666="","",C1666&lt;=25)</f>
        <v/>
      </c>
      <c r="F1666">
        <f>IF(A1666="","",IF(AND(D1666=TRUE,E1666=""),"BUY",IF(AND(D1666=FALSE,E1666&lt;&gt;""),"SELL",IF(AND(D1666=TRUE,E1666&lt;&gt;""),"HOLD",""))))</f>
        <v/>
      </c>
      <c r="G1666" s="12">
        <f>IF(D1666=TRUE,4,0)</f>
        <v/>
      </c>
      <c r="H1666">
        <f>IF(A1666="","",BDP(A1666&amp;" US Equity","GICS_SECTOR_NAME"))</f>
        <v/>
      </c>
    </row>
    <row r="1667">
      <c r="A1667">
        <f>'Factor Scores'!A1667</f>
        <v/>
      </c>
      <c r="B1667" s="10">
        <f>IF(A1667="","",0.40*'Factor Scores'!C1667+0.20*'Factor Scores'!E1667+0.20*'Factor Scores'!G1667+0.20*'Factor Scores'!H1667)</f>
        <v/>
      </c>
      <c r="C1667" s="12">
        <f>IF(B1667="","",RANK(B1667,$B$2:$B$2501,0))</f>
        <v/>
      </c>
      <c r="D1667">
        <f>IF(C1667="","",C1667&lt;=25)</f>
        <v/>
      </c>
      <c r="F1667">
        <f>IF(A1667="","",IF(AND(D1667=TRUE,E1667=""),"BUY",IF(AND(D1667=FALSE,E1667&lt;&gt;""),"SELL",IF(AND(D1667=TRUE,E1667&lt;&gt;""),"HOLD",""))))</f>
        <v/>
      </c>
      <c r="G1667" s="12">
        <f>IF(D1667=TRUE,4,0)</f>
        <v/>
      </c>
      <c r="H1667">
        <f>IF(A1667="","",BDP(A1667&amp;" US Equity","GICS_SECTOR_NAME"))</f>
        <v/>
      </c>
    </row>
    <row r="1668">
      <c r="A1668">
        <f>'Factor Scores'!A1668</f>
        <v/>
      </c>
      <c r="B1668" s="10">
        <f>IF(A1668="","",0.40*'Factor Scores'!C1668+0.20*'Factor Scores'!E1668+0.20*'Factor Scores'!G1668+0.20*'Factor Scores'!H1668)</f>
        <v/>
      </c>
      <c r="C1668" s="12">
        <f>IF(B1668="","",RANK(B1668,$B$2:$B$2501,0))</f>
        <v/>
      </c>
      <c r="D1668">
        <f>IF(C1668="","",C1668&lt;=25)</f>
        <v/>
      </c>
      <c r="F1668">
        <f>IF(A1668="","",IF(AND(D1668=TRUE,E1668=""),"BUY",IF(AND(D1668=FALSE,E1668&lt;&gt;""),"SELL",IF(AND(D1668=TRUE,E1668&lt;&gt;""),"HOLD",""))))</f>
        <v/>
      </c>
      <c r="G1668" s="12">
        <f>IF(D1668=TRUE,4,0)</f>
        <v/>
      </c>
      <c r="H1668">
        <f>IF(A1668="","",BDP(A1668&amp;" US Equity","GICS_SECTOR_NAME"))</f>
        <v/>
      </c>
    </row>
    <row r="1669">
      <c r="A1669">
        <f>'Factor Scores'!A1669</f>
        <v/>
      </c>
      <c r="B1669" s="10">
        <f>IF(A1669="","",0.40*'Factor Scores'!C1669+0.20*'Factor Scores'!E1669+0.20*'Factor Scores'!G1669+0.20*'Factor Scores'!H1669)</f>
        <v/>
      </c>
      <c r="C1669" s="12">
        <f>IF(B1669="","",RANK(B1669,$B$2:$B$2501,0))</f>
        <v/>
      </c>
      <c r="D1669">
        <f>IF(C1669="","",C1669&lt;=25)</f>
        <v/>
      </c>
      <c r="F1669">
        <f>IF(A1669="","",IF(AND(D1669=TRUE,E1669=""),"BUY",IF(AND(D1669=FALSE,E1669&lt;&gt;""),"SELL",IF(AND(D1669=TRUE,E1669&lt;&gt;""),"HOLD",""))))</f>
        <v/>
      </c>
      <c r="G1669" s="12">
        <f>IF(D1669=TRUE,4,0)</f>
        <v/>
      </c>
      <c r="H1669">
        <f>IF(A1669="","",BDP(A1669&amp;" US Equity","GICS_SECTOR_NAME"))</f>
        <v/>
      </c>
    </row>
    <row r="1670">
      <c r="A1670">
        <f>'Factor Scores'!A1670</f>
        <v/>
      </c>
      <c r="B1670" s="10">
        <f>IF(A1670="","",0.40*'Factor Scores'!C1670+0.20*'Factor Scores'!E1670+0.20*'Factor Scores'!G1670+0.20*'Factor Scores'!H1670)</f>
        <v/>
      </c>
      <c r="C1670" s="12">
        <f>IF(B1670="","",RANK(B1670,$B$2:$B$2501,0))</f>
        <v/>
      </c>
      <c r="D1670">
        <f>IF(C1670="","",C1670&lt;=25)</f>
        <v/>
      </c>
      <c r="F1670">
        <f>IF(A1670="","",IF(AND(D1670=TRUE,E1670=""),"BUY",IF(AND(D1670=FALSE,E1670&lt;&gt;""),"SELL",IF(AND(D1670=TRUE,E1670&lt;&gt;""),"HOLD",""))))</f>
        <v/>
      </c>
      <c r="G1670" s="12">
        <f>IF(D1670=TRUE,4,0)</f>
        <v/>
      </c>
      <c r="H1670">
        <f>IF(A1670="","",BDP(A1670&amp;" US Equity","GICS_SECTOR_NAME"))</f>
        <v/>
      </c>
    </row>
    <row r="1671">
      <c r="A1671">
        <f>'Factor Scores'!A1671</f>
        <v/>
      </c>
      <c r="B1671" s="10">
        <f>IF(A1671="","",0.40*'Factor Scores'!C1671+0.20*'Factor Scores'!E1671+0.20*'Factor Scores'!G1671+0.20*'Factor Scores'!H1671)</f>
        <v/>
      </c>
      <c r="C1671" s="12">
        <f>IF(B1671="","",RANK(B1671,$B$2:$B$2501,0))</f>
        <v/>
      </c>
      <c r="D1671">
        <f>IF(C1671="","",C1671&lt;=25)</f>
        <v/>
      </c>
      <c r="F1671">
        <f>IF(A1671="","",IF(AND(D1671=TRUE,E1671=""),"BUY",IF(AND(D1671=FALSE,E1671&lt;&gt;""),"SELL",IF(AND(D1671=TRUE,E1671&lt;&gt;""),"HOLD",""))))</f>
        <v/>
      </c>
      <c r="G1671" s="12">
        <f>IF(D1671=TRUE,4,0)</f>
        <v/>
      </c>
      <c r="H1671">
        <f>IF(A1671="","",BDP(A1671&amp;" US Equity","GICS_SECTOR_NAME"))</f>
        <v/>
      </c>
    </row>
    <row r="1672">
      <c r="A1672">
        <f>'Factor Scores'!A1672</f>
        <v/>
      </c>
      <c r="B1672" s="10">
        <f>IF(A1672="","",0.40*'Factor Scores'!C1672+0.20*'Factor Scores'!E1672+0.20*'Factor Scores'!G1672+0.20*'Factor Scores'!H1672)</f>
        <v/>
      </c>
      <c r="C1672" s="12">
        <f>IF(B1672="","",RANK(B1672,$B$2:$B$2501,0))</f>
        <v/>
      </c>
      <c r="D1672">
        <f>IF(C1672="","",C1672&lt;=25)</f>
        <v/>
      </c>
      <c r="F1672">
        <f>IF(A1672="","",IF(AND(D1672=TRUE,E1672=""),"BUY",IF(AND(D1672=FALSE,E1672&lt;&gt;""),"SELL",IF(AND(D1672=TRUE,E1672&lt;&gt;""),"HOLD",""))))</f>
        <v/>
      </c>
      <c r="G1672" s="12">
        <f>IF(D1672=TRUE,4,0)</f>
        <v/>
      </c>
      <c r="H1672">
        <f>IF(A1672="","",BDP(A1672&amp;" US Equity","GICS_SECTOR_NAME"))</f>
        <v/>
      </c>
    </row>
    <row r="1673">
      <c r="A1673">
        <f>'Factor Scores'!A1673</f>
        <v/>
      </c>
      <c r="B1673" s="10">
        <f>IF(A1673="","",0.40*'Factor Scores'!C1673+0.20*'Factor Scores'!E1673+0.20*'Factor Scores'!G1673+0.20*'Factor Scores'!H1673)</f>
        <v/>
      </c>
      <c r="C1673" s="12">
        <f>IF(B1673="","",RANK(B1673,$B$2:$B$2501,0))</f>
        <v/>
      </c>
      <c r="D1673">
        <f>IF(C1673="","",C1673&lt;=25)</f>
        <v/>
      </c>
      <c r="F1673">
        <f>IF(A1673="","",IF(AND(D1673=TRUE,E1673=""),"BUY",IF(AND(D1673=FALSE,E1673&lt;&gt;""),"SELL",IF(AND(D1673=TRUE,E1673&lt;&gt;""),"HOLD",""))))</f>
        <v/>
      </c>
      <c r="G1673" s="12">
        <f>IF(D1673=TRUE,4,0)</f>
        <v/>
      </c>
      <c r="H1673">
        <f>IF(A1673="","",BDP(A1673&amp;" US Equity","GICS_SECTOR_NAME"))</f>
        <v/>
      </c>
    </row>
    <row r="1674">
      <c r="A1674">
        <f>'Factor Scores'!A1674</f>
        <v/>
      </c>
      <c r="B1674" s="10">
        <f>IF(A1674="","",0.40*'Factor Scores'!C1674+0.20*'Factor Scores'!E1674+0.20*'Factor Scores'!G1674+0.20*'Factor Scores'!H1674)</f>
        <v/>
      </c>
      <c r="C1674" s="12">
        <f>IF(B1674="","",RANK(B1674,$B$2:$B$2501,0))</f>
        <v/>
      </c>
      <c r="D1674">
        <f>IF(C1674="","",C1674&lt;=25)</f>
        <v/>
      </c>
      <c r="F1674">
        <f>IF(A1674="","",IF(AND(D1674=TRUE,E1674=""),"BUY",IF(AND(D1674=FALSE,E1674&lt;&gt;""),"SELL",IF(AND(D1674=TRUE,E1674&lt;&gt;""),"HOLD",""))))</f>
        <v/>
      </c>
      <c r="G1674" s="12">
        <f>IF(D1674=TRUE,4,0)</f>
        <v/>
      </c>
      <c r="H1674">
        <f>IF(A1674="","",BDP(A1674&amp;" US Equity","GICS_SECTOR_NAME"))</f>
        <v/>
      </c>
    </row>
    <row r="1675">
      <c r="A1675">
        <f>'Factor Scores'!A1675</f>
        <v/>
      </c>
      <c r="B1675" s="10">
        <f>IF(A1675="","",0.40*'Factor Scores'!C1675+0.20*'Factor Scores'!E1675+0.20*'Factor Scores'!G1675+0.20*'Factor Scores'!H1675)</f>
        <v/>
      </c>
      <c r="C1675" s="12">
        <f>IF(B1675="","",RANK(B1675,$B$2:$B$2501,0))</f>
        <v/>
      </c>
      <c r="D1675">
        <f>IF(C1675="","",C1675&lt;=25)</f>
        <v/>
      </c>
      <c r="F1675">
        <f>IF(A1675="","",IF(AND(D1675=TRUE,E1675=""),"BUY",IF(AND(D1675=FALSE,E1675&lt;&gt;""),"SELL",IF(AND(D1675=TRUE,E1675&lt;&gt;""),"HOLD",""))))</f>
        <v/>
      </c>
      <c r="G1675" s="12">
        <f>IF(D1675=TRUE,4,0)</f>
        <v/>
      </c>
      <c r="H1675">
        <f>IF(A1675="","",BDP(A1675&amp;" US Equity","GICS_SECTOR_NAME"))</f>
        <v/>
      </c>
    </row>
    <row r="1676">
      <c r="A1676">
        <f>'Factor Scores'!A1676</f>
        <v/>
      </c>
      <c r="B1676" s="10">
        <f>IF(A1676="","",0.40*'Factor Scores'!C1676+0.20*'Factor Scores'!E1676+0.20*'Factor Scores'!G1676+0.20*'Factor Scores'!H1676)</f>
        <v/>
      </c>
      <c r="C1676" s="12">
        <f>IF(B1676="","",RANK(B1676,$B$2:$B$2501,0))</f>
        <v/>
      </c>
      <c r="D1676">
        <f>IF(C1676="","",C1676&lt;=25)</f>
        <v/>
      </c>
      <c r="F1676">
        <f>IF(A1676="","",IF(AND(D1676=TRUE,E1676=""),"BUY",IF(AND(D1676=FALSE,E1676&lt;&gt;""),"SELL",IF(AND(D1676=TRUE,E1676&lt;&gt;""),"HOLD",""))))</f>
        <v/>
      </c>
      <c r="G1676" s="12">
        <f>IF(D1676=TRUE,4,0)</f>
        <v/>
      </c>
      <c r="H1676">
        <f>IF(A1676="","",BDP(A1676&amp;" US Equity","GICS_SECTOR_NAME"))</f>
        <v/>
      </c>
    </row>
    <row r="1677">
      <c r="A1677">
        <f>'Factor Scores'!A1677</f>
        <v/>
      </c>
      <c r="B1677" s="10">
        <f>IF(A1677="","",0.40*'Factor Scores'!C1677+0.20*'Factor Scores'!E1677+0.20*'Factor Scores'!G1677+0.20*'Factor Scores'!H1677)</f>
        <v/>
      </c>
      <c r="C1677" s="12">
        <f>IF(B1677="","",RANK(B1677,$B$2:$B$2501,0))</f>
        <v/>
      </c>
      <c r="D1677">
        <f>IF(C1677="","",C1677&lt;=25)</f>
        <v/>
      </c>
      <c r="F1677">
        <f>IF(A1677="","",IF(AND(D1677=TRUE,E1677=""),"BUY",IF(AND(D1677=FALSE,E1677&lt;&gt;""),"SELL",IF(AND(D1677=TRUE,E1677&lt;&gt;""),"HOLD",""))))</f>
        <v/>
      </c>
      <c r="G1677" s="12">
        <f>IF(D1677=TRUE,4,0)</f>
        <v/>
      </c>
      <c r="H1677">
        <f>IF(A1677="","",BDP(A1677&amp;" US Equity","GICS_SECTOR_NAME"))</f>
        <v/>
      </c>
    </row>
    <row r="1678">
      <c r="A1678">
        <f>'Factor Scores'!A1678</f>
        <v/>
      </c>
      <c r="B1678" s="10">
        <f>IF(A1678="","",0.40*'Factor Scores'!C1678+0.20*'Factor Scores'!E1678+0.20*'Factor Scores'!G1678+0.20*'Factor Scores'!H1678)</f>
        <v/>
      </c>
      <c r="C1678" s="12">
        <f>IF(B1678="","",RANK(B1678,$B$2:$B$2501,0))</f>
        <v/>
      </c>
      <c r="D1678">
        <f>IF(C1678="","",C1678&lt;=25)</f>
        <v/>
      </c>
      <c r="F1678">
        <f>IF(A1678="","",IF(AND(D1678=TRUE,E1678=""),"BUY",IF(AND(D1678=FALSE,E1678&lt;&gt;""),"SELL",IF(AND(D1678=TRUE,E1678&lt;&gt;""),"HOLD",""))))</f>
        <v/>
      </c>
      <c r="G1678" s="12">
        <f>IF(D1678=TRUE,4,0)</f>
        <v/>
      </c>
      <c r="H1678">
        <f>IF(A1678="","",BDP(A1678&amp;" US Equity","GICS_SECTOR_NAME"))</f>
        <v/>
      </c>
    </row>
    <row r="1679">
      <c r="A1679">
        <f>'Factor Scores'!A1679</f>
        <v/>
      </c>
      <c r="B1679" s="10">
        <f>IF(A1679="","",0.40*'Factor Scores'!C1679+0.20*'Factor Scores'!E1679+0.20*'Factor Scores'!G1679+0.20*'Factor Scores'!H1679)</f>
        <v/>
      </c>
      <c r="C1679" s="12">
        <f>IF(B1679="","",RANK(B1679,$B$2:$B$2501,0))</f>
        <v/>
      </c>
      <c r="D1679">
        <f>IF(C1679="","",C1679&lt;=25)</f>
        <v/>
      </c>
      <c r="F1679">
        <f>IF(A1679="","",IF(AND(D1679=TRUE,E1679=""),"BUY",IF(AND(D1679=FALSE,E1679&lt;&gt;""),"SELL",IF(AND(D1679=TRUE,E1679&lt;&gt;""),"HOLD",""))))</f>
        <v/>
      </c>
      <c r="G1679" s="12">
        <f>IF(D1679=TRUE,4,0)</f>
        <v/>
      </c>
      <c r="H1679">
        <f>IF(A1679="","",BDP(A1679&amp;" US Equity","GICS_SECTOR_NAME"))</f>
        <v/>
      </c>
    </row>
    <row r="1680">
      <c r="A1680">
        <f>'Factor Scores'!A1680</f>
        <v/>
      </c>
      <c r="B1680" s="10">
        <f>IF(A1680="","",0.40*'Factor Scores'!C1680+0.20*'Factor Scores'!E1680+0.20*'Factor Scores'!G1680+0.20*'Factor Scores'!H1680)</f>
        <v/>
      </c>
      <c r="C1680" s="12">
        <f>IF(B1680="","",RANK(B1680,$B$2:$B$2501,0))</f>
        <v/>
      </c>
      <c r="D1680">
        <f>IF(C1680="","",C1680&lt;=25)</f>
        <v/>
      </c>
      <c r="F1680">
        <f>IF(A1680="","",IF(AND(D1680=TRUE,E1680=""),"BUY",IF(AND(D1680=FALSE,E1680&lt;&gt;""),"SELL",IF(AND(D1680=TRUE,E1680&lt;&gt;""),"HOLD",""))))</f>
        <v/>
      </c>
      <c r="G1680" s="12">
        <f>IF(D1680=TRUE,4,0)</f>
        <v/>
      </c>
      <c r="H1680">
        <f>IF(A1680="","",BDP(A1680&amp;" US Equity","GICS_SECTOR_NAME"))</f>
        <v/>
      </c>
    </row>
    <row r="1681">
      <c r="A1681">
        <f>'Factor Scores'!A1681</f>
        <v/>
      </c>
      <c r="B1681" s="10">
        <f>IF(A1681="","",0.40*'Factor Scores'!C1681+0.20*'Factor Scores'!E1681+0.20*'Factor Scores'!G1681+0.20*'Factor Scores'!H1681)</f>
        <v/>
      </c>
      <c r="C1681" s="12">
        <f>IF(B1681="","",RANK(B1681,$B$2:$B$2501,0))</f>
        <v/>
      </c>
      <c r="D1681">
        <f>IF(C1681="","",C1681&lt;=25)</f>
        <v/>
      </c>
      <c r="F1681">
        <f>IF(A1681="","",IF(AND(D1681=TRUE,E1681=""),"BUY",IF(AND(D1681=FALSE,E1681&lt;&gt;""),"SELL",IF(AND(D1681=TRUE,E1681&lt;&gt;""),"HOLD",""))))</f>
        <v/>
      </c>
      <c r="G1681" s="12">
        <f>IF(D1681=TRUE,4,0)</f>
        <v/>
      </c>
      <c r="H1681">
        <f>IF(A1681="","",BDP(A1681&amp;" US Equity","GICS_SECTOR_NAME"))</f>
        <v/>
      </c>
    </row>
    <row r="1682">
      <c r="A1682">
        <f>'Factor Scores'!A1682</f>
        <v/>
      </c>
      <c r="B1682" s="10">
        <f>IF(A1682="","",0.40*'Factor Scores'!C1682+0.20*'Factor Scores'!E1682+0.20*'Factor Scores'!G1682+0.20*'Factor Scores'!H1682)</f>
        <v/>
      </c>
      <c r="C1682" s="12">
        <f>IF(B1682="","",RANK(B1682,$B$2:$B$2501,0))</f>
        <v/>
      </c>
      <c r="D1682">
        <f>IF(C1682="","",C1682&lt;=25)</f>
        <v/>
      </c>
      <c r="F1682">
        <f>IF(A1682="","",IF(AND(D1682=TRUE,E1682=""),"BUY",IF(AND(D1682=FALSE,E1682&lt;&gt;""),"SELL",IF(AND(D1682=TRUE,E1682&lt;&gt;""),"HOLD",""))))</f>
        <v/>
      </c>
      <c r="G1682" s="12">
        <f>IF(D1682=TRUE,4,0)</f>
        <v/>
      </c>
      <c r="H1682">
        <f>IF(A1682="","",BDP(A1682&amp;" US Equity","GICS_SECTOR_NAME"))</f>
        <v/>
      </c>
    </row>
    <row r="1683">
      <c r="A1683">
        <f>'Factor Scores'!A1683</f>
        <v/>
      </c>
      <c r="B1683" s="10">
        <f>IF(A1683="","",0.40*'Factor Scores'!C1683+0.20*'Factor Scores'!E1683+0.20*'Factor Scores'!G1683+0.20*'Factor Scores'!H1683)</f>
        <v/>
      </c>
      <c r="C1683" s="12">
        <f>IF(B1683="","",RANK(B1683,$B$2:$B$2501,0))</f>
        <v/>
      </c>
      <c r="D1683">
        <f>IF(C1683="","",C1683&lt;=25)</f>
        <v/>
      </c>
      <c r="F1683">
        <f>IF(A1683="","",IF(AND(D1683=TRUE,E1683=""),"BUY",IF(AND(D1683=FALSE,E1683&lt;&gt;""),"SELL",IF(AND(D1683=TRUE,E1683&lt;&gt;""),"HOLD",""))))</f>
        <v/>
      </c>
      <c r="G1683" s="12">
        <f>IF(D1683=TRUE,4,0)</f>
        <v/>
      </c>
      <c r="H1683">
        <f>IF(A1683="","",BDP(A1683&amp;" US Equity","GICS_SECTOR_NAME"))</f>
        <v/>
      </c>
    </row>
    <row r="1684">
      <c r="A1684">
        <f>'Factor Scores'!A1684</f>
        <v/>
      </c>
      <c r="B1684" s="10">
        <f>IF(A1684="","",0.40*'Factor Scores'!C1684+0.20*'Factor Scores'!E1684+0.20*'Factor Scores'!G1684+0.20*'Factor Scores'!H1684)</f>
        <v/>
      </c>
      <c r="C1684" s="12">
        <f>IF(B1684="","",RANK(B1684,$B$2:$B$2501,0))</f>
        <v/>
      </c>
      <c r="D1684">
        <f>IF(C1684="","",C1684&lt;=25)</f>
        <v/>
      </c>
      <c r="F1684">
        <f>IF(A1684="","",IF(AND(D1684=TRUE,E1684=""),"BUY",IF(AND(D1684=FALSE,E1684&lt;&gt;""),"SELL",IF(AND(D1684=TRUE,E1684&lt;&gt;""),"HOLD",""))))</f>
        <v/>
      </c>
      <c r="G1684" s="12">
        <f>IF(D1684=TRUE,4,0)</f>
        <v/>
      </c>
      <c r="H1684">
        <f>IF(A1684="","",BDP(A1684&amp;" US Equity","GICS_SECTOR_NAME"))</f>
        <v/>
      </c>
    </row>
    <row r="1685">
      <c r="A1685">
        <f>'Factor Scores'!A1685</f>
        <v/>
      </c>
      <c r="B1685" s="10">
        <f>IF(A1685="","",0.40*'Factor Scores'!C1685+0.20*'Factor Scores'!E1685+0.20*'Factor Scores'!G1685+0.20*'Factor Scores'!H1685)</f>
        <v/>
      </c>
      <c r="C1685" s="12">
        <f>IF(B1685="","",RANK(B1685,$B$2:$B$2501,0))</f>
        <v/>
      </c>
      <c r="D1685">
        <f>IF(C1685="","",C1685&lt;=25)</f>
        <v/>
      </c>
      <c r="F1685">
        <f>IF(A1685="","",IF(AND(D1685=TRUE,E1685=""),"BUY",IF(AND(D1685=FALSE,E1685&lt;&gt;""),"SELL",IF(AND(D1685=TRUE,E1685&lt;&gt;""),"HOLD",""))))</f>
        <v/>
      </c>
      <c r="G1685" s="12">
        <f>IF(D1685=TRUE,4,0)</f>
        <v/>
      </c>
      <c r="H1685">
        <f>IF(A1685="","",BDP(A1685&amp;" US Equity","GICS_SECTOR_NAME"))</f>
        <v/>
      </c>
    </row>
    <row r="1686">
      <c r="A1686">
        <f>'Factor Scores'!A1686</f>
        <v/>
      </c>
      <c r="B1686" s="10">
        <f>IF(A1686="","",0.40*'Factor Scores'!C1686+0.20*'Factor Scores'!E1686+0.20*'Factor Scores'!G1686+0.20*'Factor Scores'!H1686)</f>
        <v/>
      </c>
      <c r="C1686" s="12">
        <f>IF(B1686="","",RANK(B1686,$B$2:$B$2501,0))</f>
        <v/>
      </c>
      <c r="D1686">
        <f>IF(C1686="","",C1686&lt;=25)</f>
        <v/>
      </c>
      <c r="F1686">
        <f>IF(A1686="","",IF(AND(D1686=TRUE,E1686=""),"BUY",IF(AND(D1686=FALSE,E1686&lt;&gt;""),"SELL",IF(AND(D1686=TRUE,E1686&lt;&gt;""),"HOLD",""))))</f>
        <v/>
      </c>
      <c r="G1686" s="12">
        <f>IF(D1686=TRUE,4,0)</f>
        <v/>
      </c>
      <c r="H1686">
        <f>IF(A1686="","",BDP(A1686&amp;" US Equity","GICS_SECTOR_NAME"))</f>
        <v/>
      </c>
    </row>
    <row r="1687">
      <c r="A1687">
        <f>'Factor Scores'!A1687</f>
        <v/>
      </c>
      <c r="B1687" s="10">
        <f>IF(A1687="","",0.40*'Factor Scores'!C1687+0.20*'Factor Scores'!E1687+0.20*'Factor Scores'!G1687+0.20*'Factor Scores'!H1687)</f>
        <v/>
      </c>
      <c r="C1687" s="12">
        <f>IF(B1687="","",RANK(B1687,$B$2:$B$2501,0))</f>
        <v/>
      </c>
      <c r="D1687">
        <f>IF(C1687="","",C1687&lt;=25)</f>
        <v/>
      </c>
      <c r="F1687">
        <f>IF(A1687="","",IF(AND(D1687=TRUE,E1687=""),"BUY",IF(AND(D1687=FALSE,E1687&lt;&gt;""),"SELL",IF(AND(D1687=TRUE,E1687&lt;&gt;""),"HOLD",""))))</f>
        <v/>
      </c>
      <c r="G1687" s="12">
        <f>IF(D1687=TRUE,4,0)</f>
        <v/>
      </c>
      <c r="H1687">
        <f>IF(A1687="","",BDP(A1687&amp;" US Equity","GICS_SECTOR_NAME"))</f>
        <v/>
      </c>
    </row>
    <row r="1688">
      <c r="A1688">
        <f>'Factor Scores'!A1688</f>
        <v/>
      </c>
      <c r="B1688" s="10">
        <f>IF(A1688="","",0.40*'Factor Scores'!C1688+0.20*'Factor Scores'!E1688+0.20*'Factor Scores'!G1688+0.20*'Factor Scores'!H1688)</f>
        <v/>
      </c>
      <c r="C1688" s="12">
        <f>IF(B1688="","",RANK(B1688,$B$2:$B$2501,0))</f>
        <v/>
      </c>
      <c r="D1688">
        <f>IF(C1688="","",C1688&lt;=25)</f>
        <v/>
      </c>
      <c r="F1688">
        <f>IF(A1688="","",IF(AND(D1688=TRUE,E1688=""),"BUY",IF(AND(D1688=FALSE,E1688&lt;&gt;""),"SELL",IF(AND(D1688=TRUE,E1688&lt;&gt;""),"HOLD",""))))</f>
        <v/>
      </c>
      <c r="G1688" s="12">
        <f>IF(D1688=TRUE,4,0)</f>
        <v/>
      </c>
      <c r="H1688">
        <f>IF(A1688="","",BDP(A1688&amp;" US Equity","GICS_SECTOR_NAME"))</f>
        <v/>
      </c>
    </row>
    <row r="1689">
      <c r="A1689">
        <f>'Factor Scores'!A1689</f>
        <v/>
      </c>
      <c r="B1689" s="10">
        <f>IF(A1689="","",0.40*'Factor Scores'!C1689+0.20*'Factor Scores'!E1689+0.20*'Factor Scores'!G1689+0.20*'Factor Scores'!H1689)</f>
        <v/>
      </c>
      <c r="C1689" s="12">
        <f>IF(B1689="","",RANK(B1689,$B$2:$B$2501,0))</f>
        <v/>
      </c>
      <c r="D1689">
        <f>IF(C1689="","",C1689&lt;=25)</f>
        <v/>
      </c>
      <c r="F1689">
        <f>IF(A1689="","",IF(AND(D1689=TRUE,E1689=""),"BUY",IF(AND(D1689=FALSE,E1689&lt;&gt;""),"SELL",IF(AND(D1689=TRUE,E1689&lt;&gt;""),"HOLD",""))))</f>
        <v/>
      </c>
      <c r="G1689" s="12">
        <f>IF(D1689=TRUE,4,0)</f>
        <v/>
      </c>
      <c r="H1689">
        <f>IF(A1689="","",BDP(A1689&amp;" US Equity","GICS_SECTOR_NAME"))</f>
        <v/>
      </c>
    </row>
    <row r="1690">
      <c r="A1690">
        <f>'Factor Scores'!A1690</f>
        <v/>
      </c>
      <c r="B1690" s="10">
        <f>IF(A1690="","",0.40*'Factor Scores'!C1690+0.20*'Factor Scores'!E1690+0.20*'Factor Scores'!G1690+0.20*'Factor Scores'!H1690)</f>
        <v/>
      </c>
      <c r="C1690" s="12">
        <f>IF(B1690="","",RANK(B1690,$B$2:$B$2501,0))</f>
        <v/>
      </c>
      <c r="D1690">
        <f>IF(C1690="","",C1690&lt;=25)</f>
        <v/>
      </c>
      <c r="F1690">
        <f>IF(A1690="","",IF(AND(D1690=TRUE,E1690=""),"BUY",IF(AND(D1690=FALSE,E1690&lt;&gt;""),"SELL",IF(AND(D1690=TRUE,E1690&lt;&gt;""),"HOLD",""))))</f>
        <v/>
      </c>
      <c r="G1690" s="12">
        <f>IF(D1690=TRUE,4,0)</f>
        <v/>
      </c>
      <c r="H1690">
        <f>IF(A1690="","",BDP(A1690&amp;" US Equity","GICS_SECTOR_NAME"))</f>
        <v/>
      </c>
    </row>
    <row r="1691">
      <c r="A1691">
        <f>'Factor Scores'!A1691</f>
        <v/>
      </c>
      <c r="B1691" s="10">
        <f>IF(A1691="","",0.40*'Factor Scores'!C1691+0.20*'Factor Scores'!E1691+0.20*'Factor Scores'!G1691+0.20*'Factor Scores'!H1691)</f>
        <v/>
      </c>
      <c r="C1691" s="12">
        <f>IF(B1691="","",RANK(B1691,$B$2:$B$2501,0))</f>
        <v/>
      </c>
      <c r="D1691">
        <f>IF(C1691="","",C1691&lt;=25)</f>
        <v/>
      </c>
      <c r="F1691">
        <f>IF(A1691="","",IF(AND(D1691=TRUE,E1691=""),"BUY",IF(AND(D1691=FALSE,E1691&lt;&gt;""),"SELL",IF(AND(D1691=TRUE,E1691&lt;&gt;""),"HOLD",""))))</f>
        <v/>
      </c>
      <c r="G1691" s="12">
        <f>IF(D1691=TRUE,4,0)</f>
        <v/>
      </c>
      <c r="H1691">
        <f>IF(A1691="","",BDP(A1691&amp;" US Equity","GICS_SECTOR_NAME"))</f>
        <v/>
      </c>
    </row>
    <row r="1692">
      <c r="A1692">
        <f>'Factor Scores'!A1692</f>
        <v/>
      </c>
      <c r="B1692" s="10">
        <f>IF(A1692="","",0.40*'Factor Scores'!C1692+0.20*'Factor Scores'!E1692+0.20*'Factor Scores'!G1692+0.20*'Factor Scores'!H1692)</f>
        <v/>
      </c>
      <c r="C1692" s="12">
        <f>IF(B1692="","",RANK(B1692,$B$2:$B$2501,0))</f>
        <v/>
      </c>
      <c r="D1692">
        <f>IF(C1692="","",C1692&lt;=25)</f>
        <v/>
      </c>
      <c r="F1692">
        <f>IF(A1692="","",IF(AND(D1692=TRUE,E1692=""),"BUY",IF(AND(D1692=FALSE,E1692&lt;&gt;""),"SELL",IF(AND(D1692=TRUE,E1692&lt;&gt;""),"HOLD",""))))</f>
        <v/>
      </c>
      <c r="G1692" s="12">
        <f>IF(D1692=TRUE,4,0)</f>
        <v/>
      </c>
      <c r="H1692">
        <f>IF(A1692="","",BDP(A1692&amp;" US Equity","GICS_SECTOR_NAME"))</f>
        <v/>
      </c>
    </row>
    <row r="1693">
      <c r="A1693">
        <f>'Factor Scores'!A1693</f>
        <v/>
      </c>
      <c r="B1693" s="10">
        <f>IF(A1693="","",0.40*'Factor Scores'!C1693+0.20*'Factor Scores'!E1693+0.20*'Factor Scores'!G1693+0.20*'Factor Scores'!H1693)</f>
        <v/>
      </c>
      <c r="C1693" s="12">
        <f>IF(B1693="","",RANK(B1693,$B$2:$B$2501,0))</f>
        <v/>
      </c>
      <c r="D1693">
        <f>IF(C1693="","",C1693&lt;=25)</f>
        <v/>
      </c>
      <c r="F1693">
        <f>IF(A1693="","",IF(AND(D1693=TRUE,E1693=""),"BUY",IF(AND(D1693=FALSE,E1693&lt;&gt;""),"SELL",IF(AND(D1693=TRUE,E1693&lt;&gt;""),"HOLD",""))))</f>
        <v/>
      </c>
      <c r="G1693" s="12">
        <f>IF(D1693=TRUE,4,0)</f>
        <v/>
      </c>
      <c r="H1693">
        <f>IF(A1693="","",BDP(A1693&amp;" US Equity","GICS_SECTOR_NAME"))</f>
        <v/>
      </c>
    </row>
    <row r="1694">
      <c r="A1694">
        <f>'Factor Scores'!A1694</f>
        <v/>
      </c>
      <c r="B1694" s="10">
        <f>IF(A1694="","",0.40*'Factor Scores'!C1694+0.20*'Factor Scores'!E1694+0.20*'Factor Scores'!G1694+0.20*'Factor Scores'!H1694)</f>
        <v/>
      </c>
      <c r="C1694" s="12">
        <f>IF(B1694="","",RANK(B1694,$B$2:$B$2501,0))</f>
        <v/>
      </c>
      <c r="D1694">
        <f>IF(C1694="","",C1694&lt;=25)</f>
        <v/>
      </c>
      <c r="F1694">
        <f>IF(A1694="","",IF(AND(D1694=TRUE,E1694=""),"BUY",IF(AND(D1694=FALSE,E1694&lt;&gt;""),"SELL",IF(AND(D1694=TRUE,E1694&lt;&gt;""),"HOLD",""))))</f>
        <v/>
      </c>
      <c r="G1694" s="12">
        <f>IF(D1694=TRUE,4,0)</f>
        <v/>
      </c>
      <c r="H1694">
        <f>IF(A1694="","",BDP(A1694&amp;" US Equity","GICS_SECTOR_NAME"))</f>
        <v/>
      </c>
    </row>
    <row r="1695">
      <c r="A1695">
        <f>'Factor Scores'!A1695</f>
        <v/>
      </c>
      <c r="B1695" s="10">
        <f>IF(A1695="","",0.40*'Factor Scores'!C1695+0.20*'Factor Scores'!E1695+0.20*'Factor Scores'!G1695+0.20*'Factor Scores'!H1695)</f>
        <v/>
      </c>
      <c r="C1695" s="12">
        <f>IF(B1695="","",RANK(B1695,$B$2:$B$2501,0))</f>
        <v/>
      </c>
      <c r="D1695">
        <f>IF(C1695="","",C1695&lt;=25)</f>
        <v/>
      </c>
      <c r="F1695">
        <f>IF(A1695="","",IF(AND(D1695=TRUE,E1695=""),"BUY",IF(AND(D1695=FALSE,E1695&lt;&gt;""),"SELL",IF(AND(D1695=TRUE,E1695&lt;&gt;""),"HOLD",""))))</f>
        <v/>
      </c>
      <c r="G1695" s="12">
        <f>IF(D1695=TRUE,4,0)</f>
        <v/>
      </c>
      <c r="H1695">
        <f>IF(A1695="","",BDP(A1695&amp;" US Equity","GICS_SECTOR_NAME"))</f>
        <v/>
      </c>
    </row>
    <row r="1696">
      <c r="A1696">
        <f>'Factor Scores'!A1696</f>
        <v/>
      </c>
      <c r="B1696" s="10">
        <f>IF(A1696="","",0.40*'Factor Scores'!C1696+0.20*'Factor Scores'!E1696+0.20*'Factor Scores'!G1696+0.20*'Factor Scores'!H1696)</f>
        <v/>
      </c>
      <c r="C1696" s="12">
        <f>IF(B1696="","",RANK(B1696,$B$2:$B$2501,0))</f>
        <v/>
      </c>
      <c r="D1696">
        <f>IF(C1696="","",C1696&lt;=25)</f>
        <v/>
      </c>
      <c r="F1696">
        <f>IF(A1696="","",IF(AND(D1696=TRUE,E1696=""),"BUY",IF(AND(D1696=FALSE,E1696&lt;&gt;""),"SELL",IF(AND(D1696=TRUE,E1696&lt;&gt;""),"HOLD",""))))</f>
        <v/>
      </c>
      <c r="G1696" s="12">
        <f>IF(D1696=TRUE,4,0)</f>
        <v/>
      </c>
      <c r="H1696">
        <f>IF(A1696="","",BDP(A1696&amp;" US Equity","GICS_SECTOR_NAME"))</f>
        <v/>
      </c>
    </row>
    <row r="1697">
      <c r="A1697">
        <f>'Factor Scores'!A1697</f>
        <v/>
      </c>
      <c r="B1697" s="10">
        <f>IF(A1697="","",0.40*'Factor Scores'!C1697+0.20*'Factor Scores'!E1697+0.20*'Factor Scores'!G1697+0.20*'Factor Scores'!H1697)</f>
        <v/>
      </c>
      <c r="C1697" s="12">
        <f>IF(B1697="","",RANK(B1697,$B$2:$B$2501,0))</f>
        <v/>
      </c>
      <c r="D1697">
        <f>IF(C1697="","",C1697&lt;=25)</f>
        <v/>
      </c>
      <c r="F1697">
        <f>IF(A1697="","",IF(AND(D1697=TRUE,E1697=""),"BUY",IF(AND(D1697=FALSE,E1697&lt;&gt;""),"SELL",IF(AND(D1697=TRUE,E1697&lt;&gt;""),"HOLD",""))))</f>
        <v/>
      </c>
      <c r="G1697" s="12">
        <f>IF(D1697=TRUE,4,0)</f>
        <v/>
      </c>
      <c r="H1697">
        <f>IF(A1697="","",BDP(A1697&amp;" US Equity","GICS_SECTOR_NAME"))</f>
        <v/>
      </c>
    </row>
    <row r="1698">
      <c r="A1698">
        <f>'Factor Scores'!A1698</f>
        <v/>
      </c>
      <c r="B1698" s="10">
        <f>IF(A1698="","",0.40*'Factor Scores'!C1698+0.20*'Factor Scores'!E1698+0.20*'Factor Scores'!G1698+0.20*'Factor Scores'!H1698)</f>
        <v/>
      </c>
      <c r="C1698" s="12">
        <f>IF(B1698="","",RANK(B1698,$B$2:$B$2501,0))</f>
        <v/>
      </c>
      <c r="D1698">
        <f>IF(C1698="","",C1698&lt;=25)</f>
        <v/>
      </c>
      <c r="F1698">
        <f>IF(A1698="","",IF(AND(D1698=TRUE,E1698=""),"BUY",IF(AND(D1698=FALSE,E1698&lt;&gt;""),"SELL",IF(AND(D1698=TRUE,E1698&lt;&gt;""),"HOLD",""))))</f>
        <v/>
      </c>
      <c r="G1698" s="12">
        <f>IF(D1698=TRUE,4,0)</f>
        <v/>
      </c>
      <c r="H1698">
        <f>IF(A1698="","",BDP(A1698&amp;" US Equity","GICS_SECTOR_NAME"))</f>
        <v/>
      </c>
    </row>
    <row r="1699">
      <c r="A1699">
        <f>'Factor Scores'!A1699</f>
        <v/>
      </c>
      <c r="B1699" s="10">
        <f>IF(A1699="","",0.40*'Factor Scores'!C1699+0.20*'Factor Scores'!E1699+0.20*'Factor Scores'!G1699+0.20*'Factor Scores'!H1699)</f>
        <v/>
      </c>
      <c r="C1699" s="12">
        <f>IF(B1699="","",RANK(B1699,$B$2:$B$2501,0))</f>
        <v/>
      </c>
      <c r="D1699">
        <f>IF(C1699="","",C1699&lt;=25)</f>
        <v/>
      </c>
      <c r="F1699">
        <f>IF(A1699="","",IF(AND(D1699=TRUE,E1699=""),"BUY",IF(AND(D1699=FALSE,E1699&lt;&gt;""),"SELL",IF(AND(D1699=TRUE,E1699&lt;&gt;""),"HOLD",""))))</f>
        <v/>
      </c>
      <c r="G1699" s="12">
        <f>IF(D1699=TRUE,4,0)</f>
        <v/>
      </c>
      <c r="H1699">
        <f>IF(A1699="","",BDP(A1699&amp;" US Equity","GICS_SECTOR_NAME"))</f>
        <v/>
      </c>
    </row>
    <row r="1700">
      <c r="A1700">
        <f>'Factor Scores'!A1700</f>
        <v/>
      </c>
      <c r="B1700" s="10">
        <f>IF(A1700="","",0.40*'Factor Scores'!C1700+0.20*'Factor Scores'!E1700+0.20*'Factor Scores'!G1700+0.20*'Factor Scores'!H1700)</f>
        <v/>
      </c>
      <c r="C1700" s="12">
        <f>IF(B1700="","",RANK(B1700,$B$2:$B$2501,0))</f>
        <v/>
      </c>
      <c r="D1700">
        <f>IF(C1700="","",C1700&lt;=25)</f>
        <v/>
      </c>
      <c r="F1700">
        <f>IF(A1700="","",IF(AND(D1700=TRUE,E1700=""),"BUY",IF(AND(D1700=FALSE,E1700&lt;&gt;""),"SELL",IF(AND(D1700=TRUE,E1700&lt;&gt;""),"HOLD",""))))</f>
        <v/>
      </c>
      <c r="G1700" s="12">
        <f>IF(D1700=TRUE,4,0)</f>
        <v/>
      </c>
      <c r="H1700">
        <f>IF(A1700="","",BDP(A1700&amp;" US Equity","GICS_SECTOR_NAME"))</f>
        <v/>
      </c>
    </row>
    <row r="1701">
      <c r="A1701">
        <f>'Factor Scores'!A1701</f>
        <v/>
      </c>
      <c r="B1701" s="10">
        <f>IF(A1701="","",0.40*'Factor Scores'!C1701+0.20*'Factor Scores'!E1701+0.20*'Factor Scores'!G1701+0.20*'Factor Scores'!H1701)</f>
        <v/>
      </c>
      <c r="C1701" s="12">
        <f>IF(B1701="","",RANK(B1701,$B$2:$B$2501,0))</f>
        <v/>
      </c>
      <c r="D1701">
        <f>IF(C1701="","",C1701&lt;=25)</f>
        <v/>
      </c>
      <c r="F1701">
        <f>IF(A1701="","",IF(AND(D1701=TRUE,E1701=""),"BUY",IF(AND(D1701=FALSE,E1701&lt;&gt;""),"SELL",IF(AND(D1701=TRUE,E1701&lt;&gt;""),"HOLD",""))))</f>
        <v/>
      </c>
      <c r="G1701" s="12">
        <f>IF(D1701=TRUE,4,0)</f>
        <v/>
      </c>
      <c r="H1701">
        <f>IF(A1701="","",BDP(A1701&amp;" US Equity","GICS_SECTOR_NAME"))</f>
        <v/>
      </c>
    </row>
    <row r="1702">
      <c r="A1702">
        <f>'Factor Scores'!A1702</f>
        <v/>
      </c>
      <c r="B1702" s="10">
        <f>IF(A1702="","",0.40*'Factor Scores'!C1702+0.20*'Factor Scores'!E1702+0.20*'Factor Scores'!G1702+0.20*'Factor Scores'!H1702)</f>
        <v/>
      </c>
      <c r="C1702" s="12">
        <f>IF(B1702="","",RANK(B1702,$B$2:$B$2501,0))</f>
        <v/>
      </c>
      <c r="D1702">
        <f>IF(C1702="","",C1702&lt;=25)</f>
        <v/>
      </c>
      <c r="F1702">
        <f>IF(A1702="","",IF(AND(D1702=TRUE,E1702=""),"BUY",IF(AND(D1702=FALSE,E1702&lt;&gt;""),"SELL",IF(AND(D1702=TRUE,E1702&lt;&gt;""),"HOLD",""))))</f>
        <v/>
      </c>
      <c r="G1702" s="12">
        <f>IF(D1702=TRUE,4,0)</f>
        <v/>
      </c>
      <c r="H1702">
        <f>IF(A1702="","",BDP(A1702&amp;" US Equity","GICS_SECTOR_NAME"))</f>
        <v/>
      </c>
    </row>
    <row r="1703">
      <c r="A1703">
        <f>'Factor Scores'!A1703</f>
        <v/>
      </c>
      <c r="B1703" s="10">
        <f>IF(A1703="","",0.40*'Factor Scores'!C1703+0.20*'Factor Scores'!E1703+0.20*'Factor Scores'!G1703+0.20*'Factor Scores'!H1703)</f>
        <v/>
      </c>
      <c r="C1703" s="12">
        <f>IF(B1703="","",RANK(B1703,$B$2:$B$2501,0))</f>
        <v/>
      </c>
      <c r="D1703">
        <f>IF(C1703="","",C1703&lt;=25)</f>
        <v/>
      </c>
      <c r="F1703">
        <f>IF(A1703="","",IF(AND(D1703=TRUE,E1703=""),"BUY",IF(AND(D1703=FALSE,E1703&lt;&gt;""),"SELL",IF(AND(D1703=TRUE,E1703&lt;&gt;""),"HOLD",""))))</f>
        <v/>
      </c>
      <c r="G1703" s="12">
        <f>IF(D1703=TRUE,4,0)</f>
        <v/>
      </c>
      <c r="H1703">
        <f>IF(A1703="","",BDP(A1703&amp;" US Equity","GICS_SECTOR_NAME"))</f>
        <v/>
      </c>
    </row>
    <row r="1704">
      <c r="A1704">
        <f>'Factor Scores'!A1704</f>
        <v/>
      </c>
      <c r="B1704" s="10">
        <f>IF(A1704="","",0.40*'Factor Scores'!C1704+0.20*'Factor Scores'!E1704+0.20*'Factor Scores'!G1704+0.20*'Factor Scores'!H1704)</f>
        <v/>
      </c>
      <c r="C1704" s="12">
        <f>IF(B1704="","",RANK(B1704,$B$2:$B$2501,0))</f>
        <v/>
      </c>
      <c r="D1704">
        <f>IF(C1704="","",C1704&lt;=25)</f>
        <v/>
      </c>
      <c r="F1704">
        <f>IF(A1704="","",IF(AND(D1704=TRUE,E1704=""),"BUY",IF(AND(D1704=FALSE,E1704&lt;&gt;""),"SELL",IF(AND(D1704=TRUE,E1704&lt;&gt;""),"HOLD",""))))</f>
        <v/>
      </c>
      <c r="G1704" s="12">
        <f>IF(D1704=TRUE,4,0)</f>
        <v/>
      </c>
      <c r="H1704">
        <f>IF(A1704="","",BDP(A1704&amp;" US Equity","GICS_SECTOR_NAME"))</f>
        <v/>
      </c>
    </row>
    <row r="1705">
      <c r="A1705">
        <f>'Factor Scores'!A1705</f>
        <v/>
      </c>
      <c r="B1705" s="10">
        <f>IF(A1705="","",0.40*'Factor Scores'!C1705+0.20*'Factor Scores'!E1705+0.20*'Factor Scores'!G1705+0.20*'Factor Scores'!H1705)</f>
        <v/>
      </c>
      <c r="C1705" s="12">
        <f>IF(B1705="","",RANK(B1705,$B$2:$B$2501,0))</f>
        <v/>
      </c>
      <c r="D1705">
        <f>IF(C1705="","",C1705&lt;=25)</f>
        <v/>
      </c>
      <c r="F1705">
        <f>IF(A1705="","",IF(AND(D1705=TRUE,E1705=""),"BUY",IF(AND(D1705=FALSE,E1705&lt;&gt;""),"SELL",IF(AND(D1705=TRUE,E1705&lt;&gt;""),"HOLD",""))))</f>
        <v/>
      </c>
      <c r="G1705" s="12">
        <f>IF(D1705=TRUE,4,0)</f>
        <v/>
      </c>
      <c r="H1705">
        <f>IF(A1705="","",BDP(A1705&amp;" US Equity","GICS_SECTOR_NAME"))</f>
        <v/>
      </c>
    </row>
    <row r="1706">
      <c r="A1706">
        <f>'Factor Scores'!A1706</f>
        <v/>
      </c>
      <c r="B1706" s="10">
        <f>IF(A1706="","",0.40*'Factor Scores'!C1706+0.20*'Factor Scores'!E1706+0.20*'Factor Scores'!G1706+0.20*'Factor Scores'!H1706)</f>
        <v/>
      </c>
      <c r="C1706" s="12">
        <f>IF(B1706="","",RANK(B1706,$B$2:$B$2501,0))</f>
        <v/>
      </c>
      <c r="D1706">
        <f>IF(C1706="","",C1706&lt;=25)</f>
        <v/>
      </c>
      <c r="F1706">
        <f>IF(A1706="","",IF(AND(D1706=TRUE,E1706=""),"BUY",IF(AND(D1706=FALSE,E1706&lt;&gt;""),"SELL",IF(AND(D1706=TRUE,E1706&lt;&gt;""),"HOLD",""))))</f>
        <v/>
      </c>
      <c r="G1706" s="12">
        <f>IF(D1706=TRUE,4,0)</f>
        <v/>
      </c>
      <c r="H1706">
        <f>IF(A1706="","",BDP(A1706&amp;" US Equity","GICS_SECTOR_NAME"))</f>
        <v/>
      </c>
    </row>
    <row r="1707">
      <c r="A1707">
        <f>'Factor Scores'!A1707</f>
        <v/>
      </c>
      <c r="B1707" s="10">
        <f>IF(A1707="","",0.40*'Factor Scores'!C1707+0.20*'Factor Scores'!E1707+0.20*'Factor Scores'!G1707+0.20*'Factor Scores'!H1707)</f>
        <v/>
      </c>
      <c r="C1707" s="12">
        <f>IF(B1707="","",RANK(B1707,$B$2:$B$2501,0))</f>
        <v/>
      </c>
      <c r="D1707">
        <f>IF(C1707="","",C1707&lt;=25)</f>
        <v/>
      </c>
      <c r="F1707">
        <f>IF(A1707="","",IF(AND(D1707=TRUE,E1707=""),"BUY",IF(AND(D1707=FALSE,E1707&lt;&gt;""),"SELL",IF(AND(D1707=TRUE,E1707&lt;&gt;""),"HOLD",""))))</f>
        <v/>
      </c>
      <c r="G1707" s="12">
        <f>IF(D1707=TRUE,4,0)</f>
        <v/>
      </c>
      <c r="H1707">
        <f>IF(A1707="","",BDP(A1707&amp;" US Equity","GICS_SECTOR_NAME"))</f>
        <v/>
      </c>
    </row>
    <row r="1708">
      <c r="A1708">
        <f>'Factor Scores'!A1708</f>
        <v/>
      </c>
      <c r="B1708" s="10">
        <f>IF(A1708="","",0.40*'Factor Scores'!C1708+0.20*'Factor Scores'!E1708+0.20*'Factor Scores'!G1708+0.20*'Factor Scores'!H1708)</f>
        <v/>
      </c>
      <c r="C1708" s="12">
        <f>IF(B1708="","",RANK(B1708,$B$2:$B$2501,0))</f>
        <v/>
      </c>
      <c r="D1708">
        <f>IF(C1708="","",C1708&lt;=25)</f>
        <v/>
      </c>
      <c r="F1708">
        <f>IF(A1708="","",IF(AND(D1708=TRUE,E1708=""),"BUY",IF(AND(D1708=FALSE,E1708&lt;&gt;""),"SELL",IF(AND(D1708=TRUE,E1708&lt;&gt;""),"HOLD",""))))</f>
        <v/>
      </c>
      <c r="G1708" s="12">
        <f>IF(D1708=TRUE,4,0)</f>
        <v/>
      </c>
      <c r="H1708">
        <f>IF(A1708="","",BDP(A1708&amp;" US Equity","GICS_SECTOR_NAME"))</f>
        <v/>
      </c>
    </row>
    <row r="1709">
      <c r="A1709">
        <f>'Factor Scores'!A1709</f>
        <v/>
      </c>
      <c r="B1709" s="10">
        <f>IF(A1709="","",0.40*'Factor Scores'!C1709+0.20*'Factor Scores'!E1709+0.20*'Factor Scores'!G1709+0.20*'Factor Scores'!H1709)</f>
        <v/>
      </c>
      <c r="C1709" s="12">
        <f>IF(B1709="","",RANK(B1709,$B$2:$B$2501,0))</f>
        <v/>
      </c>
      <c r="D1709">
        <f>IF(C1709="","",C1709&lt;=25)</f>
        <v/>
      </c>
      <c r="F1709">
        <f>IF(A1709="","",IF(AND(D1709=TRUE,E1709=""),"BUY",IF(AND(D1709=FALSE,E1709&lt;&gt;""),"SELL",IF(AND(D1709=TRUE,E1709&lt;&gt;""),"HOLD",""))))</f>
        <v/>
      </c>
      <c r="G1709" s="12">
        <f>IF(D1709=TRUE,4,0)</f>
        <v/>
      </c>
      <c r="H1709">
        <f>IF(A1709="","",BDP(A1709&amp;" US Equity","GICS_SECTOR_NAME"))</f>
        <v/>
      </c>
    </row>
    <row r="1710">
      <c r="A1710">
        <f>'Factor Scores'!A1710</f>
        <v/>
      </c>
      <c r="B1710" s="10">
        <f>IF(A1710="","",0.40*'Factor Scores'!C1710+0.20*'Factor Scores'!E1710+0.20*'Factor Scores'!G1710+0.20*'Factor Scores'!H1710)</f>
        <v/>
      </c>
      <c r="C1710" s="12">
        <f>IF(B1710="","",RANK(B1710,$B$2:$B$2501,0))</f>
        <v/>
      </c>
      <c r="D1710">
        <f>IF(C1710="","",C1710&lt;=25)</f>
        <v/>
      </c>
      <c r="F1710">
        <f>IF(A1710="","",IF(AND(D1710=TRUE,E1710=""),"BUY",IF(AND(D1710=FALSE,E1710&lt;&gt;""),"SELL",IF(AND(D1710=TRUE,E1710&lt;&gt;""),"HOLD",""))))</f>
        <v/>
      </c>
      <c r="G1710" s="12">
        <f>IF(D1710=TRUE,4,0)</f>
        <v/>
      </c>
      <c r="H1710">
        <f>IF(A1710="","",BDP(A1710&amp;" US Equity","GICS_SECTOR_NAME"))</f>
        <v/>
      </c>
    </row>
    <row r="1711">
      <c r="A1711">
        <f>'Factor Scores'!A1711</f>
        <v/>
      </c>
      <c r="B1711" s="10">
        <f>IF(A1711="","",0.40*'Factor Scores'!C1711+0.20*'Factor Scores'!E1711+0.20*'Factor Scores'!G1711+0.20*'Factor Scores'!H1711)</f>
        <v/>
      </c>
      <c r="C1711" s="12">
        <f>IF(B1711="","",RANK(B1711,$B$2:$B$2501,0))</f>
        <v/>
      </c>
      <c r="D1711">
        <f>IF(C1711="","",C1711&lt;=25)</f>
        <v/>
      </c>
      <c r="F1711">
        <f>IF(A1711="","",IF(AND(D1711=TRUE,E1711=""),"BUY",IF(AND(D1711=FALSE,E1711&lt;&gt;""),"SELL",IF(AND(D1711=TRUE,E1711&lt;&gt;""),"HOLD",""))))</f>
        <v/>
      </c>
      <c r="G1711" s="12">
        <f>IF(D1711=TRUE,4,0)</f>
        <v/>
      </c>
      <c r="H1711">
        <f>IF(A1711="","",BDP(A1711&amp;" US Equity","GICS_SECTOR_NAME"))</f>
        <v/>
      </c>
    </row>
    <row r="1712">
      <c r="A1712">
        <f>'Factor Scores'!A1712</f>
        <v/>
      </c>
      <c r="B1712" s="10">
        <f>IF(A1712="","",0.40*'Factor Scores'!C1712+0.20*'Factor Scores'!E1712+0.20*'Factor Scores'!G1712+0.20*'Factor Scores'!H1712)</f>
        <v/>
      </c>
      <c r="C1712" s="12">
        <f>IF(B1712="","",RANK(B1712,$B$2:$B$2501,0))</f>
        <v/>
      </c>
      <c r="D1712">
        <f>IF(C1712="","",C1712&lt;=25)</f>
        <v/>
      </c>
      <c r="F1712">
        <f>IF(A1712="","",IF(AND(D1712=TRUE,E1712=""),"BUY",IF(AND(D1712=FALSE,E1712&lt;&gt;""),"SELL",IF(AND(D1712=TRUE,E1712&lt;&gt;""),"HOLD",""))))</f>
        <v/>
      </c>
      <c r="G1712" s="12">
        <f>IF(D1712=TRUE,4,0)</f>
        <v/>
      </c>
      <c r="H1712">
        <f>IF(A1712="","",BDP(A1712&amp;" US Equity","GICS_SECTOR_NAME"))</f>
        <v/>
      </c>
    </row>
    <row r="1713">
      <c r="A1713">
        <f>'Factor Scores'!A1713</f>
        <v/>
      </c>
      <c r="B1713" s="10">
        <f>IF(A1713="","",0.40*'Factor Scores'!C1713+0.20*'Factor Scores'!E1713+0.20*'Factor Scores'!G1713+0.20*'Factor Scores'!H1713)</f>
        <v/>
      </c>
      <c r="C1713" s="12">
        <f>IF(B1713="","",RANK(B1713,$B$2:$B$2501,0))</f>
        <v/>
      </c>
      <c r="D1713">
        <f>IF(C1713="","",C1713&lt;=25)</f>
        <v/>
      </c>
      <c r="F1713">
        <f>IF(A1713="","",IF(AND(D1713=TRUE,E1713=""),"BUY",IF(AND(D1713=FALSE,E1713&lt;&gt;""),"SELL",IF(AND(D1713=TRUE,E1713&lt;&gt;""),"HOLD",""))))</f>
        <v/>
      </c>
      <c r="G1713" s="12">
        <f>IF(D1713=TRUE,4,0)</f>
        <v/>
      </c>
      <c r="H1713">
        <f>IF(A1713="","",BDP(A1713&amp;" US Equity","GICS_SECTOR_NAME"))</f>
        <v/>
      </c>
    </row>
    <row r="1714">
      <c r="A1714">
        <f>'Factor Scores'!A1714</f>
        <v/>
      </c>
      <c r="B1714" s="10">
        <f>IF(A1714="","",0.40*'Factor Scores'!C1714+0.20*'Factor Scores'!E1714+0.20*'Factor Scores'!G1714+0.20*'Factor Scores'!H1714)</f>
        <v/>
      </c>
      <c r="C1714" s="12">
        <f>IF(B1714="","",RANK(B1714,$B$2:$B$2501,0))</f>
        <v/>
      </c>
      <c r="D1714">
        <f>IF(C1714="","",C1714&lt;=25)</f>
        <v/>
      </c>
      <c r="F1714">
        <f>IF(A1714="","",IF(AND(D1714=TRUE,E1714=""),"BUY",IF(AND(D1714=FALSE,E1714&lt;&gt;""),"SELL",IF(AND(D1714=TRUE,E1714&lt;&gt;""),"HOLD",""))))</f>
        <v/>
      </c>
      <c r="G1714" s="12">
        <f>IF(D1714=TRUE,4,0)</f>
        <v/>
      </c>
      <c r="H1714">
        <f>IF(A1714="","",BDP(A1714&amp;" US Equity","GICS_SECTOR_NAME"))</f>
        <v/>
      </c>
    </row>
    <row r="1715">
      <c r="A1715">
        <f>'Factor Scores'!A1715</f>
        <v/>
      </c>
      <c r="B1715" s="10">
        <f>IF(A1715="","",0.40*'Factor Scores'!C1715+0.20*'Factor Scores'!E1715+0.20*'Factor Scores'!G1715+0.20*'Factor Scores'!H1715)</f>
        <v/>
      </c>
      <c r="C1715" s="12">
        <f>IF(B1715="","",RANK(B1715,$B$2:$B$2501,0))</f>
        <v/>
      </c>
      <c r="D1715">
        <f>IF(C1715="","",C1715&lt;=25)</f>
        <v/>
      </c>
      <c r="F1715">
        <f>IF(A1715="","",IF(AND(D1715=TRUE,E1715=""),"BUY",IF(AND(D1715=FALSE,E1715&lt;&gt;""),"SELL",IF(AND(D1715=TRUE,E1715&lt;&gt;""),"HOLD",""))))</f>
        <v/>
      </c>
      <c r="G1715" s="12">
        <f>IF(D1715=TRUE,4,0)</f>
        <v/>
      </c>
      <c r="H1715">
        <f>IF(A1715="","",BDP(A1715&amp;" US Equity","GICS_SECTOR_NAME"))</f>
        <v/>
      </c>
    </row>
    <row r="1716">
      <c r="A1716">
        <f>'Factor Scores'!A1716</f>
        <v/>
      </c>
      <c r="B1716" s="10">
        <f>IF(A1716="","",0.40*'Factor Scores'!C1716+0.20*'Factor Scores'!E1716+0.20*'Factor Scores'!G1716+0.20*'Factor Scores'!H1716)</f>
        <v/>
      </c>
      <c r="C1716" s="12">
        <f>IF(B1716="","",RANK(B1716,$B$2:$B$2501,0))</f>
        <v/>
      </c>
      <c r="D1716">
        <f>IF(C1716="","",C1716&lt;=25)</f>
        <v/>
      </c>
      <c r="F1716">
        <f>IF(A1716="","",IF(AND(D1716=TRUE,E1716=""),"BUY",IF(AND(D1716=FALSE,E1716&lt;&gt;""),"SELL",IF(AND(D1716=TRUE,E1716&lt;&gt;""),"HOLD",""))))</f>
        <v/>
      </c>
      <c r="G1716" s="12">
        <f>IF(D1716=TRUE,4,0)</f>
        <v/>
      </c>
      <c r="H1716">
        <f>IF(A1716="","",BDP(A1716&amp;" US Equity","GICS_SECTOR_NAME"))</f>
        <v/>
      </c>
    </row>
    <row r="1717">
      <c r="A1717">
        <f>'Factor Scores'!A1717</f>
        <v/>
      </c>
      <c r="B1717" s="10">
        <f>IF(A1717="","",0.40*'Factor Scores'!C1717+0.20*'Factor Scores'!E1717+0.20*'Factor Scores'!G1717+0.20*'Factor Scores'!H1717)</f>
        <v/>
      </c>
      <c r="C1717" s="12">
        <f>IF(B1717="","",RANK(B1717,$B$2:$B$2501,0))</f>
        <v/>
      </c>
      <c r="D1717">
        <f>IF(C1717="","",C1717&lt;=25)</f>
        <v/>
      </c>
      <c r="F1717">
        <f>IF(A1717="","",IF(AND(D1717=TRUE,E1717=""),"BUY",IF(AND(D1717=FALSE,E1717&lt;&gt;""),"SELL",IF(AND(D1717=TRUE,E1717&lt;&gt;""),"HOLD",""))))</f>
        <v/>
      </c>
      <c r="G1717" s="12">
        <f>IF(D1717=TRUE,4,0)</f>
        <v/>
      </c>
      <c r="H1717">
        <f>IF(A1717="","",BDP(A1717&amp;" US Equity","GICS_SECTOR_NAME"))</f>
        <v/>
      </c>
    </row>
    <row r="1718">
      <c r="A1718">
        <f>'Factor Scores'!A1718</f>
        <v/>
      </c>
      <c r="B1718" s="10">
        <f>IF(A1718="","",0.40*'Factor Scores'!C1718+0.20*'Factor Scores'!E1718+0.20*'Factor Scores'!G1718+0.20*'Factor Scores'!H1718)</f>
        <v/>
      </c>
      <c r="C1718" s="12">
        <f>IF(B1718="","",RANK(B1718,$B$2:$B$2501,0))</f>
        <v/>
      </c>
      <c r="D1718">
        <f>IF(C1718="","",C1718&lt;=25)</f>
        <v/>
      </c>
      <c r="F1718">
        <f>IF(A1718="","",IF(AND(D1718=TRUE,E1718=""),"BUY",IF(AND(D1718=FALSE,E1718&lt;&gt;""),"SELL",IF(AND(D1718=TRUE,E1718&lt;&gt;""),"HOLD",""))))</f>
        <v/>
      </c>
      <c r="G1718" s="12">
        <f>IF(D1718=TRUE,4,0)</f>
        <v/>
      </c>
      <c r="H1718">
        <f>IF(A1718="","",BDP(A1718&amp;" US Equity","GICS_SECTOR_NAME"))</f>
        <v/>
      </c>
    </row>
    <row r="1719">
      <c r="A1719">
        <f>'Factor Scores'!A1719</f>
        <v/>
      </c>
      <c r="B1719" s="10">
        <f>IF(A1719="","",0.40*'Factor Scores'!C1719+0.20*'Factor Scores'!E1719+0.20*'Factor Scores'!G1719+0.20*'Factor Scores'!H1719)</f>
        <v/>
      </c>
      <c r="C1719" s="12">
        <f>IF(B1719="","",RANK(B1719,$B$2:$B$2501,0))</f>
        <v/>
      </c>
      <c r="D1719">
        <f>IF(C1719="","",C1719&lt;=25)</f>
        <v/>
      </c>
      <c r="F1719">
        <f>IF(A1719="","",IF(AND(D1719=TRUE,E1719=""),"BUY",IF(AND(D1719=FALSE,E1719&lt;&gt;""),"SELL",IF(AND(D1719=TRUE,E1719&lt;&gt;""),"HOLD",""))))</f>
        <v/>
      </c>
      <c r="G1719" s="12">
        <f>IF(D1719=TRUE,4,0)</f>
        <v/>
      </c>
      <c r="H1719">
        <f>IF(A1719="","",BDP(A1719&amp;" US Equity","GICS_SECTOR_NAME"))</f>
        <v/>
      </c>
    </row>
    <row r="1720">
      <c r="A1720">
        <f>'Factor Scores'!A1720</f>
        <v/>
      </c>
      <c r="B1720" s="10">
        <f>IF(A1720="","",0.40*'Factor Scores'!C1720+0.20*'Factor Scores'!E1720+0.20*'Factor Scores'!G1720+0.20*'Factor Scores'!H1720)</f>
        <v/>
      </c>
      <c r="C1720" s="12">
        <f>IF(B1720="","",RANK(B1720,$B$2:$B$2501,0))</f>
        <v/>
      </c>
      <c r="D1720">
        <f>IF(C1720="","",C1720&lt;=25)</f>
        <v/>
      </c>
      <c r="F1720">
        <f>IF(A1720="","",IF(AND(D1720=TRUE,E1720=""),"BUY",IF(AND(D1720=FALSE,E1720&lt;&gt;""),"SELL",IF(AND(D1720=TRUE,E1720&lt;&gt;""),"HOLD",""))))</f>
        <v/>
      </c>
      <c r="G1720" s="12">
        <f>IF(D1720=TRUE,4,0)</f>
        <v/>
      </c>
      <c r="H1720">
        <f>IF(A1720="","",BDP(A1720&amp;" US Equity","GICS_SECTOR_NAME"))</f>
        <v/>
      </c>
    </row>
    <row r="1721">
      <c r="A1721">
        <f>'Factor Scores'!A1721</f>
        <v/>
      </c>
      <c r="B1721" s="10">
        <f>IF(A1721="","",0.40*'Factor Scores'!C1721+0.20*'Factor Scores'!E1721+0.20*'Factor Scores'!G1721+0.20*'Factor Scores'!H1721)</f>
        <v/>
      </c>
      <c r="C1721" s="12">
        <f>IF(B1721="","",RANK(B1721,$B$2:$B$2501,0))</f>
        <v/>
      </c>
      <c r="D1721">
        <f>IF(C1721="","",C1721&lt;=25)</f>
        <v/>
      </c>
      <c r="F1721">
        <f>IF(A1721="","",IF(AND(D1721=TRUE,E1721=""),"BUY",IF(AND(D1721=FALSE,E1721&lt;&gt;""),"SELL",IF(AND(D1721=TRUE,E1721&lt;&gt;""),"HOLD",""))))</f>
        <v/>
      </c>
      <c r="G1721" s="12">
        <f>IF(D1721=TRUE,4,0)</f>
        <v/>
      </c>
      <c r="H1721">
        <f>IF(A1721="","",BDP(A1721&amp;" US Equity","GICS_SECTOR_NAME"))</f>
        <v/>
      </c>
    </row>
    <row r="1722">
      <c r="A1722">
        <f>'Factor Scores'!A1722</f>
        <v/>
      </c>
      <c r="B1722" s="10">
        <f>IF(A1722="","",0.40*'Factor Scores'!C1722+0.20*'Factor Scores'!E1722+0.20*'Factor Scores'!G1722+0.20*'Factor Scores'!H1722)</f>
        <v/>
      </c>
      <c r="C1722" s="12">
        <f>IF(B1722="","",RANK(B1722,$B$2:$B$2501,0))</f>
        <v/>
      </c>
      <c r="D1722">
        <f>IF(C1722="","",C1722&lt;=25)</f>
        <v/>
      </c>
      <c r="F1722">
        <f>IF(A1722="","",IF(AND(D1722=TRUE,E1722=""),"BUY",IF(AND(D1722=FALSE,E1722&lt;&gt;""),"SELL",IF(AND(D1722=TRUE,E1722&lt;&gt;""),"HOLD",""))))</f>
        <v/>
      </c>
      <c r="G1722" s="12">
        <f>IF(D1722=TRUE,4,0)</f>
        <v/>
      </c>
      <c r="H1722">
        <f>IF(A1722="","",BDP(A1722&amp;" US Equity","GICS_SECTOR_NAME"))</f>
        <v/>
      </c>
    </row>
    <row r="1723">
      <c r="A1723">
        <f>'Factor Scores'!A1723</f>
        <v/>
      </c>
      <c r="B1723" s="10">
        <f>IF(A1723="","",0.40*'Factor Scores'!C1723+0.20*'Factor Scores'!E1723+0.20*'Factor Scores'!G1723+0.20*'Factor Scores'!H1723)</f>
        <v/>
      </c>
      <c r="C1723" s="12">
        <f>IF(B1723="","",RANK(B1723,$B$2:$B$2501,0))</f>
        <v/>
      </c>
      <c r="D1723">
        <f>IF(C1723="","",C1723&lt;=25)</f>
        <v/>
      </c>
      <c r="F1723">
        <f>IF(A1723="","",IF(AND(D1723=TRUE,E1723=""),"BUY",IF(AND(D1723=FALSE,E1723&lt;&gt;""),"SELL",IF(AND(D1723=TRUE,E1723&lt;&gt;""),"HOLD",""))))</f>
        <v/>
      </c>
      <c r="G1723" s="12">
        <f>IF(D1723=TRUE,4,0)</f>
        <v/>
      </c>
      <c r="H1723">
        <f>IF(A1723="","",BDP(A1723&amp;" US Equity","GICS_SECTOR_NAME"))</f>
        <v/>
      </c>
    </row>
    <row r="1724">
      <c r="A1724">
        <f>'Factor Scores'!A1724</f>
        <v/>
      </c>
      <c r="B1724" s="10">
        <f>IF(A1724="","",0.40*'Factor Scores'!C1724+0.20*'Factor Scores'!E1724+0.20*'Factor Scores'!G1724+0.20*'Factor Scores'!H1724)</f>
        <v/>
      </c>
      <c r="C1724" s="12">
        <f>IF(B1724="","",RANK(B1724,$B$2:$B$2501,0))</f>
        <v/>
      </c>
      <c r="D1724">
        <f>IF(C1724="","",C1724&lt;=25)</f>
        <v/>
      </c>
      <c r="F1724">
        <f>IF(A1724="","",IF(AND(D1724=TRUE,E1724=""),"BUY",IF(AND(D1724=FALSE,E1724&lt;&gt;""),"SELL",IF(AND(D1724=TRUE,E1724&lt;&gt;""),"HOLD",""))))</f>
        <v/>
      </c>
      <c r="G1724" s="12">
        <f>IF(D1724=TRUE,4,0)</f>
        <v/>
      </c>
      <c r="H1724">
        <f>IF(A1724="","",BDP(A1724&amp;" US Equity","GICS_SECTOR_NAME"))</f>
        <v/>
      </c>
    </row>
    <row r="1725">
      <c r="A1725">
        <f>'Factor Scores'!A1725</f>
        <v/>
      </c>
      <c r="B1725" s="10">
        <f>IF(A1725="","",0.40*'Factor Scores'!C1725+0.20*'Factor Scores'!E1725+0.20*'Factor Scores'!G1725+0.20*'Factor Scores'!H1725)</f>
        <v/>
      </c>
      <c r="C1725" s="12">
        <f>IF(B1725="","",RANK(B1725,$B$2:$B$2501,0))</f>
        <v/>
      </c>
      <c r="D1725">
        <f>IF(C1725="","",C1725&lt;=25)</f>
        <v/>
      </c>
      <c r="F1725">
        <f>IF(A1725="","",IF(AND(D1725=TRUE,E1725=""),"BUY",IF(AND(D1725=FALSE,E1725&lt;&gt;""),"SELL",IF(AND(D1725=TRUE,E1725&lt;&gt;""),"HOLD",""))))</f>
        <v/>
      </c>
      <c r="G1725" s="12">
        <f>IF(D1725=TRUE,4,0)</f>
        <v/>
      </c>
      <c r="H1725">
        <f>IF(A1725="","",BDP(A1725&amp;" US Equity","GICS_SECTOR_NAME"))</f>
        <v/>
      </c>
    </row>
    <row r="1726">
      <c r="A1726">
        <f>'Factor Scores'!A1726</f>
        <v/>
      </c>
      <c r="B1726" s="10">
        <f>IF(A1726="","",0.40*'Factor Scores'!C1726+0.20*'Factor Scores'!E1726+0.20*'Factor Scores'!G1726+0.20*'Factor Scores'!H1726)</f>
        <v/>
      </c>
      <c r="C1726" s="12">
        <f>IF(B1726="","",RANK(B1726,$B$2:$B$2501,0))</f>
        <v/>
      </c>
      <c r="D1726">
        <f>IF(C1726="","",C1726&lt;=25)</f>
        <v/>
      </c>
      <c r="F1726">
        <f>IF(A1726="","",IF(AND(D1726=TRUE,E1726=""),"BUY",IF(AND(D1726=FALSE,E1726&lt;&gt;""),"SELL",IF(AND(D1726=TRUE,E1726&lt;&gt;""),"HOLD",""))))</f>
        <v/>
      </c>
      <c r="G1726" s="12">
        <f>IF(D1726=TRUE,4,0)</f>
        <v/>
      </c>
      <c r="H1726">
        <f>IF(A1726="","",BDP(A1726&amp;" US Equity","GICS_SECTOR_NAME"))</f>
        <v/>
      </c>
    </row>
    <row r="1727">
      <c r="A1727">
        <f>'Factor Scores'!A1727</f>
        <v/>
      </c>
      <c r="B1727" s="10">
        <f>IF(A1727="","",0.40*'Factor Scores'!C1727+0.20*'Factor Scores'!E1727+0.20*'Factor Scores'!G1727+0.20*'Factor Scores'!H1727)</f>
        <v/>
      </c>
      <c r="C1727" s="12">
        <f>IF(B1727="","",RANK(B1727,$B$2:$B$2501,0))</f>
        <v/>
      </c>
      <c r="D1727">
        <f>IF(C1727="","",C1727&lt;=25)</f>
        <v/>
      </c>
      <c r="F1727">
        <f>IF(A1727="","",IF(AND(D1727=TRUE,E1727=""),"BUY",IF(AND(D1727=FALSE,E1727&lt;&gt;""),"SELL",IF(AND(D1727=TRUE,E1727&lt;&gt;""),"HOLD",""))))</f>
        <v/>
      </c>
      <c r="G1727" s="12">
        <f>IF(D1727=TRUE,4,0)</f>
        <v/>
      </c>
      <c r="H1727">
        <f>IF(A1727="","",BDP(A1727&amp;" US Equity","GICS_SECTOR_NAME"))</f>
        <v/>
      </c>
    </row>
    <row r="1728">
      <c r="A1728">
        <f>'Factor Scores'!A1728</f>
        <v/>
      </c>
      <c r="B1728" s="10">
        <f>IF(A1728="","",0.40*'Factor Scores'!C1728+0.20*'Factor Scores'!E1728+0.20*'Factor Scores'!G1728+0.20*'Factor Scores'!H1728)</f>
        <v/>
      </c>
      <c r="C1728" s="12">
        <f>IF(B1728="","",RANK(B1728,$B$2:$B$2501,0))</f>
        <v/>
      </c>
      <c r="D1728">
        <f>IF(C1728="","",C1728&lt;=25)</f>
        <v/>
      </c>
      <c r="F1728">
        <f>IF(A1728="","",IF(AND(D1728=TRUE,E1728=""),"BUY",IF(AND(D1728=FALSE,E1728&lt;&gt;""),"SELL",IF(AND(D1728=TRUE,E1728&lt;&gt;""),"HOLD",""))))</f>
        <v/>
      </c>
      <c r="G1728" s="12">
        <f>IF(D1728=TRUE,4,0)</f>
        <v/>
      </c>
      <c r="H1728">
        <f>IF(A1728="","",BDP(A1728&amp;" US Equity","GICS_SECTOR_NAME"))</f>
        <v/>
      </c>
    </row>
    <row r="1729">
      <c r="A1729">
        <f>'Factor Scores'!A1729</f>
        <v/>
      </c>
      <c r="B1729" s="10">
        <f>IF(A1729="","",0.40*'Factor Scores'!C1729+0.20*'Factor Scores'!E1729+0.20*'Factor Scores'!G1729+0.20*'Factor Scores'!H1729)</f>
        <v/>
      </c>
      <c r="C1729" s="12">
        <f>IF(B1729="","",RANK(B1729,$B$2:$B$2501,0))</f>
        <v/>
      </c>
      <c r="D1729">
        <f>IF(C1729="","",C1729&lt;=25)</f>
        <v/>
      </c>
      <c r="F1729">
        <f>IF(A1729="","",IF(AND(D1729=TRUE,E1729=""),"BUY",IF(AND(D1729=FALSE,E1729&lt;&gt;""),"SELL",IF(AND(D1729=TRUE,E1729&lt;&gt;""),"HOLD",""))))</f>
        <v/>
      </c>
      <c r="G1729" s="12">
        <f>IF(D1729=TRUE,4,0)</f>
        <v/>
      </c>
      <c r="H1729">
        <f>IF(A1729="","",BDP(A1729&amp;" US Equity","GICS_SECTOR_NAME"))</f>
        <v/>
      </c>
    </row>
    <row r="1730">
      <c r="A1730">
        <f>'Factor Scores'!A1730</f>
        <v/>
      </c>
      <c r="B1730" s="10">
        <f>IF(A1730="","",0.40*'Factor Scores'!C1730+0.20*'Factor Scores'!E1730+0.20*'Factor Scores'!G1730+0.20*'Factor Scores'!H1730)</f>
        <v/>
      </c>
      <c r="C1730" s="12">
        <f>IF(B1730="","",RANK(B1730,$B$2:$B$2501,0))</f>
        <v/>
      </c>
      <c r="D1730">
        <f>IF(C1730="","",C1730&lt;=25)</f>
        <v/>
      </c>
      <c r="F1730">
        <f>IF(A1730="","",IF(AND(D1730=TRUE,E1730=""),"BUY",IF(AND(D1730=FALSE,E1730&lt;&gt;""),"SELL",IF(AND(D1730=TRUE,E1730&lt;&gt;""),"HOLD",""))))</f>
        <v/>
      </c>
      <c r="G1730" s="12">
        <f>IF(D1730=TRUE,4,0)</f>
        <v/>
      </c>
      <c r="H1730">
        <f>IF(A1730="","",BDP(A1730&amp;" US Equity","GICS_SECTOR_NAME"))</f>
        <v/>
      </c>
    </row>
    <row r="1731">
      <c r="A1731">
        <f>'Factor Scores'!A1731</f>
        <v/>
      </c>
      <c r="B1731" s="10">
        <f>IF(A1731="","",0.40*'Factor Scores'!C1731+0.20*'Factor Scores'!E1731+0.20*'Factor Scores'!G1731+0.20*'Factor Scores'!H1731)</f>
        <v/>
      </c>
      <c r="C1731" s="12">
        <f>IF(B1731="","",RANK(B1731,$B$2:$B$2501,0))</f>
        <v/>
      </c>
      <c r="D1731">
        <f>IF(C1731="","",C1731&lt;=25)</f>
        <v/>
      </c>
      <c r="F1731">
        <f>IF(A1731="","",IF(AND(D1731=TRUE,E1731=""),"BUY",IF(AND(D1731=FALSE,E1731&lt;&gt;""),"SELL",IF(AND(D1731=TRUE,E1731&lt;&gt;""),"HOLD",""))))</f>
        <v/>
      </c>
      <c r="G1731" s="12">
        <f>IF(D1731=TRUE,4,0)</f>
        <v/>
      </c>
      <c r="H1731">
        <f>IF(A1731="","",BDP(A1731&amp;" US Equity","GICS_SECTOR_NAME"))</f>
        <v/>
      </c>
    </row>
    <row r="1732">
      <c r="A1732">
        <f>'Factor Scores'!A1732</f>
        <v/>
      </c>
      <c r="B1732" s="10">
        <f>IF(A1732="","",0.40*'Factor Scores'!C1732+0.20*'Factor Scores'!E1732+0.20*'Factor Scores'!G1732+0.20*'Factor Scores'!H1732)</f>
        <v/>
      </c>
      <c r="C1732" s="12">
        <f>IF(B1732="","",RANK(B1732,$B$2:$B$2501,0))</f>
        <v/>
      </c>
      <c r="D1732">
        <f>IF(C1732="","",C1732&lt;=25)</f>
        <v/>
      </c>
      <c r="F1732">
        <f>IF(A1732="","",IF(AND(D1732=TRUE,E1732=""),"BUY",IF(AND(D1732=FALSE,E1732&lt;&gt;""),"SELL",IF(AND(D1732=TRUE,E1732&lt;&gt;""),"HOLD",""))))</f>
        <v/>
      </c>
      <c r="G1732" s="12">
        <f>IF(D1732=TRUE,4,0)</f>
        <v/>
      </c>
      <c r="H1732">
        <f>IF(A1732="","",BDP(A1732&amp;" US Equity","GICS_SECTOR_NAME"))</f>
        <v/>
      </c>
    </row>
    <row r="1733">
      <c r="A1733">
        <f>'Factor Scores'!A1733</f>
        <v/>
      </c>
      <c r="B1733" s="10">
        <f>IF(A1733="","",0.40*'Factor Scores'!C1733+0.20*'Factor Scores'!E1733+0.20*'Factor Scores'!G1733+0.20*'Factor Scores'!H1733)</f>
        <v/>
      </c>
      <c r="C1733" s="12">
        <f>IF(B1733="","",RANK(B1733,$B$2:$B$2501,0))</f>
        <v/>
      </c>
      <c r="D1733">
        <f>IF(C1733="","",C1733&lt;=25)</f>
        <v/>
      </c>
      <c r="F1733">
        <f>IF(A1733="","",IF(AND(D1733=TRUE,E1733=""),"BUY",IF(AND(D1733=FALSE,E1733&lt;&gt;""),"SELL",IF(AND(D1733=TRUE,E1733&lt;&gt;""),"HOLD",""))))</f>
        <v/>
      </c>
      <c r="G1733" s="12">
        <f>IF(D1733=TRUE,4,0)</f>
        <v/>
      </c>
      <c r="H1733">
        <f>IF(A1733="","",BDP(A1733&amp;" US Equity","GICS_SECTOR_NAME"))</f>
        <v/>
      </c>
    </row>
    <row r="1734">
      <c r="A1734">
        <f>'Factor Scores'!A1734</f>
        <v/>
      </c>
      <c r="B1734" s="10">
        <f>IF(A1734="","",0.40*'Factor Scores'!C1734+0.20*'Factor Scores'!E1734+0.20*'Factor Scores'!G1734+0.20*'Factor Scores'!H1734)</f>
        <v/>
      </c>
      <c r="C1734" s="12">
        <f>IF(B1734="","",RANK(B1734,$B$2:$B$2501,0))</f>
        <v/>
      </c>
      <c r="D1734">
        <f>IF(C1734="","",C1734&lt;=25)</f>
        <v/>
      </c>
      <c r="F1734">
        <f>IF(A1734="","",IF(AND(D1734=TRUE,E1734=""),"BUY",IF(AND(D1734=FALSE,E1734&lt;&gt;""),"SELL",IF(AND(D1734=TRUE,E1734&lt;&gt;""),"HOLD",""))))</f>
        <v/>
      </c>
      <c r="G1734" s="12">
        <f>IF(D1734=TRUE,4,0)</f>
        <v/>
      </c>
      <c r="H1734">
        <f>IF(A1734="","",BDP(A1734&amp;" US Equity","GICS_SECTOR_NAME"))</f>
        <v/>
      </c>
    </row>
    <row r="1735">
      <c r="A1735">
        <f>'Factor Scores'!A1735</f>
        <v/>
      </c>
      <c r="B1735" s="10">
        <f>IF(A1735="","",0.40*'Factor Scores'!C1735+0.20*'Factor Scores'!E1735+0.20*'Factor Scores'!G1735+0.20*'Factor Scores'!H1735)</f>
        <v/>
      </c>
      <c r="C1735" s="12">
        <f>IF(B1735="","",RANK(B1735,$B$2:$B$2501,0))</f>
        <v/>
      </c>
      <c r="D1735">
        <f>IF(C1735="","",C1735&lt;=25)</f>
        <v/>
      </c>
      <c r="F1735">
        <f>IF(A1735="","",IF(AND(D1735=TRUE,E1735=""),"BUY",IF(AND(D1735=FALSE,E1735&lt;&gt;""),"SELL",IF(AND(D1735=TRUE,E1735&lt;&gt;""),"HOLD",""))))</f>
        <v/>
      </c>
      <c r="G1735" s="12">
        <f>IF(D1735=TRUE,4,0)</f>
        <v/>
      </c>
      <c r="H1735">
        <f>IF(A1735="","",BDP(A1735&amp;" US Equity","GICS_SECTOR_NAME"))</f>
        <v/>
      </c>
    </row>
    <row r="1736">
      <c r="A1736">
        <f>'Factor Scores'!A1736</f>
        <v/>
      </c>
      <c r="B1736" s="10">
        <f>IF(A1736="","",0.40*'Factor Scores'!C1736+0.20*'Factor Scores'!E1736+0.20*'Factor Scores'!G1736+0.20*'Factor Scores'!H1736)</f>
        <v/>
      </c>
      <c r="C1736" s="12">
        <f>IF(B1736="","",RANK(B1736,$B$2:$B$2501,0))</f>
        <v/>
      </c>
      <c r="D1736">
        <f>IF(C1736="","",C1736&lt;=25)</f>
        <v/>
      </c>
      <c r="F1736">
        <f>IF(A1736="","",IF(AND(D1736=TRUE,E1736=""),"BUY",IF(AND(D1736=FALSE,E1736&lt;&gt;""),"SELL",IF(AND(D1736=TRUE,E1736&lt;&gt;""),"HOLD",""))))</f>
        <v/>
      </c>
      <c r="G1736" s="12">
        <f>IF(D1736=TRUE,4,0)</f>
        <v/>
      </c>
      <c r="H1736">
        <f>IF(A1736="","",BDP(A1736&amp;" US Equity","GICS_SECTOR_NAME"))</f>
        <v/>
      </c>
    </row>
    <row r="1737">
      <c r="A1737">
        <f>'Factor Scores'!A1737</f>
        <v/>
      </c>
      <c r="B1737" s="10">
        <f>IF(A1737="","",0.40*'Factor Scores'!C1737+0.20*'Factor Scores'!E1737+0.20*'Factor Scores'!G1737+0.20*'Factor Scores'!H1737)</f>
        <v/>
      </c>
      <c r="C1737" s="12">
        <f>IF(B1737="","",RANK(B1737,$B$2:$B$2501,0))</f>
        <v/>
      </c>
      <c r="D1737">
        <f>IF(C1737="","",C1737&lt;=25)</f>
        <v/>
      </c>
      <c r="F1737">
        <f>IF(A1737="","",IF(AND(D1737=TRUE,E1737=""),"BUY",IF(AND(D1737=FALSE,E1737&lt;&gt;""),"SELL",IF(AND(D1737=TRUE,E1737&lt;&gt;""),"HOLD",""))))</f>
        <v/>
      </c>
      <c r="G1737" s="12">
        <f>IF(D1737=TRUE,4,0)</f>
        <v/>
      </c>
      <c r="H1737">
        <f>IF(A1737="","",BDP(A1737&amp;" US Equity","GICS_SECTOR_NAME"))</f>
        <v/>
      </c>
    </row>
    <row r="1738">
      <c r="A1738">
        <f>'Factor Scores'!A1738</f>
        <v/>
      </c>
      <c r="B1738" s="10">
        <f>IF(A1738="","",0.40*'Factor Scores'!C1738+0.20*'Factor Scores'!E1738+0.20*'Factor Scores'!G1738+0.20*'Factor Scores'!H1738)</f>
        <v/>
      </c>
      <c r="C1738" s="12">
        <f>IF(B1738="","",RANK(B1738,$B$2:$B$2501,0))</f>
        <v/>
      </c>
      <c r="D1738">
        <f>IF(C1738="","",C1738&lt;=25)</f>
        <v/>
      </c>
      <c r="F1738">
        <f>IF(A1738="","",IF(AND(D1738=TRUE,E1738=""),"BUY",IF(AND(D1738=FALSE,E1738&lt;&gt;""),"SELL",IF(AND(D1738=TRUE,E1738&lt;&gt;""),"HOLD",""))))</f>
        <v/>
      </c>
      <c r="G1738" s="12">
        <f>IF(D1738=TRUE,4,0)</f>
        <v/>
      </c>
      <c r="H1738">
        <f>IF(A1738="","",BDP(A1738&amp;" US Equity","GICS_SECTOR_NAME"))</f>
        <v/>
      </c>
    </row>
    <row r="1739">
      <c r="A1739">
        <f>'Factor Scores'!A1739</f>
        <v/>
      </c>
      <c r="B1739" s="10">
        <f>IF(A1739="","",0.40*'Factor Scores'!C1739+0.20*'Factor Scores'!E1739+0.20*'Factor Scores'!G1739+0.20*'Factor Scores'!H1739)</f>
        <v/>
      </c>
      <c r="C1739" s="12">
        <f>IF(B1739="","",RANK(B1739,$B$2:$B$2501,0))</f>
        <v/>
      </c>
      <c r="D1739">
        <f>IF(C1739="","",C1739&lt;=25)</f>
        <v/>
      </c>
      <c r="F1739">
        <f>IF(A1739="","",IF(AND(D1739=TRUE,E1739=""),"BUY",IF(AND(D1739=FALSE,E1739&lt;&gt;""),"SELL",IF(AND(D1739=TRUE,E1739&lt;&gt;""),"HOLD",""))))</f>
        <v/>
      </c>
      <c r="G1739" s="12">
        <f>IF(D1739=TRUE,4,0)</f>
        <v/>
      </c>
      <c r="H1739">
        <f>IF(A1739="","",BDP(A1739&amp;" US Equity","GICS_SECTOR_NAME"))</f>
        <v/>
      </c>
    </row>
    <row r="1740">
      <c r="A1740">
        <f>'Factor Scores'!A1740</f>
        <v/>
      </c>
      <c r="B1740" s="10">
        <f>IF(A1740="","",0.40*'Factor Scores'!C1740+0.20*'Factor Scores'!E1740+0.20*'Factor Scores'!G1740+0.20*'Factor Scores'!H1740)</f>
        <v/>
      </c>
      <c r="C1740" s="12">
        <f>IF(B1740="","",RANK(B1740,$B$2:$B$2501,0))</f>
        <v/>
      </c>
      <c r="D1740">
        <f>IF(C1740="","",C1740&lt;=25)</f>
        <v/>
      </c>
      <c r="F1740">
        <f>IF(A1740="","",IF(AND(D1740=TRUE,E1740=""),"BUY",IF(AND(D1740=FALSE,E1740&lt;&gt;""),"SELL",IF(AND(D1740=TRUE,E1740&lt;&gt;""),"HOLD",""))))</f>
        <v/>
      </c>
      <c r="G1740" s="12">
        <f>IF(D1740=TRUE,4,0)</f>
        <v/>
      </c>
      <c r="H1740">
        <f>IF(A1740="","",BDP(A1740&amp;" US Equity","GICS_SECTOR_NAME"))</f>
        <v/>
      </c>
    </row>
    <row r="1741">
      <c r="A1741">
        <f>'Factor Scores'!A1741</f>
        <v/>
      </c>
      <c r="B1741" s="10">
        <f>IF(A1741="","",0.40*'Factor Scores'!C1741+0.20*'Factor Scores'!E1741+0.20*'Factor Scores'!G1741+0.20*'Factor Scores'!H1741)</f>
        <v/>
      </c>
      <c r="C1741" s="12">
        <f>IF(B1741="","",RANK(B1741,$B$2:$B$2501,0))</f>
        <v/>
      </c>
      <c r="D1741">
        <f>IF(C1741="","",C1741&lt;=25)</f>
        <v/>
      </c>
      <c r="F1741">
        <f>IF(A1741="","",IF(AND(D1741=TRUE,E1741=""),"BUY",IF(AND(D1741=FALSE,E1741&lt;&gt;""),"SELL",IF(AND(D1741=TRUE,E1741&lt;&gt;""),"HOLD",""))))</f>
        <v/>
      </c>
      <c r="G1741" s="12">
        <f>IF(D1741=TRUE,4,0)</f>
        <v/>
      </c>
      <c r="H1741">
        <f>IF(A1741="","",BDP(A1741&amp;" US Equity","GICS_SECTOR_NAME"))</f>
        <v/>
      </c>
    </row>
    <row r="1742">
      <c r="A1742">
        <f>'Factor Scores'!A1742</f>
        <v/>
      </c>
      <c r="B1742" s="10">
        <f>IF(A1742="","",0.40*'Factor Scores'!C1742+0.20*'Factor Scores'!E1742+0.20*'Factor Scores'!G1742+0.20*'Factor Scores'!H1742)</f>
        <v/>
      </c>
      <c r="C1742" s="12">
        <f>IF(B1742="","",RANK(B1742,$B$2:$B$2501,0))</f>
        <v/>
      </c>
      <c r="D1742">
        <f>IF(C1742="","",C1742&lt;=25)</f>
        <v/>
      </c>
      <c r="F1742">
        <f>IF(A1742="","",IF(AND(D1742=TRUE,E1742=""),"BUY",IF(AND(D1742=FALSE,E1742&lt;&gt;""),"SELL",IF(AND(D1742=TRUE,E1742&lt;&gt;""),"HOLD",""))))</f>
        <v/>
      </c>
      <c r="G1742" s="12">
        <f>IF(D1742=TRUE,4,0)</f>
        <v/>
      </c>
      <c r="H1742">
        <f>IF(A1742="","",BDP(A1742&amp;" US Equity","GICS_SECTOR_NAME"))</f>
        <v/>
      </c>
    </row>
    <row r="1743">
      <c r="A1743">
        <f>'Factor Scores'!A1743</f>
        <v/>
      </c>
      <c r="B1743" s="10">
        <f>IF(A1743="","",0.40*'Factor Scores'!C1743+0.20*'Factor Scores'!E1743+0.20*'Factor Scores'!G1743+0.20*'Factor Scores'!H1743)</f>
        <v/>
      </c>
      <c r="C1743" s="12">
        <f>IF(B1743="","",RANK(B1743,$B$2:$B$2501,0))</f>
        <v/>
      </c>
      <c r="D1743">
        <f>IF(C1743="","",C1743&lt;=25)</f>
        <v/>
      </c>
      <c r="F1743">
        <f>IF(A1743="","",IF(AND(D1743=TRUE,E1743=""),"BUY",IF(AND(D1743=FALSE,E1743&lt;&gt;""),"SELL",IF(AND(D1743=TRUE,E1743&lt;&gt;""),"HOLD",""))))</f>
        <v/>
      </c>
      <c r="G1743" s="12">
        <f>IF(D1743=TRUE,4,0)</f>
        <v/>
      </c>
      <c r="H1743">
        <f>IF(A1743="","",BDP(A1743&amp;" US Equity","GICS_SECTOR_NAME"))</f>
        <v/>
      </c>
    </row>
    <row r="1744">
      <c r="A1744">
        <f>'Factor Scores'!A1744</f>
        <v/>
      </c>
      <c r="B1744" s="10">
        <f>IF(A1744="","",0.40*'Factor Scores'!C1744+0.20*'Factor Scores'!E1744+0.20*'Factor Scores'!G1744+0.20*'Factor Scores'!H1744)</f>
        <v/>
      </c>
      <c r="C1744" s="12">
        <f>IF(B1744="","",RANK(B1744,$B$2:$B$2501,0))</f>
        <v/>
      </c>
      <c r="D1744">
        <f>IF(C1744="","",C1744&lt;=25)</f>
        <v/>
      </c>
      <c r="F1744">
        <f>IF(A1744="","",IF(AND(D1744=TRUE,E1744=""),"BUY",IF(AND(D1744=FALSE,E1744&lt;&gt;""),"SELL",IF(AND(D1744=TRUE,E1744&lt;&gt;""),"HOLD",""))))</f>
        <v/>
      </c>
      <c r="G1744" s="12">
        <f>IF(D1744=TRUE,4,0)</f>
        <v/>
      </c>
      <c r="H1744">
        <f>IF(A1744="","",BDP(A1744&amp;" US Equity","GICS_SECTOR_NAME"))</f>
        <v/>
      </c>
    </row>
    <row r="1745">
      <c r="A1745">
        <f>'Factor Scores'!A1745</f>
        <v/>
      </c>
      <c r="B1745" s="10">
        <f>IF(A1745="","",0.40*'Factor Scores'!C1745+0.20*'Factor Scores'!E1745+0.20*'Factor Scores'!G1745+0.20*'Factor Scores'!H1745)</f>
        <v/>
      </c>
      <c r="C1745" s="12">
        <f>IF(B1745="","",RANK(B1745,$B$2:$B$2501,0))</f>
        <v/>
      </c>
      <c r="D1745">
        <f>IF(C1745="","",C1745&lt;=25)</f>
        <v/>
      </c>
      <c r="F1745">
        <f>IF(A1745="","",IF(AND(D1745=TRUE,E1745=""),"BUY",IF(AND(D1745=FALSE,E1745&lt;&gt;""),"SELL",IF(AND(D1745=TRUE,E1745&lt;&gt;""),"HOLD",""))))</f>
        <v/>
      </c>
      <c r="G1745" s="12">
        <f>IF(D1745=TRUE,4,0)</f>
        <v/>
      </c>
      <c r="H1745">
        <f>IF(A1745="","",BDP(A1745&amp;" US Equity","GICS_SECTOR_NAME"))</f>
        <v/>
      </c>
    </row>
    <row r="1746">
      <c r="A1746">
        <f>'Factor Scores'!A1746</f>
        <v/>
      </c>
      <c r="B1746" s="10">
        <f>IF(A1746="","",0.40*'Factor Scores'!C1746+0.20*'Factor Scores'!E1746+0.20*'Factor Scores'!G1746+0.20*'Factor Scores'!H1746)</f>
        <v/>
      </c>
      <c r="C1746" s="12">
        <f>IF(B1746="","",RANK(B1746,$B$2:$B$2501,0))</f>
        <v/>
      </c>
      <c r="D1746">
        <f>IF(C1746="","",C1746&lt;=25)</f>
        <v/>
      </c>
      <c r="F1746">
        <f>IF(A1746="","",IF(AND(D1746=TRUE,E1746=""),"BUY",IF(AND(D1746=FALSE,E1746&lt;&gt;""),"SELL",IF(AND(D1746=TRUE,E1746&lt;&gt;""),"HOLD",""))))</f>
        <v/>
      </c>
      <c r="G1746" s="12">
        <f>IF(D1746=TRUE,4,0)</f>
        <v/>
      </c>
      <c r="H1746">
        <f>IF(A1746="","",BDP(A1746&amp;" US Equity","GICS_SECTOR_NAME"))</f>
        <v/>
      </c>
    </row>
    <row r="1747">
      <c r="A1747">
        <f>'Factor Scores'!A1747</f>
        <v/>
      </c>
      <c r="B1747" s="10">
        <f>IF(A1747="","",0.40*'Factor Scores'!C1747+0.20*'Factor Scores'!E1747+0.20*'Factor Scores'!G1747+0.20*'Factor Scores'!H1747)</f>
        <v/>
      </c>
      <c r="C1747" s="12">
        <f>IF(B1747="","",RANK(B1747,$B$2:$B$2501,0))</f>
        <v/>
      </c>
      <c r="D1747">
        <f>IF(C1747="","",C1747&lt;=25)</f>
        <v/>
      </c>
      <c r="F1747">
        <f>IF(A1747="","",IF(AND(D1747=TRUE,E1747=""),"BUY",IF(AND(D1747=FALSE,E1747&lt;&gt;""),"SELL",IF(AND(D1747=TRUE,E1747&lt;&gt;""),"HOLD",""))))</f>
        <v/>
      </c>
      <c r="G1747" s="12">
        <f>IF(D1747=TRUE,4,0)</f>
        <v/>
      </c>
      <c r="H1747">
        <f>IF(A1747="","",BDP(A1747&amp;" US Equity","GICS_SECTOR_NAME"))</f>
        <v/>
      </c>
    </row>
    <row r="1748">
      <c r="A1748">
        <f>'Factor Scores'!A1748</f>
        <v/>
      </c>
      <c r="B1748" s="10">
        <f>IF(A1748="","",0.40*'Factor Scores'!C1748+0.20*'Factor Scores'!E1748+0.20*'Factor Scores'!G1748+0.20*'Factor Scores'!H1748)</f>
        <v/>
      </c>
      <c r="C1748" s="12">
        <f>IF(B1748="","",RANK(B1748,$B$2:$B$2501,0))</f>
        <v/>
      </c>
      <c r="D1748">
        <f>IF(C1748="","",C1748&lt;=25)</f>
        <v/>
      </c>
      <c r="F1748">
        <f>IF(A1748="","",IF(AND(D1748=TRUE,E1748=""),"BUY",IF(AND(D1748=FALSE,E1748&lt;&gt;""),"SELL",IF(AND(D1748=TRUE,E1748&lt;&gt;""),"HOLD",""))))</f>
        <v/>
      </c>
      <c r="G1748" s="12">
        <f>IF(D1748=TRUE,4,0)</f>
        <v/>
      </c>
      <c r="H1748">
        <f>IF(A1748="","",BDP(A1748&amp;" US Equity","GICS_SECTOR_NAME"))</f>
        <v/>
      </c>
    </row>
    <row r="1749">
      <c r="A1749">
        <f>'Factor Scores'!A1749</f>
        <v/>
      </c>
      <c r="B1749" s="10">
        <f>IF(A1749="","",0.40*'Factor Scores'!C1749+0.20*'Factor Scores'!E1749+0.20*'Factor Scores'!G1749+0.20*'Factor Scores'!H1749)</f>
        <v/>
      </c>
      <c r="C1749" s="12">
        <f>IF(B1749="","",RANK(B1749,$B$2:$B$2501,0))</f>
        <v/>
      </c>
      <c r="D1749">
        <f>IF(C1749="","",C1749&lt;=25)</f>
        <v/>
      </c>
      <c r="F1749">
        <f>IF(A1749="","",IF(AND(D1749=TRUE,E1749=""),"BUY",IF(AND(D1749=FALSE,E1749&lt;&gt;""),"SELL",IF(AND(D1749=TRUE,E1749&lt;&gt;""),"HOLD",""))))</f>
        <v/>
      </c>
      <c r="G1749" s="12">
        <f>IF(D1749=TRUE,4,0)</f>
        <v/>
      </c>
      <c r="H1749">
        <f>IF(A1749="","",BDP(A1749&amp;" US Equity","GICS_SECTOR_NAME"))</f>
        <v/>
      </c>
    </row>
    <row r="1750">
      <c r="A1750">
        <f>'Factor Scores'!A1750</f>
        <v/>
      </c>
      <c r="B1750" s="10">
        <f>IF(A1750="","",0.40*'Factor Scores'!C1750+0.20*'Factor Scores'!E1750+0.20*'Factor Scores'!G1750+0.20*'Factor Scores'!H1750)</f>
        <v/>
      </c>
      <c r="C1750" s="12">
        <f>IF(B1750="","",RANK(B1750,$B$2:$B$2501,0))</f>
        <v/>
      </c>
      <c r="D1750">
        <f>IF(C1750="","",C1750&lt;=25)</f>
        <v/>
      </c>
      <c r="F1750">
        <f>IF(A1750="","",IF(AND(D1750=TRUE,E1750=""),"BUY",IF(AND(D1750=FALSE,E1750&lt;&gt;""),"SELL",IF(AND(D1750=TRUE,E1750&lt;&gt;""),"HOLD",""))))</f>
        <v/>
      </c>
      <c r="G1750" s="12">
        <f>IF(D1750=TRUE,4,0)</f>
        <v/>
      </c>
      <c r="H1750">
        <f>IF(A1750="","",BDP(A1750&amp;" US Equity","GICS_SECTOR_NAME"))</f>
        <v/>
      </c>
    </row>
    <row r="1751">
      <c r="A1751">
        <f>'Factor Scores'!A1751</f>
        <v/>
      </c>
      <c r="B1751" s="10">
        <f>IF(A1751="","",0.40*'Factor Scores'!C1751+0.20*'Factor Scores'!E1751+0.20*'Factor Scores'!G1751+0.20*'Factor Scores'!H1751)</f>
        <v/>
      </c>
      <c r="C1751" s="12">
        <f>IF(B1751="","",RANK(B1751,$B$2:$B$2501,0))</f>
        <v/>
      </c>
      <c r="D1751">
        <f>IF(C1751="","",C1751&lt;=25)</f>
        <v/>
      </c>
      <c r="F1751">
        <f>IF(A1751="","",IF(AND(D1751=TRUE,E1751=""),"BUY",IF(AND(D1751=FALSE,E1751&lt;&gt;""),"SELL",IF(AND(D1751=TRUE,E1751&lt;&gt;""),"HOLD",""))))</f>
        <v/>
      </c>
      <c r="G1751" s="12">
        <f>IF(D1751=TRUE,4,0)</f>
        <v/>
      </c>
      <c r="H1751">
        <f>IF(A1751="","",BDP(A1751&amp;" US Equity","GICS_SECTOR_NAME"))</f>
        <v/>
      </c>
    </row>
    <row r="1752">
      <c r="A1752">
        <f>'Factor Scores'!A1752</f>
        <v/>
      </c>
      <c r="B1752" s="10">
        <f>IF(A1752="","",0.40*'Factor Scores'!C1752+0.20*'Factor Scores'!E1752+0.20*'Factor Scores'!G1752+0.20*'Factor Scores'!H1752)</f>
        <v/>
      </c>
      <c r="C1752" s="12">
        <f>IF(B1752="","",RANK(B1752,$B$2:$B$2501,0))</f>
        <v/>
      </c>
      <c r="D1752">
        <f>IF(C1752="","",C1752&lt;=25)</f>
        <v/>
      </c>
      <c r="F1752">
        <f>IF(A1752="","",IF(AND(D1752=TRUE,E1752=""),"BUY",IF(AND(D1752=FALSE,E1752&lt;&gt;""),"SELL",IF(AND(D1752=TRUE,E1752&lt;&gt;""),"HOLD",""))))</f>
        <v/>
      </c>
      <c r="G1752" s="12">
        <f>IF(D1752=TRUE,4,0)</f>
        <v/>
      </c>
      <c r="H1752">
        <f>IF(A1752="","",BDP(A1752&amp;" US Equity","GICS_SECTOR_NAME"))</f>
        <v/>
      </c>
    </row>
    <row r="1753">
      <c r="A1753">
        <f>'Factor Scores'!A1753</f>
        <v/>
      </c>
      <c r="B1753" s="10">
        <f>IF(A1753="","",0.40*'Factor Scores'!C1753+0.20*'Factor Scores'!E1753+0.20*'Factor Scores'!G1753+0.20*'Factor Scores'!H1753)</f>
        <v/>
      </c>
      <c r="C1753" s="12">
        <f>IF(B1753="","",RANK(B1753,$B$2:$B$2501,0))</f>
        <v/>
      </c>
      <c r="D1753">
        <f>IF(C1753="","",C1753&lt;=25)</f>
        <v/>
      </c>
      <c r="F1753">
        <f>IF(A1753="","",IF(AND(D1753=TRUE,E1753=""),"BUY",IF(AND(D1753=FALSE,E1753&lt;&gt;""),"SELL",IF(AND(D1753=TRUE,E1753&lt;&gt;""),"HOLD",""))))</f>
        <v/>
      </c>
      <c r="G1753" s="12">
        <f>IF(D1753=TRUE,4,0)</f>
        <v/>
      </c>
      <c r="H1753">
        <f>IF(A1753="","",BDP(A1753&amp;" US Equity","GICS_SECTOR_NAME"))</f>
        <v/>
      </c>
    </row>
    <row r="1754">
      <c r="A1754">
        <f>'Factor Scores'!A1754</f>
        <v/>
      </c>
      <c r="B1754" s="10">
        <f>IF(A1754="","",0.40*'Factor Scores'!C1754+0.20*'Factor Scores'!E1754+0.20*'Factor Scores'!G1754+0.20*'Factor Scores'!H1754)</f>
        <v/>
      </c>
      <c r="C1754" s="12">
        <f>IF(B1754="","",RANK(B1754,$B$2:$B$2501,0))</f>
        <v/>
      </c>
      <c r="D1754">
        <f>IF(C1754="","",C1754&lt;=25)</f>
        <v/>
      </c>
      <c r="F1754">
        <f>IF(A1754="","",IF(AND(D1754=TRUE,E1754=""),"BUY",IF(AND(D1754=FALSE,E1754&lt;&gt;""),"SELL",IF(AND(D1754=TRUE,E1754&lt;&gt;""),"HOLD",""))))</f>
        <v/>
      </c>
      <c r="G1754" s="12">
        <f>IF(D1754=TRUE,4,0)</f>
        <v/>
      </c>
      <c r="H1754">
        <f>IF(A1754="","",BDP(A1754&amp;" US Equity","GICS_SECTOR_NAME"))</f>
        <v/>
      </c>
    </row>
    <row r="1755">
      <c r="A1755">
        <f>'Factor Scores'!A1755</f>
        <v/>
      </c>
      <c r="B1755" s="10">
        <f>IF(A1755="","",0.40*'Factor Scores'!C1755+0.20*'Factor Scores'!E1755+0.20*'Factor Scores'!G1755+0.20*'Factor Scores'!H1755)</f>
        <v/>
      </c>
      <c r="C1755" s="12">
        <f>IF(B1755="","",RANK(B1755,$B$2:$B$2501,0))</f>
        <v/>
      </c>
      <c r="D1755">
        <f>IF(C1755="","",C1755&lt;=25)</f>
        <v/>
      </c>
      <c r="F1755">
        <f>IF(A1755="","",IF(AND(D1755=TRUE,E1755=""),"BUY",IF(AND(D1755=FALSE,E1755&lt;&gt;""),"SELL",IF(AND(D1755=TRUE,E1755&lt;&gt;""),"HOLD",""))))</f>
        <v/>
      </c>
      <c r="G1755" s="12">
        <f>IF(D1755=TRUE,4,0)</f>
        <v/>
      </c>
      <c r="H1755">
        <f>IF(A1755="","",BDP(A1755&amp;" US Equity","GICS_SECTOR_NAME"))</f>
        <v/>
      </c>
    </row>
    <row r="1756">
      <c r="A1756">
        <f>'Factor Scores'!A1756</f>
        <v/>
      </c>
      <c r="B1756" s="10">
        <f>IF(A1756="","",0.40*'Factor Scores'!C1756+0.20*'Factor Scores'!E1756+0.20*'Factor Scores'!G1756+0.20*'Factor Scores'!H1756)</f>
        <v/>
      </c>
      <c r="C1756" s="12">
        <f>IF(B1756="","",RANK(B1756,$B$2:$B$2501,0))</f>
        <v/>
      </c>
      <c r="D1756">
        <f>IF(C1756="","",C1756&lt;=25)</f>
        <v/>
      </c>
      <c r="F1756">
        <f>IF(A1756="","",IF(AND(D1756=TRUE,E1756=""),"BUY",IF(AND(D1756=FALSE,E1756&lt;&gt;""),"SELL",IF(AND(D1756=TRUE,E1756&lt;&gt;""),"HOLD",""))))</f>
        <v/>
      </c>
      <c r="G1756" s="12">
        <f>IF(D1756=TRUE,4,0)</f>
        <v/>
      </c>
      <c r="H1756">
        <f>IF(A1756="","",BDP(A1756&amp;" US Equity","GICS_SECTOR_NAME"))</f>
        <v/>
      </c>
    </row>
    <row r="1757">
      <c r="A1757">
        <f>'Factor Scores'!A1757</f>
        <v/>
      </c>
      <c r="B1757" s="10">
        <f>IF(A1757="","",0.40*'Factor Scores'!C1757+0.20*'Factor Scores'!E1757+0.20*'Factor Scores'!G1757+0.20*'Factor Scores'!H1757)</f>
        <v/>
      </c>
      <c r="C1757" s="12">
        <f>IF(B1757="","",RANK(B1757,$B$2:$B$2501,0))</f>
        <v/>
      </c>
      <c r="D1757">
        <f>IF(C1757="","",C1757&lt;=25)</f>
        <v/>
      </c>
      <c r="F1757">
        <f>IF(A1757="","",IF(AND(D1757=TRUE,E1757=""),"BUY",IF(AND(D1757=FALSE,E1757&lt;&gt;""),"SELL",IF(AND(D1757=TRUE,E1757&lt;&gt;""),"HOLD",""))))</f>
        <v/>
      </c>
      <c r="G1757" s="12">
        <f>IF(D1757=TRUE,4,0)</f>
        <v/>
      </c>
      <c r="H1757">
        <f>IF(A1757="","",BDP(A1757&amp;" US Equity","GICS_SECTOR_NAME"))</f>
        <v/>
      </c>
    </row>
    <row r="1758">
      <c r="A1758">
        <f>'Factor Scores'!A1758</f>
        <v/>
      </c>
      <c r="B1758" s="10">
        <f>IF(A1758="","",0.40*'Factor Scores'!C1758+0.20*'Factor Scores'!E1758+0.20*'Factor Scores'!G1758+0.20*'Factor Scores'!H1758)</f>
        <v/>
      </c>
      <c r="C1758" s="12">
        <f>IF(B1758="","",RANK(B1758,$B$2:$B$2501,0))</f>
        <v/>
      </c>
      <c r="D1758">
        <f>IF(C1758="","",C1758&lt;=25)</f>
        <v/>
      </c>
      <c r="F1758">
        <f>IF(A1758="","",IF(AND(D1758=TRUE,E1758=""),"BUY",IF(AND(D1758=FALSE,E1758&lt;&gt;""),"SELL",IF(AND(D1758=TRUE,E1758&lt;&gt;""),"HOLD",""))))</f>
        <v/>
      </c>
      <c r="G1758" s="12">
        <f>IF(D1758=TRUE,4,0)</f>
        <v/>
      </c>
      <c r="H1758">
        <f>IF(A1758="","",BDP(A1758&amp;" US Equity","GICS_SECTOR_NAME"))</f>
        <v/>
      </c>
    </row>
    <row r="1759">
      <c r="A1759">
        <f>'Factor Scores'!A1759</f>
        <v/>
      </c>
      <c r="B1759" s="10">
        <f>IF(A1759="","",0.40*'Factor Scores'!C1759+0.20*'Factor Scores'!E1759+0.20*'Factor Scores'!G1759+0.20*'Factor Scores'!H1759)</f>
        <v/>
      </c>
      <c r="C1759" s="12">
        <f>IF(B1759="","",RANK(B1759,$B$2:$B$2501,0))</f>
        <v/>
      </c>
      <c r="D1759">
        <f>IF(C1759="","",C1759&lt;=25)</f>
        <v/>
      </c>
      <c r="F1759">
        <f>IF(A1759="","",IF(AND(D1759=TRUE,E1759=""),"BUY",IF(AND(D1759=FALSE,E1759&lt;&gt;""),"SELL",IF(AND(D1759=TRUE,E1759&lt;&gt;""),"HOLD",""))))</f>
        <v/>
      </c>
      <c r="G1759" s="12">
        <f>IF(D1759=TRUE,4,0)</f>
        <v/>
      </c>
      <c r="H1759">
        <f>IF(A1759="","",BDP(A1759&amp;" US Equity","GICS_SECTOR_NAME"))</f>
        <v/>
      </c>
    </row>
    <row r="1760">
      <c r="A1760">
        <f>'Factor Scores'!A1760</f>
        <v/>
      </c>
      <c r="B1760" s="10">
        <f>IF(A1760="","",0.40*'Factor Scores'!C1760+0.20*'Factor Scores'!E1760+0.20*'Factor Scores'!G1760+0.20*'Factor Scores'!H1760)</f>
        <v/>
      </c>
      <c r="C1760" s="12">
        <f>IF(B1760="","",RANK(B1760,$B$2:$B$2501,0))</f>
        <v/>
      </c>
      <c r="D1760">
        <f>IF(C1760="","",C1760&lt;=25)</f>
        <v/>
      </c>
      <c r="F1760">
        <f>IF(A1760="","",IF(AND(D1760=TRUE,E1760=""),"BUY",IF(AND(D1760=FALSE,E1760&lt;&gt;""),"SELL",IF(AND(D1760=TRUE,E1760&lt;&gt;""),"HOLD",""))))</f>
        <v/>
      </c>
      <c r="G1760" s="12">
        <f>IF(D1760=TRUE,4,0)</f>
        <v/>
      </c>
      <c r="H1760">
        <f>IF(A1760="","",BDP(A1760&amp;" US Equity","GICS_SECTOR_NAME"))</f>
        <v/>
      </c>
    </row>
    <row r="1761">
      <c r="A1761">
        <f>'Factor Scores'!A1761</f>
        <v/>
      </c>
      <c r="B1761" s="10">
        <f>IF(A1761="","",0.40*'Factor Scores'!C1761+0.20*'Factor Scores'!E1761+0.20*'Factor Scores'!G1761+0.20*'Factor Scores'!H1761)</f>
        <v/>
      </c>
      <c r="C1761" s="12">
        <f>IF(B1761="","",RANK(B1761,$B$2:$B$2501,0))</f>
        <v/>
      </c>
      <c r="D1761">
        <f>IF(C1761="","",C1761&lt;=25)</f>
        <v/>
      </c>
      <c r="F1761">
        <f>IF(A1761="","",IF(AND(D1761=TRUE,E1761=""),"BUY",IF(AND(D1761=FALSE,E1761&lt;&gt;""),"SELL",IF(AND(D1761=TRUE,E1761&lt;&gt;""),"HOLD",""))))</f>
        <v/>
      </c>
      <c r="G1761" s="12">
        <f>IF(D1761=TRUE,4,0)</f>
        <v/>
      </c>
      <c r="H1761">
        <f>IF(A1761="","",BDP(A1761&amp;" US Equity","GICS_SECTOR_NAME"))</f>
        <v/>
      </c>
    </row>
    <row r="1762">
      <c r="A1762">
        <f>'Factor Scores'!A1762</f>
        <v/>
      </c>
      <c r="B1762" s="10">
        <f>IF(A1762="","",0.40*'Factor Scores'!C1762+0.20*'Factor Scores'!E1762+0.20*'Factor Scores'!G1762+0.20*'Factor Scores'!H1762)</f>
        <v/>
      </c>
      <c r="C1762" s="12">
        <f>IF(B1762="","",RANK(B1762,$B$2:$B$2501,0))</f>
        <v/>
      </c>
      <c r="D1762">
        <f>IF(C1762="","",C1762&lt;=25)</f>
        <v/>
      </c>
      <c r="F1762">
        <f>IF(A1762="","",IF(AND(D1762=TRUE,E1762=""),"BUY",IF(AND(D1762=FALSE,E1762&lt;&gt;""),"SELL",IF(AND(D1762=TRUE,E1762&lt;&gt;""),"HOLD",""))))</f>
        <v/>
      </c>
      <c r="G1762" s="12">
        <f>IF(D1762=TRUE,4,0)</f>
        <v/>
      </c>
      <c r="H1762">
        <f>IF(A1762="","",BDP(A1762&amp;" US Equity","GICS_SECTOR_NAME"))</f>
        <v/>
      </c>
    </row>
    <row r="1763">
      <c r="A1763">
        <f>'Factor Scores'!A1763</f>
        <v/>
      </c>
      <c r="B1763" s="10">
        <f>IF(A1763="","",0.40*'Factor Scores'!C1763+0.20*'Factor Scores'!E1763+0.20*'Factor Scores'!G1763+0.20*'Factor Scores'!H1763)</f>
        <v/>
      </c>
      <c r="C1763" s="12">
        <f>IF(B1763="","",RANK(B1763,$B$2:$B$2501,0))</f>
        <v/>
      </c>
      <c r="D1763">
        <f>IF(C1763="","",C1763&lt;=25)</f>
        <v/>
      </c>
      <c r="F1763">
        <f>IF(A1763="","",IF(AND(D1763=TRUE,E1763=""),"BUY",IF(AND(D1763=FALSE,E1763&lt;&gt;""),"SELL",IF(AND(D1763=TRUE,E1763&lt;&gt;""),"HOLD",""))))</f>
        <v/>
      </c>
      <c r="G1763" s="12">
        <f>IF(D1763=TRUE,4,0)</f>
        <v/>
      </c>
      <c r="H1763">
        <f>IF(A1763="","",BDP(A1763&amp;" US Equity","GICS_SECTOR_NAME"))</f>
        <v/>
      </c>
    </row>
    <row r="1764">
      <c r="A1764">
        <f>'Factor Scores'!A1764</f>
        <v/>
      </c>
      <c r="B1764" s="10">
        <f>IF(A1764="","",0.40*'Factor Scores'!C1764+0.20*'Factor Scores'!E1764+0.20*'Factor Scores'!G1764+0.20*'Factor Scores'!H1764)</f>
        <v/>
      </c>
      <c r="C1764" s="12">
        <f>IF(B1764="","",RANK(B1764,$B$2:$B$2501,0))</f>
        <v/>
      </c>
      <c r="D1764">
        <f>IF(C1764="","",C1764&lt;=25)</f>
        <v/>
      </c>
      <c r="F1764">
        <f>IF(A1764="","",IF(AND(D1764=TRUE,E1764=""),"BUY",IF(AND(D1764=FALSE,E1764&lt;&gt;""),"SELL",IF(AND(D1764=TRUE,E1764&lt;&gt;""),"HOLD",""))))</f>
        <v/>
      </c>
      <c r="G1764" s="12">
        <f>IF(D1764=TRUE,4,0)</f>
        <v/>
      </c>
      <c r="H1764">
        <f>IF(A1764="","",BDP(A1764&amp;" US Equity","GICS_SECTOR_NAME"))</f>
        <v/>
      </c>
    </row>
    <row r="1765">
      <c r="A1765">
        <f>'Factor Scores'!A1765</f>
        <v/>
      </c>
      <c r="B1765" s="10">
        <f>IF(A1765="","",0.40*'Factor Scores'!C1765+0.20*'Factor Scores'!E1765+0.20*'Factor Scores'!G1765+0.20*'Factor Scores'!H1765)</f>
        <v/>
      </c>
      <c r="C1765" s="12">
        <f>IF(B1765="","",RANK(B1765,$B$2:$B$2501,0))</f>
        <v/>
      </c>
      <c r="D1765">
        <f>IF(C1765="","",C1765&lt;=25)</f>
        <v/>
      </c>
      <c r="F1765">
        <f>IF(A1765="","",IF(AND(D1765=TRUE,E1765=""),"BUY",IF(AND(D1765=FALSE,E1765&lt;&gt;""),"SELL",IF(AND(D1765=TRUE,E1765&lt;&gt;""),"HOLD",""))))</f>
        <v/>
      </c>
      <c r="G1765" s="12">
        <f>IF(D1765=TRUE,4,0)</f>
        <v/>
      </c>
      <c r="H1765">
        <f>IF(A1765="","",BDP(A1765&amp;" US Equity","GICS_SECTOR_NAME"))</f>
        <v/>
      </c>
    </row>
    <row r="1766">
      <c r="A1766">
        <f>'Factor Scores'!A1766</f>
        <v/>
      </c>
      <c r="B1766" s="10">
        <f>IF(A1766="","",0.40*'Factor Scores'!C1766+0.20*'Factor Scores'!E1766+0.20*'Factor Scores'!G1766+0.20*'Factor Scores'!H1766)</f>
        <v/>
      </c>
      <c r="C1766" s="12">
        <f>IF(B1766="","",RANK(B1766,$B$2:$B$2501,0))</f>
        <v/>
      </c>
      <c r="D1766">
        <f>IF(C1766="","",C1766&lt;=25)</f>
        <v/>
      </c>
      <c r="F1766">
        <f>IF(A1766="","",IF(AND(D1766=TRUE,E1766=""),"BUY",IF(AND(D1766=FALSE,E1766&lt;&gt;""),"SELL",IF(AND(D1766=TRUE,E1766&lt;&gt;""),"HOLD",""))))</f>
        <v/>
      </c>
      <c r="G1766" s="12">
        <f>IF(D1766=TRUE,4,0)</f>
        <v/>
      </c>
      <c r="H1766">
        <f>IF(A1766="","",BDP(A1766&amp;" US Equity","GICS_SECTOR_NAME"))</f>
        <v/>
      </c>
    </row>
    <row r="1767">
      <c r="A1767">
        <f>'Factor Scores'!A1767</f>
        <v/>
      </c>
      <c r="B1767" s="10">
        <f>IF(A1767="","",0.40*'Factor Scores'!C1767+0.20*'Factor Scores'!E1767+0.20*'Factor Scores'!G1767+0.20*'Factor Scores'!H1767)</f>
        <v/>
      </c>
      <c r="C1767" s="12">
        <f>IF(B1767="","",RANK(B1767,$B$2:$B$2501,0))</f>
        <v/>
      </c>
      <c r="D1767">
        <f>IF(C1767="","",C1767&lt;=25)</f>
        <v/>
      </c>
      <c r="F1767">
        <f>IF(A1767="","",IF(AND(D1767=TRUE,E1767=""),"BUY",IF(AND(D1767=FALSE,E1767&lt;&gt;""),"SELL",IF(AND(D1767=TRUE,E1767&lt;&gt;""),"HOLD",""))))</f>
        <v/>
      </c>
      <c r="G1767" s="12">
        <f>IF(D1767=TRUE,4,0)</f>
        <v/>
      </c>
      <c r="H1767">
        <f>IF(A1767="","",BDP(A1767&amp;" US Equity","GICS_SECTOR_NAME"))</f>
        <v/>
      </c>
    </row>
    <row r="1768">
      <c r="A1768">
        <f>'Factor Scores'!A1768</f>
        <v/>
      </c>
      <c r="B1768" s="10">
        <f>IF(A1768="","",0.40*'Factor Scores'!C1768+0.20*'Factor Scores'!E1768+0.20*'Factor Scores'!G1768+0.20*'Factor Scores'!H1768)</f>
        <v/>
      </c>
      <c r="C1768" s="12">
        <f>IF(B1768="","",RANK(B1768,$B$2:$B$2501,0))</f>
        <v/>
      </c>
      <c r="D1768">
        <f>IF(C1768="","",C1768&lt;=25)</f>
        <v/>
      </c>
      <c r="F1768">
        <f>IF(A1768="","",IF(AND(D1768=TRUE,E1768=""),"BUY",IF(AND(D1768=FALSE,E1768&lt;&gt;""),"SELL",IF(AND(D1768=TRUE,E1768&lt;&gt;""),"HOLD",""))))</f>
        <v/>
      </c>
      <c r="G1768" s="12">
        <f>IF(D1768=TRUE,4,0)</f>
        <v/>
      </c>
      <c r="H1768">
        <f>IF(A1768="","",BDP(A1768&amp;" US Equity","GICS_SECTOR_NAME"))</f>
        <v/>
      </c>
    </row>
    <row r="1769">
      <c r="A1769">
        <f>'Factor Scores'!A1769</f>
        <v/>
      </c>
      <c r="B1769" s="10">
        <f>IF(A1769="","",0.40*'Factor Scores'!C1769+0.20*'Factor Scores'!E1769+0.20*'Factor Scores'!G1769+0.20*'Factor Scores'!H1769)</f>
        <v/>
      </c>
      <c r="C1769" s="12">
        <f>IF(B1769="","",RANK(B1769,$B$2:$B$2501,0))</f>
        <v/>
      </c>
      <c r="D1769">
        <f>IF(C1769="","",C1769&lt;=25)</f>
        <v/>
      </c>
      <c r="F1769">
        <f>IF(A1769="","",IF(AND(D1769=TRUE,E1769=""),"BUY",IF(AND(D1769=FALSE,E1769&lt;&gt;""),"SELL",IF(AND(D1769=TRUE,E1769&lt;&gt;""),"HOLD",""))))</f>
        <v/>
      </c>
      <c r="G1769" s="12">
        <f>IF(D1769=TRUE,4,0)</f>
        <v/>
      </c>
      <c r="H1769">
        <f>IF(A1769="","",BDP(A1769&amp;" US Equity","GICS_SECTOR_NAME"))</f>
        <v/>
      </c>
    </row>
    <row r="1770">
      <c r="A1770">
        <f>'Factor Scores'!A1770</f>
        <v/>
      </c>
      <c r="B1770" s="10">
        <f>IF(A1770="","",0.40*'Factor Scores'!C1770+0.20*'Factor Scores'!E1770+0.20*'Factor Scores'!G1770+0.20*'Factor Scores'!H1770)</f>
        <v/>
      </c>
      <c r="C1770" s="12">
        <f>IF(B1770="","",RANK(B1770,$B$2:$B$2501,0))</f>
        <v/>
      </c>
      <c r="D1770">
        <f>IF(C1770="","",C1770&lt;=25)</f>
        <v/>
      </c>
      <c r="F1770">
        <f>IF(A1770="","",IF(AND(D1770=TRUE,E1770=""),"BUY",IF(AND(D1770=FALSE,E1770&lt;&gt;""),"SELL",IF(AND(D1770=TRUE,E1770&lt;&gt;""),"HOLD",""))))</f>
        <v/>
      </c>
      <c r="G1770" s="12">
        <f>IF(D1770=TRUE,4,0)</f>
        <v/>
      </c>
      <c r="H1770">
        <f>IF(A1770="","",BDP(A1770&amp;" US Equity","GICS_SECTOR_NAME"))</f>
        <v/>
      </c>
    </row>
    <row r="1771">
      <c r="A1771">
        <f>'Factor Scores'!A1771</f>
        <v/>
      </c>
      <c r="B1771" s="10">
        <f>IF(A1771="","",0.40*'Factor Scores'!C1771+0.20*'Factor Scores'!E1771+0.20*'Factor Scores'!G1771+0.20*'Factor Scores'!H1771)</f>
        <v/>
      </c>
      <c r="C1771" s="12">
        <f>IF(B1771="","",RANK(B1771,$B$2:$B$2501,0))</f>
        <v/>
      </c>
      <c r="D1771">
        <f>IF(C1771="","",C1771&lt;=25)</f>
        <v/>
      </c>
      <c r="F1771">
        <f>IF(A1771="","",IF(AND(D1771=TRUE,E1771=""),"BUY",IF(AND(D1771=FALSE,E1771&lt;&gt;""),"SELL",IF(AND(D1771=TRUE,E1771&lt;&gt;""),"HOLD",""))))</f>
        <v/>
      </c>
      <c r="G1771" s="12">
        <f>IF(D1771=TRUE,4,0)</f>
        <v/>
      </c>
      <c r="H1771">
        <f>IF(A1771="","",BDP(A1771&amp;" US Equity","GICS_SECTOR_NAME"))</f>
        <v/>
      </c>
    </row>
    <row r="1772">
      <c r="A1772">
        <f>'Factor Scores'!A1772</f>
        <v/>
      </c>
      <c r="B1772" s="10">
        <f>IF(A1772="","",0.40*'Factor Scores'!C1772+0.20*'Factor Scores'!E1772+0.20*'Factor Scores'!G1772+0.20*'Factor Scores'!H1772)</f>
        <v/>
      </c>
      <c r="C1772" s="12">
        <f>IF(B1772="","",RANK(B1772,$B$2:$B$2501,0))</f>
        <v/>
      </c>
      <c r="D1772">
        <f>IF(C1772="","",C1772&lt;=25)</f>
        <v/>
      </c>
      <c r="F1772">
        <f>IF(A1772="","",IF(AND(D1772=TRUE,E1772=""),"BUY",IF(AND(D1772=FALSE,E1772&lt;&gt;""),"SELL",IF(AND(D1772=TRUE,E1772&lt;&gt;""),"HOLD",""))))</f>
        <v/>
      </c>
      <c r="G1772" s="12">
        <f>IF(D1772=TRUE,4,0)</f>
        <v/>
      </c>
      <c r="H1772">
        <f>IF(A1772="","",BDP(A1772&amp;" US Equity","GICS_SECTOR_NAME"))</f>
        <v/>
      </c>
    </row>
    <row r="1773">
      <c r="A1773">
        <f>'Factor Scores'!A1773</f>
        <v/>
      </c>
      <c r="B1773" s="10">
        <f>IF(A1773="","",0.40*'Factor Scores'!C1773+0.20*'Factor Scores'!E1773+0.20*'Factor Scores'!G1773+0.20*'Factor Scores'!H1773)</f>
        <v/>
      </c>
      <c r="C1773" s="12">
        <f>IF(B1773="","",RANK(B1773,$B$2:$B$2501,0))</f>
        <v/>
      </c>
      <c r="D1773">
        <f>IF(C1773="","",C1773&lt;=25)</f>
        <v/>
      </c>
      <c r="F1773">
        <f>IF(A1773="","",IF(AND(D1773=TRUE,E1773=""),"BUY",IF(AND(D1773=FALSE,E1773&lt;&gt;""),"SELL",IF(AND(D1773=TRUE,E1773&lt;&gt;""),"HOLD",""))))</f>
        <v/>
      </c>
      <c r="G1773" s="12">
        <f>IF(D1773=TRUE,4,0)</f>
        <v/>
      </c>
      <c r="H1773">
        <f>IF(A1773="","",BDP(A1773&amp;" US Equity","GICS_SECTOR_NAME"))</f>
        <v/>
      </c>
    </row>
    <row r="1774">
      <c r="A1774">
        <f>'Factor Scores'!A1774</f>
        <v/>
      </c>
      <c r="B1774" s="10">
        <f>IF(A1774="","",0.40*'Factor Scores'!C1774+0.20*'Factor Scores'!E1774+0.20*'Factor Scores'!G1774+0.20*'Factor Scores'!H1774)</f>
        <v/>
      </c>
      <c r="C1774" s="12">
        <f>IF(B1774="","",RANK(B1774,$B$2:$B$2501,0))</f>
        <v/>
      </c>
      <c r="D1774">
        <f>IF(C1774="","",C1774&lt;=25)</f>
        <v/>
      </c>
      <c r="F1774">
        <f>IF(A1774="","",IF(AND(D1774=TRUE,E1774=""),"BUY",IF(AND(D1774=FALSE,E1774&lt;&gt;""),"SELL",IF(AND(D1774=TRUE,E1774&lt;&gt;""),"HOLD",""))))</f>
        <v/>
      </c>
      <c r="G1774" s="12">
        <f>IF(D1774=TRUE,4,0)</f>
        <v/>
      </c>
      <c r="H1774">
        <f>IF(A1774="","",BDP(A1774&amp;" US Equity","GICS_SECTOR_NAME"))</f>
        <v/>
      </c>
    </row>
    <row r="1775">
      <c r="A1775">
        <f>'Factor Scores'!A1775</f>
        <v/>
      </c>
      <c r="B1775" s="10">
        <f>IF(A1775="","",0.40*'Factor Scores'!C1775+0.20*'Factor Scores'!E1775+0.20*'Factor Scores'!G1775+0.20*'Factor Scores'!H1775)</f>
        <v/>
      </c>
      <c r="C1775" s="12">
        <f>IF(B1775="","",RANK(B1775,$B$2:$B$2501,0))</f>
        <v/>
      </c>
      <c r="D1775">
        <f>IF(C1775="","",C1775&lt;=25)</f>
        <v/>
      </c>
      <c r="F1775">
        <f>IF(A1775="","",IF(AND(D1775=TRUE,E1775=""),"BUY",IF(AND(D1775=FALSE,E1775&lt;&gt;""),"SELL",IF(AND(D1775=TRUE,E1775&lt;&gt;""),"HOLD",""))))</f>
        <v/>
      </c>
      <c r="G1775" s="12">
        <f>IF(D1775=TRUE,4,0)</f>
        <v/>
      </c>
      <c r="H1775">
        <f>IF(A1775="","",BDP(A1775&amp;" US Equity","GICS_SECTOR_NAME"))</f>
        <v/>
      </c>
    </row>
    <row r="1776">
      <c r="A1776">
        <f>'Factor Scores'!A1776</f>
        <v/>
      </c>
      <c r="B1776" s="10">
        <f>IF(A1776="","",0.40*'Factor Scores'!C1776+0.20*'Factor Scores'!E1776+0.20*'Factor Scores'!G1776+0.20*'Factor Scores'!H1776)</f>
        <v/>
      </c>
      <c r="C1776" s="12">
        <f>IF(B1776="","",RANK(B1776,$B$2:$B$2501,0))</f>
        <v/>
      </c>
      <c r="D1776">
        <f>IF(C1776="","",C1776&lt;=25)</f>
        <v/>
      </c>
      <c r="F1776">
        <f>IF(A1776="","",IF(AND(D1776=TRUE,E1776=""),"BUY",IF(AND(D1776=FALSE,E1776&lt;&gt;""),"SELL",IF(AND(D1776=TRUE,E1776&lt;&gt;""),"HOLD",""))))</f>
        <v/>
      </c>
      <c r="G1776" s="12">
        <f>IF(D1776=TRUE,4,0)</f>
        <v/>
      </c>
      <c r="H1776">
        <f>IF(A1776="","",BDP(A1776&amp;" US Equity","GICS_SECTOR_NAME"))</f>
        <v/>
      </c>
    </row>
    <row r="1777">
      <c r="A1777">
        <f>'Factor Scores'!A1777</f>
        <v/>
      </c>
      <c r="B1777" s="10">
        <f>IF(A1777="","",0.40*'Factor Scores'!C1777+0.20*'Factor Scores'!E1777+0.20*'Factor Scores'!G1777+0.20*'Factor Scores'!H1777)</f>
        <v/>
      </c>
      <c r="C1777" s="12">
        <f>IF(B1777="","",RANK(B1777,$B$2:$B$2501,0))</f>
        <v/>
      </c>
      <c r="D1777">
        <f>IF(C1777="","",C1777&lt;=25)</f>
        <v/>
      </c>
      <c r="F1777">
        <f>IF(A1777="","",IF(AND(D1777=TRUE,E1777=""),"BUY",IF(AND(D1777=FALSE,E1777&lt;&gt;""),"SELL",IF(AND(D1777=TRUE,E1777&lt;&gt;""),"HOLD",""))))</f>
        <v/>
      </c>
      <c r="G1777" s="12">
        <f>IF(D1777=TRUE,4,0)</f>
        <v/>
      </c>
      <c r="H1777">
        <f>IF(A1777="","",BDP(A1777&amp;" US Equity","GICS_SECTOR_NAME"))</f>
        <v/>
      </c>
    </row>
    <row r="1778">
      <c r="A1778">
        <f>'Factor Scores'!A1778</f>
        <v/>
      </c>
      <c r="B1778" s="10">
        <f>IF(A1778="","",0.40*'Factor Scores'!C1778+0.20*'Factor Scores'!E1778+0.20*'Factor Scores'!G1778+0.20*'Factor Scores'!H1778)</f>
        <v/>
      </c>
      <c r="C1778" s="12">
        <f>IF(B1778="","",RANK(B1778,$B$2:$B$2501,0))</f>
        <v/>
      </c>
      <c r="D1778">
        <f>IF(C1778="","",C1778&lt;=25)</f>
        <v/>
      </c>
      <c r="F1778">
        <f>IF(A1778="","",IF(AND(D1778=TRUE,E1778=""),"BUY",IF(AND(D1778=FALSE,E1778&lt;&gt;""),"SELL",IF(AND(D1778=TRUE,E1778&lt;&gt;""),"HOLD",""))))</f>
        <v/>
      </c>
      <c r="G1778" s="12">
        <f>IF(D1778=TRUE,4,0)</f>
        <v/>
      </c>
      <c r="H1778">
        <f>IF(A1778="","",BDP(A1778&amp;" US Equity","GICS_SECTOR_NAME"))</f>
        <v/>
      </c>
    </row>
    <row r="1779">
      <c r="A1779">
        <f>'Factor Scores'!A1779</f>
        <v/>
      </c>
      <c r="B1779" s="10">
        <f>IF(A1779="","",0.40*'Factor Scores'!C1779+0.20*'Factor Scores'!E1779+0.20*'Factor Scores'!G1779+0.20*'Factor Scores'!H1779)</f>
        <v/>
      </c>
      <c r="C1779" s="12">
        <f>IF(B1779="","",RANK(B1779,$B$2:$B$2501,0))</f>
        <v/>
      </c>
      <c r="D1779">
        <f>IF(C1779="","",C1779&lt;=25)</f>
        <v/>
      </c>
      <c r="F1779">
        <f>IF(A1779="","",IF(AND(D1779=TRUE,E1779=""),"BUY",IF(AND(D1779=FALSE,E1779&lt;&gt;""),"SELL",IF(AND(D1779=TRUE,E1779&lt;&gt;""),"HOLD",""))))</f>
        <v/>
      </c>
      <c r="G1779" s="12">
        <f>IF(D1779=TRUE,4,0)</f>
        <v/>
      </c>
      <c r="H1779">
        <f>IF(A1779="","",BDP(A1779&amp;" US Equity","GICS_SECTOR_NAME"))</f>
        <v/>
      </c>
    </row>
    <row r="1780">
      <c r="A1780">
        <f>'Factor Scores'!A1780</f>
        <v/>
      </c>
      <c r="B1780" s="10">
        <f>IF(A1780="","",0.40*'Factor Scores'!C1780+0.20*'Factor Scores'!E1780+0.20*'Factor Scores'!G1780+0.20*'Factor Scores'!H1780)</f>
        <v/>
      </c>
      <c r="C1780" s="12">
        <f>IF(B1780="","",RANK(B1780,$B$2:$B$2501,0))</f>
        <v/>
      </c>
      <c r="D1780">
        <f>IF(C1780="","",C1780&lt;=25)</f>
        <v/>
      </c>
      <c r="F1780">
        <f>IF(A1780="","",IF(AND(D1780=TRUE,E1780=""),"BUY",IF(AND(D1780=FALSE,E1780&lt;&gt;""),"SELL",IF(AND(D1780=TRUE,E1780&lt;&gt;""),"HOLD",""))))</f>
        <v/>
      </c>
      <c r="G1780" s="12">
        <f>IF(D1780=TRUE,4,0)</f>
        <v/>
      </c>
      <c r="H1780">
        <f>IF(A1780="","",BDP(A1780&amp;" US Equity","GICS_SECTOR_NAME"))</f>
        <v/>
      </c>
    </row>
    <row r="1781">
      <c r="A1781">
        <f>'Factor Scores'!A1781</f>
        <v/>
      </c>
      <c r="B1781" s="10">
        <f>IF(A1781="","",0.40*'Factor Scores'!C1781+0.20*'Factor Scores'!E1781+0.20*'Factor Scores'!G1781+0.20*'Factor Scores'!H1781)</f>
        <v/>
      </c>
      <c r="C1781" s="12">
        <f>IF(B1781="","",RANK(B1781,$B$2:$B$2501,0))</f>
        <v/>
      </c>
      <c r="D1781">
        <f>IF(C1781="","",C1781&lt;=25)</f>
        <v/>
      </c>
      <c r="F1781">
        <f>IF(A1781="","",IF(AND(D1781=TRUE,E1781=""),"BUY",IF(AND(D1781=FALSE,E1781&lt;&gt;""),"SELL",IF(AND(D1781=TRUE,E1781&lt;&gt;""),"HOLD",""))))</f>
        <v/>
      </c>
      <c r="G1781" s="12">
        <f>IF(D1781=TRUE,4,0)</f>
        <v/>
      </c>
      <c r="H1781">
        <f>IF(A1781="","",BDP(A1781&amp;" US Equity","GICS_SECTOR_NAME"))</f>
        <v/>
      </c>
    </row>
    <row r="1782">
      <c r="A1782">
        <f>'Factor Scores'!A1782</f>
        <v/>
      </c>
      <c r="B1782" s="10">
        <f>IF(A1782="","",0.40*'Factor Scores'!C1782+0.20*'Factor Scores'!E1782+0.20*'Factor Scores'!G1782+0.20*'Factor Scores'!H1782)</f>
        <v/>
      </c>
      <c r="C1782" s="12">
        <f>IF(B1782="","",RANK(B1782,$B$2:$B$2501,0))</f>
        <v/>
      </c>
      <c r="D1782">
        <f>IF(C1782="","",C1782&lt;=25)</f>
        <v/>
      </c>
      <c r="F1782">
        <f>IF(A1782="","",IF(AND(D1782=TRUE,E1782=""),"BUY",IF(AND(D1782=FALSE,E1782&lt;&gt;""),"SELL",IF(AND(D1782=TRUE,E1782&lt;&gt;""),"HOLD",""))))</f>
        <v/>
      </c>
      <c r="G1782" s="12">
        <f>IF(D1782=TRUE,4,0)</f>
        <v/>
      </c>
      <c r="H1782">
        <f>IF(A1782="","",BDP(A1782&amp;" US Equity","GICS_SECTOR_NAME"))</f>
        <v/>
      </c>
    </row>
    <row r="1783">
      <c r="A1783">
        <f>'Factor Scores'!A1783</f>
        <v/>
      </c>
      <c r="B1783" s="10">
        <f>IF(A1783="","",0.40*'Factor Scores'!C1783+0.20*'Factor Scores'!E1783+0.20*'Factor Scores'!G1783+0.20*'Factor Scores'!H1783)</f>
        <v/>
      </c>
      <c r="C1783" s="12">
        <f>IF(B1783="","",RANK(B1783,$B$2:$B$2501,0))</f>
        <v/>
      </c>
      <c r="D1783">
        <f>IF(C1783="","",C1783&lt;=25)</f>
        <v/>
      </c>
      <c r="F1783">
        <f>IF(A1783="","",IF(AND(D1783=TRUE,E1783=""),"BUY",IF(AND(D1783=FALSE,E1783&lt;&gt;""),"SELL",IF(AND(D1783=TRUE,E1783&lt;&gt;""),"HOLD",""))))</f>
        <v/>
      </c>
      <c r="G1783" s="12">
        <f>IF(D1783=TRUE,4,0)</f>
        <v/>
      </c>
      <c r="H1783">
        <f>IF(A1783="","",BDP(A1783&amp;" US Equity","GICS_SECTOR_NAME"))</f>
        <v/>
      </c>
    </row>
    <row r="1784">
      <c r="A1784">
        <f>'Factor Scores'!A1784</f>
        <v/>
      </c>
      <c r="B1784" s="10">
        <f>IF(A1784="","",0.40*'Factor Scores'!C1784+0.20*'Factor Scores'!E1784+0.20*'Factor Scores'!G1784+0.20*'Factor Scores'!H1784)</f>
        <v/>
      </c>
      <c r="C1784" s="12">
        <f>IF(B1784="","",RANK(B1784,$B$2:$B$2501,0))</f>
        <v/>
      </c>
      <c r="D1784">
        <f>IF(C1784="","",C1784&lt;=25)</f>
        <v/>
      </c>
      <c r="F1784">
        <f>IF(A1784="","",IF(AND(D1784=TRUE,E1784=""),"BUY",IF(AND(D1784=FALSE,E1784&lt;&gt;""),"SELL",IF(AND(D1784=TRUE,E1784&lt;&gt;""),"HOLD",""))))</f>
        <v/>
      </c>
      <c r="G1784" s="12">
        <f>IF(D1784=TRUE,4,0)</f>
        <v/>
      </c>
      <c r="H1784">
        <f>IF(A1784="","",BDP(A1784&amp;" US Equity","GICS_SECTOR_NAME"))</f>
        <v/>
      </c>
    </row>
    <row r="1785">
      <c r="A1785">
        <f>'Factor Scores'!A1785</f>
        <v/>
      </c>
      <c r="B1785" s="10">
        <f>IF(A1785="","",0.40*'Factor Scores'!C1785+0.20*'Factor Scores'!E1785+0.20*'Factor Scores'!G1785+0.20*'Factor Scores'!H1785)</f>
        <v/>
      </c>
      <c r="C1785" s="12">
        <f>IF(B1785="","",RANK(B1785,$B$2:$B$2501,0))</f>
        <v/>
      </c>
      <c r="D1785">
        <f>IF(C1785="","",C1785&lt;=25)</f>
        <v/>
      </c>
      <c r="F1785">
        <f>IF(A1785="","",IF(AND(D1785=TRUE,E1785=""),"BUY",IF(AND(D1785=FALSE,E1785&lt;&gt;""),"SELL",IF(AND(D1785=TRUE,E1785&lt;&gt;""),"HOLD",""))))</f>
        <v/>
      </c>
      <c r="G1785" s="12">
        <f>IF(D1785=TRUE,4,0)</f>
        <v/>
      </c>
      <c r="H1785">
        <f>IF(A1785="","",BDP(A1785&amp;" US Equity","GICS_SECTOR_NAME"))</f>
        <v/>
      </c>
    </row>
    <row r="1786">
      <c r="A1786">
        <f>'Factor Scores'!A1786</f>
        <v/>
      </c>
      <c r="B1786" s="10">
        <f>IF(A1786="","",0.40*'Factor Scores'!C1786+0.20*'Factor Scores'!E1786+0.20*'Factor Scores'!G1786+0.20*'Factor Scores'!H1786)</f>
        <v/>
      </c>
      <c r="C1786" s="12">
        <f>IF(B1786="","",RANK(B1786,$B$2:$B$2501,0))</f>
        <v/>
      </c>
      <c r="D1786">
        <f>IF(C1786="","",C1786&lt;=25)</f>
        <v/>
      </c>
      <c r="F1786">
        <f>IF(A1786="","",IF(AND(D1786=TRUE,E1786=""),"BUY",IF(AND(D1786=FALSE,E1786&lt;&gt;""),"SELL",IF(AND(D1786=TRUE,E1786&lt;&gt;""),"HOLD",""))))</f>
        <v/>
      </c>
      <c r="G1786" s="12">
        <f>IF(D1786=TRUE,4,0)</f>
        <v/>
      </c>
      <c r="H1786">
        <f>IF(A1786="","",BDP(A1786&amp;" US Equity","GICS_SECTOR_NAME"))</f>
        <v/>
      </c>
    </row>
    <row r="1787">
      <c r="A1787">
        <f>'Factor Scores'!A1787</f>
        <v/>
      </c>
      <c r="B1787" s="10">
        <f>IF(A1787="","",0.40*'Factor Scores'!C1787+0.20*'Factor Scores'!E1787+0.20*'Factor Scores'!G1787+0.20*'Factor Scores'!H1787)</f>
        <v/>
      </c>
      <c r="C1787" s="12">
        <f>IF(B1787="","",RANK(B1787,$B$2:$B$2501,0))</f>
        <v/>
      </c>
      <c r="D1787">
        <f>IF(C1787="","",C1787&lt;=25)</f>
        <v/>
      </c>
      <c r="F1787">
        <f>IF(A1787="","",IF(AND(D1787=TRUE,E1787=""),"BUY",IF(AND(D1787=FALSE,E1787&lt;&gt;""),"SELL",IF(AND(D1787=TRUE,E1787&lt;&gt;""),"HOLD",""))))</f>
        <v/>
      </c>
      <c r="G1787" s="12">
        <f>IF(D1787=TRUE,4,0)</f>
        <v/>
      </c>
      <c r="H1787">
        <f>IF(A1787="","",BDP(A1787&amp;" US Equity","GICS_SECTOR_NAME"))</f>
        <v/>
      </c>
    </row>
    <row r="1788">
      <c r="A1788">
        <f>'Factor Scores'!A1788</f>
        <v/>
      </c>
      <c r="B1788" s="10">
        <f>IF(A1788="","",0.40*'Factor Scores'!C1788+0.20*'Factor Scores'!E1788+0.20*'Factor Scores'!G1788+0.20*'Factor Scores'!H1788)</f>
        <v/>
      </c>
      <c r="C1788" s="12">
        <f>IF(B1788="","",RANK(B1788,$B$2:$B$2501,0))</f>
        <v/>
      </c>
      <c r="D1788">
        <f>IF(C1788="","",C1788&lt;=25)</f>
        <v/>
      </c>
      <c r="F1788">
        <f>IF(A1788="","",IF(AND(D1788=TRUE,E1788=""),"BUY",IF(AND(D1788=FALSE,E1788&lt;&gt;""),"SELL",IF(AND(D1788=TRUE,E1788&lt;&gt;""),"HOLD",""))))</f>
        <v/>
      </c>
      <c r="G1788" s="12">
        <f>IF(D1788=TRUE,4,0)</f>
        <v/>
      </c>
      <c r="H1788">
        <f>IF(A1788="","",BDP(A1788&amp;" US Equity","GICS_SECTOR_NAME"))</f>
        <v/>
      </c>
    </row>
    <row r="1789">
      <c r="A1789">
        <f>'Factor Scores'!A1789</f>
        <v/>
      </c>
      <c r="B1789" s="10">
        <f>IF(A1789="","",0.40*'Factor Scores'!C1789+0.20*'Factor Scores'!E1789+0.20*'Factor Scores'!G1789+0.20*'Factor Scores'!H1789)</f>
        <v/>
      </c>
      <c r="C1789" s="12">
        <f>IF(B1789="","",RANK(B1789,$B$2:$B$2501,0))</f>
        <v/>
      </c>
      <c r="D1789">
        <f>IF(C1789="","",C1789&lt;=25)</f>
        <v/>
      </c>
      <c r="F1789">
        <f>IF(A1789="","",IF(AND(D1789=TRUE,E1789=""),"BUY",IF(AND(D1789=FALSE,E1789&lt;&gt;""),"SELL",IF(AND(D1789=TRUE,E1789&lt;&gt;""),"HOLD",""))))</f>
        <v/>
      </c>
      <c r="G1789" s="12">
        <f>IF(D1789=TRUE,4,0)</f>
        <v/>
      </c>
      <c r="H1789">
        <f>IF(A1789="","",BDP(A1789&amp;" US Equity","GICS_SECTOR_NAME"))</f>
        <v/>
      </c>
    </row>
    <row r="1790">
      <c r="A1790">
        <f>'Factor Scores'!A1790</f>
        <v/>
      </c>
      <c r="B1790" s="10">
        <f>IF(A1790="","",0.40*'Factor Scores'!C1790+0.20*'Factor Scores'!E1790+0.20*'Factor Scores'!G1790+0.20*'Factor Scores'!H1790)</f>
        <v/>
      </c>
      <c r="C1790" s="12">
        <f>IF(B1790="","",RANK(B1790,$B$2:$B$2501,0))</f>
        <v/>
      </c>
      <c r="D1790">
        <f>IF(C1790="","",C1790&lt;=25)</f>
        <v/>
      </c>
      <c r="F1790">
        <f>IF(A1790="","",IF(AND(D1790=TRUE,E1790=""),"BUY",IF(AND(D1790=FALSE,E1790&lt;&gt;""),"SELL",IF(AND(D1790=TRUE,E1790&lt;&gt;""),"HOLD",""))))</f>
        <v/>
      </c>
      <c r="G1790" s="12">
        <f>IF(D1790=TRUE,4,0)</f>
        <v/>
      </c>
      <c r="H1790">
        <f>IF(A1790="","",BDP(A1790&amp;" US Equity","GICS_SECTOR_NAME"))</f>
        <v/>
      </c>
    </row>
    <row r="1791">
      <c r="A1791">
        <f>'Factor Scores'!A1791</f>
        <v/>
      </c>
      <c r="B1791" s="10">
        <f>IF(A1791="","",0.40*'Factor Scores'!C1791+0.20*'Factor Scores'!E1791+0.20*'Factor Scores'!G1791+0.20*'Factor Scores'!H1791)</f>
        <v/>
      </c>
      <c r="C1791" s="12">
        <f>IF(B1791="","",RANK(B1791,$B$2:$B$2501,0))</f>
        <v/>
      </c>
      <c r="D1791">
        <f>IF(C1791="","",C1791&lt;=25)</f>
        <v/>
      </c>
      <c r="F1791">
        <f>IF(A1791="","",IF(AND(D1791=TRUE,E1791=""),"BUY",IF(AND(D1791=FALSE,E1791&lt;&gt;""),"SELL",IF(AND(D1791=TRUE,E1791&lt;&gt;""),"HOLD",""))))</f>
        <v/>
      </c>
      <c r="G1791" s="12">
        <f>IF(D1791=TRUE,4,0)</f>
        <v/>
      </c>
      <c r="H1791">
        <f>IF(A1791="","",BDP(A1791&amp;" US Equity","GICS_SECTOR_NAME"))</f>
        <v/>
      </c>
    </row>
    <row r="1792">
      <c r="A1792">
        <f>'Factor Scores'!A1792</f>
        <v/>
      </c>
      <c r="B1792" s="10">
        <f>IF(A1792="","",0.40*'Factor Scores'!C1792+0.20*'Factor Scores'!E1792+0.20*'Factor Scores'!G1792+0.20*'Factor Scores'!H1792)</f>
        <v/>
      </c>
      <c r="C1792" s="12">
        <f>IF(B1792="","",RANK(B1792,$B$2:$B$2501,0))</f>
        <v/>
      </c>
      <c r="D1792">
        <f>IF(C1792="","",C1792&lt;=25)</f>
        <v/>
      </c>
      <c r="F1792">
        <f>IF(A1792="","",IF(AND(D1792=TRUE,E1792=""),"BUY",IF(AND(D1792=FALSE,E1792&lt;&gt;""),"SELL",IF(AND(D1792=TRUE,E1792&lt;&gt;""),"HOLD",""))))</f>
        <v/>
      </c>
      <c r="G1792" s="12">
        <f>IF(D1792=TRUE,4,0)</f>
        <v/>
      </c>
      <c r="H1792">
        <f>IF(A1792="","",BDP(A1792&amp;" US Equity","GICS_SECTOR_NAME"))</f>
        <v/>
      </c>
    </row>
    <row r="1793">
      <c r="A1793">
        <f>'Factor Scores'!A1793</f>
        <v/>
      </c>
      <c r="B1793" s="10">
        <f>IF(A1793="","",0.40*'Factor Scores'!C1793+0.20*'Factor Scores'!E1793+0.20*'Factor Scores'!G1793+0.20*'Factor Scores'!H1793)</f>
        <v/>
      </c>
      <c r="C1793" s="12">
        <f>IF(B1793="","",RANK(B1793,$B$2:$B$2501,0))</f>
        <v/>
      </c>
      <c r="D1793">
        <f>IF(C1793="","",C1793&lt;=25)</f>
        <v/>
      </c>
      <c r="F1793">
        <f>IF(A1793="","",IF(AND(D1793=TRUE,E1793=""),"BUY",IF(AND(D1793=FALSE,E1793&lt;&gt;""),"SELL",IF(AND(D1793=TRUE,E1793&lt;&gt;""),"HOLD",""))))</f>
        <v/>
      </c>
      <c r="G1793" s="12">
        <f>IF(D1793=TRUE,4,0)</f>
        <v/>
      </c>
      <c r="H1793">
        <f>IF(A1793="","",BDP(A1793&amp;" US Equity","GICS_SECTOR_NAME"))</f>
        <v/>
      </c>
    </row>
    <row r="1794">
      <c r="A1794">
        <f>'Factor Scores'!A1794</f>
        <v/>
      </c>
      <c r="B1794" s="10">
        <f>IF(A1794="","",0.40*'Factor Scores'!C1794+0.20*'Factor Scores'!E1794+0.20*'Factor Scores'!G1794+0.20*'Factor Scores'!H1794)</f>
        <v/>
      </c>
      <c r="C1794" s="12">
        <f>IF(B1794="","",RANK(B1794,$B$2:$B$2501,0))</f>
        <v/>
      </c>
      <c r="D1794">
        <f>IF(C1794="","",C1794&lt;=25)</f>
        <v/>
      </c>
      <c r="F1794">
        <f>IF(A1794="","",IF(AND(D1794=TRUE,E1794=""),"BUY",IF(AND(D1794=FALSE,E1794&lt;&gt;""),"SELL",IF(AND(D1794=TRUE,E1794&lt;&gt;""),"HOLD",""))))</f>
        <v/>
      </c>
      <c r="G1794" s="12">
        <f>IF(D1794=TRUE,4,0)</f>
        <v/>
      </c>
      <c r="H1794">
        <f>IF(A1794="","",BDP(A1794&amp;" US Equity","GICS_SECTOR_NAME"))</f>
        <v/>
      </c>
    </row>
    <row r="1795">
      <c r="A1795">
        <f>'Factor Scores'!A1795</f>
        <v/>
      </c>
      <c r="B1795" s="10">
        <f>IF(A1795="","",0.40*'Factor Scores'!C1795+0.20*'Factor Scores'!E1795+0.20*'Factor Scores'!G1795+0.20*'Factor Scores'!H1795)</f>
        <v/>
      </c>
      <c r="C1795" s="12">
        <f>IF(B1795="","",RANK(B1795,$B$2:$B$2501,0))</f>
        <v/>
      </c>
      <c r="D1795">
        <f>IF(C1795="","",C1795&lt;=25)</f>
        <v/>
      </c>
      <c r="F1795">
        <f>IF(A1795="","",IF(AND(D1795=TRUE,E1795=""),"BUY",IF(AND(D1795=FALSE,E1795&lt;&gt;""),"SELL",IF(AND(D1795=TRUE,E1795&lt;&gt;""),"HOLD",""))))</f>
        <v/>
      </c>
      <c r="G1795" s="12">
        <f>IF(D1795=TRUE,4,0)</f>
        <v/>
      </c>
      <c r="H1795">
        <f>IF(A1795="","",BDP(A1795&amp;" US Equity","GICS_SECTOR_NAME"))</f>
        <v/>
      </c>
    </row>
    <row r="1796">
      <c r="A1796">
        <f>'Factor Scores'!A1796</f>
        <v/>
      </c>
      <c r="B1796" s="10">
        <f>IF(A1796="","",0.40*'Factor Scores'!C1796+0.20*'Factor Scores'!E1796+0.20*'Factor Scores'!G1796+0.20*'Factor Scores'!H1796)</f>
        <v/>
      </c>
      <c r="C1796" s="12">
        <f>IF(B1796="","",RANK(B1796,$B$2:$B$2501,0))</f>
        <v/>
      </c>
      <c r="D1796">
        <f>IF(C1796="","",C1796&lt;=25)</f>
        <v/>
      </c>
      <c r="F1796">
        <f>IF(A1796="","",IF(AND(D1796=TRUE,E1796=""),"BUY",IF(AND(D1796=FALSE,E1796&lt;&gt;""),"SELL",IF(AND(D1796=TRUE,E1796&lt;&gt;""),"HOLD",""))))</f>
        <v/>
      </c>
      <c r="G1796" s="12">
        <f>IF(D1796=TRUE,4,0)</f>
        <v/>
      </c>
      <c r="H1796">
        <f>IF(A1796="","",BDP(A1796&amp;" US Equity","GICS_SECTOR_NAME"))</f>
        <v/>
      </c>
    </row>
    <row r="1797">
      <c r="A1797">
        <f>'Factor Scores'!A1797</f>
        <v/>
      </c>
      <c r="B1797" s="10">
        <f>IF(A1797="","",0.40*'Factor Scores'!C1797+0.20*'Factor Scores'!E1797+0.20*'Factor Scores'!G1797+0.20*'Factor Scores'!H1797)</f>
        <v/>
      </c>
      <c r="C1797" s="12">
        <f>IF(B1797="","",RANK(B1797,$B$2:$B$2501,0))</f>
        <v/>
      </c>
      <c r="D1797">
        <f>IF(C1797="","",C1797&lt;=25)</f>
        <v/>
      </c>
      <c r="F1797">
        <f>IF(A1797="","",IF(AND(D1797=TRUE,E1797=""),"BUY",IF(AND(D1797=FALSE,E1797&lt;&gt;""),"SELL",IF(AND(D1797=TRUE,E1797&lt;&gt;""),"HOLD",""))))</f>
        <v/>
      </c>
      <c r="G1797" s="12">
        <f>IF(D1797=TRUE,4,0)</f>
        <v/>
      </c>
      <c r="H1797">
        <f>IF(A1797="","",BDP(A1797&amp;" US Equity","GICS_SECTOR_NAME"))</f>
        <v/>
      </c>
    </row>
    <row r="1798">
      <c r="A1798">
        <f>'Factor Scores'!A1798</f>
        <v/>
      </c>
      <c r="B1798" s="10">
        <f>IF(A1798="","",0.40*'Factor Scores'!C1798+0.20*'Factor Scores'!E1798+0.20*'Factor Scores'!G1798+0.20*'Factor Scores'!H1798)</f>
        <v/>
      </c>
      <c r="C1798" s="12">
        <f>IF(B1798="","",RANK(B1798,$B$2:$B$2501,0))</f>
        <v/>
      </c>
      <c r="D1798">
        <f>IF(C1798="","",C1798&lt;=25)</f>
        <v/>
      </c>
      <c r="F1798">
        <f>IF(A1798="","",IF(AND(D1798=TRUE,E1798=""),"BUY",IF(AND(D1798=FALSE,E1798&lt;&gt;""),"SELL",IF(AND(D1798=TRUE,E1798&lt;&gt;""),"HOLD",""))))</f>
        <v/>
      </c>
      <c r="G1798" s="12">
        <f>IF(D1798=TRUE,4,0)</f>
        <v/>
      </c>
      <c r="H1798">
        <f>IF(A1798="","",BDP(A1798&amp;" US Equity","GICS_SECTOR_NAME"))</f>
        <v/>
      </c>
    </row>
    <row r="1799">
      <c r="A1799">
        <f>'Factor Scores'!A1799</f>
        <v/>
      </c>
      <c r="B1799" s="10">
        <f>IF(A1799="","",0.40*'Factor Scores'!C1799+0.20*'Factor Scores'!E1799+0.20*'Factor Scores'!G1799+0.20*'Factor Scores'!H1799)</f>
        <v/>
      </c>
      <c r="C1799" s="12">
        <f>IF(B1799="","",RANK(B1799,$B$2:$B$2501,0))</f>
        <v/>
      </c>
      <c r="D1799">
        <f>IF(C1799="","",C1799&lt;=25)</f>
        <v/>
      </c>
      <c r="F1799">
        <f>IF(A1799="","",IF(AND(D1799=TRUE,E1799=""),"BUY",IF(AND(D1799=FALSE,E1799&lt;&gt;""),"SELL",IF(AND(D1799=TRUE,E1799&lt;&gt;""),"HOLD",""))))</f>
        <v/>
      </c>
      <c r="G1799" s="12">
        <f>IF(D1799=TRUE,4,0)</f>
        <v/>
      </c>
      <c r="H1799">
        <f>IF(A1799="","",BDP(A1799&amp;" US Equity","GICS_SECTOR_NAME"))</f>
        <v/>
      </c>
    </row>
    <row r="1800">
      <c r="A1800">
        <f>'Factor Scores'!A1800</f>
        <v/>
      </c>
      <c r="B1800" s="10">
        <f>IF(A1800="","",0.40*'Factor Scores'!C1800+0.20*'Factor Scores'!E1800+0.20*'Factor Scores'!G1800+0.20*'Factor Scores'!H1800)</f>
        <v/>
      </c>
      <c r="C1800" s="12">
        <f>IF(B1800="","",RANK(B1800,$B$2:$B$2501,0))</f>
        <v/>
      </c>
      <c r="D1800">
        <f>IF(C1800="","",C1800&lt;=25)</f>
        <v/>
      </c>
      <c r="F1800">
        <f>IF(A1800="","",IF(AND(D1800=TRUE,E1800=""),"BUY",IF(AND(D1800=FALSE,E1800&lt;&gt;""),"SELL",IF(AND(D1800=TRUE,E1800&lt;&gt;""),"HOLD",""))))</f>
        <v/>
      </c>
      <c r="G1800" s="12">
        <f>IF(D1800=TRUE,4,0)</f>
        <v/>
      </c>
      <c r="H1800">
        <f>IF(A1800="","",BDP(A1800&amp;" US Equity","GICS_SECTOR_NAME"))</f>
        <v/>
      </c>
    </row>
    <row r="1801">
      <c r="A1801">
        <f>'Factor Scores'!A1801</f>
        <v/>
      </c>
      <c r="B1801" s="10">
        <f>IF(A1801="","",0.40*'Factor Scores'!C1801+0.20*'Factor Scores'!E1801+0.20*'Factor Scores'!G1801+0.20*'Factor Scores'!H1801)</f>
        <v/>
      </c>
      <c r="C1801" s="12">
        <f>IF(B1801="","",RANK(B1801,$B$2:$B$2501,0))</f>
        <v/>
      </c>
      <c r="D1801">
        <f>IF(C1801="","",C1801&lt;=25)</f>
        <v/>
      </c>
      <c r="F1801">
        <f>IF(A1801="","",IF(AND(D1801=TRUE,E1801=""),"BUY",IF(AND(D1801=FALSE,E1801&lt;&gt;""),"SELL",IF(AND(D1801=TRUE,E1801&lt;&gt;""),"HOLD",""))))</f>
        <v/>
      </c>
      <c r="G1801" s="12">
        <f>IF(D1801=TRUE,4,0)</f>
        <v/>
      </c>
      <c r="H1801">
        <f>IF(A1801="","",BDP(A1801&amp;" US Equity","GICS_SECTOR_NAME"))</f>
        <v/>
      </c>
    </row>
    <row r="1802">
      <c r="A1802">
        <f>'Factor Scores'!A1802</f>
        <v/>
      </c>
      <c r="B1802" s="10">
        <f>IF(A1802="","",0.40*'Factor Scores'!C1802+0.20*'Factor Scores'!E1802+0.20*'Factor Scores'!G1802+0.20*'Factor Scores'!H1802)</f>
        <v/>
      </c>
      <c r="C1802" s="12">
        <f>IF(B1802="","",RANK(B1802,$B$2:$B$2501,0))</f>
        <v/>
      </c>
      <c r="D1802">
        <f>IF(C1802="","",C1802&lt;=25)</f>
        <v/>
      </c>
      <c r="F1802">
        <f>IF(A1802="","",IF(AND(D1802=TRUE,E1802=""),"BUY",IF(AND(D1802=FALSE,E1802&lt;&gt;""),"SELL",IF(AND(D1802=TRUE,E1802&lt;&gt;""),"HOLD",""))))</f>
        <v/>
      </c>
      <c r="G1802" s="12">
        <f>IF(D1802=TRUE,4,0)</f>
        <v/>
      </c>
      <c r="H1802">
        <f>IF(A1802="","",BDP(A1802&amp;" US Equity","GICS_SECTOR_NAME"))</f>
        <v/>
      </c>
    </row>
    <row r="1803">
      <c r="A1803">
        <f>'Factor Scores'!A1803</f>
        <v/>
      </c>
      <c r="B1803" s="10">
        <f>IF(A1803="","",0.40*'Factor Scores'!C1803+0.20*'Factor Scores'!E1803+0.20*'Factor Scores'!G1803+0.20*'Factor Scores'!H1803)</f>
        <v/>
      </c>
      <c r="C1803" s="12">
        <f>IF(B1803="","",RANK(B1803,$B$2:$B$2501,0))</f>
        <v/>
      </c>
      <c r="D1803">
        <f>IF(C1803="","",C1803&lt;=25)</f>
        <v/>
      </c>
      <c r="F1803">
        <f>IF(A1803="","",IF(AND(D1803=TRUE,E1803=""),"BUY",IF(AND(D1803=FALSE,E1803&lt;&gt;""),"SELL",IF(AND(D1803=TRUE,E1803&lt;&gt;""),"HOLD",""))))</f>
        <v/>
      </c>
      <c r="G1803" s="12">
        <f>IF(D1803=TRUE,4,0)</f>
        <v/>
      </c>
      <c r="H1803">
        <f>IF(A1803="","",BDP(A1803&amp;" US Equity","GICS_SECTOR_NAME"))</f>
        <v/>
      </c>
    </row>
    <row r="1804">
      <c r="A1804">
        <f>'Factor Scores'!A1804</f>
        <v/>
      </c>
      <c r="B1804" s="10">
        <f>IF(A1804="","",0.40*'Factor Scores'!C1804+0.20*'Factor Scores'!E1804+0.20*'Factor Scores'!G1804+0.20*'Factor Scores'!H1804)</f>
        <v/>
      </c>
      <c r="C1804" s="12">
        <f>IF(B1804="","",RANK(B1804,$B$2:$B$2501,0))</f>
        <v/>
      </c>
      <c r="D1804">
        <f>IF(C1804="","",C1804&lt;=25)</f>
        <v/>
      </c>
      <c r="F1804">
        <f>IF(A1804="","",IF(AND(D1804=TRUE,E1804=""),"BUY",IF(AND(D1804=FALSE,E1804&lt;&gt;""),"SELL",IF(AND(D1804=TRUE,E1804&lt;&gt;""),"HOLD",""))))</f>
        <v/>
      </c>
      <c r="G1804" s="12">
        <f>IF(D1804=TRUE,4,0)</f>
        <v/>
      </c>
      <c r="H1804">
        <f>IF(A1804="","",BDP(A1804&amp;" US Equity","GICS_SECTOR_NAME"))</f>
        <v/>
      </c>
    </row>
    <row r="1805">
      <c r="A1805">
        <f>'Factor Scores'!A1805</f>
        <v/>
      </c>
      <c r="B1805" s="10">
        <f>IF(A1805="","",0.40*'Factor Scores'!C1805+0.20*'Factor Scores'!E1805+0.20*'Factor Scores'!G1805+0.20*'Factor Scores'!H1805)</f>
        <v/>
      </c>
      <c r="C1805" s="12">
        <f>IF(B1805="","",RANK(B1805,$B$2:$B$2501,0))</f>
        <v/>
      </c>
      <c r="D1805">
        <f>IF(C1805="","",C1805&lt;=25)</f>
        <v/>
      </c>
      <c r="F1805">
        <f>IF(A1805="","",IF(AND(D1805=TRUE,E1805=""),"BUY",IF(AND(D1805=FALSE,E1805&lt;&gt;""),"SELL",IF(AND(D1805=TRUE,E1805&lt;&gt;""),"HOLD",""))))</f>
        <v/>
      </c>
      <c r="G1805" s="12">
        <f>IF(D1805=TRUE,4,0)</f>
        <v/>
      </c>
      <c r="H1805">
        <f>IF(A1805="","",BDP(A1805&amp;" US Equity","GICS_SECTOR_NAME"))</f>
        <v/>
      </c>
    </row>
    <row r="1806">
      <c r="A1806">
        <f>'Factor Scores'!A1806</f>
        <v/>
      </c>
      <c r="B1806" s="10">
        <f>IF(A1806="","",0.40*'Factor Scores'!C1806+0.20*'Factor Scores'!E1806+0.20*'Factor Scores'!G1806+0.20*'Factor Scores'!H1806)</f>
        <v/>
      </c>
      <c r="C1806" s="12">
        <f>IF(B1806="","",RANK(B1806,$B$2:$B$2501,0))</f>
        <v/>
      </c>
      <c r="D1806">
        <f>IF(C1806="","",C1806&lt;=25)</f>
        <v/>
      </c>
      <c r="F1806">
        <f>IF(A1806="","",IF(AND(D1806=TRUE,E1806=""),"BUY",IF(AND(D1806=FALSE,E1806&lt;&gt;""),"SELL",IF(AND(D1806=TRUE,E1806&lt;&gt;""),"HOLD",""))))</f>
        <v/>
      </c>
      <c r="G1806" s="12">
        <f>IF(D1806=TRUE,4,0)</f>
        <v/>
      </c>
      <c r="H1806">
        <f>IF(A1806="","",BDP(A1806&amp;" US Equity","GICS_SECTOR_NAME"))</f>
        <v/>
      </c>
    </row>
    <row r="1807">
      <c r="A1807">
        <f>'Factor Scores'!A1807</f>
        <v/>
      </c>
      <c r="B1807" s="10">
        <f>IF(A1807="","",0.40*'Factor Scores'!C1807+0.20*'Factor Scores'!E1807+0.20*'Factor Scores'!G1807+0.20*'Factor Scores'!H1807)</f>
        <v/>
      </c>
      <c r="C1807" s="12">
        <f>IF(B1807="","",RANK(B1807,$B$2:$B$2501,0))</f>
        <v/>
      </c>
      <c r="D1807">
        <f>IF(C1807="","",C1807&lt;=25)</f>
        <v/>
      </c>
      <c r="F1807">
        <f>IF(A1807="","",IF(AND(D1807=TRUE,E1807=""),"BUY",IF(AND(D1807=FALSE,E1807&lt;&gt;""),"SELL",IF(AND(D1807=TRUE,E1807&lt;&gt;""),"HOLD",""))))</f>
        <v/>
      </c>
      <c r="G1807" s="12">
        <f>IF(D1807=TRUE,4,0)</f>
        <v/>
      </c>
      <c r="H1807">
        <f>IF(A1807="","",BDP(A1807&amp;" US Equity","GICS_SECTOR_NAME"))</f>
        <v/>
      </c>
    </row>
    <row r="1808">
      <c r="A1808">
        <f>'Factor Scores'!A1808</f>
        <v/>
      </c>
      <c r="B1808" s="10">
        <f>IF(A1808="","",0.40*'Factor Scores'!C1808+0.20*'Factor Scores'!E1808+0.20*'Factor Scores'!G1808+0.20*'Factor Scores'!H1808)</f>
        <v/>
      </c>
      <c r="C1808" s="12">
        <f>IF(B1808="","",RANK(B1808,$B$2:$B$2501,0))</f>
        <v/>
      </c>
      <c r="D1808">
        <f>IF(C1808="","",C1808&lt;=25)</f>
        <v/>
      </c>
      <c r="F1808">
        <f>IF(A1808="","",IF(AND(D1808=TRUE,E1808=""),"BUY",IF(AND(D1808=FALSE,E1808&lt;&gt;""),"SELL",IF(AND(D1808=TRUE,E1808&lt;&gt;""),"HOLD",""))))</f>
        <v/>
      </c>
      <c r="G1808" s="12">
        <f>IF(D1808=TRUE,4,0)</f>
        <v/>
      </c>
      <c r="H1808">
        <f>IF(A1808="","",BDP(A1808&amp;" US Equity","GICS_SECTOR_NAME"))</f>
        <v/>
      </c>
    </row>
    <row r="1809">
      <c r="A1809">
        <f>'Factor Scores'!A1809</f>
        <v/>
      </c>
      <c r="B1809" s="10">
        <f>IF(A1809="","",0.40*'Factor Scores'!C1809+0.20*'Factor Scores'!E1809+0.20*'Factor Scores'!G1809+0.20*'Factor Scores'!H1809)</f>
        <v/>
      </c>
      <c r="C1809" s="12">
        <f>IF(B1809="","",RANK(B1809,$B$2:$B$2501,0))</f>
        <v/>
      </c>
      <c r="D1809">
        <f>IF(C1809="","",C1809&lt;=25)</f>
        <v/>
      </c>
      <c r="F1809">
        <f>IF(A1809="","",IF(AND(D1809=TRUE,E1809=""),"BUY",IF(AND(D1809=FALSE,E1809&lt;&gt;""),"SELL",IF(AND(D1809=TRUE,E1809&lt;&gt;""),"HOLD",""))))</f>
        <v/>
      </c>
      <c r="G1809" s="12">
        <f>IF(D1809=TRUE,4,0)</f>
        <v/>
      </c>
      <c r="H1809">
        <f>IF(A1809="","",BDP(A1809&amp;" US Equity","GICS_SECTOR_NAME"))</f>
        <v/>
      </c>
    </row>
    <row r="1810">
      <c r="A1810">
        <f>'Factor Scores'!A1810</f>
        <v/>
      </c>
      <c r="B1810" s="10">
        <f>IF(A1810="","",0.40*'Factor Scores'!C1810+0.20*'Factor Scores'!E1810+0.20*'Factor Scores'!G1810+0.20*'Factor Scores'!H1810)</f>
        <v/>
      </c>
      <c r="C1810" s="12">
        <f>IF(B1810="","",RANK(B1810,$B$2:$B$2501,0))</f>
        <v/>
      </c>
      <c r="D1810">
        <f>IF(C1810="","",C1810&lt;=25)</f>
        <v/>
      </c>
      <c r="F1810">
        <f>IF(A1810="","",IF(AND(D1810=TRUE,E1810=""),"BUY",IF(AND(D1810=FALSE,E1810&lt;&gt;""),"SELL",IF(AND(D1810=TRUE,E1810&lt;&gt;""),"HOLD",""))))</f>
        <v/>
      </c>
      <c r="G1810" s="12">
        <f>IF(D1810=TRUE,4,0)</f>
        <v/>
      </c>
      <c r="H1810">
        <f>IF(A1810="","",BDP(A1810&amp;" US Equity","GICS_SECTOR_NAME"))</f>
        <v/>
      </c>
    </row>
    <row r="1811">
      <c r="A1811">
        <f>'Factor Scores'!A1811</f>
        <v/>
      </c>
      <c r="B1811" s="10">
        <f>IF(A1811="","",0.40*'Factor Scores'!C1811+0.20*'Factor Scores'!E1811+0.20*'Factor Scores'!G1811+0.20*'Factor Scores'!H1811)</f>
        <v/>
      </c>
      <c r="C1811" s="12">
        <f>IF(B1811="","",RANK(B1811,$B$2:$B$2501,0))</f>
        <v/>
      </c>
      <c r="D1811">
        <f>IF(C1811="","",C1811&lt;=25)</f>
        <v/>
      </c>
      <c r="F1811">
        <f>IF(A1811="","",IF(AND(D1811=TRUE,E1811=""),"BUY",IF(AND(D1811=FALSE,E1811&lt;&gt;""),"SELL",IF(AND(D1811=TRUE,E1811&lt;&gt;""),"HOLD",""))))</f>
        <v/>
      </c>
      <c r="G1811" s="12">
        <f>IF(D1811=TRUE,4,0)</f>
        <v/>
      </c>
      <c r="H1811">
        <f>IF(A1811="","",BDP(A1811&amp;" US Equity","GICS_SECTOR_NAME"))</f>
        <v/>
      </c>
    </row>
    <row r="1812">
      <c r="A1812">
        <f>'Factor Scores'!A1812</f>
        <v/>
      </c>
      <c r="B1812" s="10">
        <f>IF(A1812="","",0.40*'Factor Scores'!C1812+0.20*'Factor Scores'!E1812+0.20*'Factor Scores'!G1812+0.20*'Factor Scores'!H1812)</f>
        <v/>
      </c>
      <c r="C1812" s="12">
        <f>IF(B1812="","",RANK(B1812,$B$2:$B$2501,0))</f>
        <v/>
      </c>
      <c r="D1812">
        <f>IF(C1812="","",C1812&lt;=25)</f>
        <v/>
      </c>
      <c r="F1812">
        <f>IF(A1812="","",IF(AND(D1812=TRUE,E1812=""),"BUY",IF(AND(D1812=FALSE,E1812&lt;&gt;""),"SELL",IF(AND(D1812=TRUE,E1812&lt;&gt;""),"HOLD",""))))</f>
        <v/>
      </c>
      <c r="G1812" s="12">
        <f>IF(D1812=TRUE,4,0)</f>
        <v/>
      </c>
      <c r="H1812">
        <f>IF(A1812="","",BDP(A1812&amp;" US Equity","GICS_SECTOR_NAME"))</f>
        <v/>
      </c>
    </row>
    <row r="1813">
      <c r="A1813">
        <f>'Factor Scores'!A1813</f>
        <v/>
      </c>
      <c r="B1813" s="10">
        <f>IF(A1813="","",0.40*'Factor Scores'!C1813+0.20*'Factor Scores'!E1813+0.20*'Factor Scores'!G1813+0.20*'Factor Scores'!H1813)</f>
        <v/>
      </c>
      <c r="C1813" s="12">
        <f>IF(B1813="","",RANK(B1813,$B$2:$B$2501,0))</f>
        <v/>
      </c>
      <c r="D1813">
        <f>IF(C1813="","",C1813&lt;=25)</f>
        <v/>
      </c>
      <c r="F1813">
        <f>IF(A1813="","",IF(AND(D1813=TRUE,E1813=""),"BUY",IF(AND(D1813=FALSE,E1813&lt;&gt;""),"SELL",IF(AND(D1813=TRUE,E1813&lt;&gt;""),"HOLD",""))))</f>
        <v/>
      </c>
      <c r="G1813" s="12">
        <f>IF(D1813=TRUE,4,0)</f>
        <v/>
      </c>
      <c r="H1813">
        <f>IF(A1813="","",BDP(A1813&amp;" US Equity","GICS_SECTOR_NAME"))</f>
        <v/>
      </c>
    </row>
    <row r="1814">
      <c r="A1814">
        <f>'Factor Scores'!A1814</f>
        <v/>
      </c>
      <c r="B1814" s="10">
        <f>IF(A1814="","",0.40*'Factor Scores'!C1814+0.20*'Factor Scores'!E1814+0.20*'Factor Scores'!G1814+0.20*'Factor Scores'!H1814)</f>
        <v/>
      </c>
      <c r="C1814" s="12">
        <f>IF(B1814="","",RANK(B1814,$B$2:$B$2501,0))</f>
        <v/>
      </c>
      <c r="D1814">
        <f>IF(C1814="","",C1814&lt;=25)</f>
        <v/>
      </c>
      <c r="F1814">
        <f>IF(A1814="","",IF(AND(D1814=TRUE,E1814=""),"BUY",IF(AND(D1814=FALSE,E1814&lt;&gt;""),"SELL",IF(AND(D1814=TRUE,E1814&lt;&gt;""),"HOLD",""))))</f>
        <v/>
      </c>
      <c r="G1814" s="12">
        <f>IF(D1814=TRUE,4,0)</f>
        <v/>
      </c>
      <c r="H1814">
        <f>IF(A1814="","",BDP(A1814&amp;" US Equity","GICS_SECTOR_NAME"))</f>
        <v/>
      </c>
    </row>
    <row r="1815">
      <c r="A1815">
        <f>'Factor Scores'!A1815</f>
        <v/>
      </c>
      <c r="B1815" s="10">
        <f>IF(A1815="","",0.40*'Factor Scores'!C1815+0.20*'Factor Scores'!E1815+0.20*'Factor Scores'!G1815+0.20*'Factor Scores'!H1815)</f>
        <v/>
      </c>
      <c r="C1815" s="12">
        <f>IF(B1815="","",RANK(B1815,$B$2:$B$2501,0))</f>
        <v/>
      </c>
      <c r="D1815">
        <f>IF(C1815="","",C1815&lt;=25)</f>
        <v/>
      </c>
      <c r="F1815">
        <f>IF(A1815="","",IF(AND(D1815=TRUE,E1815=""),"BUY",IF(AND(D1815=FALSE,E1815&lt;&gt;""),"SELL",IF(AND(D1815=TRUE,E1815&lt;&gt;""),"HOLD",""))))</f>
        <v/>
      </c>
      <c r="G1815" s="12">
        <f>IF(D1815=TRUE,4,0)</f>
        <v/>
      </c>
      <c r="H1815">
        <f>IF(A1815="","",BDP(A1815&amp;" US Equity","GICS_SECTOR_NAME"))</f>
        <v/>
      </c>
    </row>
    <row r="1816">
      <c r="A1816">
        <f>'Factor Scores'!A1816</f>
        <v/>
      </c>
      <c r="B1816" s="10">
        <f>IF(A1816="","",0.40*'Factor Scores'!C1816+0.20*'Factor Scores'!E1816+0.20*'Factor Scores'!G1816+0.20*'Factor Scores'!H1816)</f>
        <v/>
      </c>
      <c r="C1816" s="12">
        <f>IF(B1816="","",RANK(B1816,$B$2:$B$2501,0))</f>
        <v/>
      </c>
      <c r="D1816">
        <f>IF(C1816="","",C1816&lt;=25)</f>
        <v/>
      </c>
      <c r="F1816">
        <f>IF(A1816="","",IF(AND(D1816=TRUE,E1816=""),"BUY",IF(AND(D1816=FALSE,E1816&lt;&gt;""),"SELL",IF(AND(D1816=TRUE,E1816&lt;&gt;""),"HOLD",""))))</f>
        <v/>
      </c>
      <c r="G1816" s="12">
        <f>IF(D1816=TRUE,4,0)</f>
        <v/>
      </c>
      <c r="H1816">
        <f>IF(A1816="","",BDP(A1816&amp;" US Equity","GICS_SECTOR_NAME"))</f>
        <v/>
      </c>
    </row>
    <row r="1817">
      <c r="A1817">
        <f>'Factor Scores'!A1817</f>
        <v/>
      </c>
      <c r="B1817" s="10">
        <f>IF(A1817="","",0.40*'Factor Scores'!C1817+0.20*'Factor Scores'!E1817+0.20*'Factor Scores'!G1817+0.20*'Factor Scores'!H1817)</f>
        <v/>
      </c>
      <c r="C1817" s="12">
        <f>IF(B1817="","",RANK(B1817,$B$2:$B$2501,0))</f>
        <v/>
      </c>
      <c r="D1817">
        <f>IF(C1817="","",C1817&lt;=25)</f>
        <v/>
      </c>
      <c r="F1817">
        <f>IF(A1817="","",IF(AND(D1817=TRUE,E1817=""),"BUY",IF(AND(D1817=FALSE,E1817&lt;&gt;""),"SELL",IF(AND(D1817=TRUE,E1817&lt;&gt;""),"HOLD",""))))</f>
        <v/>
      </c>
      <c r="G1817" s="12">
        <f>IF(D1817=TRUE,4,0)</f>
        <v/>
      </c>
      <c r="H1817">
        <f>IF(A1817="","",BDP(A1817&amp;" US Equity","GICS_SECTOR_NAME"))</f>
        <v/>
      </c>
    </row>
    <row r="1818">
      <c r="A1818">
        <f>'Factor Scores'!A1818</f>
        <v/>
      </c>
      <c r="B1818" s="10">
        <f>IF(A1818="","",0.40*'Factor Scores'!C1818+0.20*'Factor Scores'!E1818+0.20*'Factor Scores'!G1818+0.20*'Factor Scores'!H1818)</f>
        <v/>
      </c>
      <c r="C1818" s="12">
        <f>IF(B1818="","",RANK(B1818,$B$2:$B$2501,0))</f>
        <v/>
      </c>
      <c r="D1818">
        <f>IF(C1818="","",C1818&lt;=25)</f>
        <v/>
      </c>
      <c r="F1818">
        <f>IF(A1818="","",IF(AND(D1818=TRUE,E1818=""),"BUY",IF(AND(D1818=FALSE,E1818&lt;&gt;""),"SELL",IF(AND(D1818=TRUE,E1818&lt;&gt;""),"HOLD",""))))</f>
        <v/>
      </c>
      <c r="G1818" s="12">
        <f>IF(D1818=TRUE,4,0)</f>
        <v/>
      </c>
      <c r="H1818">
        <f>IF(A1818="","",BDP(A1818&amp;" US Equity","GICS_SECTOR_NAME"))</f>
        <v/>
      </c>
    </row>
    <row r="1819">
      <c r="A1819">
        <f>'Factor Scores'!A1819</f>
        <v/>
      </c>
      <c r="B1819" s="10">
        <f>IF(A1819="","",0.40*'Factor Scores'!C1819+0.20*'Factor Scores'!E1819+0.20*'Factor Scores'!G1819+0.20*'Factor Scores'!H1819)</f>
        <v/>
      </c>
      <c r="C1819" s="12">
        <f>IF(B1819="","",RANK(B1819,$B$2:$B$2501,0))</f>
        <v/>
      </c>
      <c r="D1819">
        <f>IF(C1819="","",C1819&lt;=25)</f>
        <v/>
      </c>
      <c r="F1819">
        <f>IF(A1819="","",IF(AND(D1819=TRUE,E1819=""),"BUY",IF(AND(D1819=FALSE,E1819&lt;&gt;""),"SELL",IF(AND(D1819=TRUE,E1819&lt;&gt;""),"HOLD",""))))</f>
        <v/>
      </c>
      <c r="G1819" s="12">
        <f>IF(D1819=TRUE,4,0)</f>
        <v/>
      </c>
      <c r="H1819">
        <f>IF(A1819="","",BDP(A1819&amp;" US Equity","GICS_SECTOR_NAME"))</f>
        <v/>
      </c>
    </row>
    <row r="1820">
      <c r="A1820">
        <f>'Factor Scores'!A1820</f>
        <v/>
      </c>
      <c r="B1820" s="10">
        <f>IF(A1820="","",0.40*'Factor Scores'!C1820+0.20*'Factor Scores'!E1820+0.20*'Factor Scores'!G1820+0.20*'Factor Scores'!H1820)</f>
        <v/>
      </c>
      <c r="C1820" s="12">
        <f>IF(B1820="","",RANK(B1820,$B$2:$B$2501,0))</f>
        <v/>
      </c>
      <c r="D1820">
        <f>IF(C1820="","",C1820&lt;=25)</f>
        <v/>
      </c>
      <c r="F1820">
        <f>IF(A1820="","",IF(AND(D1820=TRUE,E1820=""),"BUY",IF(AND(D1820=FALSE,E1820&lt;&gt;""),"SELL",IF(AND(D1820=TRUE,E1820&lt;&gt;""),"HOLD",""))))</f>
        <v/>
      </c>
      <c r="G1820" s="12">
        <f>IF(D1820=TRUE,4,0)</f>
        <v/>
      </c>
      <c r="H1820">
        <f>IF(A1820="","",BDP(A1820&amp;" US Equity","GICS_SECTOR_NAME"))</f>
        <v/>
      </c>
    </row>
    <row r="1821">
      <c r="A1821">
        <f>'Factor Scores'!A1821</f>
        <v/>
      </c>
      <c r="B1821" s="10">
        <f>IF(A1821="","",0.40*'Factor Scores'!C1821+0.20*'Factor Scores'!E1821+0.20*'Factor Scores'!G1821+0.20*'Factor Scores'!H1821)</f>
        <v/>
      </c>
      <c r="C1821" s="12">
        <f>IF(B1821="","",RANK(B1821,$B$2:$B$2501,0))</f>
        <v/>
      </c>
      <c r="D1821">
        <f>IF(C1821="","",C1821&lt;=25)</f>
        <v/>
      </c>
      <c r="F1821">
        <f>IF(A1821="","",IF(AND(D1821=TRUE,E1821=""),"BUY",IF(AND(D1821=FALSE,E1821&lt;&gt;""),"SELL",IF(AND(D1821=TRUE,E1821&lt;&gt;""),"HOLD",""))))</f>
        <v/>
      </c>
      <c r="G1821" s="12">
        <f>IF(D1821=TRUE,4,0)</f>
        <v/>
      </c>
      <c r="H1821">
        <f>IF(A1821="","",BDP(A1821&amp;" US Equity","GICS_SECTOR_NAME"))</f>
        <v/>
      </c>
    </row>
    <row r="1822">
      <c r="A1822">
        <f>'Factor Scores'!A1822</f>
        <v/>
      </c>
      <c r="B1822" s="10">
        <f>IF(A1822="","",0.40*'Factor Scores'!C1822+0.20*'Factor Scores'!E1822+0.20*'Factor Scores'!G1822+0.20*'Factor Scores'!H1822)</f>
        <v/>
      </c>
      <c r="C1822" s="12">
        <f>IF(B1822="","",RANK(B1822,$B$2:$B$2501,0))</f>
        <v/>
      </c>
      <c r="D1822">
        <f>IF(C1822="","",C1822&lt;=25)</f>
        <v/>
      </c>
      <c r="F1822">
        <f>IF(A1822="","",IF(AND(D1822=TRUE,E1822=""),"BUY",IF(AND(D1822=FALSE,E1822&lt;&gt;""),"SELL",IF(AND(D1822=TRUE,E1822&lt;&gt;""),"HOLD",""))))</f>
        <v/>
      </c>
      <c r="G1822" s="12">
        <f>IF(D1822=TRUE,4,0)</f>
        <v/>
      </c>
      <c r="H1822">
        <f>IF(A1822="","",BDP(A1822&amp;" US Equity","GICS_SECTOR_NAME"))</f>
        <v/>
      </c>
    </row>
    <row r="1823">
      <c r="A1823">
        <f>'Factor Scores'!A1823</f>
        <v/>
      </c>
      <c r="B1823" s="10">
        <f>IF(A1823="","",0.40*'Factor Scores'!C1823+0.20*'Factor Scores'!E1823+0.20*'Factor Scores'!G1823+0.20*'Factor Scores'!H1823)</f>
        <v/>
      </c>
      <c r="C1823" s="12">
        <f>IF(B1823="","",RANK(B1823,$B$2:$B$2501,0))</f>
        <v/>
      </c>
      <c r="D1823">
        <f>IF(C1823="","",C1823&lt;=25)</f>
        <v/>
      </c>
      <c r="F1823">
        <f>IF(A1823="","",IF(AND(D1823=TRUE,E1823=""),"BUY",IF(AND(D1823=FALSE,E1823&lt;&gt;""),"SELL",IF(AND(D1823=TRUE,E1823&lt;&gt;""),"HOLD",""))))</f>
        <v/>
      </c>
      <c r="G1823" s="12">
        <f>IF(D1823=TRUE,4,0)</f>
        <v/>
      </c>
      <c r="H1823">
        <f>IF(A1823="","",BDP(A1823&amp;" US Equity","GICS_SECTOR_NAME"))</f>
        <v/>
      </c>
    </row>
    <row r="1824">
      <c r="A1824">
        <f>'Factor Scores'!A1824</f>
        <v/>
      </c>
      <c r="B1824" s="10">
        <f>IF(A1824="","",0.40*'Factor Scores'!C1824+0.20*'Factor Scores'!E1824+0.20*'Factor Scores'!G1824+0.20*'Factor Scores'!H1824)</f>
        <v/>
      </c>
      <c r="C1824" s="12">
        <f>IF(B1824="","",RANK(B1824,$B$2:$B$2501,0))</f>
        <v/>
      </c>
      <c r="D1824">
        <f>IF(C1824="","",C1824&lt;=25)</f>
        <v/>
      </c>
      <c r="F1824">
        <f>IF(A1824="","",IF(AND(D1824=TRUE,E1824=""),"BUY",IF(AND(D1824=FALSE,E1824&lt;&gt;""),"SELL",IF(AND(D1824=TRUE,E1824&lt;&gt;""),"HOLD",""))))</f>
        <v/>
      </c>
      <c r="G1824" s="12">
        <f>IF(D1824=TRUE,4,0)</f>
        <v/>
      </c>
      <c r="H1824">
        <f>IF(A1824="","",BDP(A1824&amp;" US Equity","GICS_SECTOR_NAME"))</f>
        <v/>
      </c>
    </row>
    <row r="1825">
      <c r="A1825">
        <f>'Factor Scores'!A1825</f>
        <v/>
      </c>
      <c r="B1825" s="10">
        <f>IF(A1825="","",0.40*'Factor Scores'!C1825+0.20*'Factor Scores'!E1825+0.20*'Factor Scores'!G1825+0.20*'Factor Scores'!H1825)</f>
        <v/>
      </c>
      <c r="C1825" s="12">
        <f>IF(B1825="","",RANK(B1825,$B$2:$B$2501,0))</f>
        <v/>
      </c>
      <c r="D1825">
        <f>IF(C1825="","",C1825&lt;=25)</f>
        <v/>
      </c>
      <c r="F1825">
        <f>IF(A1825="","",IF(AND(D1825=TRUE,E1825=""),"BUY",IF(AND(D1825=FALSE,E1825&lt;&gt;""),"SELL",IF(AND(D1825=TRUE,E1825&lt;&gt;""),"HOLD",""))))</f>
        <v/>
      </c>
      <c r="G1825" s="12">
        <f>IF(D1825=TRUE,4,0)</f>
        <v/>
      </c>
      <c r="H1825">
        <f>IF(A1825="","",BDP(A1825&amp;" US Equity","GICS_SECTOR_NAME"))</f>
        <v/>
      </c>
    </row>
    <row r="1826">
      <c r="A1826">
        <f>'Factor Scores'!A1826</f>
        <v/>
      </c>
      <c r="B1826" s="10">
        <f>IF(A1826="","",0.40*'Factor Scores'!C1826+0.20*'Factor Scores'!E1826+0.20*'Factor Scores'!G1826+0.20*'Factor Scores'!H1826)</f>
        <v/>
      </c>
      <c r="C1826" s="12">
        <f>IF(B1826="","",RANK(B1826,$B$2:$B$2501,0))</f>
        <v/>
      </c>
      <c r="D1826">
        <f>IF(C1826="","",C1826&lt;=25)</f>
        <v/>
      </c>
      <c r="F1826">
        <f>IF(A1826="","",IF(AND(D1826=TRUE,E1826=""),"BUY",IF(AND(D1826=FALSE,E1826&lt;&gt;""),"SELL",IF(AND(D1826=TRUE,E1826&lt;&gt;""),"HOLD",""))))</f>
        <v/>
      </c>
      <c r="G1826" s="12">
        <f>IF(D1826=TRUE,4,0)</f>
        <v/>
      </c>
      <c r="H1826">
        <f>IF(A1826="","",BDP(A1826&amp;" US Equity","GICS_SECTOR_NAME"))</f>
        <v/>
      </c>
    </row>
    <row r="1827">
      <c r="A1827">
        <f>'Factor Scores'!A1827</f>
        <v/>
      </c>
      <c r="B1827" s="10">
        <f>IF(A1827="","",0.40*'Factor Scores'!C1827+0.20*'Factor Scores'!E1827+0.20*'Factor Scores'!G1827+0.20*'Factor Scores'!H1827)</f>
        <v/>
      </c>
      <c r="C1827" s="12">
        <f>IF(B1827="","",RANK(B1827,$B$2:$B$2501,0))</f>
        <v/>
      </c>
      <c r="D1827">
        <f>IF(C1827="","",C1827&lt;=25)</f>
        <v/>
      </c>
      <c r="F1827">
        <f>IF(A1827="","",IF(AND(D1827=TRUE,E1827=""),"BUY",IF(AND(D1827=FALSE,E1827&lt;&gt;""),"SELL",IF(AND(D1827=TRUE,E1827&lt;&gt;""),"HOLD",""))))</f>
        <v/>
      </c>
      <c r="G1827" s="12">
        <f>IF(D1827=TRUE,4,0)</f>
        <v/>
      </c>
      <c r="H1827">
        <f>IF(A1827="","",BDP(A1827&amp;" US Equity","GICS_SECTOR_NAME"))</f>
        <v/>
      </c>
    </row>
    <row r="1828">
      <c r="A1828">
        <f>'Factor Scores'!A1828</f>
        <v/>
      </c>
      <c r="B1828" s="10">
        <f>IF(A1828="","",0.40*'Factor Scores'!C1828+0.20*'Factor Scores'!E1828+0.20*'Factor Scores'!G1828+0.20*'Factor Scores'!H1828)</f>
        <v/>
      </c>
      <c r="C1828" s="12">
        <f>IF(B1828="","",RANK(B1828,$B$2:$B$2501,0))</f>
        <v/>
      </c>
      <c r="D1828">
        <f>IF(C1828="","",C1828&lt;=25)</f>
        <v/>
      </c>
      <c r="F1828">
        <f>IF(A1828="","",IF(AND(D1828=TRUE,E1828=""),"BUY",IF(AND(D1828=FALSE,E1828&lt;&gt;""),"SELL",IF(AND(D1828=TRUE,E1828&lt;&gt;""),"HOLD",""))))</f>
        <v/>
      </c>
      <c r="G1828" s="12">
        <f>IF(D1828=TRUE,4,0)</f>
        <v/>
      </c>
      <c r="H1828">
        <f>IF(A1828="","",BDP(A1828&amp;" US Equity","GICS_SECTOR_NAME"))</f>
        <v/>
      </c>
    </row>
    <row r="1829">
      <c r="A1829">
        <f>'Factor Scores'!A1829</f>
        <v/>
      </c>
      <c r="B1829" s="10">
        <f>IF(A1829="","",0.40*'Factor Scores'!C1829+0.20*'Factor Scores'!E1829+0.20*'Factor Scores'!G1829+0.20*'Factor Scores'!H1829)</f>
        <v/>
      </c>
      <c r="C1829" s="12">
        <f>IF(B1829="","",RANK(B1829,$B$2:$B$2501,0))</f>
        <v/>
      </c>
      <c r="D1829">
        <f>IF(C1829="","",C1829&lt;=25)</f>
        <v/>
      </c>
      <c r="F1829">
        <f>IF(A1829="","",IF(AND(D1829=TRUE,E1829=""),"BUY",IF(AND(D1829=FALSE,E1829&lt;&gt;""),"SELL",IF(AND(D1829=TRUE,E1829&lt;&gt;""),"HOLD",""))))</f>
        <v/>
      </c>
      <c r="G1829" s="12">
        <f>IF(D1829=TRUE,4,0)</f>
        <v/>
      </c>
      <c r="H1829">
        <f>IF(A1829="","",BDP(A1829&amp;" US Equity","GICS_SECTOR_NAME"))</f>
        <v/>
      </c>
    </row>
    <row r="1830">
      <c r="A1830">
        <f>'Factor Scores'!A1830</f>
        <v/>
      </c>
      <c r="B1830" s="10">
        <f>IF(A1830="","",0.40*'Factor Scores'!C1830+0.20*'Factor Scores'!E1830+0.20*'Factor Scores'!G1830+0.20*'Factor Scores'!H1830)</f>
        <v/>
      </c>
      <c r="C1830" s="12">
        <f>IF(B1830="","",RANK(B1830,$B$2:$B$2501,0))</f>
        <v/>
      </c>
      <c r="D1830">
        <f>IF(C1830="","",C1830&lt;=25)</f>
        <v/>
      </c>
      <c r="F1830">
        <f>IF(A1830="","",IF(AND(D1830=TRUE,E1830=""),"BUY",IF(AND(D1830=FALSE,E1830&lt;&gt;""),"SELL",IF(AND(D1830=TRUE,E1830&lt;&gt;""),"HOLD",""))))</f>
        <v/>
      </c>
      <c r="G1830" s="12">
        <f>IF(D1830=TRUE,4,0)</f>
        <v/>
      </c>
      <c r="H1830">
        <f>IF(A1830="","",BDP(A1830&amp;" US Equity","GICS_SECTOR_NAME"))</f>
        <v/>
      </c>
    </row>
    <row r="1831">
      <c r="A1831">
        <f>'Factor Scores'!A1831</f>
        <v/>
      </c>
      <c r="B1831" s="10">
        <f>IF(A1831="","",0.40*'Factor Scores'!C1831+0.20*'Factor Scores'!E1831+0.20*'Factor Scores'!G1831+0.20*'Factor Scores'!H1831)</f>
        <v/>
      </c>
      <c r="C1831" s="12">
        <f>IF(B1831="","",RANK(B1831,$B$2:$B$2501,0))</f>
        <v/>
      </c>
      <c r="D1831">
        <f>IF(C1831="","",C1831&lt;=25)</f>
        <v/>
      </c>
      <c r="F1831">
        <f>IF(A1831="","",IF(AND(D1831=TRUE,E1831=""),"BUY",IF(AND(D1831=FALSE,E1831&lt;&gt;""),"SELL",IF(AND(D1831=TRUE,E1831&lt;&gt;""),"HOLD",""))))</f>
        <v/>
      </c>
      <c r="G1831" s="12">
        <f>IF(D1831=TRUE,4,0)</f>
        <v/>
      </c>
      <c r="H1831">
        <f>IF(A1831="","",BDP(A1831&amp;" US Equity","GICS_SECTOR_NAME"))</f>
        <v/>
      </c>
    </row>
    <row r="1832">
      <c r="A1832">
        <f>'Factor Scores'!A1832</f>
        <v/>
      </c>
      <c r="B1832" s="10">
        <f>IF(A1832="","",0.40*'Factor Scores'!C1832+0.20*'Factor Scores'!E1832+0.20*'Factor Scores'!G1832+0.20*'Factor Scores'!H1832)</f>
        <v/>
      </c>
      <c r="C1832" s="12">
        <f>IF(B1832="","",RANK(B1832,$B$2:$B$2501,0))</f>
        <v/>
      </c>
      <c r="D1832">
        <f>IF(C1832="","",C1832&lt;=25)</f>
        <v/>
      </c>
      <c r="F1832">
        <f>IF(A1832="","",IF(AND(D1832=TRUE,E1832=""),"BUY",IF(AND(D1832=FALSE,E1832&lt;&gt;""),"SELL",IF(AND(D1832=TRUE,E1832&lt;&gt;""),"HOLD",""))))</f>
        <v/>
      </c>
      <c r="G1832" s="12">
        <f>IF(D1832=TRUE,4,0)</f>
        <v/>
      </c>
      <c r="H1832">
        <f>IF(A1832="","",BDP(A1832&amp;" US Equity","GICS_SECTOR_NAME"))</f>
        <v/>
      </c>
    </row>
    <row r="1833">
      <c r="A1833">
        <f>'Factor Scores'!A1833</f>
        <v/>
      </c>
      <c r="B1833" s="10">
        <f>IF(A1833="","",0.40*'Factor Scores'!C1833+0.20*'Factor Scores'!E1833+0.20*'Factor Scores'!G1833+0.20*'Factor Scores'!H1833)</f>
        <v/>
      </c>
      <c r="C1833" s="12">
        <f>IF(B1833="","",RANK(B1833,$B$2:$B$2501,0))</f>
        <v/>
      </c>
      <c r="D1833">
        <f>IF(C1833="","",C1833&lt;=25)</f>
        <v/>
      </c>
      <c r="F1833">
        <f>IF(A1833="","",IF(AND(D1833=TRUE,E1833=""),"BUY",IF(AND(D1833=FALSE,E1833&lt;&gt;""),"SELL",IF(AND(D1833=TRUE,E1833&lt;&gt;""),"HOLD",""))))</f>
        <v/>
      </c>
      <c r="G1833" s="12">
        <f>IF(D1833=TRUE,4,0)</f>
        <v/>
      </c>
      <c r="H1833">
        <f>IF(A1833="","",BDP(A1833&amp;" US Equity","GICS_SECTOR_NAME"))</f>
        <v/>
      </c>
    </row>
    <row r="1834">
      <c r="A1834">
        <f>'Factor Scores'!A1834</f>
        <v/>
      </c>
      <c r="B1834" s="10">
        <f>IF(A1834="","",0.40*'Factor Scores'!C1834+0.20*'Factor Scores'!E1834+0.20*'Factor Scores'!G1834+0.20*'Factor Scores'!H1834)</f>
        <v/>
      </c>
      <c r="C1834" s="12">
        <f>IF(B1834="","",RANK(B1834,$B$2:$B$2501,0))</f>
        <v/>
      </c>
      <c r="D1834">
        <f>IF(C1834="","",C1834&lt;=25)</f>
        <v/>
      </c>
      <c r="F1834">
        <f>IF(A1834="","",IF(AND(D1834=TRUE,E1834=""),"BUY",IF(AND(D1834=FALSE,E1834&lt;&gt;""),"SELL",IF(AND(D1834=TRUE,E1834&lt;&gt;""),"HOLD",""))))</f>
        <v/>
      </c>
      <c r="G1834" s="12">
        <f>IF(D1834=TRUE,4,0)</f>
        <v/>
      </c>
      <c r="H1834">
        <f>IF(A1834="","",BDP(A1834&amp;" US Equity","GICS_SECTOR_NAME"))</f>
        <v/>
      </c>
    </row>
    <row r="1835">
      <c r="A1835">
        <f>'Factor Scores'!A1835</f>
        <v/>
      </c>
      <c r="B1835" s="10">
        <f>IF(A1835="","",0.40*'Factor Scores'!C1835+0.20*'Factor Scores'!E1835+0.20*'Factor Scores'!G1835+0.20*'Factor Scores'!H1835)</f>
        <v/>
      </c>
      <c r="C1835" s="12">
        <f>IF(B1835="","",RANK(B1835,$B$2:$B$2501,0))</f>
        <v/>
      </c>
      <c r="D1835">
        <f>IF(C1835="","",C1835&lt;=25)</f>
        <v/>
      </c>
      <c r="F1835">
        <f>IF(A1835="","",IF(AND(D1835=TRUE,E1835=""),"BUY",IF(AND(D1835=FALSE,E1835&lt;&gt;""),"SELL",IF(AND(D1835=TRUE,E1835&lt;&gt;""),"HOLD",""))))</f>
        <v/>
      </c>
      <c r="G1835" s="12">
        <f>IF(D1835=TRUE,4,0)</f>
        <v/>
      </c>
      <c r="H1835">
        <f>IF(A1835="","",BDP(A1835&amp;" US Equity","GICS_SECTOR_NAME"))</f>
        <v/>
      </c>
    </row>
    <row r="1836">
      <c r="A1836">
        <f>'Factor Scores'!A1836</f>
        <v/>
      </c>
      <c r="B1836" s="10">
        <f>IF(A1836="","",0.40*'Factor Scores'!C1836+0.20*'Factor Scores'!E1836+0.20*'Factor Scores'!G1836+0.20*'Factor Scores'!H1836)</f>
        <v/>
      </c>
      <c r="C1836" s="12">
        <f>IF(B1836="","",RANK(B1836,$B$2:$B$2501,0))</f>
        <v/>
      </c>
      <c r="D1836">
        <f>IF(C1836="","",C1836&lt;=25)</f>
        <v/>
      </c>
      <c r="F1836">
        <f>IF(A1836="","",IF(AND(D1836=TRUE,E1836=""),"BUY",IF(AND(D1836=FALSE,E1836&lt;&gt;""),"SELL",IF(AND(D1836=TRUE,E1836&lt;&gt;""),"HOLD",""))))</f>
        <v/>
      </c>
      <c r="G1836" s="12">
        <f>IF(D1836=TRUE,4,0)</f>
        <v/>
      </c>
      <c r="H1836">
        <f>IF(A1836="","",BDP(A1836&amp;" US Equity","GICS_SECTOR_NAME"))</f>
        <v/>
      </c>
    </row>
    <row r="1837">
      <c r="A1837">
        <f>'Factor Scores'!A1837</f>
        <v/>
      </c>
      <c r="B1837" s="10">
        <f>IF(A1837="","",0.40*'Factor Scores'!C1837+0.20*'Factor Scores'!E1837+0.20*'Factor Scores'!G1837+0.20*'Factor Scores'!H1837)</f>
        <v/>
      </c>
      <c r="C1837" s="12">
        <f>IF(B1837="","",RANK(B1837,$B$2:$B$2501,0))</f>
        <v/>
      </c>
      <c r="D1837">
        <f>IF(C1837="","",C1837&lt;=25)</f>
        <v/>
      </c>
      <c r="F1837">
        <f>IF(A1837="","",IF(AND(D1837=TRUE,E1837=""),"BUY",IF(AND(D1837=FALSE,E1837&lt;&gt;""),"SELL",IF(AND(D1837=TRUE,E1837&lt;&gt;""),"HOLD",""))))</f>
        <v/>
      </c>
      <c r="G1837" s="12">
        <f>IF(D1837=TRUE,4,0)</f>
        <v/>
      </c>
      <c r="H1837">
        <f>IF(A1837="","",BDP(A1837&amp;" US Equity","GICS_SECTOR_NAME"))</f>
        <v/>
      </c>
    </row>
    <row r="1838">
      <c r="A1838">
        <f>'Factor Scores'!A1838</f>
        <v/>
      </c>
      <c r="B1838" s="10">
        <f>IF(A1838="","",0.40*'Factor Scores'!C1838+0.20*'Factor Scores'!E1838+0.20*'Factor Scores'!G1838+0.20*'Factor Scores'!H1838)</f>
        <v/>
      </c>
      <c r="C1838" s="12">
        <f>IF(B1838="","",RANK(B1838,$B$2:$B$2501,0))</f>
        <v/>
      </c>
      <c r="D1838">
        <f>IF(C1838="","",C1838&lt;=25)</f>
        <v/>
      </c>
      <c r="F1838">
        <f>IF(A1838="","",IF(AND(D1838=TRUE,E1838=""),"BUY",IF(AND(D1838=FALSE,E1838&lt;&gt;""),"SELL",IF(AND(D1838=TRUE,E1838&lt;&gt;""),"HOLD",""))))</f>
        <v/>
      </c>
      <c r="G1838" s="12">
        <f>IF(D1838=TRUE,4,0)</f>
        <v/>
      </c>
      <c r="H1838">
        <f>IF(A1838="","",BDP(A1838&amp;" US Equity","GICS_SECTOR_NAME"))</f>
        <v/>
      </c>
    </row>
    <row r="1839">
      <c r="A1839">
        <f>'Factor Scores'!A1839</f>
        <v/>
      </c>
      <c r="B1839" s="10">
        <f>IF(A1839="","",0.40*'Factor Scores'!C1839+0.20*'Factor Scores'!E1839+0.20*'Factor Scores'!G1839+0.20*'Factor Scores'!H1839)</f>
        <v/>
      </c>
      <c r="C1839" s="12">
        <f>IF(B1839="","",RANK(B1839,$B$2:$B$2501,0))</f>
        <v/>
      </c>
      <c r="D1839">
        <f>IF(C1839="","",C1839&lt;=25)</f>
        <v/>
      </c>
      <c r="F1839">
        <f>IF(A1839="","",IF(AND(D1839=TRUE,E1839=""),"BUY",IF(AND(D1839=FALSE,E1839&lt;&gt;""),"SELL",IF(AND(D1839=TRUE,E1839&lt;&gt;""),"HOLD",""))))</f>
        <v/>
      </c>
      <c r="G1839" s="12">
        <f>IF(D1839=TRUE,4,0)</f>
        <v/>
      </c>
      <c r="H1839">
        <f>IF(A1839="","",BDP(A1839&amp;" US Equity","GICS_SECTOR_NAME"))</f>
        <v/>
      </c>
    </row>
    <row r="1840">
      <c r="A1840">
        <f>'Factor Scores'!A1840</f>
        <v/>
      </c>
      <c r="B1840" s="10">
        <f>IF(A1840="","",0.40*'Factor Scores'!C1840+0.20*'Factor Scores'!E1840+0.20*'Factor Scores'!G1840+0.20*'Factor Scores'!H1840)</f>
        <v/>
      </c>
      <c r="C1840" s="12">
        <f>IF(B1840="","",RANK(B1840,$B$2:$B$2501,0))</f>
        <v/>
      </c>
      <c r="D1840">
        <f>IF(C1840="","",C1840&lt;=25)</f>
        <v/>
      </c>
      <c r="F1840">
        <f>IF(A1840="","",IF(AND(D1840=TRUE,E1840=""),"BUY",IF(AND(D1840=FALSE,E1840&lt;&gt;""),"SELL",IF(AND(D1840=TRUE,E1840&lt;&gt;""),"HOLD",""))))</f>
        <v/>
      </c>
      <c r="G1840" s="12">
        <f>IF(D1840=TRUE,4,0)</f>
        <v/>
      </c>
      <c r="H1840">
        <f>IF(A1840="","",BDP(A1840&amp;" US Equity","GICS_SECTOR_NAME"))</f>
        <v/>
      </c>
    </row>
    <row r="1841">
      <c r="A1841">
        <f>'Factor Scores'!A1841</f>
        <v/>
      </c>
      <c r="B1841" s="10">
        <f>IF(A1841="","",0.40*'Factor Scores'!C1841+0.20*'Factor Scores'!E1841+0.20*'Factor Scores'!G1841+0.20*'Factor Scores'!H1841)</f>
        <v/>
      </c>
      <c r="C1841" s="12">
        <f>IF(B1841="","",RANK(B1841,$B$2:$B$2501,0))</f>
        <v/>
      </c>
      <c r="D1841">
        <f>IF(C1841="","",C1841&lt;=25)</f>
        <v/>
      </c>
      <c r="F1841">
        <f>IF(A1841="","",IF(AND(D1841=TRUE,E1841=""),"BUY",IF(AND(D1841=FALSE,E1841&lt;&gt;""),"SELL",IF(AND(D1841=TRUE,E1841&lt;&gt;""),"HOLD",""))))</f>
        <v/>
      </c>
      <c r="G1841" s="12">
        <f>IF(D1841=TRUE,4,0)</f>
        <v/>
      </c>
      <c r="H1841">
        <f>IF(A1841="","",BDP(A1841&amp;" US Equity","GICS_SECTOR_NAME"))</f>
        <v/>
      </c>
    </row>
    <row r="1842">
      <c r="A1842">
        <f>'Factor Scores'!A1842</f>
        <v/>
      </c>
      <c r="B1842" s="10">
        <f>IF(A1842="","",0.40*'Factor Scores'!C1842+0.20*'Factor Scores'!E1842+0.20*'Factor Scores'!G1842+0.20*'Factor Scores'!H1842)</f>
        <v/>
      </c>
      <c r="C1842" s="12">
        <f>IF(B1842="","",RANK(B1842,$B$2:$B$2501,0))</f>
        <v/>
      </c>
      <c r="D1842">
        <f>IF(C1842="","",C1842&lt;=25)</f>
        <v/>
      </c>
      <c r="F1842">
        <f>IF(A1842="","",IF(AND(D1842=TRUE,E1842=""),"BUY",IF(AND(D1842=FALSE,E1842&lt;&gt;""),"SELL",IF(AND(D1842=TRUE,E1842&lt;&gt;""),"HOLD",""))))</f>
        <v/>
      </c>
      <c r="G1842" s="12">
        <f>IF(D1842=TRUE,4,0)</f>
        <v/>
      </c>
      <c r="H1842">
        <f>IF(A1842="","",BDP(A1842&amp;" US Equity","GICS_SECTOR_NAME"))</f>
        <v/>
      </c>
    </row>
    <row r="1843">
      <c r="A1843">
        <f>'Factor Scores'!A1843</f>
        <v/>
      </c>
      <c r="B1843" s="10">
        <f>IF(A1843="","",0.40*'Factor Scores'!C1843+0.20*'Factor Scores'!E1843+0.20*'Factor Scores'!G1843+0.20*'Factor Scores'!H1843)</f>
        <v/>
      </c>
      <c r="C1843" s="12">
        <f>IF(B1843="","",RANK(B1843,$B$2:$B$2501,0))</f>
        <v/>
      </c>
      <c r="D1843">
        <f>IF(C1843="","",C1843&lt;=25)</f>
        <v/>
      </c>
      <c r="F1843">
        <f>IF(A1843="","",IF(AND(D1843=TRUE,E1843=""),"BUY",IF(AND(D1843=FALSE,E1843&lt;&gt;""),"SELL",IF(AND(D1843=TRUE,E1843&lt;&gt;""),"HOLD",""))))</f>
        <v/>
      </c>
      <c r="G1843" s="12">
        <f>IF(D1843=TRUE,4,0)</f>
        <v/>
      </c>
      <c r="H1843">
        <f>IF(A1843="","",BDP(A1843&amp;" US Equity","GICS_SECTOR_NAME"))</f>
        <v/>
      </c>
    </row>
    <row r="1844">
      <c r="A1844">
        <f>'Factor Scores'!A1844</f>
        <v/>
      </c>
      <c r="B1844" s="10">
        <f>IF(A1844="","",0.40*'Factor Scores'!C1844+0.20*'Factor Scores'!E1844+0.20*'Factor Scores'!G1844+0.20*'Factor Scores'!H1844)</f>
        <v/>
      </c>
      <c r="C1844" s="12">
        <f>IF(B1844="","",RANK(B1844,$B$2:$B$2501,0))</f>
        <v/>
      </c>
      <c r="D1844">
        <f>IF(C1844="","",C1844&lt;=25)</f>
        <v/>
      </c>
      <c r="F1844">
        <f>IF(A1844="","",IF(AND(D1844=TRUE,E1844=""),"BUY",IF(AND(D1844=FALSE,E1844&lt;&gt;""),"SELL",IF(AND(D1844=TRUE,E1844&lt;&gt;""),"HOLD",""))))</f>
        <v/>
      </c>
      <c r="G1844" s="12">
        <f>IF(D1844=TRUE,4,0)</f>
        <v/>
      </c>
      <c r="H1844">
        <f>IF(A1844="","",BDP(A1844&amp;" US Equity","GICS_SECTOR_NAME"))</f>
        <v/>
      </c>
    </row>
    <row r="1845">
      <c r="A1845">
        <f>'Factor Scores'!A1845</f>
        <v/>
      </c>
      <c r="B1845" s="10">
        <f>IF(A1845="","",0.40*'Factor Scores'!C1845+0.20*'Factor Scores'!E1845+0.20*'Factor Scores'!G1845+0.20*'Factor Scores'!H1845)</f>
        <v/>
      </c>
      <c r="C1845" s="12">
        <f>IF(B1845="","",RANK(B1845,$B$2:$B$2501,0))</f>
        <v/>
      </c>
      <c r="D1845">
        <f>IF(C1845="","",C1845&lt;=25)</f>
        <v/>
      </c>
      <c r="F1845">
        <f>IF(A1845="","",IF(AND(D1845=TRUE,E1845=""),"BUY",IF(AND(D1845=FALSE,E1845&lt;&gt;""),"SELL",IF(AND(D1845=TRUE,E1845&lt;&gt;""),"HOLD",""))))</f>
        <v/>
      </c>
      <c r="G1845" s="12">
        <f>IF(D1845=TRUE,4,0)</f>
        <v/>
      </c>
      <c r="H1845">
        <f>IF(A1845="","",BDP(A1845&amp;" US Equity","GICS_SECTOR_NAME"))</f>
        <v/>
      </c>
    </row>
    <row r="1846">
      <c r="A1846">
        <f>'Factor Scores'!A1846</f>
        <v/>
      </c>
      <c r="B1846" s="10">
        <f>IF(A1846="","",0.40*'Factor Scores'!C1846+0.20*'Factor Scores'!E1846+0.20*'Factor Scores'!G1846+0.20*'Factor Scores'!H1846)</f>
        <v/>
      </c>
      <c r="C1846" s="12">
        <f>IF(B1846="","",RANK(B1846,$B$2:$B$2501,0))</f>
        <v/>
      </c>
      <c r="D1846">
        <f>IF(C1846="","",C1846&lt;=25)</f>
        <v/>
      </c>
      <c r="F1846">
        <f>IF(A1846="","",IF(AND(D1846=TRUE,E1846=""),"BUY",IF(AND(D1846=FALSE,E1846&lt;&gt;""),"SELL",IF(AND(D1846=TRUE,E1846&lt;&gt;""),"HOLD",""))))</f>
        <v/>
      </c>
      <c r="G1846" s="12">
        <f>IF(D1846=TRUE,4,0)</f>
        <v/>
      </c>
      <c r="H1846">
        <f>IF(A1846="","",BDP(A1846&amp;" US Equity","GICS_SECTOR_NAME"))</f>
        <v/>
      </c>
    </row>
    <row r="1847">
      <c r="A1847">
        <f>'Factor Scores'!A1847</f>
        <v/>
      </c>
      <c r="B1847" s="10">
        <f>IF(A1847="","",0.40*'Factor Scores'!C1847+0.20*'Factor Scores'!E1847+0.20*'Factor Scores'!G1847+0.20*'Factor Scores'!H1847)</f>
        <v/>
      </c>
      <c r="C1847" s="12">
        <f>IF(B1847="","",RANK(B1847,$B$2:$B$2501,0))</f>
        <v/>
      </c>
      <c r="D1847">
        <f>IF(C1847="","",C1847&lt;=25)</f>
        <v/>
      </c>
      <c r="F1847">
        <f>IF(A1847="","",IF(AND(D1847=TRUE,E1847=""),"BUY",IF(AND(D1847=FALSE,E1847&lt;&gt;""),"SELL",IF(AND(D1847=TRUE,E1847&lt;&gt;""),"HOLD",""))))</f>
        <v/>
      </c>
      <c r="G1847" s="12">
        <f>IF(D1847=TRUE,4,0)</f>
        <v/>
      </c>
      <c r="H1847">
        <f>IF(A1847="","",BDP(A1847&amp;" US Equity","GICS_SECTOR_NAME"))</f>
        <v/>
      </c>
    </row>
    <row r="1848">
      <c r="A1848">
        <f>'Factor Scores'!A1848</f>
        <v/>
      </c>
      <c r="B1848" s="10">
        <f>IF(A1848="","",0.40*'Factor Scores'!C1848+0.20*'Factor Scores'!E1848+0.20*'Factor Scores'!G1848+0.20*'Factor Scores'!H1848)</f>
        <v/>
      </c>
      <c r="C1848" s="12">
        <f>IF(B1848="","",RANK(B1848,$B$2:$B$2501,0))</f>
        <v/>
      </c>
      <c r="D1848">
        <f>IF(C1848="","",C1848&lt;=25)</f>
        <v/>
      </c>
      <c r="F1848">
        <f>IF(A1848="","",IF(AND(D1848=TRUE,E1848=""),"BUY",IF(AND(D1848=FALSE,E1848&lt;&gt;""),"SELL",IF(AND(D1848=TRUE,E1848&lt;&gt;""),"HOLD",""))))</f>
        <v/>
      </c>
      <c r="G1848" s="12">
        <f>IF(D1848=TRUE,4,0)</f>
        <v/>
      </c>
      <c r="H1848">
        <f>IF(A1848="","",BDP(A1848&amp;" US Equity","GICS_SECTOR_NAME"))</f>
        <v/>
      </c>
    </row>
    <row r="1849">
      <c r="A1849">
        <f>'Factor Scores'!A1849</f>
        <v/>
      </c>
      <c r="B1849" s="10">
        <f>IF(A1849="","",0.40*'Factor Scores'!C1849+0.20*'Factor Scores'!E1849+0.20*'Factor Scores'!G1849+0.20*'Factor Scores'!H1849)</f>
        <v/>
      </c>
      <c r="C1849" s="12">
        <f>IF(B1849="","",RANK(B1849,$B$2:$B$2501,0))</f>
        <v/>
      </c>
      <c r="D1849">
        <f>IF(C1849="","",C1849&lt;=25)</f>
        <v/>
      </c>
      <c r="F1849">
        <f>IF(A1849="","",IF(AND(D1849=TRUE,E1849=""),"BUY",IF(AND(D1849=FALSE,E1849&lt;&gt;""),"SELL",IF(AND(D1849=TRUE,E1849&lt;&gt;""),"HOLD",""))))</f>
        <v/>
      </c>
      <c r="G1849" s="12">
        <f>IF(D1849=TRUE,4,0)</f>
        <v/>
      </c>
      <c r="H1849">
        <f>IF(A1849="","",BDP(A1849&amp;" US Equity","GICS_SECTOR_NAME"))</f>
        <v/>
      </c>
    </row>
    <row r="1850">
      <c r="A1850">
        <f>'Factor Scores'!A1850</f>
        <v/>
      </c>
      <c r="B1850" s="10">
        <f>IF(A1850="","",0.40*'Factor Scores'!C1850+0.20*'Factor Scores'!E1850+0.20*'Factor Scores'!G1850+0.20*'Factor Scores'!H1850)</f>
        <v/>
      </c>
      <c r="C1850" s="12">
        <f>IF(B1850="","",RANK(B1850,$B$2:$B$2501,0))</f>
        <v/>
      </c>
      <c r="D1850">
        <f>IF(C1850="","",C1850&lt;=25)</f>
        <v/>
      </c>
      <c r="F1850">
        <f>IF(A1850="","",IF(AND(D1850=TRUE,E1850=""),"BUY",IF(AND(D1850=FALSE,E1850&lt;&gt;""),"SELL",IF(AND(D1850=TRUE,E1850&lt;&gt;""),"HOLD",""))))</f>
        <v/>
      </c>
      <c r="G1850" s="12">
        <f>IF(D1850=TRUE,4,0)</f>
        <v/>
      </c>
      <c r="H1850">
        <f>IF(A1850="","",BDP(A1850&amp;" US Equity","GICS_SECTOR_NAME"))</f>
        <v/>
      </c>
    </row>
    <row r="1851">
      <c r="A1851">
        <f>'Factor Scores'!A1851</f>
        <v/>
      </c>
      <c r="B1851" s="10">
        <f>IF(A1851="","",0.40*'Factor Scores'!C1851+0.20*'Factor Scores'!E1851+0.20*'Factor Scores'!G1851+0.20*'Factor Scores'!H1851)</f>
        <v/>
      </c>
      <c r="C1851" s="12">
        <f>IF(B1851="","",RANK(B1851,$B$2:$B$2501,0))</f>
        <v/>
      </c>
      <c r="D1851">
        <f>IF(C1851="","",C1851&lt;=25)</f>
        <v/>
      </c>
      <c r="F1851">
        <f>IF(A1851="","",IF(AND(D1851=TRUE,E1851=""),"BUY",IF(AND(D1851=FALSE,E1851&lt;&gt;""),"SELL",IF(AND(D1851=TRUE,E1851&lt;&gt;""),"HOLD",""))))</f>
        <v/>
      </c>
      <c r="G1851" s="12">
        <f>IF(D1851=TRUE,4,0)</f>
        <v/>
      </c>
      <c r="H1851">
        <f>IF(A1851="","",BDP(A1851&amp;" US Equity","GICS_SECTOR_NAME"))</f>
        <v/>
      </c>
    </row>
    <row r="1852">
      <c r="A1852">
        <f>'Factor Scores'!A1852</f>
        <v/>
      </c>
      <c r="B1852" s="10">
        <f>IF(A1852="","",0.40*'Factor Scores'!C1852+0.20*'Factor Scores'!E1852+0.20*'Factor Scores'!G1852+0.20*'Factor Scores'!H1852)</f>
        <v/>
      </c>
      <c r="C1852" s="12">
        <f>IF(B1852="","",RANK(B1852,$B$2:$B$2501,0))</f>
        <v/>
      </c>
      <c r="D1852">
        <f>IF(C1852="","",C1852&lt;=25)</f>
        <v/>
      </c>
      <c r="F1852">
        <f>IF(A1852="","",IF(AND(D1852=TRUE,E1852=""),"BUY",IF(AND(D1852=FALSE,E1852&lt;&gt;""),"SELL",IF(AND(D1852=TRUE,E1852&lt;&gt;""),"HOLD",""))))</f>
        <v/>
      </c>
      <c r="G1852" s="12">
        <f>IF(D1852=TRUE,4,0)</f>
        <v/>
      </c>
      <c r="H1852">
        <f>IF(A1852="","",BDP(A1852&amp;" US Equity","GICS_SECTOR_NAME"))</f>
        <v/>
      </c>
    </row>
    <row r="1853">
      <c r="A1853">
        <f>'Factor Scores'!A1853</f>
        <v/>
      </c>
      <c r="B1853" s="10">
        <f>IF(A1853="","",0.40*'Factor Scores'!C1853+0.20*'Factor Scores'!E1853+0.20*'Factor Scores'!G1853+0.20*'Factor Scores'!H1853)</f>
        <v/>
      </c>
      <c r="C1853" s="12">
        <f>IF(B1853="","",RANK(B1853,$B$2:$B$2501,0))</f>
        <v/>
      </c>
      <c r="D1853">
        <f>IF(C1853="","",C1853&lt;=25)</f>
        <v/>
      </c>
      <c r="F1853">
        <f>IF(A1853="","",IF(AND(D1853=TRUE,E1853=""),"BUY",IF(AND(D1853=FALSE,E1853&lt;&gt;""),"SELL",IF(AND(D1853=TRUE,E1853&lt;&gt;""),"HOLD",""))))</f>
        <v/>
      </c>
      <c r="G1853" s="12">
        <f>IF(D1853=TRUE,4,0)</f>
        <v/>
      </c>
      <c r="H1853">
        <f>IF(A1853="","",BDP(A1853&amp;" US Equity","GICS_SECTOR_NAME"))</f>
        <v/>
      </c>
    </row>
    <row r="1854">
      <c r="A1854">
        <f>'Factor Scores'!A1854</f>
        <v/>
      </c>
      <c r="B1854" s="10">
        <f>IF(A1854="","",0.40*'Factor Scores'!C1854+0.20*'Factor Scores'!E1854+0.20*'Factor Scores'!G1854+0.20*'Factor Scores'!H1854)</f>
        <v/>
      </c>
      <c r="C1854" s="12">
        <f>IF(B1854="","",RANK(B1854,$B$2:$B$2501,0))</f>
        <v/>
      </c>
      <c r="D1854">
        <f>IF(C1854="","",C1854&lt;=25)</f>
        <v/>
      </c>
      <c r="F1854">
        <f>IF(A1854="","",IF(AND(D1854=TRUE,E1854=""),"BUY",IF(AND(D1854=FALSE,E1854&lt;&gt;""),"SELL",IF(AND(D1854=TRUE,E1854&lt;&gt;""),"HOLD",""))))</f>
        <v/>
      </c>
      <c r="G1854" s="12">
        <f>IF(D1854=TRUE,4,0)</f>
        <v/>
      </c>
      <c r="H1854">
        <f>IF(A1854="","",BDP(A1854&amp;" US Equity","GICS_SECTOR_NAME"))</f>
        <v/>
      </c>
    </row>
    <row r="1855">
      <c r="A1855">
        <f>'Factor Scores'!A1855</f>
        <v/>
      </c>
      <c r="B1855" s="10">
        <f>IF(A1855="","",0.40*'Factor Scores'!C1855+0.20*'Factor Scores'!E1855+0.20*'Factor Scores'!G1855+0.20*'Factor Scores'!H1855)</f>
        <v/>
      </c>
      <c r="C1855" s="12">
        <f>IF(B1855="","",RANK(B1855,$B$2:$B$2501,0))</f>
        <v/>
      </c>
      <c r="D1855">
        <f>IF(C1855="","",C1855&lt;=25)</f>
        <v/>
      </c>
      <c r="F1855">
        <f>IF(A1855="","",IF(AND(D1855=TRUE,E1855=""),"BUY",IF(AND(D1855=FALSE,E1855&lt;&gt;""),"SELL",IF(AND(D1855=TRUE,E1855&lt;&gt;""),"HOLD",""))))</f>
        <v/>
      </c>
      <c r="G1855" s="12">
        <f>IF(D1855=TRUE,4,0)</f>
        <v/>
      </c>
      <c r="H1855">
        <f>IF(A1855="","",BDP(A1855&amp;" US Equity","GICS_SECTOR_NAME"))</f>
        <v/>
      </c>
    </row>
    <row r="1856">
      <c r="A1856">
        <f>'Factor Scores'!A1856</f>
        <v/>
      </c>
      <c r="B1856" s="10">
        <f>IF(A1856="","",0.40*'Factor Scores'!C1856+0.20*'Factor Scores'!E1856+0.20*'Factor Scores'!G1856+0.20*'Factor Scores'!H1856)</f>
        <v/>
      </c>
      <c r="C1856" s="12">
        <f>IF(B1856="","",RANK(B1856,$B$2:$B$2501,0))</f>
        <v/>
      </c>
      <c r="D1856">
        <f>IF(C1856="","",C1856&lt;=25)</f>
        <v/>
      </c>
      <c r="F1856">
        <f>IF(A1856="","",IF(AND(D1856=TRUE,E1856=""),"BUY",IF(AND(D1856=FALSE,E1856&lt;&gt;""),"SELL",IF(AND(D1856=TRUE,E1856&lt;&gt;""),"HOLD",""))))</f>
        <v/>
      </c>
      <c r="G1856" s="12">
        <f>IF(D1856=TRUE,4,0)</f>
        <v/>
      </c>
      <c r="H1856">
        <f>IF(A1856="","",BDP(A1856&amp;" US Equity","GICS_SECTOR_NAME"))</f>
        <v/>
      </c>
    </row>
    <row r="1857">
      <c r="A1857">
        <f>'Factor Scores'!A1857</f>
        <v/>
      </c>
      <c r="B1857" s="10">
        <f>IF(A1857="","",0.40*'Factor Scores'!C1857+0.20*'Factor Scores'!E1857+0.20*'Factor Scores'!G1857+0.20*'Factor Scores'!H1857)</f>
        <v/>
      </c>
      <c r="C1857" s="12">
        <f>IF(B1857="","",RANK(B1857,$B$2:$B$2501,0))</f>
        <v/>
      </c>
      <c r="D1857">
        <f>IF(C1857="","",C1857&lt;=25)</f>
        <v/>
      </c>
      <c r="F1857">
        <f>IF(A1857="","",IF(AND(D1857=TRUE,E1857=""),"BUY",IF(AND(D1857=FALSE,E1857&lt;&gt;""),"SELL",IF(AND(D1857=TRUE,E1857&lt;&gt;""),"HOLD",""))))</f>
        <v/>
      </c>
      <c r="G1857" s="12">
        <f>IF(D1857=TRUE,4,0)</f>
        <v/>
      </c>
      <c r="H1857">
        <f>IF(A1857="","",BDP(A1857&amp;" US Equity","GICS_SECTOR_NAME"))</f>
        <v/>
      </c>
    </row>
    <row r="1858">
      <c r="A1858">
        <f>'Factor Scores'!A1858</f>
        <v/>
      </c>
      <c r="B1858" s="10">
        <f>IF(A1858="","",0.40*'Factor Scores'!C1858+0.20*'Factor Scores'!E1858+0.20*'Factor Scores'!G1858+0.20*'Factor Scores'!H1858)</f>
        <v/>
      </c>
      <c r="C1858" s="12">
        <f>IF(B1858="","",RANK(B1858,$B$2:$B$2501,0))</f>
        <v/>
      </c>
      <c r="D1858">
        <f>IF(C1858="","",C1858&lt;=25)</f>
        <v/>
      </c>
      <c r="F1858">
        <f>IF(A1858="","",IF(AND(D1858=TRUE,E1858=""),"BUY",IF(AND(D1858=FALSE,E1858&lt;&gt;""),"SELL",IF(AND(D1858=TRUE,E1858&lt;&gt;""),"HOLD",""))))</f>
        <v/>
      </c>
      <c r="G1858" s="12">
        <f>IF(D1858=TRUE,4,0)</f>
        <v/>
      </c>
      <c r="H1858">
        <f>IF(A1858="","",BDP(A1858&amp;" US Equity","GICS_SECTOR_NAME"))</f>
        <v/>
      </c>
    </row>
    <row r="1859">
      <c r="A1859">
        <f>'Factor Scores'!A1859</f>
        <v/>
      </c>
      <c r="B1859" s="10">
        <f>IF(A1859="","",0.40*'Factor Scores'!C1859+0.20*'Factor Scores'!E1859+0.20*'Factor Scores'!G1859+0.20*'Factor Scores'!H1859)</f>
        <v/>
      </c>
      <c r="C1859" s="12">
        <f>IF(B1859="","",RANK(B1859,$B$2:$B$2501,0))</f>
        <v/>
      </c>
      <c r="D1859">
        <f>IF(C1859="","",C1859&lt;=25)</f>
        <v/>
      </c>
      <c r="F1859">
        <f>IF(A1859="","",IF(AND(D1859=TRUE,E1859=""),"BUY",IF(AND(D1859=FALSE,E1859&lt;&gt;""),"SELL",IF(AND(D1859=TRUE,E1859&lt;&gt;""),"HOLD",""))))</f>
        <v/>
      </c>
      <c r="G1859" s="12">
        <f>IF(D1859=TRUE,4,0)</f>
        <v/>
      </c>
      <c r="H1859">
        <f>IF(A1859="","",BDP(A1859&amp;" US Equity","GICS_SECTOR_NAME"))</f>
        <v/>
      </c>
    </row>
    <row r="1860">
      <c r="A1860">
        <f>'Factor Scores'!A1860</f>
        <v/>
      </c>
      <c r="B1860" s="10">
        <f>IF(A1860="","",0.40*'Factor Scores'!C1860+0.20*'Factor Scores'!E1860+0.20*'Factor Scores'!G1860+0.20*'Factor Scores'!H1860)</f>
        <v/>
      </c>
      <c r="C1860" s="12">
        <f>IF(B1860="","",RANK(B1860,$B$2:$B$2501,0))</f>
        <v/>
      </c>
      <c r="D1860">
        <f>IF(C1860="","",C1860&lt;=25)</f>
        <v/>
      </c>
      <c r="F1860">
        <f>IF(A1860="","",IF(AND(D1860=TRUE,E1860=""),"BUY",IF(AND(D1860=FALSE,E1860&lt;&gt;""),"SELL",IF(AND(D1860=TRUE,E1860&lt;&gt;""),"HOLD",""))))</f>
        <v/>
      </c>
      <c r="G1860" s="12">
        <f>IF(D1860=TRUE,4,0)</f>
        <v/>
      </c>
      <c r="H1860">
        <f>IF(A1860="","",BDP(A1860&amp;" US Equity","GICS_SECTOR_NAME"))</f>
        <v/>
      </c>
    </row>
    <row r="1861">
      <c r="A1861">
        <f>'Factor Scores'!A1861</f>
        <v/>
      </c>
      <c r="B1861" s="10">
        <f>IF(A1861="","",0.40*'Factor Scores'!C1861+0.20*'Factor Scores'!E1861+0.20*'Factor Scores'!G1861+0.20*'Factor Scores'!H1861)</f>
        <v/>
      </c>
      <c r="C1861" s="12">
        <f>IF(B1861="","",RANK(B1861,$B$2:$B$2501,0))</f>
        <v/>
      </c>
      <c r="D1861">
        <f>IF(C1861="","",C1861&lt;=25)</f>
        <v/>
      </c>
      <c r="F1861">
        <f>IF(A1861="","",IF(AND(D1861=TRUE,E1861=""),"BUY",IF(AND(D1861=FALSE,E1861&lt;&gt;""),"SELL",IF(AND(D1861=TRUE,E1861&lt;&gt;""),"HOLD",""))))</f>
        <v/>
      </c>
      <c r="G1861" s="12">
        <f>IF(D1861=TRUE,4,0)</f>
        <v/>
      </c>
      <c r="H1861">
        <f>IF(A1861="","",BDP(A1861&amp;" US Equity","GICS_SECTOR_NAME"))</f>
        <v/>
      </c>
    </row>
    <row r="1862">
      <c r="A1862">
        <f>'Factor Scores'!A1862</f>
        <v/>
      </c>
      <c r="B1862" s="10">
        <f>IF(A1862="","",0.40*'Factor Scores'!C1862+0.20*'Factor Scores'!E1862+0.20*'Factor Scores'!G1862+0.20*'Factor Scores'!H1862)</f>
        <v/>
      </c>
      <c r="C1862" s="12">
        <f>IF(B1862="","",RANK(B1862,$B$2:$B$2501,0))</f>
        <v/>
      </c>
      <c r="D1862">
        <f>IF(C1862="","",C1862&lt;=25)</f>
        <v/>
      </c>
      <c r="F1862">
        <f>IF(A1862="","",IF(AND(D1862=TRUE,E1862=""),"BUY",IF(AND(D1862=FALSE,E1862&lt;&gt;""),"SELL",IF(AND(D1862=TRUE,E1862&lt;&gt;""),"HOLD",""))))</f>
        <v/>
      </c>
      <c r="G1862" s="12">
        <f>IF(D1862=TRUE,4,0)</f>
        <v/>
      </c>
      <c r="H1862">
        <f>IF(A1862="","",BDP(A1862&amp;" US Equity","GICS_SECTOR_NAME"))</f>
        <v/>
      </c>
    </row>
    <row r="1863">
      <c r="A1863">
        <f>'Factor Scores'!A1863</f>
        <v/>
      </c>
      <c r="B1863" s="10">
        <f>IF(A1863="","",0.40*'Factor Scores'!C1863+0.20*'Factor Scores'!E1863+0.20*'Factor Scores'!G1863+0.20*'Factor Scores'!H1863)</f>
        <v/>
      </c>
      <c r="C1863" s="12">
        <f>IF(B1863="","",RANK(B1863,$B$2:$B$2501,0))</f>
        <v/>
      </c>
      <c r="D1863">
        <f>IF(C1863="","",C1863&lt;=25)</f>
        <v/>
      </c>
      <c r="F1863">
        <f>IF(A1863="","",IF(AND(D1863=TRUE,E1863=""),"BUY",IF(AND(D1863=FALSE,E1863&lt;&gt;""),"SELL",IF(AND(D1863=TRUE,E1863&lt;&gt;""),"HOLD",""))))</f>
        <v/>
      </c>
      <c r="G1863" s="12">
        <f>IF(D1863=TRUE,4,0)</f>
        <v/>
      </c>
      <c r="H1863">
        <f>IF(A1863="","",BDP(A1863&amp;" US Equity","GICS_SECTOR_NAME"))</f>
        <v/>
      </c>
    </row>
    <row r="1864">
      <c r="A1864">
        <f>'Factor Scores'!A1864</f>
        <v/>
      </c>
      <c r="B1864" s="10">
        <f>IF(A1864="","",0.40*'Factor Scores'!C1864+0.20*'Factor Scores'!E1864+0.20*'Factor Scores'!G1864+0.20*'Factor Scores'!H1864)</f>
        <v/>
      </c>
      <c r="C1864" s="12">
        <f>IF(B1864="","",RANK(B1864,$B$2:$B$2501,0))</f>
        <v/>
      </c>
      <c r="D1864">
        <f>IF(C1864="","",C1864&lt;=25)</f>
        <v/>
      </c>
      <c r="F1864">
        <f>IF(A1864="","",IF(AND(D1864=TRUE,E1864=""),"BUY",IF(AND(D1864=FALSE,E1864&lt;&gt;""),"SELL",IF(AND(D1864=TRUE,E1864&lt;&gt;""),"HOLD",""))))</f>
        <v/>
      </c>
      <c r="G1864" s="12">
        <f>IF(D1864=TRUE,4,0)</f>
        <v/>
      </c>
      <c r="H1864">
        <f>IF(A1864="","",BDP(A1864&amp;" US Equity","GICS_SECTOR_NAME"))</f>
        <v/>
      </c>
    </row>
    <row r="1865">
      <c r="A1865">
        <f>'Factor Scores'!A1865</f>
        <v/>
      </c>
      <c r="B1865" s="10">
        <f>IF(A1865="","",0.40*'Factor Scores'!C1865+0.20*'Factor Scores'!E1865+0.20*'Factor Scores'!G1865+0.20*'Factor Scores'!H1865)</f>
        <v/>
      </c>
      <c r="C1865" s="12">
        <f>IF(B1865="","",RANK(B1865,$B$2:$B$2501,0))</f>
        <v/>
      </c>
      <c r="D1865">
        <f>IF(C1865="","",C1865&lt;=25)</f>
        <v/>
      </c>
      <c r="F1865">
        <f>IF(A1865="","",IF(AND(D1865=TRUE,E1865=""),"BUY",IF(AND(D1865=FALSE,E1865&lt;&gt;""),"SELL",IF(AND(D1865=TRUE,E1865&lt;&gt;""),"HOLD",""))))</f>
        <v/>
      </c>
      <c r="G1865" s="12">
        <f>IF(D1865=TRUE,4,0)</f>
        <v/>
      </c>
      <c r="H1865">
        <f>IF(A1865="","",BDP(A1865&amp;" US Equity","GICS_SECTOR_NAME"))</f>
        <v/>
      </c>
    </row>
    <row r="1866">
      <c r="A1866">
        <f>'Factor Scores'!A1866</f>
        <v/>
      </c>
      <c r="B1866" s="10">
        <f>IF(A1866="","",0.40*'Factor Scores'!C1866+0.20*'Factor Scores'!E1866+0.20*'Factor Scores'!G1866+0.20*'Factor Scores'!H1866)</f>
        <v/>
      </c>
      <c r="C1866" s="12">
        <f>IF(B1866="","",RANK(B1866,$B$2:$B$2501,0))</f>
        <v/>
      </c>
      <c r="D1866">
        <f>IF(C1866="","",C1866&lt;=25)</f>
        <v/>
      </c>
      <c r="F1866">
        <f>IF(A1866="","",IF(AND(D1866=TRUE,E1866=""),"BUY",IF(AND(D1866=FALSE,E1866&lt;&gt;""),"SELL",IF(AND(D1866=TRUE,E1866&lt;&gt;""),"HOLD",""))))</f>
        <v/>
      </c>
      <c r="G1866" s="12">
        <f>IF(D1866=TRUE,4,0)</f>
        <v/>
      </c>
      <c r="H1866">
        <f>IF(A1866="","",BDP(A1866&amp;" US Equity","GICS_SECTOR_NAME"))</f>
        <v/>
      </c>
    </row>
    <row r="1867">
      <c r="A1867">
        <f>'Factor Scores'!A1867</f>
        <v/>
      </c>
      <c r="B1867" s="10">
        <f>IF(A1867="","",0.40*'Factor Scores'!C1867+0.20*'Factor Scores'!E1867+0.20*'Factor Scores'!G1867+0.20*'Factor Scores'!H1867)</f>
        <v/>
      </c>
      <c r="C1867" s="12">
        <f>IF(B1867="","",RANK(B1867,$B$2:$B$2501,0))</f>
        <v/>
      </c>
      <c r="D1867">
        <f>IF(C1867="","",C1867&lt;=25)</f>
        <v/>
      </c>
      <c r="F1867">
        <f>IF(A1867="","",IF(AND(D1867=TRUE,E1867=""),"BUY",IF(AND(D1867=FALSE,E1867&lt;&gt;""),"SELL",IF(AND(D1867=TRUE,E1867&lt;&gt;""),"HOLD",""))))</f>
        <v/>
      </c>
      <c r="G1867" s="12">
        <f>IF(D1867=TRUE,4,0)</f>
        <v/>
      </c>
      <c r="H1867">
        <f>IF(A1867="","",BDP(A1867&amp;" US Equity","GICS_SECTOR_NAME"))</f>
        <v/>
      </c>
    </row>
    <row r="1868">
      <c r="A1868">
        <f>'Factor Scores'!A1868</f>
        <v/>
      </c>
      <c r="B1868" s="10">
        <f>IF(A1868="","",0.40*'Factor Scores'!C1868+0.20*'Factor Scores'!E1868+0.20*'Factor Scores'!G1868+0.20*'Factor Scores'!H1868)</f>
        <v/>
      </c>
      <c r="C1868" s="12">
        <f>IF(B1868="","",RANK(B1868,$B$2:$B$2501,0))</f>
        <v/>
      </c>
      <c r="D1868">
        <f>IF(C1868="","",C1868&lt;=25)</f>
        <v/>
      </c>
      <c r="F1868">
        <f>IF(A1868="","",IF(AND(D1868=TRUE,E1868=""),"BUY",IF(AND(D1868=FALSE,E1868&lt;&gt;""),"SELL",IF(AND(D1868=TRUE,E1868&lt;&gt;""),"HOLD",""))))</f>
        <v/>
      </c>
      <c r="G1868" s="12">
        <f>IF(D1868=TRUE,4,0)</f>
        <v/>
      </c>
      <c r="H1868">
        <f>IF(A1868="","",BDP(A1868&amp;" US Equity","GICS_SECTOR_NAME"))</f>
        <v/>
      </c>
    </row>
    <row r="1869">
      <c r="A1869">
        <f>'Factor Scores'!A1869</f>
        <v/>
      </c>
      <c r="B1869" s="10">
        <f>IF(A1869="","",0.40*'Factor Scores'!C1869+0.20*'Factor Scores'!E1869+0.20*'Factor Scores'!G1869+0.20*'Factor Scores'!H1869)</f>
        <v/>
      </c>
      <c r="C1869" s="12">
        <f>IF(B1869="","",RANK(B1869,$B$2:$B$2501,0))</f>
        <v/>
      </c>
      <c r="D1869">
        <f>IF(C1869="","",C1869&lt;=25)</f>
        <v/>
      </c>
      <c r="F1869">
        <f>IF(A1869="","",IF(AND(D1869=TRUE,E1869=""),"BUY",IF(AND(D1869=FALSE,E1869&lt;&gt;""),"SELL",IF(AND(D1869=TRUE,E1869&lt;&gt;""),"HOLD",""))))</f>
        <v/>
      </c>
      <c r="G1869" s="12">
        <f>IF(D1869=TRUE,4,0)</f>
        <v/>
      </c>
      <c r="H1869">
        <f>IF(A1869="","",BDP(A1869&amp;" US Equity","GICS_SECTOR_NAME"))</f>
        <v/>
      </c>
    </row>
    <row r="1870">
      <c r="A1870">
        <f>'Factor Scores'!A1870</f>
        <v/>
      </c>
      <c r="B1870" s="10">
        <f>IF(A1870="","",0.40*'Factor Scores'!C1870+0.20*'Factor Scores'!E1870+0.20*'Factor Scores'!G1870+0.20*'Factor Scores'!H1870)</f>
        <v/>
      </c>
      <c r="C1870" s="12">
        <f>IF(B1870="","",RANK(B1870,$B$2:$B$2501,0))</f>
        <v/>
      </c>
      <c r="D1870">
        <f>IF(C1870="","",C1870&lt;=25)</f>
        <v/>
      </c>
      <c r="F1870">
        <f>IF(A1870="","",IF(AND(D1870=TRUE,E1870=""),"BUY",IF(AND(D1870=FALSE,E1870&lt;&gt;""),"SELL",IF(AND(D1870=TRUE,E1870&lt;&gt;""),"HOLD",""))))</f>
        <v/>
      </c>
      <c r="G1870" s="12">
        <f>IF(D1870=TRUE,4,0)</f>
        <v/>
      </c>
      <c r="H1870">
        <f>IF(A1870="","",BDP(A1870&amp;" US Equity","GICS_SECTOR_NAME"))</f>
        <v/>
      </c>
    </row>
    <row r="1871">
      <c r="A1871">
        <f>'Factor Scores'!A1871</f>
        <v/>
      </c>
      <c r="B1871" s="10">
        <f>IF(A1871="","",0.40*'Factor Scores'!C1871+0.20*'Factor Scores'!E1871+0.20*'Factor Scores'!G1871+0.20*'Factor Scores'!H1871)</f>
        <v/>
      </c>
      <c r="C1871" s="12">
        <f>IF(B1871="","",RANK(B1871,$B$2:$B$2501,0))</f>
        <v/>
      </c>
      <c r="D1871">
        <f>IF(C1871="","",C1871&lt;=25)</f>
        <v/>
      </c>
      <c r="F1871">
        <f>IF(A1871="","",IF(AND(D1871=TRUE,E1871=""),"BUY",IF(AND(D1871=FALSE,E1871&lt;&gt;""),"SELL",IF(AND(D1871=TRUE,E1871&lt;&gt;""),"HOLD",""))))</f>
        <v/>
      </c>
      <c r="G1871" s="12">
        <f>IF(D1871=TRUE,4,0)</f>
        <v/>
      </c>
      <c r="H1871">
        <f>IF(A1871="","",BDP(A1871&amp;" US Equity","GICS_SECTOR_NAME"))</f>
        <v/>
      </c>
    </row>
    <row r="1872">
      <c r="A1872">
        <f>'Factor Scores'!A1872</f>
        <v/>
      </c>
      <c r="B1872" s="10">
        <f>IF(A1872="","",0.40*'Factor Scores'!C1872+0.20*'Factor Scores'!E1872+0.20*'Factor Scores'!G1872+0.20*'Factor Scores'!H1872)</f>
        <v/>
      </c>
      <c r="C1872" s="12">
        <f>IF(B1872="","",RANK(B1872,$B$2:$B$2501,0))</f>
        <v/>
      </c>
      <c r="D1872">
        <f>IF(C1872="","",C1872&lt;=25)</f>
        <v/>
      </c>
      <c r="F1872">
        <f>IF(A1872="","",IF(AND(D1872=TRUE,E1872=""),"BUY",IF(AND(D1872=FALSE,E1872&lt;&gt;""),"SELL",IF(AND(D1872=TRUE,E1872&lt;&gt;""),"HOLD",""))))</f>
        <v/>
      </c>
      <c r="G1872" s="12">
        <f>IF(D1872=TRUE,4,0)</f>
        <v/>
      </c>
      <c r="H1872">
        <f>IF(A1872="","",BDP(A1872&amp;" US Equity","GICS_SECTOR_NAME"))</f>
        <v/>
      </c>
    </row>
    <row r="1873">
      <c r="A1873">
        <f>'Factor Scores'!A1873</f>
        <v/>
      </c>
      <c r="B1873" s="10">
        <f>IF(A1873="","",0.40*'Factor Scores'!C1873+0.20*'Factor Scores'!E1873+0.20*'Factor Scores'!G1873+0.20*'Factor Scores'!H1873)</f>
        <v/>
      </c>
      <c r="C1873" s="12">
        <f>IF(B1873="","",RANK(B1873,$B$2:$B$2501,0))</f>
        <v/>
      </c>
      <c r="D1873">
        <f>IF(C1873="","",C1873&lt;=25)</f>
        <v/>
      </c>
      <c r="F1873">
        <f>IF(A1873="","",IF(AND(D1873=TRUE,E1873=""),"BUY",IF(AND(D1873=FALSE,E1873&lt;&gt;""),"SELL",IF(AND(D1873=TRUE,E1873&lt;&gt;""),"HOLD",""))))</f>
        <v/>
      </c>
      <c r="G1873" s="12">
        <f>IF(D1873=TRUE,4,0)</f>
        <v/>
      </c>
      <c r="H1873">
        <f>IF(A1873="","",BDP(A1873&amp;" US Equity","GICS_SECTOR_NAME"))</f>
        <v/>
      </c>
    </row>
    <row r="1874">
      <c r="A1874">
        <f>'Factor Scores'!A1874</f>
        <v/>
      </c>
      <c r="B1874" s="10">
        <f>IF(A1874="","",0.40*'Factor Scores'!C1874+0.20*'Factor Scores'!E1874+0.20*'Factor Scores'!G1874+0.20*'Factor Scores'!H1874)</f>
        <v/>
      </c>
      <c r="C1874" s="12">
        <f>IF(B1874="","",RANK(B1874,$B$2:$B$2501,0))</f>
        <v/>
      </c>
      <c r="D1874">
        <f>IF(C1874="","",C1874&lt;=25)</f>
        <v/>
      </c>
      <c r="F1874">
        <f>IF(A1874="","",IF(AND(D1874=TRUE,E1874=""),"BUY",IF(AND(D1874=FALSE,E1874&lt;&gt;""),"SELL",IF(AND(D1874=TRUE,E1874&lt;&gt;""),"HOLD",""))))</f>
        <v/>
      </c>
      <c r="G1874" s="12">
        <f>IF(D1874=TRUE,4,0)</f>
        <v/>
      </c>
      <c r="H1874">
        <f>IF(A1874="","",BDP(A1874&amp;" US Equity","GICS_SECTOR_NAME"))</f>
        <v/>
      </c>
    </row>
    <row r="1875">
      <c r="A1875">
        <f>'Factor Scores'!A1875</f>
        <v/>
      </c>
      <c r="B1875" s="10">
        <f>IF(A1875="","",0.40*'Factor Scores'!C1875+0.20*'Factor Scores'!E1875+0.20*'Factor Scores'!G1875+0.20*'Factor Scores'!H1875)</f>
        <v/>
      </c>
      <c r="C1875" s="12">
        <f>IF(B1875="","",RANK(B1875,$B$2:$B$2501,0))</f>
        <v/>
      </c>
      <c r="D1875">
        <f>IF(C1875="","",C1875&lt;=25)</f>
        <v/>
      </c>
      <c r="F1875">
        <f>IF(A1875="","",IF(AND(D1875=TRUE,E1875=""),"BUY",IF(AND(D1875=FALSE,E1875&lt;&gt;""),"SELL",IF(AND(D1875=TRUE,E1875&lt;&gt;""),"HOLD",""))))</f>
        <v/>
      </c>
      <c r="G1875" s="12">
        <f>IF(D1875=TRUE,4,0)</f>
        <v/>
      </c>
      <c r="H1875">
        <f>IF(A1875="","",BDP(A1875&amp;" US Equity","GICS_SECTOR_NAME"))</f>
        <v/>
      </c>
    </row>
    <row r="1876">
      <c r="A1876">
        <f>'Factor Scores'!A1876</f>
        <v/>
      </c>
      <c r="B1876" s="10">
        <f>IF(A1876="","",0.40*'Factor Scores'!C1876+0.20*'Factor Scores'!E1876+0.20*'Factor Scores'!G1876+0.20*'Factor Scores'!H1876)</f>
        <v/>
      </c>
      <c r="C1876" s="12">
        <f>IF(B1876="","",RANK(B1876,$B$2:$B$2501,0))</f>
        <v/>
      </c>
      <c r="D1876">
        <f>IF(C1876="","",C1876&lt;=25)</f>
        <v/>
      </c>
      <c r="F1876">
        <f>IF(A1876="","",IF(AND(D1876=TRUE,E1876=""),"BUY",IF(AND(D1876=FALSE,E1876&lt;&gt;""),"SELL",IF(AND(D1876=TRUE,E1876&lt;&gt;""),"HOLD",""))))</f>
        <v/>
      </c>
      <c r="G1876" s="12">
        <f>IF(D1876=TRUE,4,0)</f>
        <v/>
      </c>
      <c r="H1876">
        <f>IF(A1876="","",BDP(A1876&amp;" US Equity","GICS_SECTOR_NAME"))</f>
        <v/>
      </c>
    </row>
    <row r="1877">
      <c r="A1877">
        <f>'Factor Scores'!A1877</f>
        <v/>
      </c>
      <c r="B1877" s="10">
        <f>IF(A1877="","",0.40*'Factor Scores'!C1877+0.20*'Factor Scores'!E1877+0.20*'Factor Scores'!G1877+0.20*'Factor Scores'!H1877)</f>
        <v/>
      </c>
      <c r="C1877" s="12">
        <f>IF(B1877="","",RANK(B1877,$B$2:$B$2501,0))</f>
        <v/>
      </c>
      <c r="D1877">
        <f>IF(C1877="","",C1877&lt;=25)</f>
        <v/>
      </c>
      <c r="F1877">
        <f>IF(A1877="","",IF(AND(D1877=TRUE,E1877=""),"BUY",IF(AND(D1877=FALSE,E1877&lt;&gt;""),"SELL",IF(AND(D1877=TRUE,E1877&lt;&gt;""),"HOLD",""))))</f>
        <v/>
      </c>
      <c r="G1877" s="12">
        <f>IF(D1877=TRUE,4,0)</f>
        <v/>
      </c>
      <c r="H1877">
        <f>IF(A1877="","",BDP(A1877&amp;" US Equity","GICS_SECTOR_NAME"))</f>
        <v/>
      </c>
    </row>
    <row r="1878">
      <c r="A1878">
        <f>'Factor Scores'!A1878</f>
        <v/>
      </c>
      <c r="B1878" s="10">
        <f>IF(A1878="","",0.40*'Factor Scores'!C1878+0.20*'Factor Scores'!E1878+0.20*'Factor Scores'!G1878+0.20*'Factor Scores'!H1878)</f>
        <v/>
      </c>
      <c r="C1878" s="12">
        <f>IF(B1878="","",RANK(B1878,$B$2:$B$2501,0))</f>
        <v/>
      </c>
      <c r="D1878">
        <f>IF(C1878="","",C1878&lt;=25)</f>
        <v/>
      </c>
      <c r="F1878">
        <f>IF(A1878="","",IF(AND(D1878=TRUE,E1878=""),"BUY",IF(AND(D1878=FALSE,E1878&lt;&gt;""),"SELL",IF(AND(D1878=TRUE,E1878&lt;&gt;""),"HOLD",""))))</f>
        <v/>
      </c>
      <c r="G1878" s="12">
        <f>IF(D1878=TRUE,4,0)</f>
        <v/>
      </c>
      <c r="H1878">
        <f>IF(A1878="","",BDP(A1878&amp;" US Equity","GICS_SECTOR_NAME"))</f>
        <v/>
      </c>
    </row>
    <row r="1879">
      <c r="A1879">
        <f>'Factor Scores'!A1879</f>
        <v/>
      </c>
      <c r="B1879" s="10">
        <f>IF(A1879="","",0.40*'Factor Scores'!C1879+0.20*'Factor Scores'!E1879+0.20*'Factor Scores'!G1879+0.20*'Factor Scores'!H1879)</f>
        <v/>
      </c>
      <c r="C1879" s="12">
        <f>IF(B1879="","",RANK(B1879,$B$2:$B$2501,0))</f>
        <v/>
      </c>
      <c r="D1879">
        <f>IF(C1879="","",C1879&lt;=25)</f>
        <v/>
      </c>
      <c r="F1879">
        <f>IF(A1879="","",IF(AND(D1879=TRUE,E1879=""),"BUY",IF(AND(D1879=FALSE,E1879&lt;&gt;""),"SELL",IF(AND(D1879=TRUE,E1879&lt;&gt;""),"HOLD",""))))</f>
        <v/>
      </c>
      <c r="G1879" s="12">
        <f>IF(D1879=TRUE,4,0)</f>
        <v/>
      </c>
      <c r="H1879">
        <f>IF(A1879="","",BDP(A1879&amp;" US Equity","GICS_SECTOR_NAME"))</f>
        <v/>
      </c>
    </row>
    <row r="1880">
      <c r="A1880">
        <f>'Factor Scores'!A1880</f>
        <v/>
      </c>
      <c r="B1880" s="10">
        <f>IF(A1880="","",0.40*'Factor Scores'!C1880+0.20*'Factor Scores'!E1880+0.20*'Factor Scores'!G1880+0.20*'Factor Scores'!H1880)</f>
        <v/>
      </c>
      <c r="C1880" s="12">
        <f>IF(B1880="","",RANK(B1880,$B$2:$B$2501,0))</f>
        <v/>
      </c>
      <c r="D1880">
        <f>IF(C1880="","",C1880&lt;=25)</f>
        <v/>
      </c>
      <c r="F1880">
        <f>IF(A1880="","",IF(AND(D1880=TRUE,E1880=""),"BUY",IF(AND(D1880=FALSE,E1880&lt;&gt;""),"SELL",IF(AND(D1880=TRUE,E1880&lt;&gt;""),"HOLD",""))))</f>
        <v/>
      </c>
      <c r="G1880" s="12">
        <f>IF(D1880=TRUE,4,0)</f>
        <v/>
      </c>
      <c r="H1880">
        <f>IF(A1880="","",BDP(A1880&amp;" US Equity","GICS_SECTOR_NAME"))</f>
        <v/>
      </c>
    </row>
    <row r="1881">
      <c r="A1881">
        <f>'Factor Scores'!A1881</f>
        <v/>
      </c>
      <c r="B1881" s="10">
        <f>IF(A1881="","",0.40*'Factor Scores'!C1881+0.20*'Factor Scores'!E1881+0.20*'Factor Scores'!G1881+0.20*'Factor Scores'!H1881)</f>
        <v/>
      </c>
      <c r="C1881" s="12">
        <f>IF(B1881="","",RANK(B1881,$B$2:$B$2501,0))</f>
        <v/>
      </c>
      <c r="D1881">
        <f>IF(C1881="","",C1881&lt;=25)</f>
        <v/>
      </c>
      <c r="F1881">
        <f>IF(A1881="","",IF(AND(D1881=TRUE,E1881=""),"BUY",IF(AND(D1881=FALSE,E1881&lt;&gt;""),"SELL",IF(AND(D1881=TRUE,E1881&lt;&gt;""),"HOLD",""))))</f>
        <v/>
      </c>
      <c r="G1881" s="12">
        <f>IF(D1881=TRUE,4,0)</f>
        <v/>
      </c>
      <c r="H1881">
        <f>IF(A1881="","",BDP(A1881&amp;" US Equity","GICS_SECTOR_NAME"))</f>
        <v/>
      </c>
    </row>
    <row r="1882">
      <c r="A1882">
        <f>'Factor Scores'!A1882</f>
        <v/>
      </c>
      <c r="B1882" s="10">
        <f>IF(A1882="","",0.40*'Factor Scores'!C1882+0.20*'Factor Scores'!E1882+0.20*'Factor Scores'!G1882+0.20*'Factor Scores'!H1882)</f>
        <v/>
      </c>
      <c r="C1882" s="12">
        <f>IF(B1882="","",RANK(B1882,$B$2:$B$2501,0))</f>
        <v/>
      </c>
      <c r="D1882">
        <f>IF(C1882="","",C1882&lt;=25)</f>
        <v/>
      </c>
      <c r="F1882">
        <f>IF(A1882="","",IF(AND(D1882=TRUE,E1882=""),"BUY",IF(AND(D1882=FALSE,E1882&lt;&gt;""),"SELL",IF(AND(D1882=TRUE,E1882&lt;&gt;""),"HOLD",""))))</f>
        <v/>
      </c>
      <c r="G1882" s="12">
        <f>IF(D1882=TRUE,4,0)</f>
        <v/>
      </c>
      <c r="H1882">
        <f>IF(A1882="","",BDP(A1882&amp;" US Equity","GICS_SECTOR_NAME"))</f>
        <v/>
      </c>
    </row>
    <row r="1883">
      <c r="A1883">
        <f>'Factor Scores'!A1883</f>
        <v/>
      </c>
      <c r="B1883" s="10">
        <f>IF(A1883="","",0.40*'Factor Scores'!C1883+0.20*'Factor Scores'!E1883+0.20*'Factor Scores'!G1883+0.20*'Factor Scores'!H1883)</f>
        <v/>
      </c>
      <c r="C1883" s="12">
        <f>IF(B1883="","",RANK(B1883,$B$2:$B$2501,0))</f>
        <v/>
      </c>
      <c r="D1883">
        <f>IF(C1883="","",C1883&lt;=25)</f>
        <v/>
      </c>
      <c r="F1883">
        <f>IF(A1883="","",IF(AND(D1883=TRUE,E1883=""),"BUY",IF(AND(D1883=FALSE,E1883&lt;&gt;""),"SELL",IF(AND(D1883=TRUE,E1883&lt;&gt;""),"HOLD",""))))</f>
        <v/>
      </c>
      <c r="G1883" s="12">
        <f>IF(D1883=TRUE,4,0)</f>
        <v/>
      </c>
      <c r="H1883">
        <f>IF(A1883="","",BDP(A1883&amp;" US Equity","GICS_SECTOR_NAME"))</f>
        <v/>
      </c>
    </row>
    <row r="1884">
      <c r="A1884">
        <f>'Factor Scores'!A1884</f>
        <v/>
      </c>
      <c r="B1884" s="10">
        <f>IF(A1884="","",0.40*'Factor Scores'!C1884+0.20*'Factor Scores'!E1884+0.20*'Factor Scores'!G1884+0.20*'Factor Scores'!H1884)</f>
        <v/>
      </c>
      <c r="C1884" s="12">
        <f>IF(B1884="","",RANK(B1884,$B$2:$B$2501,0))</f>
        <v/>
      </c>
      <c r="D1884">
        <f>IF(C1884="","",C1884&lt;=25)</f>
        <v/>
      </c>
      <c r="F1884">
        <f>IF(A1884="","",IF(AND(D1884=TRUE,E1884=""),"BUY",IF(AND(D1884=FALSE,E1884&lt;&gt;""),"SELL",IF(AND(D1884=TRUE,E1884&lt;&gt;""),"HOLD",""))))</f>
        <v/>
      </c>
      <c r="G1884" s="12">
        <f>IF(D1884=TRUE,4,0)</f>
        <v/>
      </c>
      <c r="H1884">
        <f>IF(A1884="","",BDP(A1884&amp;" US Equity","GICS_SECTOR_NAME"))</f>
        <v/>
      </c>
    </row>
    <row r="1885">
      <c r="A1885">
        <f>'Factor Scores'!A1885</f>
        <v/>
      </c>
      <c r="B1885" s="10">
        <f>IF(A1885="","",0.40*'Factor Scores'!C1885+0.20*'Factor Scores'!E1885+0.20*'Factor Scores'!G1885+0.20*'Factor Scores'!H1885)</f>
        <v/>
      </c>
      <c r="C1885" s="12">
        <f>IF(B1885="","",RANK(B1885,$B$2:$B$2501,0))</f>
        <v/>
      </c>
      <c r="D1885">
        <f>IF(C1885="","",C1885&lt;=25)</f>
        <v/>
      </c>
      <c r="F1885">
        <f>IF(A1885="","",IF(AND(D1885=TRUE,E1885=""),"BUY",IF(AND(D1885=FALSE,E1885&lt;&gt;""),"SELL",IF(AND(D1885=TRUE,E1885&lt;&gt;""),"HOLD",""))))</f>
        <v/>
      </c>
      <c r="G1885" s="12">
        <f>IF(D1885=TRUE,4,0)</f>
        <v/>
      </c>
      <c r="H1885">
        <f>IF(A1885="","",BDP(A1885&amp;" US Equity","GICS_SECTOR_NAME"))</f>
        <v/>
      </c>
    </row>
    <row r="1886">
      <c r="A1886">
        <f>'Factor Scores'!A1886</f>
        <v/>
      </c>
      <c r="B1886" s="10">
        <f>IF(A1886="","",0.40*'Factor Scores'!C1886+0.20*'Factor Scores'!E1886+0.20*'Factor Scores'!G1886+0.20*'Factor Scores'!H1886)</f>
        <v/>
      </c>
      <c r="C1886" s="12">
        <f>IF(B1886="","",RANK(B1886,$B$2:$B$2501,0))</f>
        <v/>
      </c>
      <c r="D1886">
        <f>IF(C1886="","",C1886&lt;=25)</f>
        <v/>
      </c>
      <c r="F1886">
        <f>IF(A1886="","",IF(AND(D1886=TRUE,E1886=""),"BUY",IF(AND(D1886=FALSE,E1886&lt;&gt;""),"SELL",IF(AND(D1886=TRUE,E1886&lt;&gt;""),"HOLD",""))))</f>
        <v/>
      </c>
      <c r="G1886" s="12">
        <f>IF(D1886=TRUE,4,0)</f>
        <v/>
      </c>
      <c r="H1886">
        <f>IF(A1886="","",BDP(A1886&amp;" US Equity","GICS_SECTOR_NAME"))</f>
        <v/>
      </c>
    </row>
    <row r="1887">
      <c r="A1887">
        <f>'Factor Scores'!A1887</f>
        <v/>
      </c>
      <c r="B1887" s="10">
        <f>IF(A1887="","",0.40*'Factor Scores'!C1887+0.20*'Factor Scores'!E1887+0.20*'Factor Scores'!G1887+0.20*'Factor Scores'!H1887)</f>
        <v/>
      </c>
      <c r="C1887" s="12">
        <f>IF(B1887="","",RANK(B1887,$B$2:$B$2501,0))</f>
        <v/>
      </c>
      <c r="D1887">
        <f>IF(C1887="","",C1887&lt;=25)</f>
        <v/>
      </c>
      <c r="F1887">
        <f>IF(A1887="","",IF(AND(D1887=TRUE,E1887=""),"BUY",IF(AND(D1887=FALSE,E1887&lt;&gt;""),"SELL",IF(AND(D1887=TRUE,E1887&lt;&gt;""),"HOLD",""))))</f>
        <v/>
      </c>
      <c r="G1887" s="12">
        <f>IF(D1887=TRUE,4,0)</f>
        <v/>
      </c>
      <c r="H1887">
        <f>IF(A1887="","",BDP(A1887&amp;" US Equity","GICS_SECTOR_NAME"))</f>
        <v/>
      </c>
    </row>
    <row r="1888">
      <c r="A1888">
        <f>'Factor Scores'!A1888</f>
        <v/>
      </c>
      <c r="B1888" s="10">
        <f>IF(A1888="","",0.40*'Factor Scores'!C1888+0.20*'Factor Scores'!E1888+0.20*'Factor Scores'!G1888+0.20*'Factor Scores'!H1888)</f>
        <v/>
      </c>
      <c r="C1888" s="12">
        <f>IF(B1888="","",RANK(B1888,$B$2:$B$2501,0))</f>
        <v/>
      </c>
      <c r="D1888">
        <f>IF(C1888="","",C1888&lt;=25)</f>
        <v/>
      </c>
      <c r="F1888">
        <f>IF(A1888="","",IF(AND(D1888=TRUE,E1888=""),"BUY",IF(AND(D1888=FALSE,E1888&lt;&gt;""),"SELL",IF(AND(D1888=TRUE,E1888&lt;&gt;""),"HOLD",""))))</f>
        <v/>
      </c>
      <c r="G1888" s="12">
        <f>IF(D1888=TRUE,4,0)</f>
        <v/>
      </c>
      <c r="H1888">
        <f>IF(A1888="","",BDP(A1888&amp;" US Equity","GICS_SECTOR_NAME"))</f>
        <v/>
      </c>
    </row>
    <row r="1889">
      <c r="A1889">
        <f>'Factor Scores'!A1889</f>
        <v/>
      </c>
      <c r="B1889" s="10">
        <f>IF(A1889="","",0.40*'Factor Scores'!C1889+0.20*'Factor Scores'!E1889+0.20*'Factor Scores'!G1889+0.20*'Factor Scores'!H1889)</f>
        <v/>
      </c>
      <c r="C1889" s="12">
        <f>IF(B1889="","",RANK(B1889,$B$2:$B$2501,0))</f>
        <v/>
      </c>
      <c r="D1889">
        <f>IF(C1889="","",C1889&lt;=25)</f>
        <v/>
      </c>
      <c r="F1889">
        <f>IF(A1889="","",IF(AND(D1889=TRUE,E1889=""),"BUY",IF(AND(D1889=FALSE,E1889&lt;&gt;""),"SELL",IF(AND(D1889=TRUE,E1889&lt;&gt;""),"HOLD",""))))</f>
        <v/>
      </c>
      <c r="G1889" s="12">
        <f>IF(D1889=TRUE,4,0)</f>
        <v/>
      </c>
      <c r="H1889">
        <f>IF(A1889="","",BDP(A1889&amp;" US Equity","GICS_SECTOR_NAME"))</f>
        <v/>
      </c>
    </row>
    <row r="1890">
      <c r="A1890">
        <f>'Factor Scores'!A1890</f>
        <v/>
      </c>
      <c r="B1890" s="10">
        <f>IF(A1890="","",0.40*'Factor Scores'!C1890+0.20*'Factor Scores'!E1890+0.20*'Factor Scores'!G1890+0.20*'Factor Scores'!H1890)</f>
        <v/>
      </c>
      <c r="C1890" s="12">
        <f>IF(B1890="","",RANK(B1890,$B$2:$B$2501,0))</f>
        <v/>
      </c>
      <c r="D1890">
        <f>IF(C1890="","",C1890&lt;=25)</f>
        <v/>
      </c>
      <c r="F1890">
        <f>IF(A1890="","",IF(AND(D1890=TRUE,E1890=""),"BUY",IF(AND(D1890=FALSE,E1890&lt;&gt;""),"SELL",IF(AND(D1890=TRUE,E1890&lt;&gt;""),"HOLD",""))))</f>
        <v/>
      </c>
      <c r="G1890" s="12">
        <f>IF(D1890=TRUE,4,0)</f>
        <v/>
      </c>
      <c r="H1890">
        <f>IF(A1890="","",BDP(A1890&amp;" US Equity","GICS_SECTOR_NAME"))</f>
        <v/>
      </c>
    </row>
    <row r="1891">
      <c r="A1891">
        <f>'Factor Scores'!A1891</f>
        <v/>
      </c>
      <c r="B1891" s="10">
        <f>IF(A1891="","",0.40*'Factor Scores'!C1891+0.20*'Factor Scores'!E1891+0.20*'Factor Scores'!G1891+0.20*'Factor Scores'!H1891)</f>
        <v/>
      </c>
      <c r="C1891" s="12">
        <f>IF(B1891="","",RANK(B1891,$B$2:$B$2501,0))</f>
        <v/>
      </c>
      <c r="D1891">
        <f>IF(C1891="","",C1891&lt;=25)</f>
        <v/>
      </c>
      <c r="F1891">
        <f>IF(A1891="","",IF(AND(D1891=TRUE,E1891=""),"BUY",IF(AND(D1891=FALSE,E1891&lt;&gt;""),"SELL",IF(AND(D1891=TRUE,E1891&lt;&gt;""),"HOLD",""))))</f>
        <v/>
      </c>
      <c r="G1891" s="12">
        <f>IF(D1891=TRUE,4,0)</f>
        <v/>
      </c>
      <c r="H1891">
        <f>IF(A1891="","",BDP(A1891&amp;" US Equity","GICS_SECTOR_NAME"))</f>
        <v/>
      </c>
    </row>
    <row r="1892">
      <c r="A1892">
        <f>'Factor Scores'!A1892</f>
        <v/>
      </c>
      <c r="B1892" s="10">
        <f>IF(A1892="","",0.40*'Factor Scores'!C1892+0.20*'Factor Scores'!E1892+0.20*'Factor Scores'!G1892+0.20*'Factor Scores'!H1892)</f>
        <v/>
      </c>
      <c r="C1892" s="12">
        <f>IF(B1892="","",RANK(B1892,$B$2:$B$2501,0))</f>
        <v/>
      </c>
      <c r="D1892">
        <f>IF(C1892="","",C1892&lt;=25)</f>
        <v/>
      </c>
      <c r="F1892">
        <f>IF(A1892="","",IF(AND(D1892=TRUE,E1892=""),"BUY",IF(AND(D1892=FALSE,E1892&lt;&gt;""),"SELL",IF(AND(D1892=TRUE,E1892&lt;&gt;""),"HOLD",""))))</f>
        <v/>
      </c>
      <c r="G1892" s="12">
        <f>IF(D1892=TRUE,4,0)</f>
        <v/>
      </c>
      <c r="H1892">
        <f>IF(A1892="","",BDP(A1892&amp;" US Equity","GICS_SECTOR_NAME"))</f>
        <v/>
      </c>
    </row>
    <row r="1893">
      <c r="A1893">
        <f>'Factor Scores'!A1893</f>
        <v/>
      </c>
      <c r="B1893" s="10">
        <f>IF(A1893="","",0.40*'Factor Scores'!C1893+0.20*'Factor Scores'!E1893+0.20*'Factor Scores'!G1893+0.20*'Factor Scores'!H1893)</f>
        <v/>
      </c>
      <c r="C1893" s="12">
        <f>IF(B1893="","",RANK(B1893,$B$2:$B$2501,0))</f>
        <v/>
      </c>
      <c r="D1893">
        <f>IF(C1893="","",C1893&lt;=25)</f>
        <v/>
      </c>
      <c r="F1893">
        <f>IF(A1893="","",IF(AND(D1893=TRUE,E1893=""),"BUY",IF(AND(D1893=FALSE,E1893&lt;&gt;""),"SELL",IF(AND(D1893=TRUE,E1893&lt;&gt;""),"HOLD",""))))</f>
        <v/>
      </c>
      <c r="G1893" s="12">
        <f>IF(D1893=TRUE,4,0)</f>
        <v/>
      </c>
      <c r="H1893">
        <f>IF(A1893="","",BDP(A1893&amp;" US Equity","GICS_SECTOR_NAME"))</f>
        <v/>
      </c>
    </row>
    <row r="1894">
      <c r="A1894">
        <f>'Factor Scores'!A1894</f>
        <v/>
      </c>
      <c r="B1894" s="10">
        <f>IF(A1894="","",0.40*'Factor Scores'!C1894+0.20*'Factor Scores'!E1894+0.20*'Factor Scores'!G1894+0.20*'Factor Scores'!H1894)</f>
        <v/>
      </c>
      <c r="C1894" s="12">
        <f>IF(B1894="","",RANK(B1894,$B$2:$B$2501,0))</f>
        <v/>
      </c>
      <c r="D1894">
        <f>IF(C1894="","",C1894&lt;=25)</f>
        <v/>
      </c>
      <c r="F1894">
        <f>IF(A1894="","",IF(AND(D1894=TRUE,E1894=""),"BUY",IF(AND(D1894=FALSE,E1894&lt;&gt;""),"SELL",IF(AND(D1894=TRUE,E1894&lt;&gt;""),"HOLD",""))))</f>
        <v/>
      </c>
      <c r="G1894" s="12">
        <f>IF(D1894=TRUE,4,0)</f>
        <v/>
      </c>
      <c r="H1894">
        <f>IF(A1894="","",BDP(A1894&amp;" US Equity","GICS_SECTOR_NAME"))</f>
        <v/>
      </c>
    </row>
    <row r="1895">
      <c r="A1895">
        <f>'Factor Scores'!A1895</f>
        <v/>
      </c>
      <c r="B1895" s="10">
        <f>IF(A1895="","",0.40*'Factor Scores'!C1895+0.20*'Factor Scores'!E1895+0.20*'Factor Scores'!G1895+0.20*'Factor Scores'!H1895)</f>
        <v/>
      </c>
      <c r="C1895" s="12">
        <f>IF(B1895="","",RANK(B1895,$B$2:$B$2501,0))</f>
        <v/>
      </c>
      <c r="D1895">
        <f>IF(C1895="","",C1895&lt;=25)</f>
        <v/>
      </c>
      <c r="F1895">
        <f>IF(A1895="","",IF(AND(D1895=TRUE,E1895=""),"BUY",IF(AND(D1895=FALSE,E1895&lt;&gt;""),"SELL",IF(AND(D1895=TRUE,E1895&lt;&gt;""),"HOLD",""))))</f>
        <v/>
      </c>
      <c r="G1895" s="12">
        <f>IF(D1895=TRUE,4,0)</f>
        <v/>
      </c>
      <c r="H1895">
        <f>IF(A1895="","",BDP(A1895&amp;" US Equity","GICS_SECTOR_NAME"))</f>
        <v/>
      </c>
    </row>
    <row r="1896">
      <c r="A1896">
        <f>'Factor Scores'!A1896</f>
        <v/>
      </c>
      <c r="B1896" s="10">
        <f>IF(A1896="","",0.40*'Factor Scores'!C1896+0.20*'Factor Scores'!E1896+0.20*'Factor Scores'!G1896+0.20*'Factor Scores'!H1896)</f>
        <v/>
      </c>
      <c r="C1896" s="12">
        <f>IF(B1896="","",RANK(B1896,$B$2:$B$2501,0))</f>
        <v/>
      </c>
      <c r="D1896">
        <f>IF(C1896="","",C1896&lt;=25)</f>
        <v/>
      </c>
      <c r="F1896">
        <f>IF(A1896="","",IF(AND(D1896=TRUE,E1896=""),"BUY",IF(AND(D1896=FALSE,E1896&lt;&gt;""),"SELL",IF(AND(D1896=TRUE,E1896&lt;&gt;""),"HOLD",""))))</f>
        <v/>
      </c>
      <c r="G1896" s="12">
        <f>IF(D1896=TRUE,4,0)</f>
        <v/>
      </c>
      <c r="H1896">
        <f>IF(A1896="","",BDP(A1896&amp;" US Equity","GICS_SECTOR_NAME"))</f>
        <v/>
      </c>
    </row>
    <row r="1897">
      <c r="A1897">
        <f>'Factor Scores'!A1897</f>
        <v/>
      </c>
      <c r="B1897" s="10">
        <f>IF(A1897="","",0.40*'Factor Scores'!C1897+0.20*'Factor Scores'!E1897+0.20*'Factor Scores'!G1897+0.20*'Factor Scores'!H1897)</f>
        <v/>
      </c>
      <c r="C1897" s="12">
        <f>IF(B1897="","",RANK(B1897,$B$2:$B$2501,0))</f>
        <v/>
      </c>
      <c r="D1897">
        <f>IF(C1897="","",C1897&lt;=25)</f>
        <v/>
      </c>
      <c r="F1897">
        <f>IF(A1897="","",IF(AND(D1897=TRUE,E1897=""),"BUY",IF(AND(D1897=FALSE,E1897&lt;&gt;""),"SELL",IF(AND(D1897=TRUE,E1897&lt;&gt;""),"HOLD",""))))</f>
        <v/>
      </c>
      <c r="G1897" s="12">
        <f>IF(D1897=TRUE,4,0)</f>
        <v/>
      </c>
      <c r="H1897">
        <f>IF(A1897="","",BDP(A1897&amp;" US Equity","GICS_SECTOR_NAME"))</f>
        <v/>
      </c>
    </row>
    <row r="1898">
      <c r="A1898">
        <f>'Factor Scores'!A1898</f>
        <v/>
      </c>
      <c r="B1898" s="10">
        <f>IF(A1898="","",0.40*'Factor Scores'!C1898+0.20*'Factor Scores'!E1898+0.20*'Factor Scores'!G1898+0.20*'Factor Scores'!H1898)</f>
        <v/>
      </c>
      <c r="C1898" s="12">
        <f>IF(B1898="","",RANK(B1898,$B$2:$B$2501,0))</f>
        <v/>
      </c>
      <c r="D1898">
        <f>IF(C1898="","",C1898&lt;=25)</f>
        <v/>
      </c>
      <c r="F1898">
        <f>IF(A1898="","",IF(AND(D1898=TRUE,E1898=""),"BUY",IF(AND(D1898=FALSE,E1898&lt;&gt;""),"SELL",IF(AND(D1898=TRUE,E1898&lt;&gt;""),"HOLD",""))))</f>
        <v/>
      </c>
      <c r="G1898" s="12">
        <f>IF(D1898=TRUE,4,0)</f>
        <v/>
      </c>
      <c r="H1898">
        <f>IF(A1898="","",BDP(A1898&amp;" US Equity","GICS_SECTOR_NAME"))</f>
        <v/>
      </c>
    </row>
    <row r="1899">
      <c r="A1899">
        <f>'Factor Scores'!A1899</f>
        <v/>
      </c>
      <c r="B1899" s="10">
        <f>IF(A1899="","",0.40*'Factor Scores'!C1899+0.20*'Factor Scores'!E1899+0.20*'Factor Scores'!G1899+0.20*'Factor Scores'!H1899)</f>
        <v/>
      </c>
      <c r="C1899" s="12">
        <f>IF(B1899="","",RANK(B1899,$B$2:$B$2501,0))</f>
        <v/>
      </c>
      <c r="D1899">
        <f>IF(C1899="","",C1899&lt;=25)</f>
        <v/>
      </c>
      <c r="F1899">
        <f>IF(A1899="","",IF(AND(D1899=TRUE,E1899=""),"BUY",IF(AND(D1899=FALSE,E1899&lt;&gt;""),"SELL",IF(AND(D1899=TRUE,E1899&lt;&gt;""),"HOLD",""))))</f>
        <v/>
      </c>
      <c r="G1899" s="12">
        <f>IF(D1899=TRUE,4,0)</f>
        <v/>
      </c>
      <c r="H1899">
        <f>IF(A1899="","",BDP(A1899&amp;" US Equity","GICS_SECTOR_NAME"))</f>
        <v/>
      </c>
    </row>
    <row r="1900">
      <c r="A1900">
        <f>'Factor Scores'!A1900</f>
        <v/>
      </c>
      <c r="B1900" s="10">
        <f>IF(A1900="","",0.40*'Factor Scores'!C1900+0.20*'Factor Scores'!E1900+0.20*'Factor Scores'!G1900+0.20*'Factor Scores'!H1900)</f>
        <v/>
      </c>
      <c r="C1900" s="12">
        <f>IF(B1900="","",RANK(B1900,$B$2:$B$2501,0))</f>
        <v/>
      </c>
      <c r="D1900">
        <f>IF(C1900="","",C1900&lt;=25)</f>
        <v/>
      </c>
      <c r="F1900">
        <f>IF(A1900="","",IF(AND(D1900=TRUE,E1900=""),"BUY",IF(AND(D1900=FALSE,E1900&lt;&gt;""),"SELL",IF(AND(D1900=TRUE,E1900&lt;&gt;""),"HOLD",""))))</f>
        <v/>
      </c>
      <c r="G1900" s="12">
        <f>IF(D1900=TRUE,4,0)</f>
        <v/>
      </c>
      <c r="H1900">
        <f>IF(A1900="","",BDP(A1900&amp;" US Equity","GICS_SECTOR_NAME"))</f>
        <v/>
      </c>
    </row>
    <row r="1901">
      <c r="A1901">
        <f>'Factor Scores'!A1901</f>
        <v/>
      </c>
      <c r="B1901" s="10">
        <f>IF(A1901="","",0.40*'Factor Scores'!C1901+0.20*'Factor Scores'!E1901+0.20*'Factor Scores'!G1901+0.20*'Factor Scores'!H1901)</f>
        <v/>
      </c>
      <c r="C1901" s="12">
        <f>IF(B1901="","",RANK(B1901,$B$2:$B$2501,0))</f>
        <v/>
      </c>
      <c r="D1901">
        <f>IF(C1901="","",C1901&lt;=25)</f>
        <v/>
      </c>
      <c r="F1901">
        <f>IF(A1901="","",IF(AND(D1901=TRUE,E1901=""),"BUY",IF(AND(D1901=FALSE,E1901&lt;&gt;""),"SELL",IF(AND(D1901=TRUE,E1901&lt;&gt;""),"HOLD",""))))</f>
        <v/>
      </c>
      <c r="G1901" s="12">
        <f>IF(D1901=TRUE,4,0)</f>
        <v/>
      </c>
      <c r="H1901">
        <f>IF(A1901="","",BDP(A1901&amp;" US Equity","GICS_SECTOR_NAME"))</f>
        <v/>
      </c>
    </row>
    <row r="1902">
      <c r="A1902">
        <f>'Factor Scores'!A1902</f>
        <v/>
      </c>
      <c r="B1902" s="10">
        <f>IF(A1902="","",0.40*'Factor Scores'!C1902+0.20*'Factor Scores'!E1902+0.20*'Factor Scores'!G1902+0.20*'Factor Scores'!H1902)</f>
        <v/>
      </c>
      <c r="C1902" s="12">
        <f>IF(B1902="","",RANK(B1902,$B$2:$B$2501,0))</f>
        <v/>
      </c>
      <c r="D1902">
        <f>IF(C1902="","",C1902&lt;=25)</f>
        <v/>
      </c>
      <c r="F1902">
        <f>IF(A1902="","",IF(AND(D1902=TRUE,E1902=""),"BUY",IF(AND(D1902=FALSE,E1902&lt;&gt;""),"SELL",IF(AND(D1902=TRUE,E1902&lt;&gt;""),"HOLD",""))))</f>
        <v/>
      </c>
      <c r="G1902" s="12">
        <f>IF(D1902=TRUE,4,0)</f>
        <v/>
      </c>
      <c r="H1902">
        <f>IF(A1902="","",BDP(A1902&amp;" US Equity","GICS_SECTOR_NAME"))</f>
        <v/>
      </c>
    </row>
    <row r="1903">
      <c r="A1903">
        <f>'Factor Scores'!A1903</f>
        <v/>
      </c>
      <c r="B1903" s="10">
        <f>IF(A1903="","",0.40*'Factor Scores'!C1903+0.20*'Factor Scores'!E1903+0.20*'Factor Scores'!G1903+0.20*'Factor Scores'!H1903)</f>
        <v/>
      </c>
      <c r="C1903" s="12">
        <f>IF(B1903="","",RANK(B1903,$B$2:$B$2501,0))</f>
        <v/>
      </c>
      <c r="D1903">
        <f>IF(C1903="","",C1903&lt;=25)</f>
        <v/>
      </c>
      <c r="F1903">
        <f>IF(A1903="","",IF(AND(D1903=TRUE,E1903=""),"BUY",IF(AND(D1903=FALSE,E1903&lt;&gt;""),"SELL",IF(AND(D1903=TRUE,E1903&lt;&gt;""),"HOLD",""))))</f>
        <v/>
      </c>
      <c r="G1903" s="12">
        <f>IF(D1903=TRUE,4,0)</f>
        <v/>
      </c>
      <c r="H1903">
        <f>IF(A1903="","",BDP(A1903&amp;" US Equity","GICS_SECTOR_NAME"))</f>
        <v/>
      </c>
    </row>
    <row r="1904">
      <c r="A1904">
        <f>'Factor Scores'!A1904</f>
        <v/>
      </c>
      <c r="B1904" s="10">
        <f>IF(A1904="","",0.40*'Factor Scores'!C1904+0.20*'Factor Scores'!E1904+0.20*'Factor Scores'!G1904+0.20*'Factor Scores'!H1904)</f>
        <v/>
      </c>
      <c r="C1904" s="12">
        <f>IF(B1904="","",RANK(B1904,$B$2:$B$2501,0))</f>
        <v/>
      </c>
      <c r="D1904">
        <f>IF(C1904="","",C1904&lt;=25)</f>
        <v/>
      </c>
      <c r="F1904">
        <f>IF(A1904="","",IF(AND(D1904=TRUE,E1904=""),"BUY",IF(AND(D1904=FALSE,E1904&lt;&gt;""),"SELL",IF(AND(D1904=TRUE,E1904&lt;&gt;""),"HOLD",""))))</f>
        <v/>
      </c>
      <c r="G1904" s="12">
        <f>IF(D1904=TRUE,4,0)</f>
        <v/>
      </c>
      <c r="H1904">
        <f>IF(A1904="","",BDP(A1904&amp;" US Equity","GICS_SECTOR_NAME"))</f>
        <v/>
      </c>
    </row>
    <row r="1905">
      <c r="A1905">
        <f>'Factor Scores'!A1905</f>
        <v/>
      </c>
      <c r="B1905" s="10">
        <f>IF(A1905="","",0.40*'Factor Scores'!C1905+0.20*'Factor Scores'!E1905+0.20*'Factor Scores'!G1905+0.20*'Factor Scores'!H1905)</f>
        <v/>
      </c>
      <c r="C1905" s="12">
        <f>IF(B1905="","",RANK(B1905,$B$2:$B$2501,0))</f>
        <v/>
      </c>
      <c r="D1905">
        <f>IF(C1905="","",C1905&lt;=25)</f>
        <v/>
      </c>
      <c r="F1905">
        <f>IF(A1905="","",IF(AND(D1905=TRUE,E1905=""),"BUY",IF(AND(D1905=FALSE,E1905&lt;&gt;""),"SELL",IF(AND(D1905=TRUE,E1905&lt;&gt;""),"HOLD",""))))</f>
        <v/>
      </c>
      <c r="G1905" s="12">
        <f>IF(D1905=TRUE,4,0)</f>
        <v/>
      </c>
      <c r="H1905">
        <f>IF(A1905="","",BDP(A1905&amp;" US Equity","GICS_SECTOR_NAME"))</f>
        <v/>
      </c>
    </row>
    <row r="1906">
      <c r="A1906">
        <f>'Factor Scores'!A1906</f>
        <v/>
      </c>
      <c r="B1906" s="10">
        <f>IF(A1906="","",0.40*'Factor Scores'!C1906+0.20*'Factor Scores'!E1906+0.20*'Factor Scores'!G1906+0.20*'Factor Scores'!H1906)</f>
        <v/>
      </c>
      <c r="C1906" s="12">
        <f>IF(B1906="","",RANK(B1906,$B$2:$B$2501,0))</f>
        <v/>
      </c>
      <c r="D1906">
        <f>IF(C1906="","",C1906&lt;=25)</f>
        <v/>
      </c>
      <c r="F1906">
        <f>IF(A1906="","",IF(AND(D1906=TRUE,E1906=""),"BUY",IF(AND(D1906=FALSE,E1906&lt;&gt;""),"SELL",IF(AND(D1906=TRUE,E1906&lt;&gt;""),"HOLD",""))))</f>
        <v/>
      </c>
      <c r="G1906" s="12">
        <f>IF(D1906=TRUE,4,0)</f>
        <v/>
      </c>
      <c r="H1906">
        <f>IF(A1906="","",BDP(A1906&amp;" US Equity","GICS_SECTOR_NAME"))</f>
        <v/>
      </c>
    </row>
    <row r="1907">
      <c r="A1907">
        <f>'Factor Scores'!A1907</f>
        <v/>
      </c>
      <c r="B1907" s="10">
        <f>IF(A1907="","",0.40*'Factor Scores'!C1907+0.20*'Factor Scores'!E1907+0.20*'Factor Scores'!G1907+0.20*'Factor Scores'!H1907)</f>
        <v/>
      </c>
      <c r="C1907" s="12">
        <f>IF(B1907="","",RANK(B1907,$B$2:$B$2501,0))</f>
        <v/>
      </c>
      <c r="D1907">
        <f>IF(C1907="","",C1907&lt;=25)</f>
        <v/>
      </c>
      <c r="F1907">
        <f>IF(A1907="","",IF(AND(D1907=TRUE,E1907=""),"BUY",IF(AND(D1907=FALSE,E1907&lt;&gt;""),"SELL",IF(AND(D1907=TRUE,E1907&lt;&gt;""),"HOLD",""))))</f>
        <v/>
      </c>
      <c r="G1907" s="12">
        <f>IF(D1907=TRUE,4,0)</f>
        <v/>
      </c>
      <c r="H1907">
        <f>IF(A1907="","",BDP(A1907&amp;" US Equity","GICS_SECTOR_NAME"))</f>
        <v/>
      </c>
    </row>
    <row r="1908">
      <c r="A1908">
        <f>'Factor Scores'!A1908</f>
        <v/>
      </c>
      <c r="B1908" s="10">
        <f>IF(A1908="","",0.40*'Factor Scores'!C1908+0.20*'Factor Scores'!E1908+0.20*'Factor Scores'!G1908+0.20*'Factor Scores'!H1908)</f>
        <v/>
      </c>
      <c r="C1908" s="12">
        <f>IF(B1908="","",RANK(B1908,$B$2:$B$2501,0))</f>
        <v/>
      </c>
      <c r="D1908">
        <f>IF(C1908="","",C1908&lt;=25)</f>
        <v/>
      </c>
      <c r="F1908">
        <f>IF(A1908="","",IF(AND(D1908=TRUE,E1908=""),"BUY",IF(AND(D1908=FALSE,E1908&lt;&gt;""),"SELL",IF(AND(D1908=TRUE,E1908&lt;&gt;""),"HOLD",""))))</f>
        <v/>
      </c>
      <c r="G1908" s="12">
        <f>IF(D1908=TRUE,4,0)</f>
        <v/>
      </c>
      <c r="H1908">
        <f>IF(A1908="","",BDP(A1908&amp;" US Equity","GICS_SECTOR_NAME"))</f>
        <v/>
      </c>
    </row>
    <row r="1909">
      <c r="A1909">
        <f>'Factor Scores'!A1909</f>
        <v/>
      </c>
      <c r="B1909" s="10">
        <f>IF(A1909="","",0.40*'Factor Scores'!C1909+0.20*'Factor Scores'!E1909+0.20*'Factor Scores'!G1909+0.20*'Factor Scores'!H1909)</f>
        <v/>
      </c>
      <c r="C1909" s="12">
        <f>IF(B1909="","",RANK(B1909,$B$2:$B$2501,0))</f>
        <v/>
      </c>
      <c r="D1909">
        <f>IF(C1909="","",C1909&lt;=25)</f>
        <v/>
      </c>
      <c r="F1909">
        <f>IF(A1909="","",IF(AND(D1909=TRUE,E1909=""),"BUY",IF(AND(D1909=FALSE,E1909&lt;&gt;""),"SELL",IF(AND(D1909=TRUE,E1909&lt;&gt;""),"HOLD",""))))</f>
        <v/>
      </c>
      <c r="G1909" s="12">
        <f>IF(D1909=TRUE,4,0)</f>
        <v/>
      </c>
      <c r="H1909">
        <f>IF(A1909="","",BDP(A1909&amp;" US Equity","GICS_SECTOR_NAME"))</f>
        <v/>
      </c>
    </row>
    <row r="1910">
      <c r="A1910">
        <f>'Factor Scores'!A1910</f>
        <v/>
      </c>
      <c r="B1910" s="10">
        <f>IF(A1910="","",0.40*'Factor Scores'!C1910+0.20*'Factor Scores'!E1910+0.20*'Factor Scores'!G1910+0.20*'Factor Scores'!H1910)</f>
        <v/>
      </c>
      <c r="C1910" s="12">
        <f>IF(B1910="","",RANK(B1910,$B$2:$B$2501,0))</f>
        <v/>
      </c>
      <c r="D1910">
        <f>IF(C1910="","",C1910&lt;=25)</f>
        <v/>
      </c>
      <c r="F1910">
        <f>IF(A1910="","",IF(AND(D1910=TRUE,E1910=""),"BUY",IF(AND(D1910=FALSE,E1910&lt;&gt;""),"SELL",IF(AND(D1910=TRUE,E1910&lt;&gt;""),"HOLD",""))))</f>
        <v/>
      </c>
      <c r="G1910" s="12">
        <f>IF(D1910=TRUE,4,0)</f>
        <v/>
      </c>
      <c r="H1910">
        <f>IF(A1910="","",BDP(A1910&amp;" US Equity","GICS_SECTOR_NAME"))</f>
        <v/>
      </c>
    </row>
    <row r="1911">
      <c r="A1911">
        <f>'Factor Scores'!A1911</f>
        <v/>
      </c>
      <c r="B1911" s="10">
        <f>IF(A1911="","",0.40*'Factor Scores'!C1911+0.20*'Factor Scores'!E1911+0.20*'Factor Scores'!G1911+0.20*'Factor Scores'!H1911)</f>
        <v/>
      </c>
      <c r="C1911" s="12">
        <f>IF(B1911="","",RANK(B1911,$B$2:$B$2501,0))</f>
        <v/>
      </c>
      <c r="D1911">
        <f>IF(C1911="","",C1911&lt;=25)</f>
        <v/>
      </c>
      <c r="F1911">
        <f>IF(A1911="","",IF(AND(D1911=TRUE,E1911=""),"BUY",IF(AND(D1911=FALSE,E1911&lt;&gt;""),"SELL",IF(AND(D1911=TRUE,E1911&lt;&gt;""),"HOLD",""))))</f>
        <v/>
      </c>
      <c r="G1911" s="12">
        <f>IF(D1911=TRUE,4,0)</f>
        <v/>
      </c>
      <c r="H1911">
        <f>IF(A1911="","",BDP(A1911&amp;" US Equity","GICS_SECTOR_NAME"))</f>
        <v/>
      </c>
    </row>
    <row r="1912">
      <c r="A1912">
        <f>'Factor Scores'!A1912</f>
        <v/>
      </c>
      <c r="B1912" s="10">
        <f>IF(A1912="","",0.40*'Factor Scores'!C1912+0.20*'Factor Scores'!E1912+0.20*'Factor Scores'!G1912+0.20*'Factor Scores'!H1912)</f>
        <v/>
      </c>
      <c r="C1912" s="12">
        <f>IF(B1912="","",RANK(B1912,$B$2:$B$2501,0))</f>
        <v/>
      </c>
      <c r="D1912">
        <f>IF(C1912="","",C1912&lt;=25)</f>
        <v/>
      </c>
      <c r="F1912">
        <f>IF(A1912="","",IF(AND(D1912=TRUE,E1912=""),"BUY",IF(AND(D1912=FALSE,E1912&lt;&gt;""),"SELL",IF(AND(D1912=TRUE,E1912&lt;&gt;""),"HOLD",""))))</f>
        <v/>
      </c>
      <c r="G1912" s="12">
        <f>IF(D1912=TRUE,4,0)</f>
        <v/>
      </c>
      <c r="H1912">
        <f>IF(A1912="","",BDP(A1912&amp;" US Equity","GICS_SECTOR_NAME"))</f>
        <v/>
      </c>
    </row>
    <row r="1913">
      <c r="A1913">
        <f>'Factor Scores'!A1913</f>
        <v/>
      </c>
      <c r="B1913" s="10">
        <f>IF(A1913="","",0.40*'Factor Scores'!C1913+0.20*'Factor Scores'!E1913+0.20*'Factor Scores'!G1913+0.20*'Factor Scores'!H1913)</f>
        <v/>
      </c>
      <c r="C1913" s="12">
        <f>IF(B1913="","",RANK(B1913,$B$2:$B$2501,0))</f>
        <v/>
      </c>
      <c r="D1913">
        <f>IF(C1913="","",C1913&lt;=25)</f>
        <v/>
      </c>
      <c r="F1913">
        <f>IF(A1913="","",IF(AND(D1913=TRUE,E1913=""),"BUY",IF(AND(D1913=FALSE,E1913&lt;&gt;""),"SELL",IF(AND(D1913=TRUE,E1913&lt;&gt;""),"HOLD",""))))</f>
        <v/>
      </c>
      <c r="G1913" s="12">
        <f>IF(D1913=TRUE,4,0)</f>
        <v/>
      </c>
      <c r="H1913">
        <f>IF(A1913="","",BDP(A1913&amp;" US Equity","GICS_SECTOR_NAME"))</f>
        <v/>
      </c>
    </row>
    <row r="1914">
      <c r="A1914">
        <f>'Factor Scores'!A1914</f>
        <v/>
      </c>
      <c r="B1914" s="10">
        <f>IF(A1914="","",0.40*'Factor Scores'!C1914+0.20*'Factor Scores'!E1914+0.20*'Factor Scores'!G1914+0.20*'Factor Scores'!H1914)</f>
        <v/>
      </c>
      <c r="C1914" s="12">
        <f>IF(B1914="","",RANK(B1914,$B$2:$B$2501,0))</f>
        <v/>
      </c>
      <c r="D1914">
        <f>IF(C1914="","",C1914&lt;=25)</f>
        <v/>
      </c>
      <c r="F1914">
        <f>IF(A1914="","",IF(AND(D1914=TRUE,E1914=""),"BUY",IF(AND(D1914=FALSE,E1914&lt;&gt;""),"SELL",IF(AND(D1914=TRUE,E1914&lt;&gt;""),"HOLD",""))))</f>
        <v/>
      </c>
      <c r="G1914" s="12">
        <f>IF(D1914=TRUE,4,0)</f>
        <v/>
      </c>
      <c r="H1914">
        <f>IF(A1914="","",BDP(A1914&amp;" US Equity","GICS_SECTOR_NAME"))</f>
        <v/>
      </c>
    </row>
    <row r="1915">
      <c r="A1915">
        <f>'Factor Scores'!A1915</f>
        <v/>
      </c>
      <c r="B1915" s="10">
        <f>IF(A1915="","",0.40*'Factor Scores'!C1915+0.20*'Factor Scores'!E1915+0.20*'Factor Scores'!G1915+0.20*'Factor Scores'!H1915)</f>
        <v/>
      </c>
      <c r="C1915" s="12">
        <f>IF(B1915="","",RANK(B1915,$B$2:$B$2501,0))</f>
        <v/>
      </c>
      <c r="D1915">
        <f>IF(C1915="","",C1915&lt;=25)</f>
        <v/>
      </c>
      <c r="F1915">
        <f>IF(A1915="","",IF(AND(D1915=TRUE,E1915=""),"BUY",IF(AND(D1915=FALSE,E1915&lt;&gt;""),"SELL",IF(AND(D1915=TRUE,E1915&lt;&gt;""),"HOLD",""))))</f>
        <v/>
      </c>
      <c r="G1915" s="12">
        <f>IF(D1915=TRUE,4,0)</f>
        <v/>
      </c>
      <c r="H1915">
        <f>IF(A1915="","",BDP(A1915&amp;" US Equity","GICS_SECTOR_NAME"))</f>
        <v/>
      </c>
    </row>
    <row r="1916">
      <c r="A1916">
        <f>'Factor Scores'!A1916</f>
        <v/>
      </c>
      <c r="B1916" s="10">
        <f>IF(A1916="","",0.40*'Factor Scores'!C1916+0.20*'Factor Scores'!E1916+0.20*'Factor Scores'!G1916+0.20*'Factor Scores'!H1916)</f>
        <v/>
      </c>
      <c r="C1916" s="12">
        <f>IF(B1916="","",RANK(B1916,$B$2:$B$2501,0))</f>
        <v/>
      </c>
      <c r="D1916">
        <f>IF(C1916="","",C1916&lt;=25)</f>
        <v/>
      </c>
      <c r="F1916">
        <f>IF(A1916="","",IF(AND(D1916=TRUE,E1916=""),"BUY",IF(AND(D1916=FALSE,E1916&lt;&gt;""),"SELL",IF(AND(D1916=TRUE,E1916&lt;&gt;""),"HOLD",""))))</f>
        <v/>
      </c>
      <c r="G1916" s="12">
        <f>IF(D1916=TRUE,4,0)</f>
        <v/>
      </c>
      <c r="H1916">
        <f>IF(A1916="","",BDP(A1916&amp;" US Equity","GICS_SECTOR_NAME"))</f>
        <v/>
      </c>
    </row>
    <row r="1917">
      <c r="A1917">
        <f>'Factor Scores'!A1917</f>
        <v/>
      </c>
      <c r="B1917" s="10">
        <f>IF(A1917="","",0.40*'Factor Scores'!C1917+0.20*'Factor Scores'!E1917+0.20*'Factor Scores'!G1917+0.20*'Factor Scores'!H1917)</f>
        <v/>
      </c>
      <c r="C1917" s="12">
        <f>IF(B1917="","",RANK(B1917,$B$2:$B$2501,0))</f>
        <v/>
      </c>
      <c r="D1917">
        <f>IF(C1917="","",C1917&lt;=25)</f>
        <v/>
      </c>
      <c r="F1917">
        <f>IF(A1917="","",IF(AND(D1917=TRUE,E1917=""),"BUY",IF(AND(D1917=FALSE,E1917&lt;&gt;""),"SELL",IF(AND(D1917=TRUE,E1917&lt;&gt;""),"HOLD",""))))</f>
        <v/>
      </c>
      <c r="G1917" s="12">
        <f>IF(D1917=TRUE,4,0)</f>
        <v/>
      </c>
      <c r="H1917">
        <f>IF(A1917="","",BDP(A1917&amp;" US Equity","GICS_SECTOR_NAME"))</f>
        <v/>
      </c>
    </row>
    <row r="1918">
      <c r="A1918">
        <f>'Factor Scores'!A1918</f>
        <v/>
      </c>
      <c r="B1918" s="10">
        <f>IF(A1918="","",0.40*'Factor Scores'!C1918+0.20*'Factor Scores'!E1918+0.20*'Factor Scores'!G1918+0.20*'Factor Scores'!H1918)</f>
        <v/>
      </c>
      <c r="C1918" s="12">
        <f>IF(B1918="","",RANK(B1918,$B$2:$B$2501,0))</f>
        <v/>
      </c>
      <c r="D1918">
        <f>IF(C1918="","",C1918&lt;=25)</f>
        <v/>
      </c>
      <c r="F1918">
        <f>IF(A1918="","",IF(AND(D1918=TRUE,E1918=""),"BUY",IF(AND(D1918=FALSE,E1918&lt;&gt;""),"SELL",IF(AND(D1918=TRUE,E1918&lt;&gt;""),"HOLD",""))))</f>
        <v/>
      </c>
      <c r="G1918" s="12">
        <f>IF(D1918=TRUE,4,0)</f>
        <v/>
      </c>
      <c r="H1918">
        <f>IF(A1918="","",BDP(A1918&amp;" US Equity","GICS_SECTOR_NAME"))</f>
        <v/>
      </c>
    </row>
    <row r="1919">
      <c r="A1919">
        <f>'Factor Scores'!A1919</f>
        <v/>
      </c>
      <c r="B1919" s="10">
        <f>IF(A1919="","",0.40*'Factor Scores'!C1919+0.20*'Factor Scores'!E1919+0.20*'Factor Scores'!G1919+0.20*'Factor Scores'!H1919)</f>
        <v/>
      </c>
      <c r="C1919" s="12">
        <f>IF(B1919="","",RANK(B1919,$B$2:$B$2501,0))</f>
        <v/>
      </c>
      <c r="D1919">
        <f>IF(C1919="","",C1919&lt;=25)</f>
        <v/>
      </c>
      <c r="F1919">
        <f>IF(A1919="","",IF(AND(D1919=TRUE,E1919=""),"BUY",IF(AND(D1919=FALSE,E1919&lt;&gt;""),"SELL",IF(AND(D1919=TRUE,E1919&lt;&gt;""),"HOLD",""))))</f>
        <v/>
      </c>
      <c r="G1919" s="12">
        <f>IF(D1919=TRUE,4,0)</f>
        <v/>
      </c>
      <c r="H1919">
        <f>IF(A1919="","",BDP(A1919&amp;" US Equity","GICS_SECTOR_NAME"))</f>
        <v/>
      </c>
    </row>
    <row r="1920">
      <c r="A1920">
        <f>'Factor Scores'!A1920</f>
        <v/>
      </c>
      <c r="B1920" s="10">
        <f>IF(A1920="","",0.40*'Factor Scores'!C1920+0.20*'Factor Scores'!E1920+0.20*'Factor Scores'!G1920+0.20*'Factor Scores'!H1920)</f>
        <v/>
      </c>
      <c r="C1920" s="12">
        <f>IF(B1920="","",RANK(B1920,$B$2:$B$2501,0))</f>
        <v/>
      </c>
      <c r="D1920">
        <f>IF(C1920="","",C1920&lt;=25)</f>
        <v/>
      </c>
      <c r="F1920">
        <f>IF(A1920="","",IF(AND(D1920=TRUE,E1920=""),"BUY",IF(AND(D1920=FALSE,E1920&lt;&gt;""),"SELL",IF(AND(D1920=TRUE,E1920&lt;&gt;""),"HOLD",""))))</f>
        <v/>
      </c>
      <c r="G1920" s="12">
        <f>IF(D1920=TRUE,4,0)</f>
        <v/>
      </c>
      <c r="H1920">
        <f>IF(A1920="","",BDP(A1920&amp;" US Equity","GICS_SECTOR_NAME"))</f>
        <v/>
      </c>
    </row>
    <row r="1921">
      <c r="A1921">
        <f>'Factor Scores'!A1921</f>
        <v/>
      </c>
      <c r="B1921" s="10">
        <f>IF(A1921="","",0.40*'Factor Scores'!C1921+0.20*'Factor Scores'!E1921+0.20*'Factor Scores'!G1921+0.20*'Factor Scores'!H1921)</f>
        <v/>
      </c>
      <c r="C1921" s="12">
        <f>IF(B1921="","",RANK(B1921,$B$2:$B$2501,0))</f>
        <v/>
      </c>
      <c r="D1921">
        <f>IF(C1921="","",C1921&lt;=25)</f>
        <v/>
      </c>
      <c r="F1921">
        <f>IF(A1921="","",IF(AND(D1921=TRUE,E1921=""),"BUY",IF(AND(D1921=FALSE,E1921&lt;&gt;""),"SELL",IF(AND(D1921=TRUE,E1921&lt;&gt;""),"HOLD",""))))</f>
        <v/>
      </c>
      <c r="G1921" s="12">
        <f>IF(D1921=TRUE,4,0)</f>
        <v/>
      </c>
      <c r="H1921">
        <f>IF(A1921="","",BDP(A1921&amp;" US Equity","GICS_SECTOR_NAME"))</f>
        <v/>
      </c>
    </row>
    <row r="1922">
      <c r="A1922">
        <f>'Factor Scores'!A1922</f>
        <v/>
      </c>
      <c r="B1922" s="10">
        <f>IF(A1922="","",0.40*'Factor Scores'!C1922+0.20*'Factor Scores'!E1922+0.20*'Factor Scores'!G1922+0.20*'Factor Scores'!H1922)</f>
        <v/>
      </c>
      <c r="C1922" s="12">
        <f>IF(B1922="","",RANK(B1922,$B$2:$B$2501,0))</f>
        <v/>
      </c>
      <c r="D1922">
        <f>IF(C1922="","",C1922&lt;=25)</f>
        <v/>
      </c>
      <c r="F1922">
        <f>IF(A1922="","",IF(AND(D1922=TRUE,E1922=""),"BUY",IF(AND(D1922=FALSE,E1922&lt;&gt;""),"SELL",IF(AND(D1922=TRUE,E1922&lt;&gt;""),"HOLD",""))))</f>
        <v/>
      </c>
      <c r="G1922" s="12">
        <f>IF(D1922=TRUE,4,0)</f>
        <v/>
      </c>
      <c r="H1922">
        <f>IF(A1922="","",BDP(A1922&amp;" US Equity","GICS_SECTOR_NAME"))</f>
        <v/>
      </c>
    </row>
    <row r="1923">
      <c r="A1923">
        <f>'Factor Scores'!A1923</f>
        <v/>
      </c>
      <c r="B1923" s="10">
        <f>IF(A1923="","",0.40*'Factor Scores'!C1923+0.20*'Factor Scores'!E1923+0.20*'Factor Scores'!G1923+0.20*'Factor Scores'!H1923)</f>
        <v/>
      </c>
      <c r="C1923" s="12">
        <f>IF(B1923="","",RANK(B1923,$B$2:$B$2501,0))</f>
        <v/>
      </c>
      <c r="D1923">
        <f>IF(C1923="","",C1923&lt;=25)</f>
        <v/>
      </c>
      <c r="F1923">
        <f>IF(A1923="","",IF(AND(D1923=TRUE,E1923=""),"BUY",IF(AND(D1923=FALSE,E1923&lt;&gt;""),"SELL",IF(AND(D1923=TRUE,E1923&lt;&gt;""),"HOLD",""))))</f>
        <v/>
      </c>
      <c r="G1923" s="12">
        <f>IF(D1923=TRUE,4,0)</f>
        <v/>
      </c>
      <c r="H1923">
        <f>IF(A1923="","",BDP(A1923&amp;" US Equity","GICS_SECTOR_NAME"))</f>
        <v/>
      </c>
    </row>
    <row r="1924">
      <c r="A1924">
        <f>'Factor Scores'!A1924</f>
        <v/>
      </c>
      <c r="B1924" s="10">
        <f>IF(A1924="","",0.40*'Factor Scores'!C1924+0.20*'Factor Scores'!E1924+0.20*'Factor Scores'!G1924+0.20*'Factor Scores'!H1924)</f>
        <v/>
      </c>
      <c r="C1924" s="12">
        <f>IF(B1924="","",RANK(B1924,$B$2:$B$2501,0))</f>
        <v/>
      </c>
      <c r="D1924">
        <f>IF(C1924="","",C1924&lt;=25)</f>
        <v/>
      </c>
      <c r="F1924">
        <f>IF(A1924="","",IF(AND(D1924=TRUE,E1924=""),"BUY",IF(AND(D1924=FALSE,E1924&lt;&gt;""),"SELL",IF(AND(D1924=TRUE,E1924&lt;&gt;""),"HOLD",""))))</f>
        <v/>
      </c>
      <c r="G1924" s="12">
        <f>IF(D1924=TRUE,4,0)</f>
        <v/>
      </c>
      <c r="H1924">
        <f>IF(A1924="","",BDP(A1924&amp;" US Equity","GICS_SECTOR_NAME"))</f>
        <v/>
      </c>
    </row>
    <row r="1925">
      <c r="A1925">
        <f>'Factor Scores'!A1925</f>
        <v/>
      </c>
      <c r="B1925" s="10">
        <f>IF(A1925="","",0.40*'Factor Scores'!C1925+0.20*'Factor Scores'!E1925+0.20*'Factor Scores'!G1925+0.20*'Factor Scores'!H1925)</f>
        <v/>
      </c>
      <c r="C1925" s="12">
        <f>IF(B1925="","",RANK(B1925,$B$2:$B$2501,0))</f>
        <v/>
      </c>
      <c r="D1925">
        <f>IF(C1925="","",C1925&lt;=25)</f>
        <v/>
      </c>
      <c r="F1925">
        <f>IF(A1925="","",IF(AND(D1925=TRUE,E1925=""),"BUY",IF(AND(D1925=FALSE,E1925&lt;&gt;""),"SELL",IF(AND(D1925=TRUE,E1925&lt;&gt;""),"HOLD",""))))</f>
        <v/>
      </c>
      <c r="G1925" s="12">
        <f>IF(D1925=TRUE,4,0)</f>
        <v/>
      </c>
      <c r="H1925">
        <f>IF(A1925="","",BDP(A1925&amp;" US Equity","GICS_SECTOR_NAME"))</f>
        <v/>
      </c>
    </row>
    <row r="1926">
      <c r="A1926">
        <f>'Factor Scores'!A1926</f>
        <v/>
      </c>
      <c r="B1926" s="10">
        <f>IF(A1926="","",0.40*'Factor Scores'!C1926+0.20*'Factor Scores'!E1926+0.20*'Factor Scores'!G1926+0.20*'Factor Scores'!H1926)</f>
        <v/>
      </c>
      <c r="C1926" s="12">
        <f>IF(B1926="","",RANK(B1926,$B$2:$B$2501,0))</f>
        <v/>
      </c>
      <c r="D1926">
        <f>IF(C1926="","",C1926&lt;=25)</f>
        <v/>
      </c>
      <c r="F1926">
        <f>IF(A1926="","",IF(AND(D1926=TRUE,E1926=""),"BUY",IF(AND(D1926=FALSE,E1926&lt;&gt;""),"SELL",IF(AND(D1926=TRUE,E1926&lt;&gt;""),"HOLD",""))))</f>
        <v/>
      </c>
      <c r="G1926" s="12">
        <f>IF(D1926=TRUE,4,0)</f>
        <v/>
      </c>
      <c r="H1926">
        <f>IF(A1926="","",BDP(A1926&amp;" US Equity","GICS_SECTOR_NAME"))</f>
        <v/>
      </c>
    </row>
    <row r="1927">
      <c r="A1927">
        <f>'Factor Scores'!A1927</f>
        <v/>
      </c>
      <c r="B1927" s="10">
        <f>IF(A1927="","",0.40*'Factor Scores'!C1927+0.20*'Factor Scores'!E1927+0.20*'Factor Scores'!G1927+0.20*'Factor Scores'!H1927)</f>
        <v/>
      </c>
      <c r="C1927" s="12">
        <f>IF(B1927="","",RANK(B1927,$B$2:$B$2501,0))</f>
        <v/>
      </c>
      <c r="D1927">
        <f>IF(C1927="","",C1927&lt;=25)</f>
        <v/>
      </c>
      <c r="F1927">
        <f>IF(A1927="","",IF(AND(D1927=TRUE,E1927=""),"BUY",IF(AND(D1927=FALSE,E1927&lt;&gt;""),"SELL",IF(AND(D1927=TRUE,E1927&lt;&gt;""),"HOLD",""))))</f>
        <v/>
      </c>
      <c r="G1927" s="12">
        <f>IF(D1927=TRUE,4,0)</f>
        <v/>
      </c>
      <c r="H1927">
        <f>IF(A1927="","",BDP(A1927&amp;" US Equity","GICS_SECTOR_NAME"))</f>
        <v/>
      </c>
    </row>
    <row r="1928">
      <c r="A1928">
        <f>'Factor Scores'!A1928</f>
        <v/>
      </c>
      <c r="B1928" s="10">
        <f>IF(A1928="","",0.40*'Factor Scores'!C1928+0.20*'Factor Scores'!E1928+0.20*'Factor Scores'!G1928+0.20*'Factor Scores'!H1928)</f>
        <v/>
      </c>
      <c r="C1928" s="12">
        <f>IF(B1928="","",RANK(B1928,$B$2:$B$2501,0))</f>
        <v/>
      </c>
      <c r="D1928">
        <f>IF(C1928="","",C1928&lt;=25)</f>
        <v/>
      </c>
      <c r="F1928">
        <f>IF(A1928="","",IF(AND(D1928=TRUE,E1928=""),"BUY",IF(AND(D1928=FALSE,E1928&lt;&gt;""),"SELL",IF(AND(D1928=TRUE,E1928&lt;&gt;""),"HOLD",""))))</f>
        <v/>
      </c>
      <c r="G1928" s="12">
        <f>IF(D1928=TRUE,4,0)</f>
        <v/>
      </c>
      <c r="H1928">
        <f>IF(A1928="","",BDP(A1928&amp;" US Equity","GICS_SECTOR_NAME"))</f>
        <v/>
      </c>
    </row>
    <row r="1929">
      <c r="A1929">
        <f>'Factor Scores'!A1929</f>
        <v/>
      </c>
      <c r="B1929" s="10">
        <f>IF(A1929="","",0.40*'Factor Scores'!C1929+0.20*'Factor Scores'!E1929+0.20*'Factor Scores'!G1929+0.20*'Factor Scores'!H1929)</f>
        <v/>
      </c>
      <c r="C1929" s="12">
        <f>IF(B1929="","",RANK(B1929,$B$2:$B$2501,0))</f>
        <v/>
      </c>
      <c r="D1929">
        <f>IF(C1929="","",C1929&lt;=25)</f>
        <v/>
      </c>
      <c r="F1929">
        <f>IF(A1929="","",IF(AND(D1929=TRUE,E1929=""),"BUY",IF(AND(D1929=FALSE,E1929&lt;&gt;""),"SELL",IF(AND(D1929=TRUE,E1929&lt;&gt;""),"HOLD",""))))</f>
        <v/>
      </c>
      <c r="G1929" s="12">
        <f>IF(D1929=TRUE,4,0)</f>
        <v/>
      </c>
      <c r="H1929">
        <f>IF(A1929="","",BDP(A1929&amp;" US Equity","GICS_SECTOR_NAME"))</f>
        <v/>
      </c>
    </row>
    <row r="1930">
      <c r="A1930">
        <f>'Factor Scores'!A1930</f>
        <v/>
      </c>
      <c r="B1930" s="10">
        <f>IF(A1930="","",0.40*'Factor Scores'!C1930+0.20*'Factor Scores'!E1930+0.20*'Factor Scores'!G1930+0.20*'Factor Scores'!H1930)</f>
        <v/>
      </c>
      <c r="C1930" s="12">
        <f>IF(B1930="","",RANK(B1930,$B$2:$B$2501,0))</f>
        <v/>
      </c>
      <c r="D1930">
        <f>IF(C1930="","",C1930&lt;=25)</f>
        <v/>
      </c>
      <c r="F1930">
        <f>IF(A1930="","",IF(AND(D1930=TRUE,E1930=""),"BUY",IF(AND(D1930=FALSE,E1930&lt;&gt;""),"SELL",IF(AND(D1930=TRUE,E1930&lt;&gt;""),"HOLD",""))))</f>
        <v/>
      </c>
      <c r="G1930" s="12">
        <f>IF(D1930=TRUE,4,0)</f>
        <v/>
      </c>
      <c r="H1930">
        <f>IF(A1930="","",BDP(A1930&amp;" US Equity","GICS_SECTOR_NAME"))</f>
        <v/>
      </c>
    </row>
    <row r="1931">
      <c r="A1931">
        <f>'Factor Scores'!A1931</f>
        <v/>
      </c>
      <c r="B1931" s="10">
        <f>IF(A1931="","",0.40*'Factor Scores'!C1931+0.20*'Factor Scores'!E1931+0.20*'Factor Scores'!G1931+0.20*'Factor Scores'!H1931)</f>
        <v/>
      </c>
      <c r="C1931" s="12">
        <f>IF(B1931="","",RANK(B1931,$B$2:$B$2501,0))</f>
        <v/>
      </c>
      <c r="D1931">
        <f>IF(C1931="","",C1931&lt;=25)</f>
        <v/>
      </c>
      <c r="F1931">
        <f>IF(A1931="","",IF(AND(D1931=TRUE,E1931=""),"BUY",IF(AND(D1931=FALSE,E1931&lt;&gt;""),"SELL",IF(AND(D1931=TRUE,E1931&lt;&gt;""),"HOLD",""))))</f>
        <v/>
      </c>
      <c r="G1931" s="12">
        <f>IF(D1931=TRUE,4,0)</f>
        <v/>
      </c>
      <c r="H1931">
        <f>IF(A1931="","",BDP(A1931&amp;" US Equity","GICS_SECTOR_NAME"))</f>
        <v/>
      </c>
    </row>
    <row r="1932">
      <c r="A1932">
        <f>'Factor Scores'!A1932</f>
        <v/>
      </c>
      <c r="B1932" s="10">
        <f>IF(A1932="","",0.40*'Factor Scores'!C1932+0.20*'Factor Scores'!E1932+0.20*'Factor Scores'!G1932+0.20*'Factor Scores'!H1932)</f>
        <v/>
      </c>
      <c r="C1932" s="12">
        <f>IF(B1932="","",RANK(B1932,$B$2:$B$2501,0))</f>
        <v/>
      </c>
      <c r="D1932">
        <f>IF(C1932="","",C1932&lt;=25)</f>
        <v/>
      </c>
      <c r="F1932">
        <f>IF(A1932="","",IF(AND(D1932=TRUE,E1932=""),"BUY",IF(AND(D1932=FALSE,E1932&lt;&gt;""),"SELL",IF(AND(D1932=TRUE,E1932&lt;&gt;""),"HOLD",""))))</f>
        <v/>
      </c>
      <c r="G1932" s="12">
        <f>IF(D1932=TRUE,4,0)</f>
        <v/>
      </c>
      <c r="H1932">
        <f>IF(A1932="","",BDP(A1932&amp;" US Equity","GICS_SECTOR_NAME"))</f>
        <v/>
      </c>
    </row>
    <row r="1933">
      <c r="A1933">
        <f>'Factor Scores'!A1933</f>
        <v/>
      </c>
      <c r="B1933" s="10">
        <f>IF(A1933="","",0.40*'Factor Scores'!C1933+0.20*'Factor Scores'!E1933+0.20*'Factor Scores'!G1933+0.20*'Factor Scores'!H1933)</f>
        <v/>
      </c>
      <c r="C1933" s="12">
        <f>IF(B1933="","",RANK(B1933,$B$2:$B$2501,0))</f>
        <v/>
      </c>
      <c r="D1933">
        <f>IF(C1933="","",C1933&lt;=25)</f>
        <v/>
      </c>
      <c r="F1933">
        <f>IF(A1933="","",IF(AND(D1933=TRUE,E1933=""),"BUY",IF(AND(D1933=FALSE,E1933&lt;&gt;""),"SELL",IF(AND(D1933=TRUE,E1933&lt;&gt;""),"HOLD",""))))</f>
        <v/>
      </c>
      <c r="G1933" s="12">
        <f>IF(D1933=TRUE,4,0)</f>
        <v/>
      </c>
      <c r="H1933">
        <f>IF(A1933="","",BDP(A1933&amp;" US Equity","GICS_SECTOR_NAME"))</f>
        <v/>
      </c>
    </row>
    <row r="1934">
      <c r="A1934">
        <f>'Factor Scores'!A1934</f>
        <v/>
      </c>
      <c r="B1934" s="10">
        <f>IF(A1934="","",0.40*'Factor Scores'!C1934+0.20*'Factor Scores'!E1934+0.20*'Factor Scores'!G1934+0.20*'Factor Scores'!H1934)</f>
        <v/>
      </c>
      <c r="C1934" s="12">
        <f>IF(B1934="","",RANK(B1934,$B$2:$B$2501,0))</f>
        <v/>
      </c>
      <c r="D1934">
        <f>IF(C1934="","",C1934&lt;=25)</f>
        <v/>
      </c>
      <c r="F1934">
        <f>IF(A1934="","",IF(AND(D1934=TRUE,E1934=""),"BUY",IF(AND(D1934=FALSE,E1934&lt;&gt;""),"SELL",IF(AND(D1934=TRUE,E1934&lt;&gt;""),"HOLD",""))))</f>
        <v/>
      </c>
      <c r="G1934" s="12">
        <f>IF(D1934=TRUE,4,0)</f>
        <v/>
      </c>
      <c r="H1934">
        <f>IF(A1934="","",BDP(A1934&amp;" US Equity","GICS_SECTOR_NAME"))</f>
        <v/>
      </c>
    </row>
    <row r="1935">
      <c r="A1935">
        <f>'Factor Scores'!A1935</f>
        <v/>
      </c>
      <c r="B1935" s="10">
        <f>IF(A1935="","",0.40*'Factor Scores'!C1935+0.20*'Factor Scores'!E1935+0.20*'Factor Scores'!G1935+0.20*'Factor Scores'!H1935)</f>
        <v/>
      </c>
      <c r="C1935" s="12">
        <f>IF(B1935="","",RANK(B1935,$B$2:$B$2501,0))</f>
        <v/>
      </c>
      <c r="D1935">
        <f>IF(C1935="","",C1935&lt;=25)</f>
        <v/>
      </c>
      <c r="F1935">
        <f>IF(A1935="","",IF(AND(D1935=TRUE,E1935=""),"BUY",IF(AND(D1935=FALSE,E1935&lt;&gt;""),"SELL",IF(AND(D1935=TRUE,E1935&lt;&gt;""),"HOLD",""))))</f>
        <v/>
      </c>
      <c r="G1935" s="12">
        <f>IF(D1935=TRUE,4,0)</f>
        <v/>
      </c>
      <c r="H1935">
        <f>IF(A1935="","",BDP(A1935&amp;" US Equity","GICS_SECTOR_NAME"))</f>
        <v/>
      </c>
    </row>
    <row r="1936">
      <c r="A1936">
        <f>'Factor Scores'!A1936</f>
        <v/>
      </c>
      <c r="B1936" s="10">
        <f>IF(A1936="","",0.40*'Factor Scores'!C1936+0.20*'Factor Scores'!E1936+0.20*'Factor Scores'!G1936+0.20*'Factor Scores'!H1936)</f>
        <v/>
      </c>
      <c r="C1936" s="12">
        <f>IF(B1936="","",RANK(B1936,$B$2:$B$2501,0))</f>
        <v/>
      </c>
      <c r="D1936">
        <f>IF(C1936="","",C1936&lt;=25)</f>
        <v/>
      </c>
      <c r="F1936">
        <f>IF(A1936="","",IF(AND(D1936=TRUE,E1936=""),"BUY",IF(AND(D1936=FALSE,E1936&lt;&gt;""),"SELL",IF(AND(D1936=TRUE,E1936&lt;&gt;""),"HOLD",""))))</f>
        <v/>
      </c>
      <c r="G1936" s="12">
        <f>IF(D1936=TRUE,4,0)</f>
        <v/>
      </c>
      <c r="H1936">
        <f>IF(A1936="","",BDP(A1936&amp;" US Equity","GICS_SECTOR_NAME"))</f>
        <v/>
      </c>
    </row>
    <row r="1937">
      <c r="A1937">
        <f>'Factor Scores'!A1937</f>
        <v/>
      </c>
      <c r="B1937" s="10">
        <f>IF(A1937="","",0.40*'Factor Scores'!C1937+0.20*'Factor Scores'!E1937+0.20*'Factor Scores'!G1937+0.20*'Factor Scores'!H1937)</f>
        <v/>
      </c>
      <c r="C1937" s="12">
        <f>IF(B1937="","",RANK(B1937,$B$2:$B$2501,0))</f>
        <v/>
      </c>
      <c r="D1937">
        <f>IF(C1937="","",C1937&lt;=25)</f>
        <v/>
      </c>
      <c r="F1937">
        <f>IF(A1937="","",IF(AND(D1937=TRUE,E1937=""),"BUY",IF(AND(D1937=FALSE,E1937&lt;&gt;""),"SELL",IF(AND(D1937=TRUE,E1937&lt;&gt;""),"HOLD",""))))</f>
        <v/>
      </c>
      <c r="G1937" s="12">
        <f>IF(D1937=TRUE,4,0)</f>
        <v/>
      </c>
      <c r="H1937">
        <f>IF(A1937="","",BDP(A1937&amp;" US Equity","GICS_SECTOR_NAME"))</f>
        <v/>
      </c>
    </row>
    <row r="1938">
      <c r="A1938">
        <f>'Factor Scores'!A1938</f>
        <v/>
      </c>
      <c r="B1938" s="10">
        <f>IF(A1938="","",0.40*'Factor Scores'!C1938+0.20*'Factor Scores'!E1938+0.20*'Factor Scores'!G1938+0.20*'Factor Scores'!H1938)</f>
        <v/>
      </c>
      <c r="C1938" s="12">
        <f>IF(B1938="","",RANK(B1938,$B$2:$B$2501,0))</f>
        <v/>
      </c>
      <c r="D1938">
        <f>IF(C1938="","",C1938&lt;=25)</f>
        <v/>
      </c>
      <c r="F1938">
        <f>IF(A1938="","",IF(AND(D1938=TRUE,E1938=""),"BUY",IF(AND(D1938=FALSE,E1938&lt;&gt;""),"SELL",IF(AND(D1938=TRUE,E1938&lt;&gt;""),"HOLD",""))))</f>
        <v/>
      </c>
      <c r="G1938" s="12">
        <f>IF(D1938=TRUE,4,0)</f>
        <v/>
      </c>
      <c r="H1938">
        <f>IF(A1938="","",BDP(A1938&amp;" US Equity","GICS_SECTOR_NAME"))</f>
        <v/>
      </c>
    </row>
    <row r="1939">
      <c r="A1939">
        <f>'Factor Scores'!A1939</f>
        <v/>
      </c>
      <c r="B1939" s="10">
        <f>IF(A1939="","",0.40*'Factor Scores'!C1939+0.20*'Factor Scores'!E1939+0.20*'Factor Scores'!G1939+0.20*'Factor Scores'!H1939)</f>
        <v/>
      </c>
      <c r="C1939" s="12">
        <f>IF(B1939="","",RANK(B1939,$B$2:$B$2501,0))</f>
        <v/>
      </c>
      <c r="D1939">
        <f>IF(C1939="","",C1939&lt;=25)</f>
        <v/>
      </c>
      <c r="F1939">
        <f>IF(A1939="","",IF(AND(D1939=TRUE,E1939=""),"BUY",IF(AND(D1939=FALSE,E1939&lt;&gt;""),"SELL",IF(AND(D1939=TRUE,E1939&lt;&gt;""),"HOLD",""))))</f>
        <v/>
      </c>
      <c r="G1939" s="12">
        <f>IF(D1939=TRUE,4,0)</f>
        <v/>
      </c>
      <c r="H1939">
        <f>IF(A1939="","",BDP(A1939&amp;" US Equity","GICS_SECTOR_NAME"))</f>
        <v/>
      </c>
    </row>
    <row r="1940">
      <c r="A1940">
        <f>'Factor Scores'!A1940</f>
        <v/>
      </c>
      <c r="B1940" s="10">
        <f>IF(A1940="","",0.40*'Factor Scores'!C1940+0.20*'Factor Scores'!E1940+0.20*'Factor Scores'!G1940+0.20*'Factor Scores'!H1940)</f>
        <v/>
      </c>
      <c r="C1940" s="12">
        <f>IF(B1940="","",RANK(B1940,$B$2:$B$2501,0))</f>
        <v/>
      </c>
      <c r="D1940">
        <f>IF(C1940="","",C1940&lt;=25)</f>
        <v/>
      </c>
      <c r="F1940">
        <f>IF(A1940="","",IF(AND(D1940=TRUE,E1940=""),"BUY",IF(AND(D1940=FALSE,E1940&lt;&gt;""),"SELL",IF(AND(D1940=TRUE,E1940&lt;&gt;""),"HOLD",""))))</f>
        <v/>
      </c>
      <c r="G1940" s="12">
        <f>IF(D1940=TRUE,4,0)</f>
        <v/>
      </c>
      <c r="H1940">
        <f>IF(A1940="","",BDP(A1940&amp;" US Equity","GICS_SECTOR_NAME"))</f>
        <v/>
      </c>
    </row>
    <row r="1941">
      <c r="A1941">
        <f>'Factor Scores'!A1941</f>
        <v/>
      </c>
      <c r="B1941" s="10">
        <f>IF(A1941="","",0.40*'Factor Scores'!C1941+0.20*'Factor Scores'!E1941+0.20*'Factor Scores'!G1941+0.20*'Factor Scores'!H1941)</f>
        <v/>
      </c>
      <c r="C1941" s="12">
        <f>IF(B1941="","",RANK(B1941,$B$2:$B$2501,0))</f>
        <v/>
      </c>
      <c r="D1941">
        <f>IF(C1941="","",C1941&lt;=25)</f>
        <v/>
      </c>
      <c r="F1941">
        <f>IF(A1941="","",IF(AND(D1941=TRUE,E1941=""),"BUY",IF(AND(D1941=FALSE,E1941&lt;&gt;""),"SELL",IF(AND(D1941=TRUE,E1941&lt;&gt;""),"HOLD",""))))</f>
        <v/>
      </c>
      <c r="G1941" s="12">
        <f>IF(D1941=TRUE,4,0)</f>
        <v/>
      </c>
      <c r="H1941">
        <f>IF(A1941="","",BDP(A1941&amp;" US Equity","GICS_SECTOR_NAME"))</f>
        <v/>
      </c>
    </row>
    <row r="1942">
      <c r="A1942">
        <f>'Factor Scores'!A1942</f>
        <v/>
      </c>
      <c r="B1942" s="10">
        <f>IF(A1942="","",0.40*'Factor Scores'!C1942+0.20*'Factor Scores'!E1942+0.20*'Factor Scores'!G1942+0.20*'Factor Scores'!H1942)</f>
        <v/>
      </c>
      <c r="C1942" s="12">
        <f>IF(B1942="","",RANK(B1942,$B$2:$B$2501,0))</f>
        <v/>
      </c>
      <c r="D1942">
        <f>IF(C1942="","",C1942&lt;=25)</f>
        <v/>
      </c>
      <c r="F1942">
        <f>IF(A1942="","",IF(AND(D1942=TRUE,E1942=""),"BUY",IF(AND(D1942=FALSE,E1942&lt;&gt;""),"SELL",IF(AND(D1942=TRUE,E1942&lt;&gt;""),"HOLD",""))))</f>
        <v/>
      </c>
      <c r="G1942" s="12">
        <f>IF(D1942=TRUE,4,0)</f>
        <v/>
      </c>
      <c r="H1942">
        <f>IF(A1942="","",BDP(A1942&amp;" US Equity","GICS_SECTOR_NAME"))</f>
        <v/>
      </c>
    </row>
    <row r="1943">
      <c r="A1943">
        <f>'Factor Scores'!A1943</f>
        <v/>
      </c>
      <c r="B1943" s="10">
        <f>IF(A1943="","",0.40*'Factor Scores'!C1943+0.20*'Factor Scores'!E1943+0.20*'Factor Scores'!G1943+0.20*'Factor Scores'!H1943)</f>
        <v/>
      </c>
      <c r="C1943" s="12">
        <f>IF(B1943="","",RANK(B1943,$B$2:$B$2501,0))</f>
        <v/>
      </c>
      <c r="D1943">
        <f>IF(C1943="","",C1943&lt;=25)</f>
        <v/>
      </c>
      <c r="F1943">
        <f>IF(A1943="","",IF(AND(D1943=TRUE,E1943=""),"BUY",IF(AND(D1943=FALSE,E1943&lt;&gt;""),"SELL",IF(AND(D1943=TRUE,E1943&lt;&gt;""),"HOLD",""))))</f>
        <v/>
      </c>
      <c r="G1943" s="12">
        <f>IF(D1943=TRUE,4,0)</f>
        <v/>
      </c>
      <c r="H1943">
        <f>IF(A1943="","",BDP(A1943&amp;" US Equity","GICS_SECTOR_NAME"))</f>
        <v/>
      </c>
    </row>
    <row r="1944">
      <c r="A1944">
        <f>'Factor Scores'!A1944</f>
        <v/>
      </c>
      <c r="B1944" s="10">
        <f>IF(A1944="","",0.40*'Factor Scores'!C1944+0.20*'Factor Scores'!E1944+0.20*'Factor Scores'!G1944+0.20*'Factor Scores'!H1944)</f>
        <v/>
      </c>
      <c r="C1944" s="12">
        <f>IF(B1944="","",RANK(B1944,$B$2:$B$2501,0))</f>
        <v/>
      </c>
      <c r="D1944">
        <f>IF(C1944="","",C1944&lt;=25)</f>
        <v/>
      </c>
      <c r="F1944">
        <f>IF(A1944="","",IF(AND(D1944=TRUE,E1944=""),"BUY",IF(AND(D1944=FALSE,E1944&lt;&gt;""),"SELL",IF(AND(D1944=TRUE,E1944&lt;&gt;""),"HOLD",""))))</f>
        <v/>
      </c>
      <c r="G1944" s="12">
        <f>IF(D1944=TRUE,4,0)</f>
        <v/>
      </c>
      <c r="H1944">
        <f>IF(A1944="","",BDP(A1944&amp;" US Equity","GICS_SECTOR_NAME"))</f>
        <v/>
      </c>
    </row>
    <row r="1945">
      <c r="A1945">
        <f>'Factor Scores'!A1945</f>
        <v/>
      </c>
      <c r="B1945" s="10">
        <f>IF(A1945="","",0.40*'Factor Scores'!C1945+0.20*'Factor Scores'!E1945+0.20*'Factor Scores'!G1945+0.20*'Factor Scores'!H1945)</f>
        <v/>
      </c>
      <c r="C1945" s="12">
        <f>IF(B1945="","",RANK(B1945,$B$2:$B$2501,0))</f>
        <v/>
      </c>
      <c r="D1945">
        <f>IF(C1945="","",C1945&lt;=25)</f>
        <v/>
      </c>
      <c r="F1945">
        <f>IF(A1945="","",IF(AND(D1945=TRUE,E1945=""),"BUY",IF(AND(D1945=FALSE,E1945&lt;&gt;""),"SELL",IF(AND(D1945=TRUE,E1945&lt;&gt;""),"HOLD",""))))</f>
        <v/>
      </c>
      <c r="G1945" s="12">
        <f>IF(D1945=TRUE,4,0)</f>
        <v/>
      </c>
      <c r="H1945">
        <f>IF(A1945="","",BDP(A1945&amp;" US Equity","GICS_SECTOR_NAME"))</f>
        <v/>
      </c>
    </row>
    <row r="1946">
      <c r="A1946">
        <f>'Factor Scores'!A1946</f>
        <v/>
      </c>
      <c r="B1946" s="10">
        <f>IF(A1946="","",0.40*'Factor Scores'!C1946+0.20*'Factor Scores'!E1946+0.20*'Factor Scores'!G1946+0.20*'Factor Scores'!H1946)</f>
        <v/>
      </c>
      <c r="C1946" s="12">
        <f>IF(B1946="","",RANK(B1946,$B$2:$B$2501,0))</f>
        <v/>
      </c>
      <c r="D1946">
        <f>IF(C1946="","",C1946&lt;=25)</f>
        <v/>
      </c>
      <c r="F1946">
        <f>IF(A1946="","",IF(AND(D1946=TRUE,E1946=""),"BUY",IF(AND(D1946=FALSE,E1946&lt;&gt;""),"SELL",IF(AND(D1946=TRUE,E1946&lt;&gt;""),"HOLD",""))))</f>
        <v/>
      </c>
      <c r="G1946" s="12">
        <f>IF(D1946=TRUE,4,0)</f>
        <v/>
      </c>
      <c r="H1946">
        <f>IF(A1946="","",BDP(A1946&amp;" US Equity","GICS_SECTOR_NAME"))</f>
        <v/>
      </c>
    </row>
    <row r="1947">
      <c r="A1947">
        <f>'Factor Scores'!A1947</f>
        <v/>
      </c>
      <c r="B1947" s="10">
        <f>IF(A1947="","",0.40*'Factor Scores'!C1947+0.20*'Factor Scores'!E1947+0.20*'Factor Scores'!G1947+0.20*'Factor Scores'!H1947)</f>
        <v/>
      </c>
      <c r="C1947" s="12">
        <f>IF(B1947="","",RANK(B1947,$B$2:$B$2501,0))</f>
        <v/>
      </c>
      <c r="D1947">
        <f>IF(C1947="","",C1947&lt;=25)</f>
        <v/>
      </c>
      <c r="F1947">
        <f>IF(A1947="","",IF(AND(D1947=TRUE,E1947=""),"BUY",IF(AND(D1947=FALSE,E1947&lt;&gt;""),"SELL",IF(AND(D1947=TRUE,E1947&lt;&gt;""),"HOLD",""))))</f>
        <v/>
      </c>
      <c r="G1947" s="12">
        <f>IF(D1947=TRUE,4,0)</f>
        <v/>
      </c>
      <c r="H1947">
        <f>IF(A1947="","",BDP(A1947&amp;" US Equity","GICS_SECTOR_NAME"))</f>
        <v/>
      </c>
    </row>
    <row r="1948">
      <c r="A1948">
        <f>'Factor Scores'!A1948</f>
        <v/>
      </c>
      <c r="B1948" s="10">
        <f>IF(A1948="","",0.40*'Factor Scores'!C1948+0.20*'Factor Scores'!E1948+0.20*'Factor Scores'!G1948+0.20*'Factor Scores'!H1948)</f>
        <v/>
      </c>
      <c r="C1948" s="12">
        <f>IF(B1948="","",RANK(B1948,$B$2:$B$2501,0))</f>
        <v/>
      </c>
      <c r="D1948">
        <f>IF(C1948="","",C1948&lt;=25)</f>
        <v/>
      </c>
      <c r="F1948">
        <f>IF(A1948="","",IF(AND(D1948=TRUE,E1948=""),"BUY",IF(AND(D1948=FALSE,E1948&lt;&gt;""),"SELL",IF(AND(D1948=TRUE,E1948&lt;&gt;""),"HOLD",""))))</f>
        <v/>
      </c>
      <c r="G1948" s="12">
        <f>IF(D1948=TRUE,4,0)</f>
        <v/>
      </c>
      <c r="H1948">
        <f>IF(A1948="","",BDP(A1948&amp;" US Equity","GICS_SECTOR_NAME"))</f>
        <v/>
      </c>
    </row>
    <row r="1949">
      <c r="A1949">
        <f>'Factor Scores'!A1949</f>
        <v/>
      </c>
      <c r="B1949" s="10">
        <f>IF(A1949="","",0.40*'Factor Scores'!C1949+0.20*'Factor Scores'!E1949+0.20*'Factor Scores'!G1949+0.20*'Factor Scores'!H1949)</f>
        <v/>
      </c>
      <c r="C1949" s="12">
        <f>IF(B1949="","",RANK(B1949,$B$2:$B$2501,0))</f>
        <v/>
      </c>
      <c r="D1949">
        <f>IF(C1949="","",C1949&lt;=25)</f>
        <v/>
      </c>
      <c r="F1949">
        <f>IF(A1949="","",IF(AND(D1949=TRUE,E1949=""),"BUY",IF(AND(D1949=FALSE,E1949&lt;&gt;""),"SELL",IF(AND(D1949=TRUE,E1949&lt;&gt;""),"HOLD",""))))</f>
        <v/>
      </c>
      <c r="G1949" s="12">
        <f>IF(D1949=TRUE,4,0)</f>
        <v/>
      </c>
      <c r="H1949">
        <f>IF(A1949="","",BDP(A1949&amp;" US Equity","GICS_SECTOR_NAME"))</f>
        <v/>
      </c>
    </row>
    <row r="1950">
      <c r="A1950">
        <f>'Factor Scores'!A1950</f>
        <v/>
      </c>
      <c r="B1950" s="10">
        <f>IF(A1950="","",0.40*'Factor Scores'!C1950+0.20*'Factor Scores'!E1950+0.20*'Factor Scores'!G1950+0.20*'Factor Scores'!H1950)</f>
        <v/>
      </c>
      <c r="C1950" s="12">
        <f>IF(B1950="","",RANK(B1950,$B$2:$B$2501,0))</f>
        <v/>
      </c>
      <c r="D1950">
        <f>IF(C1950="","",C1950&lt;=25)</f>
        <v/>
      </c>
      <c r="F1950">
        <f>IF(A1950="","",IF(AND(D1950=TRUE,E1950=""),"BUY",IF(AND(D1950=FALSE,E1950&lt;&gt;""),"SELL",IF(AND(D1950=TRUE,E1950&lt;&gt;""),"HOLD",""))))</f>
        <v/>
      </c>
      <c r="G1950" s="12">
        <f>IF(D1950=TRUE,4,0)</f>
        <v/>
      </c>
      <c r="H1950">
        <f>IF(A1950="","",BDP(A1950&amp;" US Equity","GICS_SECTOR_NAME"))</f>
        <v/>
      </c>
    </row>
    <row r="1951">
      <c r="A1951">
        <f>'Factor Scores'!A1951</f>
        <v/>
      </c>
      <c r="B1951" s="10">
        <f>IF(A1951="","",0.40*'Factor Scores'!C1951+0.20*'Factor Scores'!E1951+0.20*'Factor Scores'!G1951+0.20*'Factor Scores'!H1951)</f>
        <v/>
      </c>
      <c r="C1951" s="12">
        <f>IF(B1951="","",RANK(B1951,$B$2:$B$2501,0))</f>
        <v/>
      </c>
      <c r="D1951">
        <f>IF(C1951="","",C1951&lt;=25)</f>
        <v/>
      </c>
      <c r="F1951">
        <f>IF(A1951="","",IF(AND(D1951=TRUE,E1951=""),"BUY",IF(AND(D1951=FALSE,E1951&lt;&gt;""),"SELL",IF(AND(D1951=TRUE,E1951&lt;&gt;""),"HOLD",""))))</f>
        <v/>
      </c>
      <c r="G1951" s="12">
        <f>IF(D1951=TRUE,4,0)</f>
        <v/>
      </c>
      <c r="H1951">
        <f>IF(A1951="","",BDP(A1951&amp;" US Equity","GICS_SECTOR_NAME"))</f>
        <v/>
      </c>
    </row>
    <row r="1952">
      <c r="A1952">
        <f>'Factor Scores'!A1952</f>
        <v/>
      </c>
      <c r="B1952" s="10">
        <f>IF(A1952="","",0.40*'Factor Scores'!C1952+0.20*'Factor Scores'!E1952+0.20*'Factor Scores'!G1952+0.20*'Factor Scores'!H1952)</f>
        <v/>
      </c>
      <c r="C1952" s="12">
        <f>IF(B1952="","",RANK(B1952,$B$2:$B$2501,0))</f>
        <v/>
      </c>
      <c r="D1952">
        <f>IF(C1952="","",C1952&lt;=25)</f>
        <v/>
      </c>
      <c r="F1952">
        <f>IF(A1952="","",IF(AND(D1952=TRUE,E1952=""),"BUY",IF(AND(D1952=FALSE,E1952&lt;&gt;""),"SELL",IF(AND(D1952=TRUE,E1952&lt;&gt;""),"HOLD",""))))</f>
        <v/>
      </c>
      <c r="G1952" s="12">
        <f>IF(D1952=TRUE,4,0)</f>
        <v/>
      </c>
      <c r="H1952">
        <f>IF(A1952="","",BDP(A1952&amp;" US Equity","GICS_SECTOR_NAME"))</f>
        <v/>
      </c>
    </row>
    <row r="1953">
      <c r="A1953">
        <f>'Factor Scores'!A1953</f>
        <v/>
      </c>
      <c r="B1953" s="10">
        <f>IF(A1953="","",0.40*'Factor Scores'!C1953+0.20*'Factor Scores'!E1953+0.20*'Factor Scores'!G1953+0.20*'Factor Scores'!H1953)</f>
        <v/>
      </c>
      <c r="C1953" s="12">
        <f>IF(B1953="","",RANK(B1953,$B$2:$B$2501,0))</f>
        <v/>
      </c>
      <c r="D1953">
        <f>IF(C1953="","",C1953&lt;=25)</f>
        <v/>
      </c>
      <c r="F1953">
        <f>IF(A1953="","",IF(AND(D1953=TRUE,E1953=""),"BUY",IF(AND(D1953=FALSE,E1953&lt;&gt;""),"SELL",IF(AND(D1953=TRUE,E1953&lt;&gt;""),"HOLD",""))))</f>
        <v/>
      </c>
      <c r="G1953" s="12">
        <f>IF(D1953=TRUE,4,0)</f>
        <v/>
      </c>
      <c r="H1953">
        <f>IF(A1953="","",BDP(A1953&amp;" US Equity","GICS_SECTOR_NAME"))</f>
        <v/>
      </c>
    </row>
    <row r="1954">
      <c r="A1954">
        <f>'Factor Scores'!A1954</f>
        <v/>
      </c>
      <c r="B1954" s="10">
        <f>IF(A1954="","",0.40*'Factor Scores'!C1954+0.20*'Factor Scores'!E1954+0.20*'Factor Scores'!G1954+0.20*'Factor Scores'!H1954)</f>
        <v/>
      </c>
      <c r="C1954" s="12">
        <f>IF(B1954="","",RANK(B1954,$B$2:$B$2501,0))</f>
        <v/>
      </c>
      <c r="D1954">
        <f>IF(C1954="","",C1954&lt;=25)</f>
        <v/>
      </c>
      <c r="F1954">
        <f>IF(A1954="","",IF(AND(D1954=TRUE,E1954=""),"BUY",IF(AND(D1954=FALSE,E1954&lt;&gt;""),"SELL",IF(AND(D1954=TRUE,E1954&lt;&gt;""),"HOLD",""))))</f>
        <v/>
      </c>
      <c r="G1954" s="12">
        <f>IF(D1954=TRUE,4,0)</f>
        <v/>
      </c>
      <c r="H1954">
        <f>IF(A1954="","",BDP(A1954&amp;" US Equity","GICS_SECTOR_NAME"))</f>
        <v/>
      </c>
    </row>
    <row r="1955">
      <c r="A1955">
        <f>'Factor Scores'!A1955</f>
        <v/>
      </c>
      <c r="B1955" s="10">
        <f>IF(A1955="","",0.40*'Factor Scores'!C1955+0.20*'Factor Scores'!E1955+0.20*'Factor Scores'!G1955+0.20*'Factor Scores'!H1955)</f>
        <v/>
      </c>
      <c r="C1955" s="12">
        <f>IF(B1955="","",RANK(B1955,$B$2:$B$2501,0))</f>
        <v/>
      </c>
      <c r="D1955">
        <f>IF(C1955="","",C1955&lt;=25)</f>
        <v/>
      </c>
      <c r="F1955">
        <f>IF(A1955="","",IF(AND(D1955=TRUE,E1955=""),"BUY",IF(AND(D1955=FALSE,E1955&lt;&gt;""),"SELL",IF(AND(D1955=TRUE,E1955&lt;&gt;""),"HOLD",""))))</f>
        <v/>
      </c>
      <c r="G1955" s="12">
        <f>IF(D1955=TRUE,4,0)</f>
        <v/>
      </c>
      <c r="H1955">
        <f>IF(A1955="","",BDP(A1955&amp;" US Equity","GICS_SECTOR_NAME"))</f>
        <v/>
      </c>
    </row>
    <row r="1956">
      <c r="A1956">
        <f>'Factor Scores'!A1956</f>
        <v/>
      </c>
      <c r="B1956" s="10">
        <f>IF(A1956="","",0.40*'Factor Scores'!C1956+0.20*'Factor Scores'!E1956+0.20*'Factor Scores'!G1956+0.20*'Factor Scores'!H1956)</f>
        <v/>
      </c>
      <c r="C1956" s="12">
        <f>IF(B1956="","",RANK(B1956,$B$2:$B$2501,0))</f>
        <v/>
      </c>
      <c r="D1956">
        <f>IF(C1956="","",C1956&lt;=25)</f>
        <v/>
      </c>
      <c r="F1956">
        <f>IF(A1956="","",IF(AND(D1956=TRUE,E1956=""),"BUY",IF(AND(D1956=FALSE,E1956&lt;&gt;""),"SELL",IF(AND(D1956=TRUE,E1956&lt;&gt;""),"HOLD",""))))</f>
        <v/>
      </c>
      <c r="G1956" s="12">
        <f>IF(D1956=TRUE,4,0)</f>
        <v/>
      </c>
      <c r="H1956">
        <f>IF(A1956="","",BDP(A1956&amp;" US Equity","GICS_SECTOR_NAME"))</f>
        <v/>
      </c>
    </row>
    <row r="1957">
      <c r="A1957">
        <f>'Factor Scores'!A1957</f>
        <v/>
      </c>
      <c r="B1957" s="10">
        <f>IF(A1957="","",0.40*'Factor Scores'!C1957+0.20*'Factor Scores'!E1957+0.20*'Factor Scores'!G1957+0.20*'Factor Scores'!H1957)</f>
        <v/>
      </c>
      <c r="C1957" s="12">
        <f>IF(B1957="","",RANK(B1957,$B$2:$B$2501,0))</f>
        <v/>
      </c>
      <c r="D1957">
        <f>IF(C1957="","",C1957&lt;=25)</f>
        <v/>
      </c>
      <c r="F1957">
        <f>IF(A1957="","",IF(AND(D1957=TRUE,E1957=""),"BUY",IF(AND(D1957=FALSE,E1957&lt;&gt;""),"SELL",IF(AND(D1957=TRUE,E1957&lt;&gt;""),"HOLD",""))))</f>
        <v/>
      </c>
      <c r="G1957" s="12">
        <f>IF(D1957=TRUE,4,0)</f>
        <v/>
      </c>
      <c r="H1957">
        <f>IF(A1957="","",BDP(A1957&amp;" US Equity","GICS_SECTOR_NAME"))</f>
        <v/>
      </c>
    </row>
    <row r="1958">
      <c r="A1958">
        <f>'Factor Scores'!A1958</f>
        <v/>
      </c>
      <c r="B1958" s="10">
        <f>IF(A1958="","",0.40*'Factor Scores'!C1958+0.20*'Factor Scores'!E1958+0.20*'Factor Scores'!G1958+0.20*'Factor Scores'!H1958)</f>
        <v/>
      </c>
      <c r="C1958" s="12">
        <f>IF(B1958="","",RANK(B1958,$B$2:$B$2501,0))</f>
        <v/>
      </c>
      <c r="D1958">
        <f>IF(C1958="","",C1958&lt;=25)</f>
        <v/>
      </c>
      <c r="F1958">
        <f>IF(A1958="","",IF(AND(D1958=TRUE,E1958=""),"BUY",IF(AND(D1958=FALSE,E1958&lt;&gt;""),"SELL",IF(AND(D1958=TRUE,E1958&lt;&gt;""),"HOLD",""))))</f>
        <v/>
      </c>
      <c r="G1958" s="12">
        <f>IF(D1958=TRUE,4,0)</f>
        <v/>
      </c>
      <c r="H1958">
        <f>IF(A1958="","",BDP(A1958&amp;" US Equity","GICS_SECTOR_NAME"))</f>
        <v/>
      </c>
    </row>
    <row r="1959">
      <c r="A1959">
        <f>'Factor Scores'!A1959</f>
        <v/>
      </c>
      <c r="B1959" s="10">
        <f>IF(A1959="","",0.40*'Factor Scores'!C1959+0.20*'Factor Scores'!E1959+0.20*'Factor Scores'!G1959+0.20*'Factor Scores'!H1959)</f>
        <v/>
      </c>
      <c r="C1959" s="12">
        <f>IF(B1959="","",RANK(B1959,$B$2:$B$2501,0))</f>
        <v/>
      </c>
      <c r="D1959">
        <f>IF(C1959="","",C1959&lt;=25)</f>
        <v/>
      </c>
      <c r="F1959">
        <f>IF(A1959="","",IF(AND(D1959=TRUE,E1959=""),"BUY",IF(AND(D1959=FALSE,E1959&lt;&gt;""),"SELL",IF(AND(D1959=TRUE,E1959&lt;&gt;""),"HOLD",""))))</f>
        <v/>
      </c>
      <c r="G1959" s="12">
        <f>IF(D1959=TRUE,4,0)</f>
        <v/>
      </c>
      <c r="H1959">
        <f>IF(A1959="","",BDP(A1959&amp;" US Equity","GICS_SECTOR_NAME"))</f>
        <v/>
      </c>
    </row>
    <row r="1960">
      <c r="A1960">
        <f>'Factor Scores'!A1960</f>
        <v/>
      </c>
      <c r="B1960" s="10">
        <f>IF(A1960="","",0.40*'Factor Scores'!C1960+0.20*'Factor Scores'!E1960+0.20*'Factor Scores'!G1960+0.20*'Factor Scores'!H1960)</f>
        <v/>
      </c>
      <c r="C1960" s="12">
        <f>IF(B1960="","",RANK(B1960,$B$2:$B$2501,0))</f>
        <v/>
      </c>
      <c r="D1960">
        <f>IF(C1960="","",C1960&lt;=25)</f>
        <v/>
      </c>
      <c r="F1960">
        <f>IF(A1960="","",IF(AND(D1960=TRUE,E1960=""),"BUY",IF(AND(D1960=FALSE,E1960&lt;&gt;""),"SELL",IF(AND(D1960=TRUE,E1960&lt;&gt;""),"HOLD",""))))</f>
        <v/>
      </c>
      <c r="G1960" s="12">
        <f>IF(D1960=TRUE,4,0)</f>
        <v/>
      </c>
      <c r="H1960">
        <f>IF(A1960="","",BDP(A1960&amp;" US Equity","GICS_SECTOR_NAME"))</f>
        <v/>
      </c>
    </row>
    <row r="1961">
      <c r="A1961">
        <f>'Factor Scores'!A1961</f>
        <v/>
      </c>
      <c r="B1961" s="10">
        <f>IF(A1961="","",0.40*'Factor Scores'!C1961+0.20*'Factor Scores'!E1961+0.20*'Factor Scores'!G1961+0.20*'Factor Scores'!H1961)</f>
        <v/>
      </c>
      <c r="C1961" s="12">
        <f>IF(B1961="","",RANK(B1961,$B$2:$B$2501,0))</f>
        <v/>
      </c>
      <c r="D1961">
        <f>IF(C1961="","",C1961&lt;=25)</f>
        <v/>
      </c>
      <c r="F1961">
        <f>IF(A1961="","",IF(AND(D1961=TRUE,E1961=""),"BUY",IF(AND(D1961=FALSE,E1961&lt;&gt;""),"SELL",IF(AND(D1961=TRUE,E1961&lt;&gt;""),"HOLD",""))))</f>
        <v/>
      </c>
      <c r="G1961" s="12">
        <f>IF(D1961=TRUE,4,0)</f>
        <v/>
      </c>
      <c r="H1961">
        <f>IF(A1961="","",BDP(A1961&amp;" US Equity","GICS_SECTOR_NAME"))</f>
        <v/>
      </c>
    </row>
    <row r="1962">
      <c r="A1962">
        <f>'Factor Scores'!A1962</f>
        <v/>
      </c>
      <c r="B1962" s="10">
        <f>IF(A1962="","",0.40*'Factor Scores'!C1962+0.20*'Factor Scores'!E1962+0.20*'Factor Scores'!G1962+0.20*'Factor Scores'!H1962)</f>
        <v/>
      </c>
      <c r="C1962" s="12">
        <f>IF(B1962="","",RANK(B1962,$B$2:$B$2501,0))</f>
        <v/>
      </c>
      <c r="D1962">
        <f>IF(C1962="","",C1962&lt;=25)</f>
        <v/>
      </c>
      <c r="F1962">
        <f>IF(A1962="","",IF(AND(D1962=TRUE,E1962=""),"BUY",IF(AND(D1962=FALSE,E1962&lt;&gt;""),"SELL",IF(AND(D1962=TRUE,E1962&lt;&gt;""),"HOLD",""))))</f>
        <v/>
      </c>
      <c r="G1962" s="12">
        <f>IF(D1962=TRUE,4,0)</f>
        <v/>
      </c>
      <c r="H1962">
        <f>IF(A1962="","",BDP(A1962&amp;" US Equity","GICS_SECTOR_NAME"))</f>
        <v/>
      </c>
    </row>
    <row r="1963">
      <c r="A1963">
        <f>'Factor Scores'!A1963</f>
        <v/>
      </c>
      <c r="B1963" s="10">
        <f>IF(A1963="","",0.40*'Factor Scores'!C1963+0.20*'Factor Scores'!E1963+0.20*'Factor Scores'!G1963+0.20*'Factor Scores'!H1963)</f>
        <v/>
      </c>
      <c r="C1963" s="12">
        <f>IF(B1963="","",RANK(B1963,$B$2:$B$2501,0))</f>
        <v/>
      </c>
      <c r="D1963">
        <f>IF(C1963="","",C1963&lt;=25)</f>
        <v/>
      </c>
      <c r="F1963">
        <f>IF(A1963="","",IF(AND(D1963=TRUE,E1963=""),"BUY",IF(AND(D1963=FALSE,E1963&lt;&gt;""),"SELL",IF(AND(D1963=TRUE,E1963&lt;&gt;""),"HOLD",""))))</f>
        <v/>
      </c>
      <c r="G1963" s="12">
        <f>IF(D1963=TRUE,4,0)</f>
        <v/>
      </c>
      <c r="H1963">
        <f>IF(A1963="","",BDP(A1963&amp;" US Equity","GICS_SECTOR_NAME"))</f>
        <v/>
      </c>
    </row>
    <row r="1964">
      <c r="A1964">
        <f>'Factor Scores'!A1964</f>
        <v/>
      </c>
      <c r="B1964" s="10">
        <f>IF(A1964="","",0.40*'Factor Scores'!C1964+0.20*'Factor Scores'!E1964+0.20*'Factor Scores'!G1964+0.20*'Factor Scores'!H1964)</f>
        <v/>
      </c>
      <c r="C1964" s="12">
        <f>IF(B1964="","",RANK(B1964,$B$2:$B$2501,0))</f>
        <v/>
      </c>
      <c r="D1964">
        <f>IF(C1964="","",C1964&lt;=25)</f>
        <v/>
      </c>
      <c r="F1964">
        <f>IF(A1964="","",IF(AND(D1964=TRUE,E1964=""),"BUY",IF(AND(D1964=FALSE,E1964&lt;&gt;""),"SELL",IF(AND(D1964=TRUE,E1964&lt;&gt;""),"HOLD",""))))</f>
        <v/>
      </c>
      <c r="G1964" s="12">
        <f>IF(D1964=TRUE,4,0)</f>
        <v/>
      </c>
      <c r="H1964">
        <f>IF(A1964="","",BDP(A1964&amp;" US Equity","GICS_SECTOR_NAME"))</f>
        <v/>
      </c>
    </row>
    <row r="1965">
      <c r="A1965">
        <f>'Factor Scores'!A1965</f>
        <v/>
      </c>
      <c r="B1965" s="10">
        <f>IF(A1965="","",0.40*'Factor Scores'!C1965+0.20*'Factor Scores'!E1965+0.20*'Factor Scores'!G1965+0.20*'Factor Scores'!H1965)</f>
        <v/>
      </c>
      <c r="C1965" s="12">
        <f>IF(B1965="","",RANK(B1965,$B$2:$B$2501,0))</f>
        <v/>
      </c>
      <c r="D1965">
        <f>IF(C1965="","",C1965&lt;=25)</f>
        <v/>
      </c>
      <c r="F1965">
        <f>IF(A1965="","",IF(AND(D1965=TRUE,E1965=""),"BUY",IF(AND(D1965=FALSE,E1965&lt;&gt;""),"SELL",IF(AND(D1965=TRUE,E1965&lt;&gt;""),"HOLD",""))))</f>
        <v/>
      </c>
      <c r="G1965" s="12">
        <f>IF(D1965=TRUE,4,0)</f>
        <v/>
      </c>
      <c r="H1965">
        <f>IF(A1965="","",BDP(A1965&amp;" US Equity","GICS_SECTOR_NAME"))</f>
        <v/>
      </c>
    </row>
    <row r="1966">
      <c r="A1966">
        <f>'Factor Scores'!A1966</f>
        <v/>
      </c>
      <c r="B1966" s="10">
        <f>IF(A1966="","",0.40*'Factor Scores'!C1966+0.20*'Factor Scores'!E1966+0.20*'Factor Scores'!G1966+0.20*'Factor Scores'!H1966)</f>
        <v/>
      </c>
      <c r="C1966" s="12">
        <f>IF(B1966="","",RANK(B1966,$B$2:$B$2501,0))</f>
        <v/>
      </c>
      <c r="D1966">
        <f>IF(C1966="","",C1966&lt;=25)</f>
        <v/>
      </c>
      <c r="F1966">
        <f>IF(A1966="","",IF(AND(D1966=TRUE,E1966=""),"BUY",IF(AND(D1966=FALSE,E1966&lt;&gt;""),"SELL",IF(AND(D1966=TRUE,E1966&lt;&gt;""),"HOLD",""))))</f>
        <v/>
      </c>
      <c r="G1966" s="12">
        <f>IF(D1966=TRUE,4,0)</f>
        <v/>
      </c>
      <c r="H1966">
        <f>IF(A1966="","",BDP(A1966&amp;" US Equity","GICS_SECTOR_NAME"))</f>
        <v/>
      </c>
    </row>
    <row r="1967">
      <c r="A1967">
        <f>'Factor Scores'!A1967</f>
        <v/>
      </c>
      <c r="B1967" s="10">
        <f>IF(A1967="","",0.40*'Factor Scores'!C1967+0.20*'Factor Scores'!E1967+0.20*'Factor Scores'!G1967+0.20*'Factor Scores'!H1967)</f>
        <v/>
      </c>
      <c r="C1967" s="12">
        <f>IF(B1967="","",RANK(B1967,$B$2:$B$2501,0))</f>
        <v/>
      </c>
      <c r="D1967">
        <f>IF(C1967="","",C1967&lt;=25)</f>
        <v/>
      </c>
      <c r="F1967">
        <f>IF(A1967="","",IF(AND(D1967=TRUE,E1967=""),"BUY",IF(AND(D1967=FALSE,E1967&lt;&gt;""),"SELL",IF(AND(D1967=TRUE,E1967&lt;&gt;""),"HOLD",""))))</f>
        <v/>
      </c>
      <c r="G1967" s="12">
        <f>IF(D1967=TRUE,4,0)</f>
        <v/>
      </c>
      <c r="H1967">
        <f>IF(A1967="","",BDP(A1967&amp;" US Equity","GICS_SECTOR_NAME"))</f>
        <v/>
      </c>
    </row>
    <row r="1968">
      <c r="A1968">
        <f>'Factor Scores'!A1968</f>
        <v/>
      </c>
      <c r="B1968" s="10">
        <f>IF(A1968="","",0.40*'Factor Scores'!C1968+0.20*'Factor Scores'!E1968+0.20*'Factor Scores'!G1968+0.20*'Factor Scores'!H1968)</f>
        <v/>
      </c>
      <c r="C1968" s="12">
        <f>IF(B1968="","",RANK(B1968,$B$2:$B$2501,0))</f>
        <v/>
      </c>
      <c r="D1968">
        <f>IF(C1968="","",C1968&lt;=25)</f>
        <v/>
      </c>
      <c r="F1968">
        <f>IF(A1968="","",IF(AND(D1968=TRUE,E1968=""),"BUY",IF(AND(D1968=FALSE,E1968&lt;&gt;""),"SELL",IF(AND(D1968=TRUE,E1968&lt;&gt;""),"HOLD",""))))</f>
        <v/>
      </c>
      <c r="G1968" s="12">
        <f>IF(D1968=TRUE,4,0)</f>
        <v/>
      </c>
      <c r="H1968">
        <f>IF(A1968="","",BDP(A1968&amp;" US Equity","GICS_SECTOR_NAME"))</f>
        <v/>
      </c>
    </row>
    <row r="1969">
      <c r="A1969">
        <f>'Factor Scores'!A1969</f>
        <v/>
      </c>
      <c r="B1969" s="10">
        <f>IF(A1969="","",0.40*'Factor Scores'!C1969+0.20*'Factor Scores'!E1969+0.20*'Factor Scores'!G1969+0.20*'Factor Scores'!H1969)</f>
        <v/>
      </c>
      <c r="C1969" s="12">
        <f>IF(B1969="","",RANK(B1969,$B$2:$B$2501,0))</f>
        <v/>
      </c>
      <c r="D1969">
        <f>IF(C1969="","",C1969&lt;=25)</f>
        <v/>
      </c>
      <c r="F1969">
        <f>IF(A1969="","",IF(AND(D1969=TRUE,E1969=""),"BUY",IF(AND(D1969=FALSE,E1969&lt;&gt;""),"SELL",IF(AND(D1969=TRUE,E1969&lt;&gt;""),"HOLD",""))))</f>
        <v/>
      </c>
      <c r="G1969" s="12">
        <f>IF(D1969=TRUE,4,0)</f>
        <v/>
      </c>
      <c r="H1969">
        <f>IF(A1969="","",BDP(A1969&amp;" US Equity","GICS_SECTOR_NAME"))</f>
        <v/>
      </c>
    </row>
    <row r="1970">
      <c r="A1970">
        <f>'Factor Scores'!A1970</f>
        <v/>
      </c>
      <c r="B1970" s="10">
        <f>IF(A1970="","",0.40*'Factor Scores'!C1970+0.20*'Factor Scores'!E1970+0.20*'Factor Scores'!G1970+0.20*'Factor Scores'!H1970)</f>
        <v/>
      </c>
      <c r="C1970" s="12">
        <f>IF(B1970="","",RANK(B1970,$B$2:$B$2501,0))</f>
        <v/>
      </c>
      <c r="D1970">
        <f>IF(C1970="","",C1970&lt;=25)</f>
        <v/>
      </c>
      <c r="F1970">
        <f>IF(A1970="","",IF(AND(D1970=TRUE,E1970=""),"BUY",IF(AND(D1970=FALSE,E1970&lt;&gt;""),"SELL",IF(AND(D1970=TRUE,E1970&lt;&gt;""),"HOLD",""))))</f>
        <v/>
      </c>
      <c r="G1970" s="12">
        <f>IF(D1970=TRUE,4,0)</f>
        <v/>
      </c>
      <c r="H1970">
        <f>IF(A1970="","",BDP(A1970&amp;" US Equity","GICS_SECTOR_NAME"))</f>
        <v/>
      </c>
    </row>
    <row r="1971">
      <c r="A1971">
        <f>'Factor Scores'!A1971</f>
        <v/>
      </c>
      <c r="B1971" s="10">
        <f>IF(A1971="","",0.40*'Factor Scores'!C1971+0.20*'Factor Scores'!E1971+0.20*'Factor Scores'!G1971+0.20*'Factor Scores'!H1971)</f>
        <v/>
      </c>
      <c r="C1971" s="12">
        <f>IF(B1971="","",RANK(B1971,$B$2:$B$2501,0))</f>
        <v/>
      </c>
      <c r="D1971">
        <f>IF(C1971="","",C1971&lt;=25)</f>
        <v/>
      </c>
      <c r="F1971">
        <f>IF(A1971="","",IF(AND(D1971=TRUE,E1971=""),"BUY",IF(AND(D1971=FALSE,E1971&lt;&gt;""),"SELL",IF(AND(D1971=TRUE,E1971&lt;&gt;""),"HOLD",""))))</f>
        <v/>
      </c>
      <c r="G1971" s="12">
        <f>IF(D1971=TRUE,4,0)</f>
        <v/>
      </c>
      <c r="H1971">
        <f>IF(A1971="","",BDP(A1971&amp;" US Equity","GICS_SECTOR_NAME"))</f>
        <v/>
      </c>
    </row>
    <row r="1972">
      <c r="A1972">
        <f>'Factor Scores'!A1972</f>
        <v/>
      </c>
      <c r="B1972" s="10">
        <f>IF(A1972="","",0.40*'Factor Scores'!C1972+0.20*'Factor Scores'!E1972+0.20*'Factor Scores'!G1972+0.20*'Factor Scores'!H1972)</f>
        <v/>
      </c>
      <c r="C1972" s="12">
        <f>IF(B1972="","",RANK(B1972,$B$2:$B$2501,0))</f>
        <v/>
      </c>
      <c r="D1972">
        <f>IF(C1972="","",C1972&lt;=25)</f>
        <v/>
      </c>
      <c r="F1972">
        <f>IF(A1972="","",IF(AND(D1972=TRUE,E1972=""),"BUY",IF(AND(D1972=FALSE,E1972&lt;&gt;""),"SELL",IF(AND(D1972=TRUE,E1972&lt;&gt;""),"HOLD",""))))</f>
        <v/>
      </c>
      <c r="G1972" s="12">
        <f>IF(D1972=TRUE,4,0)</f>
        <v/>
      </c>
      <c r="H1972">
        <f>IF(A1972="","",BDP(A1972&amp;" US Equity","GICS_SECTOR_NAME"))</f>
        <v/>
      </c>
    </row>
    <row r="1973">
      <c r="A1973">
        <f>'Factor Scores'!A1973</f>
        <v/>
      </c>
      <c r="B1973" s="10">
        <f>IF(A1973="","",0.40*'Factor Scores'!C1973+0.20*'Factor Scores'!E1973+0.20*'Factor Scores'!G1973+0.20*'Factor Scores'!H1973)</f>
        <v/>
      </c>
      <c r="C1973" s="12">
        <f>IF(B1973="","",RANK(B1973,$B$2:$B$2501,0))</f>
        <v/>
      </c>
      <c r="D1973">
        <f>IF(C1973="","",C1973&lt;=25)</f>
        <v/>
      </c>
      <c r="F1973">
        <f>IF(A1973="","",IF(AND(D1973=TRUE,E1973=""),"BUY",IF(AND(D1973=FALSE,E1973&lt;&gt;""),"SELL",IF(AND(D1973=TRUE,E1973&lt;&gt;""),"HOLD",""))))</f>
        <v/>
      </c>
      <c r="G1973" s="12">
        <f>IF(D1973=TRUE,4,0)</f>
        <v/>
      </c>
      <c r="H1973">
        <f>IF(A1973="","",BDP(A1973&amp;" US Equity","GICS_SECTOR_NAME"))</f>
        <v/>
      </c>
    </row>
    <row r="1974">
      <c r="A1974">
        <f>'Factor Scores'!A1974</f>
        <v/>
      </c>
      <c r="B1974" s="10">
        <f>IF(A1974="","",0.40*'Factor Scores'!C1974+0.20*'Factor Scores'!E1974+0.20*'Factor Scores'!G1974+0.20*'Factor Scores'!H1974)</f>
        <v/>
      </c>
      <c r="C1974" s="12">
        <f>IF(B1974="","",RANK(B1974,$B$2:$B$2501,0))</f>
        <v/>
      </c>
      <c r="D1974">
        <f>IF(C1974="","",C1974&lt;=25)</f>
        <v/>
      </c>
      <c r="F1974">
        <f>IF(A1974="","",IF(AND(D1974=TRUE,E1974=""),"BUY",IF(AND(D1974=FALSE,E1974&lt;&gt;""),"SELL",IF(AND(D1974=TRUE,E1974&lt;&gt;""),"HOLD",""))))</f>
        <v/>
      </c>
      <c r="G1974" s="12">
        <f>IF(D1974=TRUE,4,0)</f>
        <v/>
      </c>
      <c r="H1974">
        <f>IF(A1974="","",BDP(A1974&amp;" US Equity","GICS_SECTOR_NAME"))</f>
        <v/>
      </c>
    </row>
    <row r="1975">
      <c r="A1975">
        <f>'Factor Scores'!A1975</f>
        <v/>
      </c>
      <c r="B1975" s="10">
        <f>IF(A1975="","",0.40*'Factor Scores'!C1975+0.20*'Factor Scores'!E1975+0.20*'Factor Scores'!G1975+0.20*'Factor Scores'!H1975)</f>
        <v/>
      </c>
      <c r="C1975" s="12">
        <f>IF(B1975="","",RANK(B1975,$B$2:$B$2501,0))</f>
        <v/>
      </c>
      <c r="D1975">
        <f>IF(C1975="","",C1975&lt;=25)</f>
        <v/>
      </c>
      <c r="F1975">
        <f>IF(A1975="","",IF(AND(D1975=TRUE,E1975=""),"BUY",IF(AND(D1975=FALSE,E1975&lt;&gt;""),"SELL",IF(AND(D1975=TRUE,E1975&lt;&gt;""),"HOLD",""))))</f>
        <v/>
      </c>
      <c r="G1975" s="12">
        <f>IF(D1975=TRUE,4,0)</f>
        <v/>
      </c>
      <c r="H1975">
        <f>IF(A1975="","",BDP(A1975&amp;" US Equity","GICS_SECTOR_NAME"))</f>
        <v/>
      </c>
    </row>
    <row r="1976">
      <c r="A1976">
        <f>'Factor Scores'!A1976</f>
        <v/>
      </c>
      <c r="B1976" s="10">
        <f>IF(A1976="","",0.40*'Factor Scores'!C1976+0.20*'Factor Scores'!E1976+0.20*'Factor Scores'!G1976+0.20*'Factor Scores'!H1976)</f>
        <v/>
      </c>
      <c r="C1976" s="12">
        <f>IF(B1976="","",RANK(B1976,$B$2:$B$2501,0))</f>
        <v/>
      </c>
      <c r="D1976">
        <f>IF(C1976="","",C1976&lt;=25)</f>
        <v/>
      </c>
      <c r="F1976">
        <f>IF(A1976="","",IF(AND(D1976=TRUE,E1976=""),"BUY",IF(AND(D1976=FALSE,E1976&lt;&gt;""),"SELL",IF(AND(D1976=TRUE,E1976&lt;&gt;""),"HOLD",""))))</f>
        <v/>
      </c>
      <c r="G1976" s="12">
        <f>IF(D1976=TRUE,4,0)</f>
        <v/>
      </c>
      <c r="H1976">
        <f>IF(A1976="","",BDP(A1976&amp;" US Equity","GICS_SECTOR_NAME"))</f>
        <v/>
      </c>
    </row>
    <row r="1977">
      <c r="A1977">
        <f>'Factor Scores'!A1977</f>
        <v/>
      </c>
      <c r="B1977" s="10">
        <f>IF(A1977="","",0.40*'Factor Scores'!C1977+0.20*'Factor Scores'!E1977+0.20*'Factor Scores'!G1977+0.20*'Factor Scores'!H1977)</f>
        <v/>
      </c>
      <c r="C1977" s="12">
        <f>IF(B1977="","",RANK(B1977,$B$2:$B$2501,0))</f>
        <v/>
      </c>
      <c r="D1977">
        <f>IF(C1977="","",C1977&lt;=25)</f>
        <v/>
      </c>
      <c r="F1977">
        <f>IF(A1977="","",IF(AND(D1977=TRUE,E1977=""),"BUY",IF(AND(D1977=FALSE,E1977&lt;&gt;""),"SELL",IF(AND(D1977=TRUE,E1977&lt;&gt;""),"HOLD",""))))</f>
        <v/>
      </c>
      <c r="G1977" s="12">
        <f>IF(D1977=TRUE,4,0)</f>
        <v/>
      </c>
      <c r="H1977">
        <f>IF(A1977="","",BDP(A1977&amp;" US Equity","GICS_SECTOR_NAME"))</f>
        <v/>
      </c>
    </row>
    <row r="1978">
      <c r="A1978">
        <f>'Factor Scores'!A1978</f>
        <v/>
      </c>
      <c r="B1978" s="10">
        <f>IF(A1978="","",0.40*'Factor Scores'!C1978+0.20*'Factor Scores'!E1978+0.20*'Factor Scores'!G1978+0.20*'Factor Scores'!H1978)</f>
        <v/>
      </c>
      <c r="C1978" s="12">
        <f>IF(B1978="","",RANK(B1978,$B$2:$B$2501,0))</f>
        <v/>
      </c>
      <c r="D1978">
        <f>IF(C1978="","",C1978&lt;=25)</f>
        <v/>
      </c>
      <c r="F1978">
        <f>IF(A1978="","",IF(AND(D1978=TRUE,E1978=""),"BUY",IF(AND(D1978=FALSE,E1978&lt;&gt;""),"SELL",IF(AND(D1978=TRUE,E1978&lt;&gt;""),"HOLD",""))))</f>
        <v/>
      </c>
      <c r="G1978" s="12">
        <f>IF(D1978=TRUE,4,0)</f>
        <v/>
      </c>
      <c r="H1978">
        <f>IF(A1978="","",BDP(A1978&amp;" US Equity","GICS_SECTOR_NAME"))</f>
        <v/>
      </c>
    </row>
    <row r="1979">
      <c r="A1979">
        <f>'Factor Scores'!A1979</f>
        <v/>
      </c>
      <c r="B1979" s="10">
        <f>IF(A1979="","",0.40*'Factor Scores'!C1979+0.20*'Factor Scores'!E1979+0.20*'Factor Scores'!G1979+0.20*'Factor Scores'!H1979)</f>
        <v/>
      </c>
      <c r="C1979" s="12">
        <f>IF(B1979="","",RANK(B1979,$B$2:$B$2501,0))</f>
        <v/>
      </c>
      <c r="D1979">
        <f>IF(C1979="","",C1979&lt;=25)</f>
        <v/>
      </c>
      <c r="F1979">
        <f>IF(A1979="","",IF(AND(D1979=TRUE,E1979=""),"BUY",IF(AND(D1979=FALSE,E1979&lt;&gt;""),"SELL",IF(AND(D1979=TRUE,E1979&lt;&gt;""),"HOLD",""))))</f>
        <v/>
      </c>
      <c r="G1979" s="12">
        <f>IF(D1979=TRUE,4,0)</f>
        <v/>
      </c>
      <c r="H1979">
        <f>IF(A1979="","",BDP(A1979&amp;" US Equity","GICS_SECTOR_NAME"))</f>
        <v/>
      </c>
    </row>
    <row r="1980">
      <c r="A1980">
        <f>'Factor Scores'!A1980</f>
        <v/>
      </c>
      <c r="B1980" s="10">
        <f>IF(A1980="","",0.40*'Factor Scores'!C1980+0.20*'Factor Scores'!E1980+0.20*'Factor Scores'!G1980+0.20*'Factor Scores'!H1980)</f>
        <v/>
      </c>
      <c r="C1980" s="12">
        <f>IF(B1980="","",RANK(B1980,$B$2:$B$2501,0))</f>
        <v/>
      </c>
      <c r="D1980">
        <f>IF(C1980="","",C1980&lt;=25)</f>
        <v/>
      </c>
      <c r="F1980">
        <f>IF(A1980="","",IF(AND(D1980=TRUE,E1980=""),"BUY",IF(AND(D1980=FALSE,E1980&lt;&gt;""),"SELL",IF(AND(D1980=TRUE,E1980&lt;&gt;""),"HOLD",""))))</f>
        <v/>
      </c>
      <c r="G1980" s="12">
        <f>IF(D1980=TRUE,4,0)</f>
        <v/>
      </c>
      <c r="H1980">
        <f>IF(A1980="","",BDP(A1980&amp;" US Equity","GICS_SECTOR_NAME"))</f>
        <v/>
      </c>
    </row>
    <row r="1981">
      <c r="A1981">
        <f>'Factor Scores'!A1981</f>
        <v/>
      </c>
      <c r="B1981" s="10">
        <f>IF(A1981="","",0.40*'Factor Scores'!C1981+0.20*'Factor Scores'!E1981+0.20*'Factor Scores'!G1981+0.20*'Factor Scores'!H1981)</f>
        <v/>
      </c>
      <c r="C1981" s="12">
        <f>IF(B1981="","",RANK(B1981,$B$2:$B$2501,0))</f>
        <v/>
      </c>
      <c r="D1981">
        <f>IF(C1981="","",C1981&lt;=25)</f>
        <v/>
      </c>
      <c r="F1981">
        <f>IF(A1981="","",IF(AND(D1981=TRUE,E1981=""),"BUY",IF(AND(D1981=FALSE,E1981&lt;&gt;""),"SELL",IF(AND(D1981=TRUE,E1981&lt;&gt;""),"HOLD",""))))</f>
        <v/>
      </c>
      <c r="G1981" s="12">
        <f>IF(D1981=TRUE,4,0)</f>
        <v/>
      </c>
      <c r="H1981">
        <f>IF(A1981="","",BDP(A1981&amp;" US Equity","GICS_SECTOR_NAME"))</f>
        <v/>
      </c>
    </row>
    <row r="1982">
      <c r="A1982">
        <f>'Factor Scores'!A1982</f>
        <v/>
      </c>
      <c r="B1982" s="10">
        <f>IF(A1982="","",0.40*'Factor Scores'!C1982+0.20*'Factor Scores'!E1982+0.20*'Factor Scores'!G1982+0.20*'Factor Scores'!H1982)</f>
        <v/>
      </c>
      <c r="C1982" s="12">
        <f>IF(B1982="","",RANK(B1982,$B$2:$B$2501,0))</f>
        <v/>
      </c>
      <c r="D1982">
        <f>IF(C1982="","",C1982&lt;=25)</f>
        <v/>
      </c>
      <c r="F1982">
        <f>IF(A1982="","",IF(AND(D1982=TRUE,E1982=""),"BUY",IF(AND(D1982=FALSE,E1982&lt;&gt;""),"SELL",IF(AND(D1982=TRUE,E1982&lt;&gt;""),"HOLD",""))))</f>
        <v/>
      </c>
      <c r="G1982" s="12">
        <f>IF(D1982=TRUE,4,0)</f>
        <v/>
      </c>
      <c r="H1982">
        <f>IF(A1982="","",BDP(A1982&amp;" US Equity","GICS_SECTOR_NAME"))</f>
        <v/>
      </c>
    </row>
    <row r="1983">
      <c r="A1983">
        <f>'Factor Scores'!A1983</f>
        <v/>
      </c>
      <c r="B1983" s="10">
        <f>IF(A1983="","",0.40*'Factor Scores'!C1983+0.20*'Factor Scores'!E1983+0.20*'Factor Scores'!G1983+0.20*'Factor Scores'!H1983)</f>
        <v/>
      </c>
      <c r="C1983" s="12">
        <f>IF(B1983="","",RANK(B1983,$B$2:$B$2501,0))</f>
        <v/>
      </c>
      <c r="D1983">
        <f>IF(C1983="","",C1983&lt;=25)</f>
        <v/>
      </c>
      <c r="F1983">
        <f>IF(A1983="","",IF(AND(D1983=TRUE,E1983=""),"BUY",IF(AND(D1983=FALSE,E1983&lt;&gt;""),"SELL",IF(AND(D1983=TRUE,E1983&lt;&gt;""),"HOLD",""))))</f>
        <v/>
      </c>
      <c r="G1983" s="12">
        <f>IF(D1983=TRUE,4,0)</f>
        <v/>
      </c>
      <c r="H1983">
        <f>IF(A1983="","",BDP(A1983&amp;" US Equity","GICS_SECTOR_NAME"))</f>
        <v/>
      </c>
    </row>
    <row r="1984">
      <c r="A1984">
        <f>'Factor Scores'!A1984</f>
        <v/>
      </c>
      <c r="B1984" s="10">
        <f>IF(A1984="","",0.40*'Factor Scores'!C1984+0.20*'Factor Scores'!E1984+0.20*'Factor Scores'!G1984+0.20*'Factor Scores'!H1984)</f>
        <v/>
      </c>
      <c r="C1984" s="12">
        <f>IF(B1984="","",RANK(B1984,$B$2:$B$2501,0))</f>
        <v/>
      </c>
      <c r="D1984">
        <f>IF(C1984="","",C1984&lt;=25)</f>
        <v/>
      </c>
      <c r="F1984">
        <f>IF(A1984="","",IF(AND(D1984=TRUE,E1984=""),"BUY",IF(AND(D1984=FALSE,E1984&lt;&gt;""),"SELL",IF(AND(D1984=TRUE,E1984&lt;&gt;""),"HOLD",""))))</f>
        <v/>
      </c>
      <c r="G1984" s="12">
        <f>IF(D1984=TRUE,4,0)</f>
        <v/>
      </c>
      <c r="H1984">
        <f>IF(A1984="","",BDP(A1984&amp;" US Equity","GICS_SECTOR_NAME"))</f>
        <v/>
      </c>
    </row>
    <row r="1985">
      <c r="A1985">
        <f>'Factor Scores'!A1985</f>
        <v/>
      </c>
      <c r="B1985" s="10">
        <f>IF(A1985="","",0.40*'Factor Scores'!C1985+0.20*'Factor Scores'!E1985+0.20*'Factor Scores'!G1985+0.20*'Factor Scores'!H1985)</f>
        <v/>
      </c>
      <c r="C1985" s="12">
        <f>IF(B1985="","",RANK(B1985,$B$2:$B$2501,0))</f>
        <v/>
      </c>
      <c r="D1985">
        <f>IF(C1985="","",C1985&lt;=25)</f>
        <v/>
      </c>
      <c r="F1985">
        <f>IF(A1985="","",IF(AND(D1985=TRUE,E1985=""),"BUY",IF(AND(D1985=FALSE,E1985&lt;&gt;""),"SELL",IF(AND(D1985=TRUE,E1985&lt;&gt;""),"HOLD",""))))</f>
        <v/>
      </c>
      <c r="G1985" s="12">
        <f>IF(D1985=TRUE,4,0)</f>
        <v/>
      </c>
      <c r="H1985">
        <f>IF(A1985="","",BDP(A1985&amp;" US Equity","GICS_SECTOR_NAME"))</f>
        <v/>
      </c>
    </row>
    <row r="1986">
      <c r="A1986">
        <f>'Factor Scores'!A1986</f>
        <v/>
      </c>
      <c r="B1986" s="10">
        <f>IF(A1986="","",0.40*'Factor Scores'!C1986+0.20*'Factor Scores'!E1986+0.20*'Factor Scores'!G1986+0.20*'Factor Scores'!H1986)</f>
        <v/>
      </c>
      <c r="C1986" s="12">
        <f>IF(B1986="","",RANK(B1986,$B$2:$B$2501,0))</f>
        <v/>
      </c>
      <c r="D1986">
        <f>IF(C1986="","",C1986&lt;=25)</f>
        <v/>
      </c>
      <c r="F1986">
        <f>IF(A1986="","",IF(AND(D1986=TRUE,E1986=""),"BUY",IF(AND(D1986=FALSE,E1986&lt;&gt;""),"SELL",IF(AND(D1986=TRUE,E1986&lt;&gt;""),"HOLD",""))))</f>
        <v/>
      </c>
      <c r="G1986" s="12">
        <f>IF(D1986=TRUE,4,0)</f>
        <v/>
      </c>
      <c r="H1986">
        <f>IF(A1986="","",BDP(A1986&amp;" US Equity","GICS_SECTOR_NAME"))</f>
        <v/>
      </c>
    </row>
    <row r="1987">
      <c r="A1987">
        <f>'Factor Scores'!A1987</f>
        <v/>
      </c>
      <c r="B1987" s="10">
        <f>IF(A1987="","",0.40*'Factor Scores'!C1987+0.20*'Factor Scores'!E1987+0.20*'Factor Scores'!G1987+0.20*'Factor Scores'!H1987)</f>
        <v/>
      </c>
      <c r="C1987" s="12">
        <f>IF(B1987="","",RANK(B1987,$B$2:$B$2501,0))</f>
        <v/>
      </c>
      <c r="D1987">
        <f>IF(C1987="","",C1987&lt;=25)</f>
        <v/>
      </c>
      <c r="F1987">
        <f>IF(A1987="","",IF(AND(D1987=TRUE,E1987=""),"BUY",IF(AND(D1987=FALSE,E1987&lt;&gt;""),"SELL",IF(AND(D1987=TRUE,E1987&lt;&gt;""),"HOLD",""))))</f>
        <v/>
      </c>
      <c r="G1987" s="12">
        <f>IF(D1987=TRUE,4,0)</f>
        <v/>
      </c>
      <c r="H1987">
        <f>IF(A1987="","",BDP(A1987&amp;" US Equity","GICS_SECTOR_NAME"))</f>
        <v/>
      </c>
    </row>
    <row r="1988">
      <c r="A1988">
        <f>'Factor Scores'!A1988</f>
        <v/>
      </c>
      <c r="B1988" s="10">
        <f>IF(A1988="","",0.40*'Factor Scores'!C1988+0.20*'Factor Scores'!E1988+0.20*'Factor Scores'!G1988+0.20*'Factor Scores'!H1988)</f>
        <v/>
      </c>
      <c r="C1988" s="12">
        <f>IF(B1988="","",RANK(B1988,$B$2:$B$2501,0))</f>
        <v/>
      </c>
      <c r="D1988">
        <f>IF(C1988="","",C1988&lt;=25)</f>
        <v/>
      </c>
      <c r="F1988">
        <f>IF(A1988="","",IF(AND(D1988=TRUE,E1988=""),"BUY",IF(AND(D1988=FALSE,E1988&lt;&gt;""),"SELL",IF(AND(D1988=TRUE,E1988&lt;&gt;""),"HOLD",""))))</f>
        <v/>
      </c>
      <c r="G1988" s="12">
        <f>IF(D1988=TRUE,4,0)</f>
        <v/>
      </c>
      <c r="H1988">
        <f>IF(A1988="","",BDP(A1988&amp;" US Equity","GICS_SECTOR_NAME"))</f>
        <v/>
      </c>
    </row>
    <row r="1989">
      <c r="A1989">
        <f>'Factor Scores'!A1989</f>
        <v/>
      </c>
      <c r="B1989" s="10">
        <f>IF(A1989="","",0.40*'Factor Scores'!C1989+0.20*'Factor Scores'!E1989+0.20*'Factor Scores'!G1989+0.20*'Factor Scores'!H1989)</f>
        <v/>
      </c>
      <c r="C1989" s="12">
        <f>IF(B1989="","",RANK(B1989,$B$2:$B$2501,0))</f>
        <v/>
      </c>
      <c r="D1989">
        <f>IF(C1989="","",C1989&lt;=25)</f>
        <v/>
      </c>
      <c r="F1989">
        <f>IF(A1989="","",IF(AND(D1989=TRUE,E1989=""),"BUY",IF(AND(D1989=FALSE,E1989&lt;&gt;""),"SELL",IF(AND(D1989=TRUE,E1989&lt;&gt;""),"HOLD",""))))</f>
        <v/>
      </c>
      <c r="G1989" s="12">
        <f>IF(D1989=TRUE,4,0)</f>
        <v/>
      </c>
      <c r="H1989">
        <f>IF(A1989="","",BDP(A1989&amp;" US Equity","GICS_SECTOR_NAME"))</f>
        <v/>
      </c>
    </row>
    <row r="1990">
      <c r="A1990">
        <f>'Factor Scores'!A1990</f>
        <v/>
      </c>
      <c r="B1990" s="10">
        <f>IF(A1990="","",0.40*'Factor Scores'!C1990+0.20*'Factor Scores'!E1990+0.20*'Factor Scores'!G1990+0.20*'Factor Scores'!H1990)</f>
        <v/>
      </c>
      <c r="C1990" s="12">
        <f>IF(B1990="","",RANK(B1990,$B$2:$B$2501,0))</f>
        <v/>
      </c>
      <c r="D1990">
        <f>IF(C1990="","",C1990&lt;=25)</f>
        <v/>
      </c>
      <c r="F1990">
        <f>IF(A1990="","",IF(AND(D1990=TRUE,E1990=""),"BUY",IF(AND(D1990=FALSE,E1990&lt;&gt;""),"SELL",IF(AND(D1990=TRUE,E1990&lt;&gt;""),"HOLD",""))))</f>
        <v/>
      </c>
      <c r="G1990" s="12">
        <f>IF(D1990=TRUE,4,0)</f>
        <v/>
      </c>
      <c r="H1990">
        <f>IF(A1990="","",BDP(A1990&amp;" US Equity","GICS_SECTOR_NAME"))</f>
        <v/>
      </c>
    </row>
    <row r="1991">
      <c r="A1991">
        <f>'Factor Scores'!A1991</f>
        <v/>
      </c>
      <c r="B1991" s="10">
        <f>IF(A1991="","",0.40*'Factor Scores'!C1991+0.20*'Factor Scores'!E1991+0.20*'Factor Scores'!G1991+0.20*'Factor Scores'!H1991)</f>
        <v/>
      </c>
      <c r="C1991" s="12">
        <f>IF(B1991="","",RANK(B1991,$B$2:$B$2501,0))</f>
        <v/>
      </c>
      <c r="D1991">
        <f>IF(C1991="","",C1991&lt;=25)</f>
        <v/>
      </c>
      <c r="F1991">
        <f>IF(A1991="","",IF(AND(D1991=TRUE,E1991=""),"BUY",IF(AND(D1991=FALSE,E1991&lt;&gt;""),"SELL",IF(AND(D1991=TRUE,E1991&lt;&gt;""),"HOLD",""))))</f>
        <v/>
      </c>
      <c r="G1991" s="12">
        <f>IF(D1991=TRUE,4,0)</f>
        <v/>
      </c>
      <c r="H1991">
        <f>IF(A1991="","",BDP(A1991&amp;" US Equity","GICS_SECTOR_NAME"))</f>
        <v/>
      </c>
    </row>
    <row r="1992">
      <c r="A1992">
        <f>'Factor Scores'!A1992</f>
        <v/>
      </c>
      <c r="B1992" s="10">
        <f>IF(A1992="","",0.40*'Factor Scores'!C1992+0.20*'Factor Scores'!E1992+0.20*'Factor Scores'!G1992+0.20*'Factor Scores'!H1992)</f>
        <v/>
      </c>
      <c r="C1992" s="12">
        <f>IF(B1992="","",RANK(B1992,$B$2:$B$2501,0))</f>
        <v/>
      </c>
      <c r="D1992">
        <f>IF(C1992="","",C1992&lt;=25)</f>
        <v/>
      </c>
      <c r="F1992">
        <f>IF(A1992="","",IF(AND(D1992=TRUE,E1992=""),"BUY",IF(AND(D1992=FALSE,E1992&lt;&gt;""),"SELL",IF(AND(D1992=TRUE,E1992&lt;&gt;""),"HOLD",""))))</f>
        <v/>
      </c>
      <c r="G1992" s="12">
        <f>IF(D1992=TRUE,4,0)</f>
        <v/>
      </c>
      <c r="H1992">
        <f>IF(A1992="","",BDP(A1992&amp;" US Equity","GICS_SECTOR_NAME"))</f>
        <v/>
      </c>
    </row>
    <row r="1993">
      <c r="A1993">
        <f>'Factor Scores'!A1993</f>
        <v/>
      </c>
      <c r="B1993" s="10">
        <f>IF(A1993="","",0.40*'Factor Scores'!C1993+0.20*'Factor Scores'!E1993+0.20*'Factor Scores'!G1993+0.20*'Factor Scores'!H1993)</f>
        <v/>
      </c>
      <c r="C1993" s="12">
        <f>IF(B1993="","",RANK(B1993,$B$2:$B$2501,0))</f>
        <v/>
      </c>
      <c r="D1993">
        <f>IF(C1993="","",C1993&lt;=25)</f>
        <v/>
      </c>
      <c r="F1993">
        <f>IF(A1993="","",IF(AND(D1993=TRUE,E1993=""),"BUY",IF(AND(D1993=FALSE,E1993&lt;&gt;""),"SELL",IF(AND(D1993=TRUE,E1993&lt;&gt;""),"HOLD",""))))</f>
        <v/>
      </c>
      <c r="G1993" s="12">
        <f>IF(D1993=TRUE,4,0)</f>
        <v/>
      </c>
      <c r="H1993">
        <f>IF(A1993="","",BDP(A1993&amp;" US Equity","GICS_SECTOR_NAME"))</f>
        <v/>
      </c>
    </row>
    <row r="1994">
      <c r="A1994">
        <f>'Factor Scores'!A1994</f>
        <v/>
      </c>
      <c r="B1994" s="10">
        <f>IF(A1994="","",0.40*'Factor Scores'!C1994+0.20*'Factor Scores'!E1994+0.20*'Factor Scores'!G1994+0.20*'Factor Scores'!H1994)</f>
        <v/>
      </c>
      <c r="C1994" s="12">
        <f>IF(B1994="","",RANK(B1994,$B$2:$B$2501,0))</f>
        <v/>
      </c>
      <c r="D1994">
        <f>IF(C1994="","",C1994&lt;=25)</f>
        <v/>
      </c>
      <c r="F1994">
        <f>IF(A1994="","",IF(AND(D1994=TRUE,E1994=""),"BUY",IF(AND(D1994=FALSE,E1994&lt;&gt;""),"SELL",IF(AND(D1994=TRUE,E1994&lt;&gt;""),"HOLD",""))))</f>
        <v/>
      </c>
      <c r="G1994" s="12">
        <f>IF(D1994=TRUE,4,0)</f>
        <v/>
      </c>
      <c r="H1994">
        <f>IF(A1994="","",BDP(A1994&amp;" US Equity","GICS_SECTOR_NAME"))</f>
        <v/>
      </c>
    </row>
    <row r="1995">
      <c r="A1995">
        <f>'Factor Scores'!A1995</f>
        <v/>
      </c>
      <c r="B1995" s="10">
        <f>IF(A1995="","",0.40*'Factor Scores'!C1995+0.20*'Factor Scores'!E1995+0.20*'Factor Scores'!G1995+0.20*'Factor Scores'!H1995)</f>
        <v/>
      </c>
      <c r="C1995" s="12">
        <f>IF(B1995="","",RANK(B1995,$B$2:$B$2501,0))</f>
        <v/>
      </c>
      <c r="D1995">
        <f>IF(C1995="","",C1995&lt;=25)</f>
        <v/>
      </c>
      <c r="F1995">
        <f>IF(A1995="","",IF(AND(D1995=TRUE,E1995=""),"BUY",IF(AND(D1995=FALSE,E1995&lt;&gt;""),"SELL",IF(AND(D1995=TRUE,E1995&lt;&gt;""),"HOLD",""))))</f>
        <v/>
      </c>
      <c r="G1995" s="12">
        <f>IF(D1995=TRUE,4,0)</f>
        <v/>
      </c>
      <c r="H1995">
        <f>IF(A1995="","",BDP(A1995&amp;" US Equity","GICS_SECTOR_NAME"))</f>
        <v/>
      </c>
    </row>
    <row r="1996">
      <c r="A1996">
        <f>'Factor Scores'!A1996</f>
        <v/>
      </c>
      <c r="B1996" s="10">
        <f>IF(A1996="","",0.40*'Factor Scores'!C1996+0.20*'Factor Scores'!E1996+0.20*'Factor Scores'!G1996+0.20*'Factor Scores'!H1996)</f>
        <v/>
      </c>
      <c r="C1996" s="12">
        <f>IF(B1996="","",RANK(B1996,$B$2:$B$2501,0))</f>
        <v/>
      </c>
      <c r="D1996">
        <f>IF(C1996="","",C1996&lt;=25)</f>
        <v/>
      </c>
      <c r="F1996">
        <f>IF(A1996="","",IF(AND(D1996=TRUE,E1996=""),"BUY",IF(AND(D1996=FALSE,E1996&lt;&gt;""),"SELL",IF(AND(D1996=TRUE,E1996&lt;&gt;""),"HOLD",""))))</f>
        <v/>
      </c>
      <c r="G1996" s="12">
        <f>IF(D1996=TRUE,4,0)</f>
        <v/>
      </c>
      <c r="H1996">
        <f>IF(A1996="","",BDP(A1996&amp;" US Equity","GICS_SECTOR_NAME"))</f>
        <v/>
      </c>
    </row>
    <row r="1997">
      <c r="A1997">
        <f>'Factor Scores'!A1997</f>
        <v/>
      </c>
      <c r="B1997" s="10">
        <f>IF(A1997="","",0.40*'Factor Scores'!C1997+0.20*'Factor Scores'!E1997+0.20*'Factor Scores'!G1997+0.20*'Factor Scores'!H1997)</f>
        <v/>
      </c>
      <c r="C1997" s="12">
        <f>IF(B1997="","",RANK(B1997,$B$2:$B$2501,0))</f>
        <v/>
      </c>
      <c r="D1997">
        <f>IF(C1997="","",C1997&lt;=25)</f>
        <v/>
      </c>
      <c r="F1997">
        <f>IF(A1997="","",IF(AND(D1997=TRUE,E1997=""),"BUY",IF(AND(D1997=FALSE,E1997&lt;&gt;""),"SELL",IF(AND(D1997=TRUE,E1997&lt;&gt;""),"HOLD",""))))</f>
        <v/>
      </c>
      <c r="G1997" s="12">
        <f>IF(D1997=TRUE,4,0)</f>
        <v/>
      </c>
      <c r="H1997">
        <f>IF(A1997="","",BDP(A1997&amp;" US Equity","GICS_SECTOR_NAME"))</f>
        <v/>
      </c>
    </row>
    <row r="1998">
      <c r="A1998">
        <f>'Factor Scores'!A1998</f>
        <v/>
      </c>
      <c r="B1998" s="10">
        <f>IF(A1998="","",0.40*'Factor Scores'!C1998+0.20*'Factor Scores'!E1998+0.20*'Factor Scores'!G1998+0.20*'Factor Scores'!H1998)</f>
        <v/>
      </c>
      <c r="C1998" s="12">
        <f>IF(B1998="","",RANK(B1998,$B$2:$B$2501,0))</f>
        <v/>
      </c>
      <c r="D1998">
        <f>IF(C1998="","",C1998&lt;=25)</f>
        <v/>
      </c>
      <c r="F1998">
        <f>IF(A1998="","",IF(AND(D1998=TRUE,E1998=""),"BUY",IF(AND(D1998=FALSE,E1998&lt;&gt;""),"SELL",IF(AND(D1998=TRUE,E1998&lt;&gt;""),"HOLD",""))))</f>
        <v/>
      </c>
      <c r="G1998" s="12">
        <f>IF(D1998=TRUE,4,0)</f>
        <v/>
      </c>
      <c r="H1998">
        <f>IF(A1998="","",BDP(A1998&amp;" US Equity","GICS_SECTOR_NAME"))</f>
        <v/>
      </c>
    </row>
    <row r="1999">
      <c r="A1999">
        <f>'Factor Scores'!A1999</f>
        <v/>
      </c>
      <c r="B1999" s="10">
        <f>IF(A1999="","",0.40*'Factor Scores'!C1999+0.20*'Factor Scores'!E1999+0.20*'Factor Scores'!G1999+0.20*'Factor Scores'!H1999)</f>
        <v/>
      </c>
      <c r="C1999" s="12">
        <f>IF(B1999="","",RANK(B1999,$B$2:$B$2501,0))</f>
        <v/>
      </c>
      <c r="D1999">
        <f>IF(C1999="","",C1999&lt;=25)</f>
        <v/>
      </c>
      <c r="F1999">
        <f>IF(A1999="","",IF(AND(D1999=TRUE,E1999=""),"BUY",IF(AND(D1999=FALSE,E1999&lt;&gt;""),"SELL",IF(AND(D1999=TRUE,E1999&lt;&gt;""),"HOLD",""))))</f>
        <v/>
      </c>
      <c r="G1999" s="12">
        <f>IF(D1999=TRUE,4,0)</f>
        <v/>
      </c>
      <c r="H1999">
        <f>IF(A1999="","",BDP(A1999&amp;" US Equity","GICS_SECTOR_NAME"))</f>
        <v/>
      </c>
    </row>
    <row r="2000">
      <c r="A2000">
        <f>'Factor Scores'!A2000</f>
        <v/>
      </c>
      <c r="B2000" s="10">
        <f>IF(A2000="","",0.40*'Factor Scores'!C2000+0.20*'Factor Scores'!E2000+0.20*'Factor Scores'!G2000+0.20*'Factor Scores'!H2000)</f>
        <v/>
      </c>
      <c r="C2000" s="12">
        <f>IF(B2000="","",RANK(B2000,$B$2:$B$2501,0))</f>
        <v/>
      </c>
      <c r="D2000">
        <f>IF(C2000="","",C2000&lt;=25)</f>
        <v/>
      </c>
      <c r="F2000">
        <f>IF(A2000="","",IF(AND(D2000=TRUE,E2000=""),"BUY",IF(AND(D2000=FALSE,E2000&lt;&gt;""),"SELL",IF(AND(D2000=TRUE,E2000&lt;&gt;""),"HOLD",""))))</f>
        <v/>
      </c>
      <c r="G2000" s="12">
        <f>IF(D2000=TRUE,4,0)</f>
        <v/>
      </c>
      <c r="H2000">
        <f>IF(A2000="","",BDP(A2000&amp;" US Equity","GICS_SECTOR_NAME"))</f>
        <v/>
      </c>
    </row>
    <row r="2001">
      <c r="A2001">
        <f>'Factor Scores'!A2001</f>
        <v/>
      </c>
      <c r="B2001" s="10">
        <f>IF(A2001="","",0.40*'Factor Scores'!C2001+0.20*'Factor Scores'!E2001+0.20*'Factor Scores'!G2001+0.20*'Factor Scores'!H2001)</f>
        <v/>
      </c>
      <c r="C2001" s="12">
        <f>IF(B2001="","",RANK(B2001,$B$2:$B$2501,0))</f>
        <v/>
      </c>
      <c r="D2001">
        <f>IF(C2001="","",C2001&lt;=25)</f>
        <v/>
      </c>
      <c r="F2001">
        <f>IF(A2001="","",IF(AND(D2001=TRUE,E2001=""),"BUY",IF(AND(D2001=FALSE,E2001&lt;&gt;""),"SELL",IF(AND(D2001=TRUE,E2001&lt;&gt;""),"HOLD",""))))</f>
        <v/>
      </c>
      <c r="G2001" s="12">
        <f>IF(D2001=TRUE,4,0)</f>
        <v/>
      </c>
      <c r="H2001">
        <f>IF(A2001="","",BDP(A2001&amp;" US Equity","GICS_SECTOR_NAME"))</f>
        <v/>
      </c>
    </row>
    <row r="2002">
      <c r="A2002">
        <f>'Factor Scores'!A2002</f>
        <v/>
      </c>
      <c r="B2002" s="10">
        <f>IF(A2002="","",0.40*'Factor Scores'!C2002+0.20*'Factor Scores'!E2002+0.20*'Factor Scores'!G2002+0.20*'Factor Scores'!H2002)</f>
        <v/>
      </c>
      <c r="C2002" s="12">
        <f>IF(B2002="","",RANK(B2002,$B$2:$B$2501,0))</f>
        <v/>
      </c>
      <c r="D2002">
        <f>IF(C2002="","",C2002&lt;=25)</f>
        <v/>
      </c>
      <c r="F2002">
        <f>IF(A2002="","",IF(AND(D2002=TRUE,E2002=""),"BUY",IF(AND(D2002=FALSE,E2002&lt;&gt;""),"SELL",IF(AND(D2002=TRUE,E2002&lt;&gt;""),"HOLD",""))))</f>
        <v/>
      </c>
      <c r="G2002" s="12">
        <f>IF(D2002=TRUE,4,0)</f>
        <v/>
      </c>
      <c r="H2002">
        <f>IF(A2002="","",BDP(A2002&amp;" US Equity","GICS_SECTOR_NAME"))</f>
        <v/>
      </c>
    </row>
    <row r="2003">
      <c r="A2003">
        <f>'Factor Scores'!A2003</f>
        <v/>
      </c>
      <c r="B2003" s="10">
        <f>IF(A2003="","",0.40*'Factor Scores'!C2003+0.20*'Factor Scores'!E2003+0.20*'Factor Scores'!G2003+0.20*'Factor Scores'!H2003)</f>
        <v/>
      </c>
      <c r="C2003" s="12">
        <f>IF(B2003="","",RANK(B2003,$B$2:$B$2501,0))</f>
        <v/>
      </c>
      <c r="D2003">
        <f>IF(C2003="","",C2003&lt;=25)</f>
        <v/>
      </c>
      <c r="F2003">
        <f>IF(A2003="","",IF(AND(D2003=TRUE,E2003=""),"BUY",IF(AND(D2003=FALSE,E2003&lt;&gt;""),"SELL",IF(AND(D2003=TRUE,E2003&lt;&gt;""),"HOLD",""))))</f>
        <v/>
      </c>
      <c r="G2003" s="12">
        <f>IF(D2003=TRUE,4,0)</f>
        <v/>
      </c>
      <c r="H2003">
        <f>IF(A2003="","",BDP(A2003&amp;" US Equity","GICS_SECTOR_NAME"))</f>
        <v/>
      </c>
    </row>
    <row r="2004">
      <c r="A2004">
        <f>'Factor Scores'!A2004</f>
        <v/>
      </c>
      <c r="B2004" s="10">
        <f>IF(A2004="","",0.40*'Factor Scores'!C2004+0.20*'Factor Scores'!E2004+0.20*'Factor Scores'!G2004+0.20*'Factor Scores'!H2004)</f>
        <v/>
      </c>
      <c r="C2004" s="12">
        <f>IF(B2004="","",RANK(B2004,$B$2:$B$2501,0))</f>
        <v/>
      </c>
      <c r="D2004">
        <f>IF(C2004="","",C2004&lt;=25)</f>
        <v/>
      </c>
      <c r="F2004">
        <f>IF(A2004="","",IF(AND(D2004=TRUE,E2004=""),"BUY",IF(AND(D2004=FALSE,E2004&lt;&gt;""),"SELL",IF(AND(D2004=TRUE,E2004&lt;&gt;""),"HOLD",""))))</f>
        <v/>
      </c>
      <c r="G2004" s="12">
        <f>IF(D2004=TRUE,4,0)</f>
        <v/>
      </c>
      <c r="H2004">
        <f>IF(A2004="","",BDP(A2004&amp;" US Equity","GICS_SECTOR_NAME"))</f>
        <v/>
      </c>
    </row>
    <row r="2005">
      <c r="A2005">
        <f>'Factor Scores'!A2005</f>
        <v/>
      </c>
      <c r="B2005" s="10">
        <f>IF(A2005="","",0.40*'Factor Scores'!C2005+0.20*'Factor Scores'!E2005+0.20*'Factor Scores'!G2005+0.20*'Factor Scores'!H2005)</f>
        <v/>
      </c>
      <c r="C2005" s="12">
        <f>IF(B2005="","",RANK(B2005,$B$2:$B$2501,0))</f>
        <v/>
      </c>
      <c r="D2005">
        <f>IF(C2005="","",C2005&lt;=25)</f>
        <v/>
      </c>
      <c r="F2005">
        <f>IF(A2005="","",IF(AND(D2005=TRUE,E2005=""),"BUY",IF(AND(D2005=FALSE,E2005&lt;&gt;""),"SELL",IF(AND(D2005=TRUE,E2005&lt;&gt;""),"HOLD",""))))</f>
        <v/>
      </c>
      <c r="G2005" s="12">
        <f>IF(D2005=TRUE,4,0)</f>
        <v/>
      </c>
      <c r="H2005">
        <f>IF(A2005="","",BDP(A2005&amp;" US Equity","GICS_SECTOR_NAME"))</f>
        <v/>
      </c>
    </row>
    <row r="2006">
      <c r="A2006">
        <f>'Factor Scores'!A2006</f>
        <v/>
      </c>
      <c r="B2006" s="10">
        <f>IF(A2006="","",0.40*'Factor Scores'!C2006+0.20*'Factor Scores'!E2006+0.20*'Factor Scores'!G2006+0.20*'Factor Scores'!H2006)</f>
        <v/>
      </c>
      <c r="C2006" s="12">
        <f>IF(B2006="","",RANK(B2006,$B$2:$B$2501,0))</f>
        <v/>
      </c>
      <c r="D2006">
        <f>IF(C2006="","",C2006&lt;=25)</f>
        <v/>
      </c>
      <c r="F2006">
        <f>IF(A2006="","",IF(AND(D2006=TRUE,E2006=""),"BUY",IF(AND(D2006=FALSE,E2006&lt;&gt;""),"SELL",IF(AND(D2006=TRUE,E2006&lt;&gt;""),"HOLD",""))))</f>
        <v/>
      </c>
      <c r="G2006" s="12">
        <f>IF(D2006=TRUE,4,0)</f>
        <v/>
      </c>
      <c r="H2006">
        <f>IF(A2006="","",BDP(A2006&amp;" US Equity","GICS_SECTOR_NAME"))</f>
        <v/>
      </c>
    </row>
    <row r="2007">
      <c r="A2007">
        <f>'Factor Scores'!A2007</f>
        <v/>
      </c>
      <c r="B2007" s="10">
        <f>IF(A2007="","",0.40*'Factor Scores'!C2007+0.20*'Factor Scores'!E2007+0.20*'Factor Scores'!G2007+0.20*'Factor Scores'!H2007)</f>
        <v/>
      </c>
      <c r="C2007" s="12">
        <f>IF(B2007="","",RANK(B2007,$B$2:$B$2501,0))</f>
        <v/>
      </c>
      <c r="D2007">
        <f>IF(C2007="","",C2007&lt;=25)</f>
        <v/>
      </c>
      <c r="F2007">
        <f>IF(A2007="","",IF(AND(D2007=TRUE,E2007=""),"BUY",IF(AND(D2007=FALSE,E2007&lt;&gt;""),"SELL",IF(AND(D2007=TRUE,E2007&lt;&gt;""),"HOLD",""))))</f>
        <v/>
      </c>
      <c r="G2007" s="12">
        <f>IF(D2007=TRUE,4,0)</f>
        <v/>
      </c>
      <c r="H2007">
        <f>IF(A2007="","",BDP(A2007&amp;" US Equity","GICS_SECTOR_NAME"))</f>
        <v/>
      </c>
    </row>
    <row r="2008">
      <c r="A2008">
        <f>'Factor Scores'!A2008</f>
        <v/>
      </c>
      <c r="B2008" s="10">
        <f>IF(A2008="","",0.40*'Factor Scores'!C2008+0.20*'Factor Scores'!E2008+0.20*'Factor Scores'!G2008+0.20*'Factor Scores'!H2008)</f>
        <v/>
      </c>
      <c r="C2008" s="12">
        <f>IF(B2008="","",RANK(B2008,$B$2:$B$2501,0))</f>
        <v/>
      </c>
      <c r="D2008">
        <f>IF(C2008="","",C2008&lt;=25)</f>
        <v/>
      </c>
      <c r="F2008">
        <f>IF(A2008="","",IF(AND(D2008=TRUE,E2008=""),"BUY",IF(AND(D2008=FALSE,E2008&lt;&gt;""),"SELL",IF(AND(D2008=TRUE,E2008&lt;&gt;""),"HOLD",""))))</f>
        <v/>
      </c>
      <c r="G2008" s="12">
        <f>IF(D2008=TRUE,4,0)</f>
        <v/>
      </c>
      <c r="H2008">
        <f>IF(A2008="","",BDP(A2008&amp;" US Equity","GICS_SECTOR_NAME"))</f>
        <v/>
      </c>
    </row>
    <row r="2009">
      <c r="A2009">
        <f>'Factor Scores'!A2009</f>
        <v/>
      </c>
      <c r="B2009" s="10">
        <f>IF(A2009="","",0.40*'Factor Scores'!C2009+0.20*'Factor Scores'!E2009+0.20*'Factor Scores'!G2009+0.20*'Factor Scores'!H2009)</f>
        <v/>
      </c>
      <c r="C2009" s="12">
        <f>IF(B2009="","",RANK(B2009,$B$2:$B$2501,0))</f>
        <v/>
      </c>
      <c r="D2009">
        <f>IF(C2009="","",C2009&lt;=25)</f>
        <v/>
      </c>
      <c r="F2009">
        <f>IF(A2009="","",IF(AND(D2009=TRUE,E2009=""),"BUY",IF(AND(D2009=FALSE,E2009&lt;&gt;""),"SELL",IF(AND(D2009=TRUE,E2009&lt;&gt;""),"HOLD",""))))</f>
        <v/>
      </c>
      <c r="G2009" s="12">
        <f>IF(D2009=TRUE,4,0)</f>
        <v/>
      </c>
      <c r="H2009">
        <f>IF(A2009="","",BDP(A2009&amp;" US Equity","GICS_SECTOR_NAME"))</f>
        <v/>
      </c>
    </row>
    <row r="2010">
      <c r="A2010">
        <f>'Factor Scores'!A2010</f>
        <v/>
      </c>
      <c r="B2010" s="10">
        <f>IF(A2010="","",0.40*'Factor Scores'!C2010+0.20*'Factor Scores'!E2010+0.20*'Factor Scores'!G2010+0.20*'Factor Scores'!H2010)</f>
        <v/>
      </c>
      <c r="C2010" s="12">
        <f>IF(B2010="","",RANK(B2010,$B$2:$B$2501,0))</f>
        <v/>
      </c>
      <c r="D2010">
        <f>IF(C2010="","",C2010&lt;=25)</f>
        <v/>
      </c>
      <c r="F2010">
        <f>IF(A2010="","",IF(AND(D2010=TRUE,E2010=""),"BUY",IF(AND(D2010=FALSE,E2010&lt;&gt;""),"SELL",IF(AND(D2010=TRUE,E2010&lt;&gt;""),"HOLD",""))))</f>
        <v/>
      </c>
      <c r="G2010" s="12">
        <f>IF(D2010=TRUE,4,0)</f>
        <v/>
      </c>
      <c r="H2010">
        <f>IF(A2010="","",BDP(A2010&amp;" US Equity","GICS_SECTOR_NAME"))</f>
        <v/>
      </c>
    </row>
    <row r="2011">
      <c r="A2011">
        <f>'Factor Scores'!A2011</f>
        <v/>
      </c>
      <c r="B2011" s="10">
        <f>IF(A2011="","",0.40*'Factor Scores'!C2011+0.20*'Factor Scores'!E2011+0.20*'Factor Scores'!G2011+0.20*'Factor Scores'!H2011)</f>
        <v/>
      </c>
      <c r="C2011" s="12">
        <f>IF(B2011="","",RANK(B2011,$B$2:$B$2501,0))</f>
        <v/>
      </c>
      <c r="D2011">
        <f>IF(C2011="","",C2011&lt;=25)</f>
        <v/>
      </c>
      <c r="F2011">
        <f>IF(A2011="","",IF(AND(D2011=TRUE,E2011=""),"BUY",IF(AND(D2011=FALSE,E2011&lt;&gt;""),"SELL",IF(AND(D2011=TRUE,E2011&lt;&gt;""),"HOLD",""))))</f>
        <v/>
      </c>
      <c r="G2011" s="12">
        <f>IF(D2011=TRUE,4,0)</f>
        <v/>
      </c>
      <c r="H2011">
        <f>IF(A2011="","",BDP(A2011&amp;" US Equity","GICS_SECTOR_NAME"))</f>
        <v/>
      </c>
    </row>
    <row r="2012">
      <c r="A2012">
        <f>'Factor Scores'!A2012</f>
        <v/>
      </c>
      <c r="B2012" s="10">
        <f>IF(A2012="","",0.40*'Factor Scores'!C2012+0.20*'Factor Scores'!E2012+0.20*'Factor Scores'!G2012+0.20*'Factor Scores'!H2012)</f>
        <v/>
      </c>
      <c r="C2012" s="12">
        <f>IF(B2012="","",RANK(B2012,$B$2:$B$2501,0))</f>
        <v/>
      </c>
      <c r="D2012">
        <f>IF(C2012="","",C2012&lt;=25)</f>
        <v/>
      </c>
      <c r="F2012">
        <f>IF(A2012="","",IF(AND(D2012=TRUE,E2012=""),"BUY",IF(AND(D2012=FALSE,E2012&lt;&gt;""),"SELL",IF(AND(D2012=TRUE,E2012&lt;&gt;""),"HOLD",""))))</f>
        <v/>
      </c>
      <c r="G2012" s="12">
        <f>IF(D2012=TRUE,4,0)</f>
        <v/>
      </c>
      <c r="H2012">
        <f>IF(A2012="","",BDP(A2012&amp;" US Equity","GICS_SECTOR_NAME"))</f>
        <v/>
      </c>
    </row>
    <row r="2013">
      <c r="A2013">
        <f>'Factor Scores'!A2013</f>
        <v/>
      </c>
      <c r="B2013" s="10">
        <f>IF(A2013="","",0.40*'Factor Scores'!C2013+0.20*'Factor Scores'!E2013+0.20*'Factor Scores'!G2013+0.20*'Factor Scores'!H2013)</f>
        <v/>
      </c>
      <c r="C2013" s="12">
        <f>IF(B2013="","",RANK(B2013,$B$2:$B$2501,0))</f>
        <v/>
      </c>
      <c r="D2013">
        <f>IF(C2013="","",C2013&lt;=25)</f>
        <v/>
      </c>
      <c r="F2013">
        <f>IF(A2013="","",IF(AND(D2013=TRUE,E2013=""),"BUY",IF(AND(D2013=FALSE,E2013&lt;&gt;""),"SELL",IF(AND(D2013=TRUE,E2013&lt;&gt;""),"HOLD",""))))</f>
        <v/>
      </c>
      <c r="G2013" s="12">
        <f>IF(D2013=TRUE,4,0)</f>
        <v/>
      </c>
      <c r="H2013">
        <f>IF(A2013="","",BDP(A2013&amp;" US Equity","GICS_SECTOR_NAME"))</f>
        <v/>
      </c>
    </row>
    <row r="2014">
      <c r="A2014">
        <f>'Factor Scores'!A2014</f>
        <v/>
      </c>
      <c r="B2014" s="10">
        <f>IF(A2014="","",0.40*'Factor Scores'!C2014+0.20*'Factor Scores'!E2014+0.20*'Factor Scores'!G2014+0.20*'Factor Scores'!H2014)</f>
        <v/>
      </c>
      <c r="C2014" s="12">
        <f>IF(B2014="","",RANK(B2014,$B$2:$B$2501,0))</f>
        <v/>
      </c>
      <c r="D2014">
        <f>IF(C2014="","",C2014&lt;=25)</f>
        <v/>
      </c>
      <c r="F2014">
        <f>IF(A2014="","",IF(AND(D2014=TRUE,E2014=""),"BUY",IF(AND(D2014=FALSE,E2014&lt;&gt;""),"SELL",IF(AND(D2014=TRUE,E2014&lt;&gt;""),"HOLD",""))))</f>
        <v/>
      </c>
      <c r="G2014" s="12">
        <f>IF(D2014=TRUE,4,0)</f>
        <v/>
      </c>
      <c r="H2014">
        <f>IF(A2014="","",BDP(A2014&amp;" US Equity","GICS_SECTOR_NAME"))</f>
        <v/>
      </c>
    </row>
    <row r="2015">
      <c r="A2015">
        <f>'Factor Scores'!A2015</f>
        <v/>
      </c>
      <c r="B2015" s="10">
        <f>IF(A2015="","",0.40*'Factor Scores'!C2015+0.20*'Factor Scores'!E2015+0.20*'Factor Scores'!G2015+0.20*'Factor Scores'!H2015)</f>
        <v/>
      </c>
      <c r="C2015" s="12">
        <f>IF(B2015="","",RANK(B2015,$B$2:$B$2501,0))</f>
        <v/>
      </c>
      <c r="D2015">
        <f>IF(C2015="","",C2015&lt;=25)</f>
        <v/>
      </c>
      <c r="F2015">
        <f>IF(A2015="","",IF(AND(D2015=TRUE,E2015=""),"BUY",IF(AND(D2015=FALSE,E2015&lt;&gt;""),"SELL",IF(AND(D2015=TRUE,E2015&lt;&gt;""),"HOLD",""))))</f>
        <v/>
      </c>
      <c r="G2015" s="12">
        <f>IF(D2015=TRUE,4,0)</f>
        <v/>
      </c>
      <c r="H2015">
        <f>IF(A2015="","",BDP(A2015&amp;" US Equity","GICS_SECTOR_NAME"))</f>
        <v/>
      </c>
    </row>
    <row r="2016">
      <c r="A2016">
        <f>'Factor Scores'!A2016</f>
        <v/>
      </c>
      <c r="B2016" s="10">
        <f>IF(A2016="","",0.40*'Factor Scores'!C2016+0.20*'Factor Scores'!E2016+0.20*'Factor Scores'!G2016+0.20*'Factor Scores'!H2016)</f>
        <v/>
      </c>
      <c r="C2016" s="12">
        <f>IF(B2016="","",RANK(B2016,$B$2:$B$2501,0))</f>
        <v/>
      </c>
      <c r="D2016">
        <f>IF(C2016="","",C2016&lt;=25)</f>
        <v/>
      </c>
      <c r="F2016">
        <f>IF(A2016="","",IF(AND(D2016=TRUE,E2016=""),"BUY",IF(AND(D2016=FALSE,E2016&lt;&gt;""),"SELL",IF(AND(D2016=TRUE,E2016&lt;&gt;""),"HOLD",""))))</f>
        <v/>
      </c>
      <c r="G2016" s="12">
        <f>IF(D2016=TRUE,4,0)</f>
        <v/>
      </c>
      <c r="H2016">
        <f>IF(A2016="","",BDP(A2016&amp;" US Equity","GICS_SECTOR_NAME"))</f>
        <v/>
      </c>
    </row>
    <row r="2017">
      <c r="A2017">
        <f>'Factor Scores'!A2017</f>
        <v/>
      </c>
      <c r="B2017" s="10">
        <f>IF(A2017="","",0.40*'Factor Scores'!C2017+0.20*'Factor Scores'!E2017+0.20*'Factor Scores'!G2017+0.20*'Factor Scores'!H2017)</f>
        <v/>
      </c>
      <c r="C2017" s="12">
        <f>IF(B2017="","",RANK(B2017,$B$2:$B$2501,0))</f>
        <v/>
      </c>
      <c r="D2017">
        <f>IF(C2017="","",C2017&lt;=25)</f>
        <v/>
      </c>
      <c r="F2017">
        <f>IF(A2017="","",IF(AND(D2017=TRUE,E2017=""),"BUY",IF(AND(D2017=FALSE,E2017&lt;&gt;""),"SELL",IF(AND(D2017=TRUE,E2017&lt;&gt;""),"HOLD",""))))</f>
        <v/>
      </c>
      <c r="G2017" s="12">
        <f>IF(D2017=TRUE,4,0)</f>
        <v/>
      </c>
      <c r="H2017">
        <f>IF(A2017="","",BDP(A2017&amp;" US Equity","GICS_SECTOR_NAME"))</f>
        <v/>
      </c>
    </row>
    <row r="2018">
      <c r="A2018">
        <f>'Factor Scores'!A2018</f>
        <v/>
      </c>
      <c r="B2018" s="10">
        <f>IF(A2018="","",0.40*'Factor Scores'!C2018+0.20*'Factor Scores'!E2018+0.20*'Factor Scores'!G2018+0.20*'Factor Scores'!H2018)</f>
        <v/>
      </c>
      <c r="C2018" s="12">
        <f>IF(B2018="","",RANK(B2018,$B$2:$B$2501,0))</f>
        <v/>
      </c>
      <c r="D2018">
        <f>IF(C2018="","",C2018&lt;=25)</f>
        <v/>
      </c>
      <c r="F2018">
        <f>IF(A2018="","",IF(AND(D2018=TRUE,E2018=""),"BUY",IF(AND(D2018=FALSE,E2018&lt;&gt;""),"SELL",IF(AND(D2018=TRUE,E2018&lt;&gt;""),"HOLD",""))))</f>
        <v/>
      </c>
      <c r="G2018" s="12">
        <f>IF(D2018=TRUE,4,0)</f>
        <v/>
      </c>
      <c r="H2018">
        <f>IF(A2018="","",BDP(A2018&amp;" US Equity","GICS_SECTOR_NAME"))</f>
        <v/>
      </c>
    </row>
    <row r="2019">
      <c r="A2019">
        <f>'Factor Scores'!A2019</f>
        <v/>
      </c>
      <c r="B2019" s="10">
        <f>IF(A2019="","",0.40*'Factor Scores'!C2019+0.20*'Factor Scores'!E2019+0.20*'Factor Scores'!G2019+0.20*'Factor Scores'!H2019)</f>
        <v/>
      </c>
      <c r="C2019" s="12">
        <f>IF(B2019="","",RANK(B2019,$B$2:$B$2501,0))</f>
        <v/>
      </c>
      <c r="D2019">
        <f>IF(C2019="","",C2019&lt;=25)</f>
        <v/>
      </c>
      <c r="F2019">
        <f>IF(A2019="","",IF(AND(D2019=TRUE,E2019=""),"BUY",IF(AND(D2019=FALSE,E2019&lt;&gt;""),"SELL",IF(AND(D2019=TRUE,E2019&lt;&gt;""),"HOLD",""))))</f>
        <v/>
      </c>
      <c r="G2019" s="12">
        <f>IF(D2019=TRUE,4,0)</f>
        <v/>
      </c>
      <c r="H2019">
        <f>IF(A2019="","",BDP(A2019&amp;" US Equity","GICS_SECTOR_NAME"))</f>
        <v/>
      </c>
    </row>
    <row r="2020">
      <c r="A2020">
        <f>'Factor Scores'!A2020</f>
        <v/>
      </c>
      <c r="B2020" s="10">
        <f>IF(A2020="","",0.40*'Factor Scores'!C2020+0.20*'Factor Scores'!E2020+0.20*'Factor Scores'!G2020+0.20*'Factor Scores'!H2020)</f>
        <v/>
      </c>
      <c r="C2020" s="12">
        <f>IF(B2020="","",RANK(B2020,$B$2:$B$2501,0))</f>
        <v/>
      </c>
      <c r="D2020">
        <f>IF(C2020="","",C2020&lt;=25)</f>
        <v/>
      </c>
      <c r="F2020">
        <f>IF(A2020="","",IF(AND(D2020=TRUE,E2020=""),"BUY",IF(AND(D2020=FALSE,E2020&lt;&gt;""),"SELL",IF(AND(D2020=TRUE,E2020&lt;&gt;""),"HOLD",""))))</f>
        <v/>
      </c>
      <c r="G2020" s="12">
        <f>IF(D2020=TRUE,4,0)</f>
        <v/>
      </c>
      <c r="H2020">
        <f>IF(A2020="","",BDP(A2020&amp;" US Equity","GICS_SECTOR_NAME"))</f>
        <v/>
      </c>
    </row>
    <row r="2021">
      <c r="A2021">
        <f>'Factor Scores'!A2021</f>
        <v/>
      </c>
      <c r="B2021" s="10">
        <f>IF(A2021="","",0.40*'Factor Scores'!C2021+0.20*'Factor Scores'!E2021+0.20*'Factor Scores'!G2021+0.20*'Factor Scores'!H2021)</f>
        <v/>
      </c>
      <c r="C2021" s="12">
        <f>IF(B2021="","",RANK(B2021,$B$2:$B$2501,0))</f>
        <v/>
      </c>
      <c r="D2021">
        <f>IF(C2021="","",C2021&lt;=25)</f>
        <v/>
      </c>
      <c r="F2021">
        <f>IF(A2021="","",IF(AND(D2021=TRUE,E2021=""),"BUY",IF(AND(D2021=FALSE,E2021&lt;&gt;""),"SELL",IF(AND(D2021=TRUE,E2021&lt;&gt;""),"HOLD",""))))</f>
        <v/>
      </c>
      <c r="G2021" s="12">
        <f>IF(D2021=TRUE,4,0)</f>
        <v/>
      </c>
      <c r="H2021">
        <f>IF(A2021="","",BDP(A2021&amp;" US Equity","GICS_SECTOR_NAME"))</f>
        <v/>
      </c>
    </row>
    <row r="2022">
      <c r="A2022">
        <f>'Factor Scores'!A2022</f>
        <v/>
      </c>
      <c r="B2022" s="10">
        <f>IF(A2022="","",0.40*'Factor Scores'!C2022+0.20*'Factor Scores'!E2022+0.20*'Factor Scores'!G2022+0.20*'Factor Scores'!H2022)</f>
        <v/>
      </c>
      <c r="C2022" s="12">
        <f>IF(B2022="","",RANK(B2022,$B$2:$B$2501,0))</f>
        <v/>
      </c>
      <c r="D2022">
        <f>IF(C2022="","",C2022&lt;=25)</f>
        <v/>
      </c>
      <c r="F2022">
        <f>IF(A2022="","",IF(AND(D2022=TRUE,E2022=""),"BUY",IF(AND(D2022=FALSE,E2022&lt;&gt;""),"SELL",IF(AND(D2022=TRUE,E2022&lt;&gt;""),"HOLD",""))))</f>
        <v/>
      </c>
      <c r="G2022" s="12">
        <f>IF(D2022=TRUE,4,0)</f>
        <v/>
      </c>
      <c r="H2022">
        <f>IF(A2022="","",BDP(A2022&amp;" US Equity","GICS_SECTOR_NAME"))</f>
        <v/>
      </c>
    </row>
    <row r="2023">
      <c r="A2023">
        <f>'Factor Scores'!A2023</f>
        <v/>
      </c>
      <c r="B2023" s="10">
        <f>IF(A2023="","",0.40*'Factor Scores'!C2023+0.20*'Factor Scores'!E2023+0.20*'Factor Scores'!G2023+0.20*'Factor Scores'!H2023)</f>
        <v/>
      </c>
      <c r="C2023" s="12">
        <f>IF(B2023="","",RANK(B2023,$B$2:$B$2501,0))</f>
        <v/>
      </c>
      <c r="D2023">
        <f>IF(C2023="","",C2023&lt;=25)</f>
        <v/>
      </c>
      <c r="F2023">
        <f>IF(A2023="","",IF(AND(D2023=TRUE,E2023=""),"BUY",IF(AND(D2023=FALSE,E2023&lt;&gt;""),"SELL",IF(AND(D2023=TRUE,E2023&lt;&gt;""),"HOLD",""))))</f>
        <v/>
      </c>
      <c r="G2023" s="12">
        <f>IF(D2023=TRUE,4,0)</f>
        <v/>
      </c>
      <c r="H2023">
        <f>IF(A2023="","",BDP(A2023&amp;" US Equity","GICS_SECTOR_NAME"))</f>
        <v/>
      </c>
    </row>
    <row r="2024">
      <c r="A2024">
        <f>'Factor Scores'!A2024</f>
        <v/>
      </c>
      <c r="B2024" s="10">
        <f>IF(A2024="","",0.40*'Factor Scores'!C2024+0.20*'Factor Scores'!E2024+0.20*'Factor Scores'!G2024+0.20*'Factor Scores'!H2024)</f>
        <v/>
      </c>
      <c r="C2024" s="12">
        <f>IF(B2024="","",RANK(B2024,$B$2:$B$2501,0))</f>
        <v/>
      </c>
      <c r="D2024">
        <f>IF(C2024="","",C2024&lt;=25)</f>
        <v/>
      </c>
      <c r="F2024">
        <f>IF(A2024="","",IF(AND(D2024=TRUE,E2024=""),"BUY",IF(AND(D2024=FALSE,E2024&lt;&gt;""),"SELL",IF(AND(D2024=TRUE,E2024&lt;&gt;""),"HOLD",""))))</f>
        <v/>
      </c>
      <c r="G2024" s="12">
        <f>IF(D2024=TRUE,4,0)</f>
        <v/>
      </c>
      <c r="H2024">
        <f>IF(A2024="","",BDP(A2024&amp;" US Equity","GICS_SECTOR_NAME"))</f>
        <v/>
      </c>
    </row>
    <row r="2025">
      <c r="A2025">
        <f>'Factor Scores'!A2025</f>
        <v/>
      </c>
      <c r="B2025" s="10">
        <f>IF(A2025="","",0.40*'Factor Scores'!C2025+0.20*'Factor Scores'!E2025+0.20*'Factor Scores'!G2025+0.20*'Factor Scores'!H2025)</f>
        <v/>
      </c>
      <c r="C2025" s="12">
        <f>IF(B2025="","",RANK(B2025,$B$2:$B$2501,0))</f>
        <v/>
      </c>
      <c r="D2025">
        <f>IF(C2025="","",C2025&lt;=25)</f>
        <v/>
      </c>
      <c r="F2025">
        <f>IF(A2025="","",IF(AND(D2025=TRUE,E2025=""),"BUY",IF(AND(D2025=FALSE,E2025&lt;&gt;""),"SELL",IF(AND(D2025=TRUE,E2025&lt;&gt;""),"HOLD",""))))</f>
        <v/>
      </c>
      <c r="G2025" s="12">
        <f>IF(D2025=TRUE,4,0)</f>
        <v/>
      </c>
      <c r="H2025">
        <f>IF(A2025="","",BDP(A2025&amp;" US Equity","GICS_SECTOR_NAME"))</f>
        <v/>
      </c>
    </row>
    <row r="2026">
      <c r="A2026">
        <f>'Factor Scores'!A2026</f>
        <v/>
      </c>
      <c r="B2026" s="10">
        <f>IF(A2026="","",0.40*'Factor Scores'!C2026+0.20*'Factor Scores'!E2026+0.20*'Factor Scores'!G2026+0.20*'Factor Scores'!H2026)</f>
        <v/>
      </c>
      <c r="C2026" s="12">
        <f>IF(B2026="","",RANK(B2026,$B$2:$B$2501,0))</f>
        <v/>
      </c>
      <c r="D2026">
        <f>IF(C2026="","",C2026&lt;=25)</f>
        <v/>
      </c>
      <c r="F2026">
        <f>IF(A2026="","",IF(AND(D2026=TRUE,E2026=""),"BUY",IF(AND(D2026=FALSE,E2026&lt;&gt;""),"SELL",IF(AND(D2026=TRUE,E2026&lt;&gt;""),"HOLD",""))))</f>
        <v/>
      </c>
      <c r="G2026" s="12">
        <f>IF(D2026=TRUE,4,0)</f>
        <v/>
      </c>
      <c r="H2026">
        <f>IF(A2026="","",BDP(A2026&amp;" US Equity","GICS_SECTOR_NAME"))</f>
        <v/>
      </c>
    </row>
    <row r="2027">
      <c r="A2027">
        <f>'Factor Scores'!A2027</f>
        <v/>
      </c>
      <c r="B2027" s="10">
        <f>IF(A2027="","",0.40*'Factor Scores'!C2027+0.20*'Factor Scores'!E2027+0.20*'Factor Scores'!G2027+0.20*'Factor Scores'!H2027)</f>
        <v/>
      </c>
      <c r="C2027" s="12">
        <f>IF(B2027="","",RANK(B2027,$B$2:$B$2501,0))</f>
        <v/>
      </c>
      <c r="D2027">
        <f>IF(C2027="","",C2027&lt;=25)</f>
        <v/>
      </c>
      <c r="F2027">
        <f>IF(A2027="","",IF(AND(D2027=TRUE,E2027=""),"BUY",IF(AND(D2027=FALSE,E2027&lt;&gt;""),"SELL",IF(AND(D2027=TRUE,E2027&lt;&gt;""),"HOLD",""))))</f>
        <v/>
      </c>
      <c r="G2027" s="12">
        <f>IF(D2027=TRUE,4,0)</f>
        <v/>
      </c>
      <c r="H2027">
        <f>IF(A2027="","",BDP(A2027&amp;" US Equity","GICS_SECTOR_NAME"))</f>
        <v/>
      </c>
    </row>
    <row r="2028">
      <c r="A2028">
        <f>'Factor Scores'!A2028</f>
        <v/>
      </c>
      <c r="B2028" s="10">
        <f>IF(A2028="","",0.40*'Factor Scores'!C2028+0.20*'Factor Scores'!E2028+0.20*'Factor Scores'!G2028+0.20*'Factor Scores'!H2028)</f>
        <v/>
      </c>
      <c r="C2028" s="12">
        <f>IF(B2028="","",RANK(B2028,$B$2:$B$2501,0))</f>
        <v/>
      </c>
      <c r="D2028">
        <f>IF(C2028="","",C2028&lt;=25)</f>
        <v/>
      </c>
      <c r="F2028">
        <f>IF(A2028="","",IF(AND(D2028=TRUE,E2028=""),"BUY",IF(AND(D2028=FALSE,E2028&lt;&gt;""),"SELL",IF(AND(D2028=TRUE,E2028&lt;&gt;""),"HOLD",""))))</f>
        <v/>
      </c>
      <c r="G2028" s="12">
        <f>IF(D2028=TRUE,4,0)</f>
        <v/>
      </c>
      <c r="H2028">
        <f>IF(A2028="","",BDP(A2028&amp;" US Equity","GICS_SECTOR_NAME"))</f>
        <v/>
      </c>
    </row>
    <row r="2029">
      <c r="A2029">
        <f>'Factor Scores'!A2029</f>
        <v/>
      </c>
      <c r="B2029" s="10">
        <f>IF(A2029="","",0.40*'Factor Scores'!C2029+0.20*'Factor Scores'!E2029+0.20*'Factor Scores'!G2029+0.20*'Factor Scores'!H2029)</f>
        <v/>
      </c>
      <c r="C2029" s="12">
        <f>IF(B2029="","",RANK(B2029,$B$2:$B$2501,0))</f>
        <v/>
      </c>
      <c r="D2029">
        <f>IF(C2029="","",C2029&lt;=25)</f>
        <v/>
      </c>
      <c r="F2029">
        <f>IF(A2029="","",IF(AND(D2029=TRUE,E2029=""),"BUY",IF(AND(D2029=FALSE,E2029&lt;&gt;""),"SELL",IF(AND(D2029=TRUE,E2029&lt;&gt;""),"HOLD",""))))</f>
        <v/>
      </c>
      <c r="G2029" s="12">
        <f>IF(D2029=TRUE,4,0)</f>
        <v/>
      </c>
      <c r="H2029">
        <f>IF(A2029="","",BDP(A2029&amp;" US Equity","GICS_SECTOR_NAME"))</f>
        <v/>
      </c>
    </row>
    <row r="2030">
      <c r="A2030">
        <f>'Factor Scores'!A2030</f>
        <v/>
      </c>
      <c r="B2030" s="10">
        <f>IF(A2030="","",0.40*'Factor Scores'!C2030+0.20*'Factor Scores'!E2030+0.20*'Factor Scores'!G2030+0.20*'Factor Scores'!H2030)</f>
        <v/>
      </c>
      <c r="C2030" s="12">
        <f>IF(B2030="","",RANK(B2030,$B$2:$B$2501,0))</f>
        <v/>
      </c>
      <c r="D2030">
        <f>IF(C2030="","",C2030&lt;=25)</f>
        <v/>
      </c>
      <c r="F2030">
        <f>IF(A2030="","",IF(AND(D2030=TRUE,E2030=""),"BUY",IF(AND(D2030=FALSE,E2030&lt;&gt;""),"SELL",IF(AND(D2030=TRUE,E2030&lt;&gt;""),"HOLD",""))))</f>
        <v/>
      </c>
      <c r="G2030" s="12">
        <f>IF(D2030=TRUE,4,0)</f>
        <v/>
      </c>
      <c r="H2030">
        <f>IF(A2030="","",BDP(A2030&amp;" US Equity","GICS_SECTOR_NAME"))</f>
        <v/>
      </c>
    </row>
    <row r="2031">
      <c r="A2031">
        <f>'Factor Scores'!A2031</f>
        <v/>
      </c>
      <c r="B2031" s="10">
        <f>IF(A2031="","",0.40*'Factor Scores'!C2031+0.20*'Factor Scores'!E2031+0.20*'Factor Scores'!G2031+0.20*'Factor Scores'!H2031)</f>
        <v/>
      </c>
      <c r="C2031" s="12">
        <f>IF(B2031="","",RANK(B2031,$B$2:$B$2501,0))</f>
        <v/>
      </c>
      <c r="D2031">
        <f>IF(C2031="","",C2031&lt;=25)</f>
        <v/>
      </c>
      <c r="F2031">
        <f>IF(A2031="","",IF(AND(D2031=TRUE,E2031=""),"BUY",IF(AND(D2031=FALSE,E2031&lt;&gt;""),"SELL",IF(AND(D2031=TRUE,E2031&lt;&gt;""),"HOLD",""))))</f>
        <v/>
      </c>
      <c r="G2031" s="12">
        <f>IF(D2031=TRUE,4,0)</f>
        <v/>
      </c>
      <c r="H2031">
        <f>IF(A2031="","",BDP(A2031&amp;" US Equity","GICS_SECTOR_NAME"))</f>
        <v/>
      </c>
    </row>
    <row r="2032">
      <c r="A2032">
        <f>'Factor Scores'!A2032</f>
        <v/>
      </c>
      <c r="B2032" s="10">
        <f>IF(A2032="","",0.40*'Factor Scores'!C2032+0.20*'Factor Scores'!E2032+0.20*'Factor Scores'!G2032+0.20*'Factor Scores'!H2032)</f>
        <v/>
      </c>
      <c r="C2032" s="12">
        <f>IF(B2032="","",RANK(B2032,$B$2:$B$2501,0))</f>
        <v/>
      </c>
      <c r="D2032">
        <f>IF(C2032="","",C2032&lt;=25)</f>
        <v/>
      </c>
      <c r="F2032">
        <f>IF(A2032="","",IF(AND(D2032=TRUE,E2032=""),"BUY",IF(AND(D2032=FALSE,E2032&lt;&gt;""),"SELL",IF(AND(D2032=TRUE,E2032&lt;&gt;""),"HOLD",""))))</f>
        <v/>
      </c>
      <c r="G2032" s="12">
        <f>IF(D2032=TRUE,4,0)</f>
        <v/>
      </c>
      <c r="H2032">
        <f>IF(A2032="","",BDP(A2032&amp;" US Equity","GICS_SECTOR_NAME"))</f>
        <v/>
      </c>
    </row>
    <row r="2033">
      <c r="A2033">
        <f>'Factor Scores'!A2033</f>
        <v/>
      </c>
      <c r="B2033" s="10">
        <f>IF(A2033="","",0.40*'Factor Scores'!C2033+0.20*'Factor Scores'!E2033+0.20*'Factor Scores'!G2033+0.20*'Factor Scores'!H2033)</f>
        <v/>
      </c>
      <c r="C2033" s="12">
        <f>IF(B2033="","",RANK(B2033,$B$2:$B$2501,0))</f>
        <v/>
      </c>
      <c r="D2033">
        <f>IF(C2033="","",C2033&lt;=25)</f>
        <v/>
      </c>
      <c r="F2033">
        <f>IF(A2033="","",IF(AND(D2033=TRUE,E2033=""),"BUY",IF(AND(D2033=FALSE,E2033&lt;&gt;""),"SELL",IF(AND(D2033=TRUE,E2033&lt;&gt;""),"HOLD",""))))</f>
        <v/>
      </c>
      <c r="G2033" s="12">
        <f>IF(D2033=TRUE,4,0)</f>
        <v/>
      </c>
      <c r="H2033">
        <f>IF(A2033="","",BDP(A2033&amp;" US Equity","GICS_SECTOR_NAME"))</f>
        <v/>
      </c>
    </row>
    <row r="2034">
      <c r="A2034">
        <f>'Factor Scores'!A2034</f>
        <v/>
      </c>
      <c r="B2034" s="10">
        <f>IF(A2034="","",0.40*'Factor Scores'!C2034+0.20*'Factor Scores'!E2034+0.20*'Factor Scores'!G2034+0.20*'Factor Scores'!H2034)</f>
        <v/>
      </c>
      <c r="C2034" s="12">
        <f>IF(B2034="","",RANK(B2034,$B$2:$B$2501,0))</f>
        <v/>
      </c>
      <c r="D2034">
        <f>IF(C2034="","",C2034&lt;=25)</f>
        <v/>
      </c>
      <c r="F2034">
        <f>IF(A2034="","",IF(AND(D2034=TRUE,E2034=""),"BUY",IF(AND(D2034=FALSE,E2034&lt;&gt;""),"SELL",IF(AND(D2034=TRUE,E2034&lt;&gt;""),"HOLD",""))))</f>
        <v/>
      </c>
      <c r="G2034" s="12">
        <f>IF(D2034=TRUE,4,0)</f>
        <v/>
      </c>
      <c r="H2034">
        <f>IF(A2034="","",BDP(A2034&amp;" US Equity","GICS_SECTOR_NAME"))</f>
        <v/>
      </c>
    </row>
    <row r="2035">
      <c r="A2035">
        <f>'Factor Scores'!A2035</f>
        <v/>
      </c>
      <c r="B2035" s="10">
        <f>IF(A2035="","",0.40*'Factor Scores'!C2035+0.20*'Factor Scores'!E2035+0.20*'Factor Scores'!G2035+0.20*'Factor Scores'!H2035)</f>
        <v/>
      </c>
      <c r="C2035" s="12">
        <f>IF(B2035="","",RANK(B2035,$B$2:$B$2501,0))</f>
        <v/>
      </c>
      <c r="D2035">
        <f>IF(C2035="","",C2035&lt;=25)</f>
        <v/>
      </c>
      <c r="F2035">
        <f>IF(A2035="","",IF(AND(D2035=TRUE,E2035=""),"BUY",IF(AND(D2035=FALSE,E2035&lt;&gt;""),"SELL",IF(AND(D2035=TRUE,E2035&lt;&gt;""),"HOLD",""))))</f>
        <v/>
      </c>
      <c r="G2035" s="12">
        <f>IF(D2035=TRUE,4,0)</f>
        <v/>
      </c>
      <c r="H2035">
        <f>IF(A2035="","",BDP(A2035&amp;" US Equity","GICS_SECTOR_NAME"))</f>
        <v/>
      </c>
    </row>
    <row r="2036">
      <c r="A2036">
        <f>'Factor Scores'!A2036</f>
        <v/>
      </c>
      <c r="B2036" s="10">
        <f>IF(A2036="","",0.40*'Factor Scores'!C2036+0.20*'Factor Scores'!E2036+0.20*'Factor Scores'!G2036+0.20*'Factor Scores'!H2036)</f>
        <v/>
      </c>
      <c r="C2036" s="12">
        <f>IF(B2036="","",RANK(B2036,$B$2:$B$2501,0))</f>
        <v/>
      </c>
      <c r="D2036">
        <f>IF(C2036="","",C2036&lt;=25)</f>
        <v/>
      </c>
      <c r="F2036">
        <f>IF(A2036="","",IF(AND(D2036=TRUE,E2036=""),"BUY",IF(AND(D2036=FALSE,E2036&lt;&gt;""),"SELL",IF(AND(D2036=TRUE,E2036&lt;&gt;""),"HOLD",""))))</f>
        <v/>
      </c>
      <c r="G2036" s="12">
        <f>IF(D2036=TRUE,4,0)</f>
        <v/>
      </c>
      <c r="H2036">
        <f>IF(A2036="","",BDP(A2036&amp;" US Equity","GICS_SECTOR_NAME"))</f>
        <v/>
      </c>
    </row>
    <row r="2037">
      <c r="A2037">
        <f>'Factor Scores'!A2037</f>
        <v/>
      </c>
      <c r="B2037" s="10">
        <f>IF(A2037="","",0.40*'Factor Scores'!C2037+0.20*'Factor Scores'!E2037+0.20*'Factor Scores'!G2037+0.20*'Factor Scores'!H2037)</f>
        <v/>
      </c>
      <c r="C2037" s="12">
        <f>IF(B2037="","",RANK(B2037,$B$2:$B$2501,0))</f>
        <v/>
      </c>
      <c r="D2037">
        <f>IF(C2037="","",C2037&lt;=25)</f>
        <v/>
      </c>
      <c r="F2037">
        <f>IF(A2037="","",IF(AND(D2037=TRUE,E2037=""),"BUY",IF(AND(D2037=FALSE,E2037&lt;&gt;""),"SELL",IF(AND(D2037=TRUE,E2037&lt;&gt;""),"HOLD",""))))</f>
        <v/>
      </c>
      <c r="G2037" s="12">
        <f>IF(D2037=TRUE,4,0)</f>
        <v/>
      </c>
      <c r="H2037">
        <f>IF(A2037="","",BDP(A2037&amp;" US Equity","GICS_SECTOR_NAME"))</f>
        <v/>
      </c>
    </row>
    <row r="2038">
      <c r="A2038">
        <f>'Factor Scores'!A2038</f>
        <v/>
      </c>
      <c r="B2038" s="10">
        <f>IF(A2038="","",0.40*'Factor Scores'!C2038+0.20*'Factor Scores'!E2038+0.20*'Factor Scores'!G2038+0.20*'Factor Scores'!H2038)</f>
        <v/>
      </c>
      <c r="C2038" s="12">
        <f>IF(B2038="","",RANK(B2038,$B$2:$B$2501,0))</f>
        <v/>
      </c>
      <c r="D2038">
        <f>IF(C2038="","",C2038&lt;=25)</f>
        <v/>
      </c>
      <c r="F2038">
        <f>IF(A2038="","",IF(AND(D2038=TRUE,E2038=""),"BUY",IF(AND(D2038=FALSE,E2038&lt;&gt;""),"SELL",IF(AND(D2038=TRUE,E2038&lt;&gt;""),"HOLD",""))))</f>
        <v/>
      </c>
      <c r="G2038" s="12">
        <f>IF(D2038=TRUE,4,0)</f>
        <v/>
      </c>
      <c r="H2038">
        <f>IF(A2038="","",BDP(A2038&amp;" US Equity","GICS_SECTOR_NAME"))</f>
        <v/>
      </c>
    </row>
    <row r="2039">
      <c r="A2039">
        <f>'Factor Scores'!A2039</f>
        <v/>
      </c>
      <c r="B2039" s="10">
        <f>IF(A2039="","",0.40*'Factor Scores'!C2039+0.20*'Factor Scores'!E2039+0.20*'Factor Scores'!G2039+0.20*'Factor Scores'!H2039)</f>
        <v/>
      </c>
      <c r="C2039" s="12">
        <f>IF(B2039="","",RANK(B2039,$B$2:$B$2501,0))</f>
        <v/>
      </c>
      <c r="D2039">
        <f>IF(C2039="","",C2039&lt;=25)</f>
        <v/>
      </c>
      <c r="F2039">
        <f>IF(A2039="","",IF(AND(D2039=TRUE,E2039=""),"BUY",IF(AND(D2039=FALSE,E2039&lt;&gt;""),"SELL",IF(AND(D2039=TRUE,E2039&lt;&gt;""),"HOLD",""))))</f>
        <v/>
      </c>
      <c r="G2039" s="12">
        <f>IF(D2039=TRUE,4,0)</f>
        <v/>
      </c>
      <c r="H2039">
        <f>IF(A2039="","",BDP(A2039&amp;" US Equity","GICS_SECTOR_NAME"))</f>
        <v/>
      </c>
    </row>
    <row r="2040">
      <c r="A2040">
        <f>'Factor Scores'!A2040</f>
        <v/>
      </c>
      <c r="B2040" s="10">
        <f>IF(A2040="","",0.40*'Factor Scores'!C2040+0.20*'Factor Scores'!E2040+0.20*'Factor Scores'!G2040+0.20*'Factor Scores'!H2040)</f>
        <v/>
      </c>
      <c r="C2040" s="12">
        <f>IF(B2040="","",RANK(B2040,$B$2:$B$2501,0))</f>
        <v/>
      </c>
      <c r="D2040">
        <f>IF(C2040="","",C2040&lt;=25)</f>
        <v/>
      </c>
      <c r="F2040">
        <f>IF(A2040="","",IF(AND(D2040=TRUE,E2040=""),"BUY",IF(AND(D2040=FALSE,E2040&lt;&gt;""),"SELL",IF(AND(D2040=TRUE,E2040&lt;&gt;""),"HOLD",""))))</f>
        <v/>
      </c>
      <c r="G2040" s="12">
        <f>IF(D2040=TRUE,4,0)</f>
        <v/>
      </c>
      <c r="H2040">
        <f>IF(A2040="","",BDP(A2040&amp;" US Equity","GICS_SECTOR_NAME"))</f>
        <v/>
      </c>
    </row>
    <row r="2041">
      <c r="A2041">
        <f>'Factor Scores'!A2041</f>
        <v/>
      </c>
      <c r="B2041" s="10">
        <f>IF(A2041="","",0.40*'Factor Scores'!C2041+0.20*'Factor Scores'!E2041+0.20*'Factor Scores'!G2041+0.20*'Factor Scores'!H2041)</f>
        <v/>
      </c>
      <c r="C2041" s="12">
        <f>IF(B2041="","",RANK(B2041,$B$2:$B$2501,0))</f>
        <v/>
      </c>
      <c r="D2041">
        <f>IF(C2041="","",C2041&lt;=25)</f>
        <v/>
      </c>
      <c r="F2041">
        <f>IF(A2041="","",IF(AND(D2041=TRUE,E2041=""),"BUY",IF(AND(D2041=FALSE,E2041&lt;&gt;""),"SELL",IF(AND(D2041=TRUE,E2041&lt;&gt;""),"HOLD",""))))</f>
        <v/>
      </c>
      <c r="G2041" s="12">
        <f>IF(D2041=TRUE,4,0)</f>
        <v/>
      </c>
      <c r="H2041">
        <f>IF(A2041="","",BDP(A2041&amp;" US Equity","GICS_SECTOR_NAME"))</f>
        <v/>
      </c>
    </row>
    <row r="2042">
      <c r="A2042">
        <f>'Factor Scores'!A2042</f>
        <v/>
      </c>
      <c r="B2042" s="10">
        <f>IF(A2042="","",0.40*'Factor Scores'!C2042+0.20*'Factor Scores'!E2042+0.20*'Factor Scores'!G2042+0.20*'Factor Scores'!H2042)</f>
        <v/>
      </c>
      <c r="C2042" s="12">
        <f>IF(B2042="","",RANK(B2042,$B$2:$B$2501,0))</f>
        <v/>
      </c>
      <c r="D2042">
        <f>IF(C2042="","",C2042&lt;=25)</f>
        <v/>
      </c>
      <c r="F2042">
        <f>IF(A2042="","",IF(AND(D2042=TRUE,E2042=""),"BUY",IF(AND(D2042=FALSE,E2042&lt;&gt;""),"SELL",IF(AND(D2042=TRUE,E2042&lt;&gt;""),"HOLD",""))))</f>
        <v/>
      </c>
      <c r="G2042" s="12">
        <f>IF(D2042=TRUE,4,0)</f>
        <v/>
      </c>
      <c r="H2042">
        <f>IF(A2042="","",BDP(A2042&amp;" US Equity","GICS_SECTOR_NAME"))</f>
        <v/>
      </c>
    </row>
    <row r="2043">
      <c r="A2043">
        <f>'Factor Scores'!A2043</f>
        <v/>
      </c>
      <c r="B2043" s="10">
        <f>IF(A2043="","",0.40*'Factor Scores'!C2043+0.20*'Factor Scores'!E2043+0.20*'Factor Scores'!G2043+0.20*'Factor Scores'!H2043)</f>
        <v/>
      </c>
      <c r="C2043" s="12">
        <f>IF(B2043="","",RANK(B2043,$B$2:$B$2501,0))</f>
        <v/>
      </c>
      <c r="D2043">
        <f>IF(C2043="","",C2043&lt;=25)</f>
        <v/>
      </c>
      <c r="F2043">
        <f>IF(A2043="","",IF(AND(D2043=TRUE,E2043=""),"BUY",IF(AND(D2043=FALSE,E2043&lt;&gt;""),"SELL",IF(AND(D2043=TRUE,E2043&lt;&gt;""),"HOLD",""))))</f>
        <v/>
      </c>
      <c r="G2043" s="12">
        <f>IF(D2043=TRUE,4,0)</f>
        <v/>
      </c>
      <c r="H2043">
        <f>IF(A2043="","",BDP(A2043&amp;" US Equity","GICS_SECTOR_NAME"))</f>
        <v/>
      </c>
    </row>
    <row r="2044">
      <c r="A2044">
        <f>'Factor Scores'!A2044</f>
        <v/>
      </c>
      <c r="B2044" s="10">
        <f>IF(A2044="","",0.40*'Factor Scores'!C2044+0.20*'Factor Scores'!E2044+0.20*'Factor Scores'!G2044+0.20*'Factor Scores'!H2044)</f>
        <v/>
      </c>
      <c r="C2044" s="12">
        <f>IF(B2044="","",RANK(B2044,$B$2:$B$2501,0))</f>
        <v/>
      </c>
      <c r="D2044">
        <f>IF(C2044="","",C2044&lt;=25)</f>
        <v/>
      </c>
      <c r="F2044">
        <f>IF(A2044="","",IF(AND(D2044=TRUE,E2044=""),"BUY",IF(AND(D2044=FALSE,E2044&lt;&gt;""),"SELL",IF(AND(D2044=TRUE,E2044&lt;&gt;""),"HOLD",""))))</f>
        <v/>
      </c>
      <c r="G2044" s="12">
        <f>IF(D2044=TRUE,4,0)</f>
        <v/>
      </c>
      <c r="H2044">
        <f>IF(A2044="","",BDP(A2044&amp;" US Equity","GICS_SECTOR_NAME"))</f>
        <v/>
      </c>
    </row>
    <row r="2045">
      <c r="A2045">
        <f>'Factor Scores'!A2045</f>
        <v/>
      </c>
      <c r="B2045" s="10">
        <f>IF(A2045="","",0.40*'Factor Scores'!C2045+0.20*'Factor Scores'!E2045+0.20*'Factor Scores'!G2045+0.20*'Factor Scores'!H2045)</f>
        <v/>
      </c>
      <c r="C2045" s="12">
        <f>IF(B2045="","",RANK(B2045,$B$2:$B$2501,0))</f>
        <v/>
      </c>
      <c r="D2045">
        <f>IF(C2045="","",C2045&lt;=25)</f>
        <v/>
      </c>
      <c r="F2045">
        <f>IF(A2045="","",IF(AND(D2045=TRUE,E2045=""),"BUY",IF(AND(D2045=FALSE,E2045&lt;&gt;""),"SELL",IF(AND(D2045=TRUE,E2045&lt;&gt;""),"HOLD",""))))</f>
        <v/>
      </c>
      <c r="G2045" s="12">
        <f>IF(D2045=TRUE,4,0)</f>
        <v/>
      </c>
      <c r="H2045">
        <f>IF(A2045="","",BDP(A2045&amp;" US Equity","GICS_SECTOR_NAME"))</f>
        <v/>
      </c>
    </row>
    <row r="2046">
      <c r="A2046">
        <f>'Factor Scores'!A2046</f>
        <v/>
      </c>
      <c r="B2046" s="10">
        <f>IF(A2046="","",0.40*'Factor Scores'!C2046+0.20*'Factor Scores'!E2046+0.20*'Factor Scores'!G2046+0.20*'Factor Scores'!H2046)</f>
        <v/>
      </c>
      <c r="C2046" s="12">
        <f>IF(B2046="","",RANK(B2046,$B$2:$B$2501,0))</f>
        <v/>
      </c>
      <c r="D2046">
        <f>IF(C2046="","",C2046&lt;=25)</f>
        <v/>
      </c>
      <c r="F2046">
        <f>IF(A2046="","",IF(AND(D2046=TRUE,E2046=""),"BUY",IF(AND(D2046=FALSE,E2046&lt;&gt;""),"SELL",IF(AND(D2046=TRUE,E2046&lt;&gt;""),"HOLD",""))))</f>
        <v/>
      </c>
      <c r="G2046" s="12">
        <f>IF(D2046=TRUE,4,0)</f>
        <v/>
      </c>
      <c r="H2046">
        <f>IF(A2046="","",BDP(A2046&amp;" US Equity","GICS_SECTOR_NAME"))</f>
        <v/>
      </c>
    </row>
    <row r="2047">
      <c r="A2047">
        <f>'Factor Scores'!A2047</f>
        <v/>
      </c>
      <c r="B2047" s="10">
        <f>IF(A2047="","",0.40*'Factor Scores'!C2047+0.20*'Factor Scores'!E2047+0.20*'Factor Scores'!G2047+0.20*'Factor Scores'!H2047)</f>
        <v/>
      </c>
      <c r="C2047" s="12">
        <f>IF(B2047="","",RANK(B2047,$B$2:$B$2501,0))</f>
        <v/>
      </c>
      <c r="D2047">
        <f>IF(C2047="","",C2047&lt;=25)</f>
        <v/>
      </c>
      <c r="F2047">
        <f>IF(A2047="","",IF(AND(D2047=TRUE,E2047=""),"BUY",IF(AND(D2047=FALSE,E2047&lt;&gt;""),"SELL",IF(AND(D2047=TRUE,E2047&lt;&gt;""),"HOLD",""))))</f>
        <v/>
      </c>
      <c r="G2047" s="12">
        <f>IF(D2047=TRUE,4,0)</f>
        <v/>
      </c>
      <c r="H2047">
        <f>IF(A2047="","",BDP(A2047&amp;" US Equity","GICS_SECTOR_NAME"))</f>
        <v/>
      </c>
    </row>
    <row r="2048">
      <c r="A2048">
        <f>'Factor Scores'!A2048</f>
        <v/>
      </c>
      <c r="B2048" s="10">
        <f>IF(A2048="","",0.40*'Factor Scores'!C2048+0.20*'Factor Scores'!E2048+0.20*'Factor Scores'!G2048+0.20*'Factor Scores'!H2048)</f>
        <v/>
      </c>
      <c r="C2048" s="12">
        <f>IF(B2048="","",RANK(B2048,$B$2:$B$2501,0))</f>
        <v/>
      </c>
      <c r="D2048">
        <f>IF(C2048="","",C2048&lt;=25)</f>
        <v/>
      </c>
      <c r="F2048">
        <f>IF(A2048="","",IF(AND(D2048=TRUE,E2048=""),"BUY",IF(AND(D2048=FALSE,E2048&lt;&gt;""),"SELL",IF(AND(D2048=TRUE,E2048&lt;&gt;""),"HOLD",""))))</f>
        <v/>
      </c>
      <c r="G2048" s="12">
        <f>IF(D2048=TRUE,4,0)</f>
        <v/>
      </c>
      <c r="H2048">
        <f>IF(A2048="","",BDP(A2048&amp;" US Equity","GICS_SECTOR_NAME"))</f>
        <v/>
      </c>
    </row>
    <row r="2049">
      <c r="A2049">
        <f>'Factor Scores'!A2049</f>
        <v/>
      </c>
      <c r="B2049" s="10">
        <f>IF(A2049="","",0.40*'Factor Scores'!C2049+0.20*'Factor Scores'!E2049+0.20*'Factor Scores'!G2049+0.20*'Factor Scores'!H2049)</f>
        <v/>
      </c>
      <c r="C2049" s="12">
        <f>IF(B2049="","",RANK(B2049,$B$2:$B$2501,0))</f>
        <v/>
      </c>
      <c r="D2049">
        <f>IF(C2049="","",C2049&lt;=25)</f>
        <v/>
      </c>
      <c r="F2049">
        <f>IF(A2049="","",IF(AND(D2049=TRUE,E2049=""),"BUY",IF(AND(D2049=FALSE,E2049&lt;&gt;""),"SELL",IF(AND(D2049=TRUE,E2049&lt;&gt;""),"HOLD",""))))</f>
        <v/>
      </c>
      <c r="G2049" s="12">
        <f>IF(D2049=TRUE,4,0)</f>
        <v/>
      </c>
      <c r="H2049">
        <f>IF(A2049="","",BDP(A2049&amp;" US Equity","GICS_SECTOR_NAME"))</f>
        <v/>
      </c>
    </row>
    <row r="2050">
      <c r="A2050">
        <f>'Factor Scores'!A2050</f>
        <v/>
      </c>
      <c r="B2050" s="10">
        <f>IF(A2050="","",0.40*'Factor Scores'!C2050+0.20*'Factor Scores'!E2050+0.20*'Factor Scores'!G2050+0.20*'Factor Scores'!H2050)</f>
        <v/>
      </c>
      <c r="C2050" s="12">
        <f>IF(B2050="","",RANK(B2050,$B$2:$B$2501,0))</f>
        <v/>
      </c>
      <c r="D2050">
        <f>IF(C2050="","",C2050&lt;=25)</f>
        <v/>
      </c>
      <c r="F2050">
        <f>IF(A2050="","",IF(AND(D2050=TRUE,E2050=""),"BUY",IF(AND(D2050=FALSE,E2050&lt;&gt;""),"SELL",IF(AND(D2050=TRUE,E2050&lt;&gt;""),"HOLD",""))))</f>
        <v/>
      </c>
      <c r="G2050" s="12">
        <f>IF(D2050=TRUE,4,0)</f>
        <v/>
      </c>
      <c r="H2050">
        <f>IF(A2050="","",BDP(A2050&amp;" US Equity","GICS_SECTOR_NAME"))</f>
        <v/>
      </c>
    </row>
    <row r="2051">
      <c r="A2051">
        <f>'Factor Scores'!A2051</f>
        <v/>
      </c>
      <c r="B2051" s="10">
        <f>IF(A2051="","",0.40*'Factor Scores'!C2051+0.20*'Factor Scores'!E2051+0.20*'Factor Scores'!G2051+0.20*'Factor Scores'!H2051)</f>
        <v/>
      </c>
      <c r="C2051" s="12">
        <f>IF(B2051="","",RANK(B2051,$B$2:$B$2501,0))</f>
        <v/>
      </c>
      <c r="D2051">
        <f>IF(C2051="","",C2051&lt;=25)</f>
        <v/>
      </c>
      <c r="F2051">
        <f>IF(A2051="","",IF(AND(D2051=TRUE,E2051=""),"BUY",IF(AND(D2051=FALSE,E2051&lt;&gt;""),"SELL",IF(AND(D2051=TRUE,E2051&lt;&gt;""),"HOLD",""))))</f>
        <v/>
      </c>
      <c r="G2051" s="12">
        <f>IF(D2051=TRUE,4,0)</f>
        <v/>
      </c>
      <c r="H2051">
        <f>IF(A2051="","",BDP(A2051&amp;" US Equity","GICS_SECTOR_NAME"))</f>
        <v/>
      </c>
    </row>
    <row r="2052">
      <c r="A2052">
        <f>'Factor Scores'!A2052</f>
        <v/>
      </c>
      <c r="B2052" s="10">
        <f>IF(A2052="","",0.40*'Factor Scores'!C2052+0.20*'Factor Scores'!E2052+0.20*'Factor Scores'!G2052+0.20*'Factor Scores'!H2052)</f>
        <v/>
      </c>
      <c r="C2052" s="12">
        <f>IF(B2052="","",RANK(B2052,$B$2:$B$2501,0))</f>
        <v/>
      </c>
      <c r="D2052">
        <f>IF(C2052="","",C2052&lt;=25)</f>
        <v/>
      </c>
      <c r="F2052">
        <f>IF(A2052="","",IF(AND(D2052=TRUE,E2052=""),"BUY",IF(AND(D2052=FALSE,E2052&lt;&gt;""),"SELL",IF(AND(D2052=TRUE,E2052&lt;&gt;""),"HOLD",""))))</f>
        <v/>
      </c>
      <c r="G2052" s="12">
        <f>IF(D2052=TRUE,4,0)</f>
        <v/>
      </c>
      <c r="H2052">
        <f>IF(A2052="","",BDP(A2052&amp;" US Equity","GICS_SECTOR_NAME"))</f>
        <v/>
      </c>
    </row>
    <row r="2053">
      <c r="A2053">
        <f>'Factor Scores'!A2053</f>
        <v/>
      </c>
      <c r="B2053" s="10">
        <f>IF(A2053="","",0.40*'Factor Scores'!C2053+0.20*'Factor Scores'!E2053+0.20*'Factor Scores'!G2053+0.20*'Factor Scores'!H2053)</f>
        <v/>
      </c>
      <c r="C2053" s="12">
        <f>IF(B2053="","",RANK(B2053,$B$2:$B$2501,0))</f>
        <v/>
      </c>
      <c r="D2053">
        <f>IF(C2053="","",C2053&lt;=25)</f>
        <v/>
      </c>
      <c r="F2053">
        <f>IF(A2053="","",IF(AND(D2053=TRUE,E2053=""),"BUY",IF(AND(D2053=FALSE,E2053&lt;&gt;""),"SELL",IF(AND(D2053=TRUE,E2053&lt;&gt;""),"HOLD",""))))</f>
        <v/>
      </c>
      <c r="G2053" s="12">
        <f>IF(D2053=TRUE,4,0)</f>
        <v/>
      </c>
      <c r="H2053">
        <f>IF(A2053="","",BDP(A2053&amp;" US Equity","GICS_SECTOR_NAME"))</f>
        <v/>
      </c>
    </row>
    <row r="2054">
      <c r="A2054">
        <f>'Factor Scores'!A2054</f>
        <v/>
      </c>
      <c r="B2054" s="10">
        <f>IF(A2054="","",0.40*'Factor Scores'!C2054+0.20*'Factor Scores'!E2054+0.20*'Factor Scores'!G2054+0.20*'Factor Scores'!H2054)</f>
        <v/>
      </c>
      <c r="C2054" s="12">
        <f>IF(B2054="","",RANK(B2054,$B$2:$B$2501,0))</f>
        <v/>
      </c>
      <c r="D2054">
        <f>IF(C2054="","",C2054&lt;=25)</f>
        <v/>
      </c>
      <c r="F2054">
        <f>IF(A2054="","",IF(AND(D2054=TRUE,E2054=""),"BUY",IF(AND(D2054=FALSE,E2054&lt;&gt;""),"SELL",IF(AND(D2054=TRUE,E2054&lt;&gt;""),"HOLD",""))))</f>
        <v/>
      </c>
      <c r="G2054" s="12">
        <f>IF(D2054=TRUE,4,0)</f>
        <v/>
      </c>
      <c r="H2054">
        <f>IF(A2054="","",BDP(A2054&amp;" US Equity","GICS_SECTOR_NAME"))</f>
        <v/>
      </c>
    </row>
    <row r="2055">
      <c r="A2055">
        <f>'Factor Scores'!A2055</f>
        <v/>
      </c>
      <c r="B2055" s="10">
        <f>IF(A2055="","",0.40*'Factor Scores'!C2055+0.20*'Factor Scores'!E2055+0.20*'Factor Scores'!G2055+0.20*'Factor Scores'!H2055)</f>
        <v/>
      </c>
      <c r="C2055" s="12">
        <f>IF(B2055="","",RANK(B2055,$B$2:$B$2501,0))</f>
        <v/>
      </c>
      <c r="D2055">
        <f>IF(C2055="","",C2055&lt;=25)</f>
        <v/>
      </c>
      <c r="F2055">
        <f>IF(A2055="","",IF(AND(D2055=TRUE,E2055=""),"BUY",IF(AND(D2055=FALSE,E2055&lt;&gt;""),"SELL",IF(AND(D2055=TRUE,E2055&lt;&gt;""),"HOLD",""))))</f>
        <v/>
      </c>
      <c r="G2055" s="12">
        <f>IF(D2055=TRUE,4,0)</f>
        <v/>
      </c>
      <c r="H2055">
        <f>IF(A2055="","",BDP(A2055&amp;" US Equity","GICS_SECTOR_NAME"))</f>
        <v/>
      </c>
    </row>
    <row r="2056">
      <c r="A2056">
        <f>'Factor Scores'!A2056</f>
        <v/>
      </c>
      <c r="B2056" s="10">
        <f>IF(A2056="","",0.40*'Factor Scores'!C2056+0.20*'Factor Scores'!E2056+0.20*'Factor Scores'!G2056+0.20*'Factor Scores'!H2056)</f>
        <v/>
      </c>
      <c r="C2056" s="12">
        <f>IF(B2056="","",RANK(B2056,$B$2:$B$2501,0))</f>
        <v/>
      </c>
      <c r="D2056">
        <f>IF(C2056="","",C2056&lt;=25)</f>
        <v/>
      </c>
      <c r="F2056">
        <f>IF(A2056="","",IF(AND(D2056=TRUE,E2056=""),"BUY",IF(AND(D2056=FALSE,E2056&lt;&gt;""),"SELL",IF(AND(D2056=TRUE,E2056&lt;&gt;""),"HOLD",""))))</f>
        <v/>
      </c>
      <c r="G2056" s="12">
        <f>IF(D2056=TRUE,4,0)</f>
        <v/>
      </c>
      <c r="H2056">
        <f>IF(A2056="","",BDP(A2056&amp;" US Equity","GICS_SECTOR_NAME"))</f>
        <v/>
      </c>
    </row>
    <row r="2057">
      <c r="A2057">
        <f>'Factor Scores'!A2057</f>
        <v/>
      </c>
      <c r="B2057" s="10">
        <f>IF(A2057="","",0.40*'Factor Scores'!C2057+0.20*'Factor Scores'!E2057+0.20*'Factor Scores'!G2057+0.20*'Factor Scores'!H2057)</f>
        <v/>
      </c>
      <c r="C2057" s="12">
        <f>IF(B2057="","",RANK(B2057,$B$2:$B$2501,0))</f>
        <v/>
      </c>
      <c r="D2057">
        <f>IF(C2057="","",C2057&lt;=25)</f>
        <v/>
      </c>
      <c r="F2057">
        <f>IF(A2057="","",IF(AND(D2057=TRUE,E2057=""),"BUY",IF(AND(D2057=FALSE,E2057&lt;&gt;""),"SELL",IF(AND(D2057=TRUE,E2057&lt;&gt;""),"HOLD",""))))</f>
        <v/>
      </c>
      <c r="G2057" s="12">
        <f>IF(D2057=TRUE,4,0)</f>
        <v/>
      </c>
      <c r="H2057">
        <f>IF(A2057="","",BDP(A2057&amp;" US Equity","GICS_SECTOR_NAME"))</f>
        <v/>
      </c>
    </row>
    <row r="2058">
      <c r="A2058">
        <f>'Factor Scores'!A2058</f>
        <v/>
      </c>
      <c r="B2058" s="10">
        <f>IF(A2058="","",0.40*'Factor Scores'!C2058+0.20*'Factor Scores'!E2058+0.20*'Factor Scores'!G2058+0.20*'Factor Scores'!H2058)</f>
        <v/>
      </c>
      <c r="C2058" s="12">
        <f>IF(B2058="","",RANK(B2058,$B$2:$B$2501,0))</f>
        <v/>
      </c>
      <c r="D2058">
        <f>IF(C2058="","",C2058&lt;=25)</f>
        <v/>
      </c>
      <c r="F2058">
        <f>IF(A2058="","",IF(AND(D2058=TRUE,E2058=""),"BUY",IF(AND(D2058=FALSE,E2058&lt;&gt;""),"SELL",IF(AND(D2058=TRUE,E2058&lt;&gt;""),"HOLD",""))))</f>
        <v/>
      </c>
      <c r="G2058" s="12">
        <f>IF(D2058=TRUE,4,0)</f>
        <v/>
      </c>
      <c r="H2058">
        <f>IF(A2058="","",BDP(A2058&amp;" US Equity","GICS_SECTOR_NAME"))</f>
        <v/>
      </c>
    </row>
    <row r="2059">
      <c r="A2059">
        <f>'Factor Scores'!A2059</f>
        <v/>
      </c>
      <c r="B2059" s="10">
        <f>IF(A2059="","",0.40*'Factor Scores'!C2059+0.20*'Factor Scores'!E2059+0.20*'Factor Scores'!G2059+0.20*'Factor Scores'!H2059)</f>
        <v/>
      </c>
      <c r="C2059" s="12">
        <f>IF(B2059="","",RANK(B2059,$B$2:$B$2501,0))</f>
        <v/>
      </c>
      <c r="D2059">
        <f>IF(C2059="","",C2059&lt;=25)</f>
        <v/>
      </c>
      <c r="F2059">
        <f>IF(A2059="","",IF(AND(D2059=TRUE,E2059=""),"BUY",IF(AND(D2059=FALSE,E2059&lt;&gt;""),"SELL",IF(AND(D2059=TRUE,E2059&lt;&gt;""),"HOLD",""))))</f>
        <v/>
      </c>
      <c r="G2059" s="12">
        <f>IF(D2059=TRUE,4,0)</f>
        <v/>
      </c>
      <c r="H2059">
        <f>IF(A2059="","",BDP(A2059&amp;" US Equity","GICS_SECTOR_NAME"))</f>
        <v/>
      </c>
    </row>
    <row r="2060">
      <c r="A2060">
        <f>'Factor Scores'!A2060</f>
        <v/>
      </c>
      <c r="B2060" s="10">
        <f>IF(A2060="","",0.40*'Factor Scores'!C2060+0.20*'Factor Scores'!E2060+0.20*'Factor Scores'!G2060+0.20*'Factor Scores'!H2060)</f>
        <v/>
      </c>
      <c r="C2060" s="12">
        <f>IF(B2060="","",RANK(B2060,$B$2:$B$2501,0))</f>
        <v/>
      </c>
      <c r="D2060">
        <f>IF(C2060="","",C2060&lt;=25)</f>
        <v/>
      </c>
      <c r="F2060">
        <f>IF(A2060="","",IF(AND(D2060=TRUE,E2060=""),"BUY",IF(AND(D2060=FALSE,E2060&lt;&gt;""),"SELL",IF(AND(D2060=TRUE,E2060&lt;&gt;""),"HOLD",""))))</f>
        <v/>
      </c>
      <c r="G2060" s="12">
        <f>IF(D2060=TRUE,4,0)</f>
        <v/>
      </c>
      <c r="H2060">
        <f>IF(A2060="","",BDP(A2060&amp;" US Equity","GICS_SECTOR_NAME"))</f>
        <v/>
      </c>
    </row>
    <row r="2061">
      <c r="A2061">
        <f>'Factor Scores'!A2061</f>
        <v/>
      </c>
      <c r="B2061" s="10">
        <f>IF(A2061="","",0.40*'Factor Scores'!C2061+0.20*'Factor Scores'!E2061+0.20*'Factor Scores'!G2061+0.20*'Factor Scores'!H2061)</f>
        <v/>
      </c>
      <c r="C2061" s="12">
        <f>IF(B2061="","",RANK(B2061,$B$2:$B$2501,0))</f>
        <v/>
      </c>
      <c r="D2061">
        <f>IF(C2061="","",C2061&lt;=25)</f>
        <v/>
      </c>
      <c r="F2061">
        <f>IF(A2061="","",IF(AND(D2061=TRUE,E2061=""),"BUY",IF(AND(D2061=FALSE,E2061&lt;&gt;""),"SELL",IF(AND(D2061=TRUE,E2061&lt;&gt;""),"HOLD",""))))</f>
        <v/>
      </c>
      <c r="G2061" s="12">
        <f>IF(D2061=TRUE,4,0)</f>
        <v/>
      </c>
      <c r="H2061">
        <f>IF(A2061="","",BDP(A2061&amp;" US Equity","GICS_SECTOR_NAME"))</f>
        <v/>
      </c>
    </row>
    <row r="2062">
      <c r="A2062">
        <f>'Factor Scores'!A2062</f>
        <v/>
      </c>
      <c r="B2062" s="10">
        <f>IF(A2062="","",0.40*'Factor Scores'!C2062+0.20*'Factor Scores'!E2062+0.20*'Factor Scores'!G2062+0.20*'Factor Scores'!H2062)</f>
        <v/>
      </c>
      <c r="C2062" s="12">
        <f>IF(B2062="","",RANK(B2062,$B$2:$B$2501,0))</f>
        <v/>
      </c>
      <c r="D2062">
        <f>IF(C2062="","",C2062&lt;=25)</f>
        <v/>
      </c>
      <c r="F2062">
        <f>IF(A2062="","",IF(AND(D2062=TRUE,E2062=""),"BUY",IF(AND(D2062=FALSE,E2062&lt;&gt;""),"SELL",IF(AND(D2062=TRUE,E2062&lt;&gt;""),"HOLD",""))))</f>
        <v/>
      </c>
      <c r="G2062" s="12">
        <f>IF(D2062=TRUE,4,0)</f>
        <v/>
      </c>
      <c r="H2062">
        <f>IF(A2062="","",BDP(A2062&amp;" US Equity","GICS_SECTOR_NAME"))</f>
        <v/>
      </c>
    </row>
    <row r="2063">
      <c r="A2063">
        <f>'Factor Scores'!A2063</f>
        <v/>
      </c>
      <c r="B2063" s="10">
        <f>IF(A2063="","",0.40*'Factor Scores'!C2063+0.20*'Factor Scores'!E2063+0.20*'Factor Scores'!G2063+0.20*'Factor Scores'!H2063)</f>
        <v/>
      </c>
      <c r="C2063" s="12">
        <f>IF(B2063="","",RANK(B2063,$B$2:$B$2501,0))</f>
        <v/>
      </c>
      <c r="D2063">
        <f>IF(C2063="","",C2063&lt;=25)</f>
        <v/>
      </c>
      <c r="F2063">
        <f>IF(A2063="","",IF(AND(D2063=TRUE,E2063=""),"BUY",IF(AND(D2063=FALSE,E2063&lt;&gt;""),"SELL",IF(AND(D2063=TRUE,E2063&lt;&gt;""),"HOLD",""))))</f>
        <v/>
      </c>
      <c r="G2063" s="12">
        <f>IF(D2063=TRUE,4,0)</f>
        <v/>
      </c>
      <c r="H2063">
        <f>IF(A2063="","",BDP(A2063&amp;" US Equity","GICS_SECTOR_NAME"))</f>
        <v/>
      </c>
    </row>
    <row r="2064">
      <c r="A2064">
        <f>'Factor Scores'!A2064</f>
        <v/>
      </c>
      <c r="B2064" s="10">
        <f>IF(A2064="","",0.40*'Factor Scores'!C2064+0.20*'Factor Scores'!E2064+0.20*'Factor Scores'!G2064+0.20*'Factor Scores'!H2064)</f>
        <v/>
      </c>
      <c r="C2064" s="12">
        <f>IF(B2064="","",RANK(B2064,$B$2:$B$2501,0))</f>
        <v/>
      </c>
      <c r="D2064">
        <f>IF(C2064="","",C2064&lt;=25)</f>
        <v/>
      </c>
      <c r="F2064">
        <f>IF(A2064="","",IF(AND(D2064=TRUE,E2064=""),"BUY",IF(AND(D2064=FALSE,E2064&lt;&gt;""),"SELL",IF(AND(D2064=TRUE,E2064&lt;&gt;""),"HOLD",""))))</f>
        <v/>
      </c>
      <c r="G2064" s="12">
        <f>IF(D2064=TRUE,4,0)</f>
        <v/>
      </c>
      <c r="H2064">
        <f>IF(A2064="","",BDP(A2064&amp;" US Equity","GICS_SECTOR_NAME"))</f>
        <v/>
      </c>
    </row>
    <row r="2065">
      <c r="A2065">
        <f>'Factor Scores'!A2065</f>
        <v/>
      </c>
      <c r="B2065" s="10">
        <f>IF(A2065="","",0.40*'Factor Scores'!C2065+0.20*'Factor Scores'!E2065+0.20*'Factor Scores'!G2065+0.20*'Factor Scores'!H2065)</f>
        <v/>
      </c>
      <c r="C2065" s="12">
        <f>IF(B2065="","",RANK(B2065,$B$2:$B$2501,0))</f>
        <v/>
      </c>
      <c r="D2065">
        <f>IF(C2065="","",C2065&lt;=25)</f>
        <v/>
      </c>
      <c r="F2065">
        <f>IF(A2065="","",IF(AND(D2065=TRUE,E2065=""),"BUY",IF(AND(D2065=FALSE,E2065&lt;&gt;""),"SELL",IF(AND(D2065=TRUE,E2065&lt;&gt;""),"HOLD",""))))</f>
        <v/>
      </c>
      <c r="G2065" s="12">
        <f>IF(D2065=TRUE,4,0)</f>
        <v/>
      </c>
      <c r="H2065">
        <f>IF(A2065="","",BDP(A2065&amp;" US Equity","GICS_SECTOR_NAME"))</f>
        <v/>
      </c>
    </row>
    <row r="2066">
      <c r="A2066">
        <f>'Factor Scores'!A2066</f>
        <v/>
      </c>
      <c r="B2066" s="10">
        <f>IF(A2066="","",0.40*'Factor Scores'!C2066+0.20*'Factor Scores'!E2066+0.20*'Factor Scores'!G2066+0.20*'Factor Scores'!H2066)</f>
        <v/>
      </c>
      <c r="C2066" s="12">
        <f>IF(B2066="","",RANK(B2066,$B$2:$B$2501,0))</f>
        <v/>
      </c>
      <c r="D2066">
        <f>IF(C2066="","",C2066&lt;=25)</f>
        <v/>
      </c>
      <c r="F2066">
        <f>IF(A2066="","",IF(AND(D2066=TRUE,E2066=""),"BUY",IF(AND(D2066=FALSE,E2066&lt;&gt;""),"SELL",IF(AND(D2066=TRUE,E2066&lt;&gt;""),"HOLD",""))))</f>
        <v/>
      </c>
      <c r="G2066" s="12">
        <f>IF(D2066=TRUE,4,0)</f>
        <v/>
      </c>
      <c r="H2066">
        <f>IF(A2066="","",BDP(A2066&amp;" US Equity","GICS_SECTOR_NAME"))</f>
        <v/>
      </c>
    </row>
    <row r="2067">
      <c r="A2067">
        <f>'Factor Scores'!A2067</f>
        <v/>
      </c>
      <c r="B2067" s="10">
        <f>IF(A2067="","",0.40*'Factor Scores'!C2067+0.20*'Factor Scores'!E2067+0.20*'Factor Scores'!G2067+0.20*'Factor Scores'!H2067)</f>
        <v/>
      </c>
      <c r="C2067" s="12">
        <f>IF(B2067="","",RANK(B2067,$B$2:$B$2501,0))</f>
        <v/>
      </c>
      <c r="D2067">
        <f>IF(C2067="","",C2067&lt;=25)</f>
        <v/>
      </c>
      <c r="F2067">
        <f>IF(A2067="","",IF(AND(D2067=TRUE,E2067=""),"BUY",IF(AND(D2067=FALSE,E2067&lt;&gt;""),"SELL",IF(AND(D2067=TRUE,E2067&lt;&gt;""),"HOLD",""))))</f>
        <v/>
      </c>
      <c r="G2067" s="12">
        <f>IF(D2067=TRUE,4,0)</f>
        <v/>
      </c>
      <c r="H2067">
        <f>IF(A2067="","",BDP(A2067&amp;" US Equity","GICS_SECTOR_NAME"))</f>
        <v/>
      </c>
    </row>
    <row r="2068">
      <c r="A2068">
        <f>'Factor Scores'!A2068</f>
        <v/>
      </c>
      <c r="B2068" s="10">
        <f>IF(A2068="","",0.40*'Factor Scores'!C2068+0.20*'Factor Scores'!E2068+0.20*'Factor Scores'!G2068+0.20*'Factor Scores'!H2068)</f>
        <v/>
      </c>
      <c r="C2068" s="12">
        <f>IF(B2068="","",RANK(B2068,$B$2:$B$2501,0))</f>
        <v/>
      </c>
      <c r="D2068">
        <f>IF(C2068="","",C2068&lt;=25)</f>
        <v/>
      </c>
      <c r="F2068">
        <f>IF(A2068="","",IF(AND(D2068=TRUE,E2068=""),"BUY",IF(AND(D2068=FALSE,E2068&lt;&gt;""),"SELL",IF(AND(D2068=TRUE,E2068&lt;&gt;""),"HOLD",""))))</f>
        <v/>
      </c>
      <c r="G2068" s="12">
        <f>IF(D2068=TRUE,4,0)</f>
        <v/>
      </c>
      <c r="H2068">
        <f>IF(A2068="","",BDP(A2068&amp;" US Equity","GICS_SECTOR_NAME"))</f>
        <v/>
      </c>
    </row>
    <row r="2069">
      <c r="A2069">
        <f>'Factor Scores'!A2069</f>
        <v/>
      </c>
      <c r="B2069" s="10">
        <f>IF(A2069="","",0.40*'Factor Scores'!C2069+0.20*'Factor Scores'!E2069+0.20*'Factor Scores'!G2069+0.20*'Factor Scores'!H2069)</f>
        <v/>
      </c>
      <c r="C2069" s="12">
        <f>IF(B2069="","",RANK(B2069,$B$2:$B$2501,0))</f>
        <v/>
      </c>
      <c r="D2069">
        <f>IF(C2069="","",C2069&lt;=25)</f>
        <v/>
      </c>
      <c r="F2069">
        <f>IF(A2069="","",IF(AND(D2069=TRUE,E2069=""),"BUY",IF(AND(D2069=FALSE,E2069&lt;&gt;""),"SELL",IF(AND(D2069=TRUE,E2069&lt;&gt;""),"HOLD",""))))</f>
        <v/>
      </c>
      <c r="G2069" s="12">
        <f>IF(D2069=TRUE,4,0)</f>
        <v/>
      </c>
      <c r="H2069">
        <f>IF(A2069="","",BDP(A2069&amp;" US Equity","GICS_SECTOR_NAME"))</f>
        <v/>
      </c>
    </row>
    <row r="2070">
      <c r="A2070">
        <f>'Factor Scores'!A2070</f>
        <v/>
      </c>
      <c r="B2070" s="10">
        <f>IF(A2070="","",0.40*'Factor Scores'!C2070+0.20*'Factor Scores'!E2070+0.20*'Factor Scores'!G2070+0.20*'Factor Scores'!H2070)</f>
        <v/>
      </c>
      <c r="C2070" s="12">
        <f>IF(B2070="","",RANK(B2070,$B$2:$B$2501,0))</f>
        <v/>
      </c>
      <c r="D2070">
        <f>IF(C2070="","",C2070&lt;=25)</f>
        <v/>
      </c>
      <c r="F2070">
        <f>IF(A2070="","",IF(AND(D2070=TRUE,E2070=""),"BUY",IF(AND(D2070=FALSE,E2070&lt;&gt;""),"SELL",IF(AND(D2070=TRUE,E2070&lt;&gt;""),"HOLD",""))))</f>
        <v/>
      </c>
      <c r="G2070" s="12">
        <f>IF(D2070=TRUE,4,0)</f>
        <v/>
      </c>
      <c r="H2070">
        <f>IF(A2070="","",BDP(A2070&amp;" US Equity","GICS_SECTOR_NAME"))</f>
        <v/>
      </c>
    </row>
    <row r="2071">
      <c r="A2071">
        <f>'Factor Scores'!A2071</f>
        <v/>
      </c>
      <c r="B2071" s="10">
        <f>IF(A2071="","",0.40*'Factor Scores'!C2071+0.20*'Factor Scores'!E2071+0.20*'Factor Scores'!G2071+0.20*'Factor Scores'!H2071)</f>
        <v/>
      </c>
      <c r="C2071" s="12">
        <f>IF(B2071="","",RANK(B2071,$B$2:$B$2501,0))</f>
        <v/>
      </c>
      <c r="D2071">
        <f>IF(C2071="","",C2071&lt;=25)</f>
        <v/>
      </c>
      <c r="F2071">
        <f>IF(A2071="","",IF(AND(D2071=TRUE,E2071=""),"BUY",IF(AND(D2071=FALSE,E2071&lt;&gt;""),"SELL",IF(AND(D2071=TRUE,E2071&lt;&gt;""),"HOLD",""))))</f>
        <v/>
      </c>
      <c r="G2071" s="12">
        <f>IF(D2071=TRUE,4,0)</f>
        <v/>
      </c>
      <c r="H2071">
        <f>IF(A2071="","",BDP(A2071&amp;" US Equity","GICS_SECTOR_NAME"))</f>
        <v/>
      </c>
    </row>
    <row r="2072">
      <c r="A2072">
        <f>'Factor Scores'!A2072</f>
        <v/>
      </c>
      <c r="B2072" s="10">
        <f>IF(A2072="","",0.40*'Factor Scores'!C2072+0.20*'Factor Scores'!E2072+0.20*'Factor Scores'!G2072+0.20*'Factor Scores'!H2072)</f>
        <v/>
      </c>
      <c r="C2072" s="12">
        <f>IF(B2072="","",RANK(B2072,$B$2:$B$2501,0))</f>
        <v/>
      </c>
      <c r="D2072">
        <f>IF(C2072="","",C2072&lt;=25)</f>
        <v/>
      </c>
      <c r="F2072">
        <f>IF(A2072="","",IF(AND(D2072=TRUE,E2072=""),"BUY",IF(AND(D2072=FALSE,E2072&lt;&gt;""),"SELL",IF(AND(D2072=TRUE,E2072&lt;&gt;""),"HOLD",""))))</f>
        <v/>
      </c>
      <c r="G2072" s="12">
        <f>IF(D2072=TRUE,4,0)</f>
        <v/>
      </c>
      <c r="H2072">
        <f>IF(A2072="","",BDP(A2072&amp;" US Equity","GICS_SECTOR_NAME"))</f>
        <v/>
      </c>
    </row>
    <row r="2073">
      <c r="A2073">
        <f>'Factor Scores'!A2073</f>
        <v/>
      </c>
      <c r="B2073" s="10">
        <f>IF(A2073="","",0.40*'Factor Scores'!C2073+0.20*'Factor Scores'!E2073+0.20*'Factor Scores'!G2073+0.20*'Factor Scores'!H2073)</f>
        <v/>
      </c>
      <c r="C2073" s="12">
        <f>IF(B2073="","",RANK(B2073,$B$2:$B$2501,0))</f>
        <v/>
      </c>
      <c r="D2073">
        <f>IF(C2073="","",C2073&lt;=25)</f>
        <v/>
      </c>
      <c r="F2073">
        <f>IF(A2073="","",IF(AND(D2073=TRUE,E2073=""),"BUY",IF(AND(D2073=FALSE,E2073&lt;&gt;""),"SELL",IF(AND(D2073=TRUE,E2073&lt;&gt;""),"HOLD",""))))</f>
        <v/>
      </c>
      <c r="G2073" s="12">
        <f>IF(D2073=TRUE,4,0)</f>
        <v/>
      </c>
      <c r="H2073">
        <f>IF(A2073="","",BDP(A2073&amp;" US Equity","GICS_SECTOR_NAME"))</f>
        <v/>
      </c>
    </row>
    <row r="2074">
      <c r="A2074">
        <f>'Factor Scores'!A2074</f>
        <v/>
      </c>
      <c r="B2074" s="10">
        <f>IF(A2074="","",0.40*'Factor Scores'!C2074+0.20*'Factor Scores'!E2074+0.20*'Factor Scores'!G2074+0.20*'Factor Scores'!H2074)</f>
        <v/>
      </c>
      <c r="C2074" s="12">
        <f>IF(B2074="","",RANK(B2074,$B$2:$B$2501,0))</f>
        <v/>
      </c>
      <c r="D2074">
        <f>IF(C2074="","",C2074&lt;=25)</f>
        <v/>
      </c>
      <c r="F2074">
        <f>IF(A2074="","",IF(AND(D2074=TRUE,E2074=""),"BUY",IF(AND(D2074=FALSE,E2074&lt;&gt;""),"SELL",IF(AND(D2074=TRUE,E2074&lt;&gt;""),"HOLD",""))))</f>
        <v/>
      </c>
      <c r="G2074" s="12">
        <f>IF(D2074=TRUE,4,0)</f>
        <v/>
      </c>
      <c r="H2074">
        <f>IF(A2074="","",BDP(A2074&amp;" US Equity","GICS_SECTOR_NAME"))</f>
        <v/>
      </c>
    </row>
    <row r="2075">
      <c r="A2075">
        <f>'Factor Scores'!A2075</f>
        <v/>
      </c>
      <c r="B2075" s="10">
        <f>IF(A2075="","",0.40*'Factor Scores'!C2075+0.20*'Factor Scores'!E2075+0.20*'Factor Scores'!G2075+0.20*'Factor Scores'!H2075)</f>
        <v/>
      </c>
      <c r="C2075" s="12">
        <f>IF(B2075="","",RANK(B2075,$B$2:$B$2501,0))</f>
        <v/>
      </c>
      <c r="D2075">
        <f>IF(C2075="","",C2075&lt;=25)</f>
        <v/>
      </c>
      <c r="F2075">
        <f>IF(A2075="","",IF(AND(D2075=TRUE,E2075=""),"BUY",IF(AND(D2075=FALSE,E2075&lt;&gt;""),"SELL",IF(AND(D2075=TRUE,E2075&lt;&gt;""),"HOLD",""))))</f>
        <v/>
      </c>
      <c r="G2075" s="12">
        <f>IF(D2075=TRUE,4,0)</f>
        <v/>
      </c>
      <c r="H2075">
        <f>IF(A2075="","",BDP(A2075&amp;" US Equity","GICS_SECTOR_NAME"))</f>
        <v/>
      </c>
    </row>
    <row r="2076">
      <c r="A2076">
        <f>'Factor Scores'!A2076</f>
        <v/>
      </c>
      <c r="B2076" s="10">
        <f>IF(A2076="","",0.40*'Factor Scores'!C2076+0.20*'Factor Scores'!E2076+0.20*'Factor Scores'!G2076+0.20*'Factor Scores'!H2076)</f>
        <v/>
      </c>
      <c r="C2076" s="12">
        <f>IF(B2076="","",RANK(B2076,$B$2:$B$2501,0))</f>
        <v/>
      </c>
      <c r="D2076">
        <f>IF(C2076="","",C2076&lt;=25)</f>
        <v/>
      </c>
      <c r="F2076">
        <f>IF(A2076="","",IF(AND(D2076=TRUE,E2076=""),"BUY",IF(AND(D2076=FALSE,E2076&lt;&gt;""),"SELL",IF(AND(D2076=TRUE,E2076&lt;&gt;""),"HOLD",""))))</f>
        <v/>
      </c>
      <c r="G2076" s="12">
        <f>IF(D2076=TRUE,4,0)</f>
        <v/>
      </c>
      <c r="H2076">
        <f>IF(A2076="","",BDP(A2076&amp;" US Equity","GICS_SECTOR_NAME"))</f>
        <v/>
      </c>
    </row>
    <row r="2077">
      <c r="A2077">
        <f>'Factor Scores'!A2077</f>
        <v/>
      </c>
      <c r="B2077" s="10">
        <f>IF(A2077="","",0.40*'Factor Scores'!C2077+0.20*'Factor Scores'!E2077+0.20*'Factor Scores'!G2077+0.20*'Factor Scores'!H2077)</f>
        <v/>
      </c>
      <c r="C2077" s="12">
        <f>IF(B2077="","",RANK(B2077,$B$2:$B$2501,0))</f>
        <v/>
      </c>
      <c r="D2077">
        <f>IF(C2077="","",C2077&lt;=25)</f>
        <v/>
      </c>
      <c r="F2077">
        <f>IF(A2077="","",IF(AND(D2077=TRUE,E2077=""),"BUY",IF(AND(D2077=FALSE,E2077&lt;&gt;""),"SELL",IF(AND(D2077=TRUE,E2077&lt;&gt;""),"HOLD",""))))</f>
        <v/>
      </c>
      <c r="G2077" s="12">
        <f>IF(D2077=TRUE,4,0)</f>
        <v/>
      </c>
      <c r="H2077">
        <f>IF(A2077="","",BDP(A2077&amp;" US Equity","GICS_SECTOR_NAME"))</f>
        <v/>
      </c>
    </row>
    <row r="2078">
      <c r="A2078">
        <f>'Factor Scores'!A2078</f>
        <v/>
      </c>
      <c r="B2078" s="10">
        <f>IF(A2078="","",0.40*'Factor Scores'!C2078+0.20*'Factor Scores'!E2078+0.20*'Factor Scores'!G2078+0.20*'Factor Scores'!H2078)</f>
        <v/>
      </c>
      <c r="C2078" s="12">
        <f>IF(B2078="","",RANK(B2078,$B$2:$B$2501,0))</f>
        <v/>
      </c>
      <c r="D2078">
        <f>IF(C2078="","",C2078&lt;=25)</f>
        <v/>
      </c>
      <c r="F2078">
        <f>IF(A2078="","",IF(AND(D2078=TRUE,E2078=""),"BUY",IF(AND(D2078=FALSE,E2078&lt;&gt;""),"SELL",IF(AND(D2078=TRUE,E2078&lt;&gt;""),"HOLD",""))))</f>
        <v/>
      </c>
      <c r="G2078" s="12">
        <f>IF(D2078=TRUE,4,0)</f>
        <v/>
      </c>
      <c r="H2078">
        <f>IF(A2078="","",BDP(A2078&amp;" US Equity","GICS_SECTOR_NAME"))</f>
        <v/>
      </c>
    </row>
    <row r="2079">
      <c r="A2079">
        <f>'Factor Scores'!A2079</f>
        <v/>
      </c>
      <c r="B2079" s="10">
        <f>IF(A2079="","",0.40*'Factor Scores'!C2079+0.20*'Factor Scores'!E2079+0.20*'Factor Scores'!G2079+0.20*'Factor Scores'!H2079)</f>
        <v/>
      </c>
      <c r="C2079" s="12">
        <f>IF(B2079="","",RANK(B2079,$B$2:$B$2501,0))</f>
        <v/>
      </c>
      <c r="D2079">
        <f>IF(C2079="","",C2079&lt;=25)</f>
        <v/>
      </c>
      <c r="F2079">
        <f>IF(A2079="","",IF(AND(D2079=TRUE,E2079=""),"BUY",IF(AND(D2079=FALSE,E2079&lt;&gt;""),"SELL",IF(AND(D2079=TRUE,E2079&lt;&gt;""),"HOLD",""))))</f>
        <v/>
      </c>
      <c r="G2079" s="12">
        <f>IF(D2079=TRUE,4,0)</f>
        <v/>
      </c>
      <c r="H2079">
        <f>IF(A2079="","",BDP(A2079&amp;" US Equity","GICS_SECTOR_NAME"))</f>
        <v/>
      </c>
    </row>
    <row r="2080">
      <c r="A2080">
        <f>'Factor Scores'!A2080</f>
        <v/>
      </c>
      <c r="B2080" s="10">
        <f>IF(A2080="","",0.40*'Factor Scores'!C2080+0.20*'Factor Scores'!E2080+0.20*'Factor Scores'!G2080+0.20*'Factor Scores'!H2080)</f>
        <v/>
      </c>
      <c r="C2080" s="12">
        <f>IF(B2080="","",RANK(B2080,$B$2:$B$2501,0))</f>
        <v/>
      </c>
      <c r="D2080">
        <f>IF(C2080="","",C2080&lt;=25)</f>
        <v/>
      </c>
      <c r="F2080">
        <f>IF(A2080="","",IF(AND(D2080=TRUE,E2080=""),"BUY",IF(AND(D2080=FALSE,E2080&lt;&gt;""),"SELL",IF(AND(D2080=TRUE,E2080&lt;&gt;""),"HOLD",""))))</f>
        <v/>
      </c>
      <c r="G2080" s="12">
        <f>IF(D2080=TRUE,4,0)</f>
        <v/>
      </c>
      <c r="H2080">
        <f>IF(A2080="","",BDP(A2080&amp;" US Equity","GICS_SECTOR_NAME"))</f>
        <v/>
      </c>
    </row>
    <row r="2081">
      <c r="A2081">
        <f>'Factor Scores'!A2081</f>
        <v/>
      </c>
      <c r="B2081" s="10">
        <f>IF(A2081="","",0.40*'Factor Scores'!C2081+0.20*'Factor Scores'!E2081+0.20*'Factor Scores'!G2081+0.20*'Factor Scores'!H2081)</f>
        <v/>
      </c>
      <c r="C2081" s="12">
        <f>IF(B2081="","",RANK(B2081,$B$2:$B$2501,0))</f>
        <v/>
      </c>
      <c r="D2081">
        <f>IF(C2081="","",C2081&lt;=25)</f>
        <v/>
      </c>
      <c r="F2081">
        <f>IF(A2081="","",IF(AND(D2081=TRUE,E2081=""),"BUY",IF(AND(D2081=FALSE,E2081&lt;&gt;""),"SELL",IF(AND(D2081=TRUE,E2081&lt;&gt;""),"HOLD",""))))</f>
        <v/>
      </c>
      <c r="G2081" s="12">
        <f>IF(D2081=TRUE,4,0)</f>
        <v/>
      </c>
      <c r="H2081">
        <f>IF(A2081="","",BDP(A2081&amp;" US Equity","GICS_SECTOR_NAME"))</f>
        <v/>
      </c>
    </row>
    <row r="2082">
      <c r="A2082">
        <f>'Factor Scores'!A2082</f>
        <v/>
      </c>
      <c r="B2082" s="10">
        <f>IF(A2082="","",0.40*'Factor Scores'!C2082+0.20*'Factor Scores'!E2082+0.20*'Factor Scores'!G2082+0.20*'Factor Scores'!H2082)</f>
        <v/>
      </c>
      <c r="C2082" s="12">
        <f>IF(B2082="","",RANK(B2082,$B$2:$B$2501,0))</f>
        <v/>
      </c>
      <c r="D2082">
        <f>IF(C2082="","",C2082&lt;=25)</f>
        <v/>
      </c>
      <c r="F2082">
        <f>IF(A2082="","",IF(AND(D2082=TRUE,E2082=""),"BUY",IF(AND(D2082=FALSE,E2082&lt;&gt;""),"SELL",IF(AND(D2082=TRUE,E2082&lt;&gt;""),"HOLD",""))))</f>
        <v/>
      </c>
      <c r="G2082" s="12">
        <f>IF(D2082=TRUE,4,0)</f>
        <v/>
      </c>
      <c r="H2082">
        <f>IF(A2082="","",BDP(A2082&amp;" US Equity","GICS_SECTOR_NAME"))</f>
        <v/>
      </c>
    </row>
    <row r="2083">
      <c r="A2083">
        <f>'Factor Scores'!A2083</f>
        <v/>
      </c>
      <c r="B2083" s="10">
        <f>IF(A2083="","",0.40*'Factor Scores'!C2083+0.20*'Factor Scores'!E2083+0.20*'Factor Scores'!G2083+0.20*'Factor Scores'!H2083)</f>
        <v/>
      </c>
      <c r="C2083" s="12">
        <f>IF(B2083="","",RANK(B2083,$B$2:$B$2501,0))</f>
        <v/>
      </c>
      <c r="D2083">
        <f>IF(C2083="","",C2083&lt;=25)</f>
        <v/>
      </c>
      <c r="F2083">
        <f>IF(A2083="","",IF(AND(D2083=TRUE,E2083=""),"BUY",IF(AND(D2083=FALSE,E2083&lt;&gt;""),"SELL",IF(AND(D2083=TRUE,E2083&lt;&gt;""),"HOLD",""))))</f>
        <v/>
      </c>
      <c r="G2083" s="12">
        <f>IF(D2083=TRUE,4,0)</f>
        <v/>
      </c>
      <c r="H2083">
        <f>IF(A2083="","",BDP(A2083&amp;" US Equity","GICS_SECTOR_NAME"))</f>
        <v/>
      </c>
    </row>
    <row r="2084">
      <c r="A2084">
        <f>'Factor Scores'!A2084</f>
        <v/>
      </c>
      <c r="B2084" s="10">
        <f>IF(A2084="","",0.40*'Factor Scores'!C2084+0.20*'Factor Scores'!E2084+0.20*'Factor Scores'!G2084+0.20*'Factor Scores'!H2084)</f>
        <v/>
      </c>
      <c r="C2084" s="12">
        <f>IF(B2084="","",RANK(B2084,$B$2:$B$2501,0))</f>
        <v/>
      </c>
      <c r="D2084">
        <f>IF(C2084="","",C2084&lt;=25)</f>
        <v/>
      </c>
      <c r="F2084">
        <f>IF(A2084="","",IF(AND(D2084=TRUE,E2084=""),"BUY",IF(AND(D2084=FALSE,E2084&lt;&gt;""),"SELL",IF(AND(D2084=TRUE,E2084&lt;&gt;""),"HOLD",""))))</f>
        <v/>
      </c>
      <c r="G2084" s="12">
        <f>IF(D2084=TRUE,4,0)</f>
        <v/>
      </c>
      <c r="H2084">
        <f>IF(A2084="","",BDP(A2084&amp;" US Equity","GICS_SECTOR_NAME"))</f>
        <v/>
      </c>
    </row>
    <row r="2085">
      <c r="A2085">
        <f>'Factor Scores'!A2085</f>
        <v/>
      </c>
      <c r="B2085" s="10">
        <f>IF(A2085="","",0.40*'Factor Scores'!C2085+0.20*'Factor Scores'!E2085+0.20*'Factor Scores'!G2085+0.20*'Factor Scores'!H2085)</f>
        <v/>
      </c>
      <c r="C2085" s="12">
        <f>IF(B2085="","",RANK(B2085,$B$2:$B$2501,0))</f>
        <v/>
      </c>
      <c r="D2085">
        <f>IF(C2085="","",C2085&lt;=25)</f>
        <v/>
      </c>
      <c r="F2085">
        <f>IF(A2085="","",IF(AND(D2085=TRUE,E2085=""),"BUY",IF(AND(D2085=FALSE,E2085&lt;&gt;""),"SELL",IF(AND(D2085=TRUE,E2085&lt;&gt;""),"HOLD",""))))</f>
        <v/>
      </c>
      <c r="G2085" s="12">
        <f>IF(D2085=TRUE,4,0)</f>
        <v/>
      </c>
      <c r="H2085">
        <f>IF(A2085="","",BDP(A2085&amp;" US Equity","GICS_SECTOR_NAME"))</f>
        <v/>
      </c>
    </row>
    <row r="2086">
      <c r="A2086">
        <f>'Factor Scores'!A2086</f>
        <v/>
      </c>
      <c r="B2086" s="10">
        <f>IF(A2086="","",0.40*'Factor Scores'!C2086+0.20*'Factor Scores'!E2086+0.20*'Factor Scores'!G2086+0.20*'Factor Scores'!H2086)</f>
        <v/>
      </c>
      <c r="C2086" s="12">
        <f>IF(B2086="","",RANK(B2086,$B$2:$B$2501,0))</f>
        <v/>
      </c>
      <c r="D2086">
        <f>IF(C2086="","",C2086&lt;=25)</f>
        <v/>
      </c>
      <c r="F2086">
        <f>IF(A2086="","",IF(AND(D2086=TRUE,E2086=""),"BUY",IF(AND(D2086=FALSE,E2086&lt;&gt;""),"SELL",IF(AND(D2086=TRUE,E2086&lt;&gt;""),"HOLD",""))))</f>
        <v/>
      </c>
      <c r="G2086" s="12">
        <f>IF(D2086=TRUE,4,0)</f>
        <v/>
      </c>
      <c r="H2086">
        <f>IF(A2086="","",BDP(A2086&amp;" US Equity","GICS_SECTOR_NAME"))</f>
        <v/>
      </c>
    </row>
    <row r="2087">
      <c r="A2087">
        <f>'Factor Scores'!A2087</f>
        <v/>
      </c>
      <c r="B2087" s="10">
        <f>IF(A2087="","",0.40*'Factor Scores'!C2087+0.20*'Factor Scores'!E2087+0.20*'Factor Scores'!G2087+0.20*'Factor Scores'!H2087)</f>
        <v/>
      </c>
      <c r="C2087" s="12">
        <f>IF(B2087="","",RANK(B2087,$B$2:$B$2501,0))</f>
        <v/>
      </c>
      <c r="D2087">
        <f>IF(C2087="","",C2087&lt;=25)</f>
        <v/>
      </c>
      <c r="F2087">
        <f>IF(A2087="","",IF(AND(D2087=TRUE,E2087=""),"BUY",IF(AND(D2087=FALSE,E2087&lt;&gt;""),"SELL",IF(AND(D2087=TRUE,E2087&lt;&gt;""),"HOLD",""))))</f>
        <v/>
      </c>
      <c r="G2087" s="12">
        <f>IF(D2087=TRUE,4,0)</f>
        <v/>
      </c>
      <c r="H2087">
        <f>IF(A2087="","",BDP(A2087&amp;" US Equity","GICS_SECTOR_NAME"))</f>
        <v/>
      </c>
    </row>
    <row r="2088">
      <c r="A2088">
        <f>'Factor Scores'!A2088</f>
        <v/>
      </c>
      <c r="B2088" s="10">
        <f>IF(A2088="","",0.40*'Factor Scores'!C2088+0.20*'Factor Scores'!E2088+0.20*'Factor Scores'!G2088+0.20*'Factor Scores'!H2088)</f>
        <v/>
      </c>
      <c r="C2088" s="12">
        <f>IF(B2088="","",RANK(B2088,$B$2:$B$2501,0))</f>
        <v/>
      </c>
      <c r="D2088">
        <f>IF(C2088="","",C2088&lt;=25)</f>
        <v/>
      </c>
      <c r="F2088">
        <f>IF(A2088="","",IF(AND(D2088=TRUE,E2088=""),"BUY",IF(AND(D2088=FALSE,E2088&lt;&gt;""),"SELL",IF(AND(D2088=TRUE,E2088&lt;&gt;""),"HOLD",""))))</f>
        <v/>
      </c>
      <c r="G2088" s="12">
        <f>IF(D2088=TRUE,4,0)</f>
        <v/>
      </c>
      <c r="H2088">
        <f>IF(A2088="","",BDP(A2088&amp;" US Equity","GICS_SECTOR_NAME"))</f>
        <v/>
      </c>
    </row>
    <row r="2089">
      <c r="A2089">
        <f>'Factor Scores'!A2089</f>
        <v/>
      </c>
      <c r="B2089" s="10">
        <f>IF(A2089="","",0.40*'Factor Scores'!C2089+0.20*'Factor Scores'!E2089+0.20*'Factor Scores'!G2089+0.20*'Factor Scores'!H2089)</f>
        <v/>
      </c>
      <c r="C2089" s="12">
        <f>IF(B2089="","",RANK(B2089,$B$2:$B$2501,0))</f>
        <v/>
      </c>
      <c r="D2089">
        <f>IF(C2089="","",C2089&lt;=25)</f>
        <v/>
      </c>
      <c r="F2089">
        <f>IF(A2089="","",IF(AND(D2089=TRUE,E2089=""),"BUY",IF(AND(D2089=FALSE,E2089&lt;&gt;""),"SELL",IF(AND(D2089=TRUE,E2089&lt;&gt;""),"HOLD",""))))</f>
        <v/>
      </c>
      <c r="G2089" s="12">
        <f>IF(D2089=TRUE,4,0)</f>
        <v/>
      </c>
      <c r="H2089">
        <f>IF(A2089="","",BDP(A2089&amp;" US Equity","GICS_SECTOR_NAME"))</f>
        <v/>
      </c>
    </row>
    <row r="2090">
      <c r="A2090">
        <f>'Factor Scores'!A2090</f>
        <v/>
      </c>
      <c r="B2090" s="10">
        <f>IF(A2090="","",0.40*'Factor Scores'!C2090+0.20*'Factor Scores'!E2090+0.20*'Factor Scores'!G2090+0.20*'Factor Scores'!H2090)</f>
        <v/>
      </c>
      <c r="C2090" s="12">
        <f>IF(B2090="","",RANK(B2090,$B$2:$B$2501,0))</f>
        <v/>
      </c>
      <c r="D2090">
        <f>IF(C2090="","",C2090&lt;=25)</f>
        <v/>
      </c>
      <c r="F2090">
        <f>IF(A2090="","",IF(AND(D2090=TRUE,E2090=""),"BUY",IF(AND(D2090=FALSE,E2090&lt;&gt;""),"SELL",IF(AND(D2090=TRUE,E2090&lt;&gt;""),"HOLD",""))))</f>
        <v/>
      </c>
      <c r="G2090" s="12">
        <f>IF(D2090=TRUE,4,0)</f>
        <v/>
      </c>
      <c r="H2090">
        <f>IF(A2090="","",BDP(A2090&amp;" US Equity","GICS_SECTOR_NAME"))</f>
        <v/>
      </c>
    </row>
    <row r="2091">
      <c r="A2091">
        <f>'Factor Scores'!A2091</f>
        <v/>
      </c>
      <c r="B2091" s="10">
        <f>IF(A2091="","",0.40*'Factor Scores'!C2091+0.20*'Factor Scores'!E2091+0.20*'Factor Scores'!G2091+0.20*'Factor Scores'!H2091)</f>
        <v/>
      </c>
      <c r="C2091" s="12">
        <f>IF(B2091="","",RANK(B2091,$B$2:$B$2501,0))</f>
        <v/>
      </c>
      <c r="D2091">
        <f>IF(C2091="","",C2091&lt;=25)</f>
        <v/>
      </c>
      <c r="F2091">
        <f>IF(A2091="","",IF(AND(D2091=TRUE,E2091=""),"BUY",IF(AND(D2091=FALSE,E2091&lt;&gt;""),"SELL",IF(AND(D2091=TRUE,E2091&lt;&gt;""),"HOLD",""))))</f>
        <v/>
      </c>
      <c r="G2091" s="12">
        <f>IF(D2091=TRUE,4,0)</f>
        <v/>
      </c>
      <c r="H2091">
        <f>IF(A2091="","",BDP(A2091&amp;" US Equity","GICS_SECTOR_NAME"))</f>
        <v/>
      </c>
    </row>
    <row r="2092">
      <c r="A2092">
        <f>'Factor Scores'!A2092</f>
        <v/>
      </c>
      <c r="B2092" s="10">
        <f>IF(A2092="","",0.40*'Factor Scores'!C2092+0.20*'Factor Scores'!E2092+0.20*'Factor Scores'!G2092+0.20*'Factor Scores'!H2092)</f>
        <v/>
      </c>
      <c r="C2092" s="12">
        <f>IF(B2092="","",RANK(B2092,$B$2:$B$2501,0))</f>
        <v/>
      </c>
      <c r="D2092">
        <f>IF(C2092="","",C2092&lt;=25)</f>
        <v/>
      </c>
      <c r="F2092">
        <f>IF(A2092="","",IF(AND(D2092=TRUE,E2092=""),"BUY",IF(AND(D2092=FALSE,E2092&lt;&gt;""),"SELL",IF(AND(D2092=TRUE,E2092&lt;&gt;""),"HOLD",""))))</f>
        <v/>
      </c>
      <c r="G2092" s="12">
        <f>IF(D2092=TRUE,4,0)</f>
        <v/>
      </c>
      <c r="H2092">
        <f>IF(A2092="","",BDP(A2092&amp;" US Equity","GICS_SECTOR_NAME"))</f>
        <v/>
      </c>
    </row>
    <row r="2093">
      <c r="A2093">
        <f>'Factor Scores'!A2093</f>
        <v/>
      </c>
      <c r="B2093" s="10">
        <f>IF(A2093="","",0.40*'Factor Scores'!C2093+0.20*'Factor Scores'!E2093+0.20*'Factor Scores'!G2093+0.20*'Factor Scores'!H2093)</f>
        <v/>
      </c>
      <c r="C2093" s="12">
        <f>IF(B2093="","",RANK(B2093,$B$2:$B$2501,0))</f>
        <v/>
      </c>
      <c r="D2093">
        <f>IF(C2093="","",C2093&lt;=25)</f>
        <v/>
      </c>
      <c r="F2093">
        <f>IF(A2093="","",IF(AND(D2093=TRUE,E2093=""),"BUY",IF(AND(D2093=FALSE,E2093&lt;&gt;""),"SELL",IF(AND(D2093=TRUE,E2093&lt;&gt;""),"HOLD",""))))</f>
        <v/>
      </c>
      <c r="G2093" s="12">
        <f>IF(D2093=TRUE,4,0)</f>
        <v/>
      </c>
      <c r="H2093">
        <f>IF(A2093="","",BDP(A2093&amp;" US Equity","GICS_SECTOR_NAME"))</f>
        <v/>
      </c>
    </row>
    <row r="2094">
      <c r="A2094">
        <f>'Factor Scores'!A2094</f>
        <v/>
      </c>
      <c r="B2094" s="10">
        <f>IF(A2094="","",0.40*'Factor Scores'!C2094+0.20*'Factor Scores'!E2094+0.20*'Factor Scores'!G2094+0.20*'Factor Scores'!H2094)</f>
        <v/>
      </c>
      <c r="C2094" s="12">
        <f>IF(B2094="","",RANK(B2094,$B$2:$B$2501,0))</f>
        <v/>
      </c>
      <c r="D2094">
        <f>IF(C2094="","",C2094&lt;=25)</f>
        <v/>
      </c>
      <c r="F2094">
        <f>IF(A2094="","",IF(AND(D2094=TRUE,E2094=""),"BUY",IF(AND(D2094=FALSE,E2094&lt;&gt;""),"SELL",IF(AND(D2094=TRUE,E2094&lt;&gt;""),"HOLD",""))))</f>
        <v/>
      </c>
      <c r="G2094" s="12">
        <f>IF(D2094=TRUE,4,0)</f>
        <v/>
      </c>
      <c r="H2094">
        <f>IF(A2094="","",BDP(A2094&amp;" US Equity","GICS_SECTOR_NAME"))</f>
        <v/>
      </c>
    </row>
    <row r="2095">
      <c r="A2095">
        <f>'Factor Scores'!A2095</f>
        <v/>
      </c>
      <c r="B2095" s="10">
        <f>IF(A2095="","",0.40*'Factor Scores'!C2095+0.20*'Factor Scores'!E2095+0.20*'Factor Scores'!G2095+0.20*'Factor Scores'!H2095)</f>
        <v/>
      </c>
      <c r="C2095" s="12">
        <f>IF(B2095="","",RANK(B2095,$B$2:$B$2501,0))</f>
        <v/>
      </c>
      <c r="D2095">
        <f>IF(C2095="","",C2095&lt;=25)</f>
        <v/>
      </c>
      <c r="F2095">
        <f>IF(A2095="","",IF(AND(D2095=TRUE,E2095=""),"BUY",IF(AND(D2095=FALSE,E2095&lt;&gt;""),"SELL",IF(AND(D2095=TRUE,E2095&lt;&gt;""),"HOLD",""))))</f>
        <v/>
      </c>
      <c r="G2095" s="12">
        <f>IF(D2095=TRUE,4,0)</f>
        <v/>
      </c>
      <c r="H2095">
        <f>IF(A2095="","",BDP(A2095&amp;" US Equity","GICS_SECTOR_NAME"))</f>
        <v/>
      </c>
    </row>
    <row r="2096">
      <c r="A2096">
        <f>'Factor Scores'!A2096</f>
        <v/>
      </c>
      <c r="B2096" s="10">
        <f>IF(A2096="","",0.40*'Factor Scores'!C2096+0.20*'Factor Scores'!E2096+0.20*'Factor Scores'!G2096+0.20*'Factor Scores'!H2096)</f>
        <v/>
      </c>
      <c r="C2096" s="12">
        <f>IF(B2096="","",RANK(B2096,$B$2:$B$2501,0))</f>
        <v/>
      </c>
      <c r="D2096">
        <f>IF(C2096="","",C2096&lt;=25)</f>
        <v/>
      </c>
      <c r="F2096">
        <f>IF(A2096="","",IF(AND(D2096=TRUE,E2096=""),"BUY",IF(AND(D2096=FALSE,E2096&lt;&gt;""),"SELL",IF(AND(D2096=TRUE,E2096&lt;&gt;""),"HOLD",""))))</f>
        <v/>
      </c>
      <c r="G2096" s="12">
        <f>IF(D2096=TRUE,4,0)</f>
        <v/>
      </c>
      <c r="H2096">
        <f>IF(A2096="","",BDP(A2096&amp;" US Equity","GICS_SECTOR_NAME"))</f>
        <v/>
      </c>
    </row>
    <row r="2097">
      <c r="A2097">
        <f>'Factor Scores'!A2097</f>
        <v/>
      </c>
      <c r="B2097" s="10">
        <f>IF(A2097="","",0.40*'Factor Scores'!C2097+0.20*'Factor Scores'!E2097+0.20*'Factor Scores'!G2097+0.20*'Factor Scores'!H2097)</f>
        <v/>
      </c>
      <c r="C2097" s="12">
        <f>IF(B2097="","",RANK(B2097,$B$2:$B$2501,0))</f>
        <v/>
      </c>
      <c r="D2097">
        <f>IF(C2097="","",C2097&lt;=25)</f>
        <v/>
      </c>
      <c r="F2097">
        <f>IF(A2097="","",IF(AND(D2097=TRUE,E2097=""),"BUY",IF(AND(D2097=FALSE,E2097&lt;&gt;""),"SELL",IF(AND(D2097=TRUE,E2097&lt;&gt;""),"HOLD",""))))</f>
        <v/>
      </c>
      <c r="G2097" s="12">
        <f>IF(D2097=TRUE,4,0)</f>
        <v/>
      </c>
      <c r="H2097">
        <f>IF(A2097="","",BDP(A2097&amp;" US Equity","GICS_SECTOR_NAME"))</f>
        <v/>
      </c>
    </row>
    <row r="2098">
      <c r="A2098">
        <f>'Factor Scores'!A2098</f>
        <v/>
      </c>
      <c r="B2098" s="10">
        <f>IF(A2098="","",0.40*'Factor Scores'!C2098+0.20*'Factor Scores'!E2098+0.20*'Factor Scores'!G2098+0.20*'Factor Scores'!H2098)</f>
        <v/>
      </c>
      <c r="C2098" s="12">
        <f>IF(B2098="","",RANK(B2098,$B$2:$B$2501,0))</f>
        <v/>
      </c>
      <c r="D2098">
        <f>IF(C2098="","",C2098&lt;=25)</f>
        <v/>
      </c>
      <c r="F2098">
        <f>IF(A2098="","",IF(AND(D2098=TRUE,E2098=""),"BUY",IF(AND(D2098=FALSE,E2098&lt;&gt;""),"SELL",IF(AND(D2098=TRUE,E2098&lt;&gt;""),"HOLD",""))))</f>
        <v/>
      </c>
      <c r="G2098" s="12">
        <f>IF(D2098=TRUE,4,0)</f>
        <v/>
      </c>
      <c r="H2098">
        <f>IF(A2098="","",BDP(A2098&amp;" US Equity","GICS_SECTOR_NAME"))</f>
        <v/>
      </c>
    </row>
    <row r="2099">
      <c r="A2099">
        <f>'Factor Scores'!A2099</f>
        <v/>
      </c>
      <c r="B2099" s="10">
        <f>IF(A2099="","",0.40*'Factor Scores'!C2099+0.20*'Factor Scores'!E2099+0.20*'Factor Scores'!G2099+0.20*'Factor Scores'!H2099)</f>
        <v/>
      </c>
      <c r="C2099" s="12">
        <f>IF(B2099="","",RANK(B2099,$B$2:$B$2501,0))</f>
        <v/>
      </c>
      <c r="D2099">
        <f>IF(C2099="","",C2099&lt;=25)</f>
        <v/>
      </c>
      <c r="F2099">
        <f>IF(A2099="","",IF(AND(D2099=TRUE,E2099=""),"BUY",IF(AND(D2099=FALSE,E2099&lt;&gt;""),"SELL",IF(AND(D2099=TRUE,E2099&lt;&gt;""),"HOLD",""))))</f>
        <v/>
      </c>
      <c r="G2099" s="12">
        <f>IF(D2099=TRUE,4,0)</f>
        <v/>
      </c>
      <c r="H2099">
        <f>IF(A2099="","",BDP(A2099&amp;" US Equity","GICS_SECTOR_NAME"))</f>
        <v/>
      </c>
    </row>
    <row r="2100">
      <c r="A2100">
        <f>'Factor Scores'!A2100</f>
        <v/>
      </c>
      <c r="B2100" s="10">
        <f>IF(A2100="","",0.40*'Factor Scores'!C2100+0.20*'Factor Scores'!E2100+0.20*'Factor Scores'!G2100+0.20*'Factor Scores'!H2100)</f>
        <v/>
      </c>
      <c r="C2100" s="12">
        <f>IF(B2100="","",RANK(B2100,$B$2:$B$2501,0))</f>
        <v/>
      </c>
      <c r="D2100">
        <f>IF(C2100="","",C2100&lt;=25)</f>
        <v/>
      </c>
      <c r="F2100">
        <f>IF(A2100="","",IF(AND(D2100=TRUE,E2100=""),"BUY",IF(AND(D2100=FALSE,E2100&lt;&gt;""),"SELL",IF(AND(D2100=TRUE,E2100&lt;&gt;""),"HOLD",""))))</f>
        <v/>
      </c>
      <c r="G2100" s="12">
        <f>IF(D2100=TRUE,4,0)</f>
        <v/>
      </c>
      <c r="H2100">
        <f>IF(A2100="","",BDP(A2100&amp;" US Equity","GICS_SECTOR_NAME"))</f>
        <v/>
      </c>
    </row>
    <row r="2101">
      <c r="A2101">
        <f>'Factor Scores'!A2101</f>
        <v/>
      </c>
      <c r="B2101" s="10">
        <f>IF(A2101="","",0.40*'Factor Scores'!C2101+0.20*'Factor Scores'!E2101+0.20*'Factor Scores'!G2101+0.20*'Factor Scores'!H2101)</f>
        <v/>
      </c>
      <c r="C2101" s="12">
        <f>IF(B2101="","",RANK(B2101,$B$2:$B$2501,0))</f>
        <v/>
      </c>
      <c r="D2101">
        <f>IF(C2101="","",C2101&lt;=25)</f>
        <v/>
      </c>
      <c r="F2101">
        <f>IF(A2101="","",IF(AND(D2101=TRUE,E2101=""),"BUY",IF(AND(D2101=FALSE,E2101&lt;&gt;""),"SELL",IF(AND(D2101=TRUE,E2101&lt;&gt;""),"HOLD",""))))</f>
        <v/>
      </c>
      <c r="G2101" s="12">
        <f>IF(D2101=TRUE,4,0)</f>
        <v/>
      </c>
      <c r="H2101">
        <f>IF(A2101="","",BDP(A2101&amp;" US Equity","GICS_SECTOR_NAME"))</f>
        <v/>
      </c>
    </row>
    <row r="2102">
      <c r="A2102">
        <f>'Factor Scores'!A2102</f>
        <v/>
      </c>
      <c r="B2102" s="10">
        <f>IF(A2102="","",0.40*'Factor Scores'!C2102+0.20*'Factor Scores'!E2102+0.20*'Factor Scores'!G2102+0.20*'Factor Scores'!H2102)</f>
        <v/>
      </c>
      <c r="C2102" s="12">
        <f>IF(B2102="","",RANK(B2102,$B$2:$B$2501,0))</f>
        <v/>
      </c>
      <c r="D2102">
        <f>IF(C2102="","",C2102&lt;=25)</f>
        <v/>
      </c>
      <c r="F2102">
        <f>IF(A2102="","",IF(AND(D2102=TRUE,E2102=""),"BUY",IF(AND(D2102=FALSE,E2102&lt;&gt;""),"SELL",IF(AND(D2102=TRUE,E2102&lt;&gt;""),"HOLD",""))))</f>
        <v/>
      </c>
      <c r="G2102" s="12">
        <f>IF(D2102=TRUE,4,0)</f>
        <v/>
      </c>
      <c r="H2102">
        <f>IF(A2102="","",BDP(A2102&amp;" US Equity","GICS_SECTOR_NAME"))</f>
        <v/>
      </c>
    </row>
    <row r="2103">
      <c r="A2103">
        <f>'Factor Scores'!A2103</f>
        <v/>
      </c>
      <c r="B2103" s="10">
        <f>IF(A2103="","",0.40*'Factor Scores'!C2103+0.20*'Factor Scores'!E2103+0.20*'Factor Scores'!G2103+0.20*'Factor Scores'!H2103)</f>
        <v/>
      </c>
      <c r="C2103" s="12">
        <f>IF(B2103="","",RANK(B2103,$B$2:$B$2501,0))</f>
        <v/>
      </c>
      <c r="D2103">
        <f>IF(C2103="","",C2103&lt;=25)</f>
        <v/>
      </c>
      <c r="F2103">
        <f>IF(A2103="","",IF(AND(D2103=TRUE,E2103=""),"BUY",IF(AND(D2103=FALSE,E2103&lt;&gt;""),"SELL",IF(AND(D2103=TRUE,E2103&lt;&gt;""),"HOLD",""))))</f>
        <v/>
      </c>
      <c r="G2103" s="12">
        <f>IF(D2103=TRUE,4,0)</f>
        <v/>
      </c>
      <c r="H2103">
        <f>IF(A2103="","",BDP(A2103&amp;" US Equity","GICS_SECTOR_NAME"))</f>
        <v/>
      </c>
    </row>
    <row r="2104">
      <c r="A2104">
        <f>'Factor Scores'!A2104</f>
        <v/>
      </c>
      <c r="B2104" s="10">
        <f>IF(A2104="","",0.40*'Factor Scores'!C2104+0.20*'Factor Scores'!E2104+0.20*'Factor Scores'!G2104+0.20*'Factor Scores'!H2104)</f>
        <v/>
      </c>
      <c r="C2104" s="12">
        <f>IF(B2104="","",RANK(B2104,$B$2:$B$2501,0))</f>
        <v/>
      </c>
      <c r="D2104">
        <f>IF(C2104="","",C2104&lt;=25)</f>
        <v/>
      </c>
      <c r="F2104">
        <f>IF(A2104="","",IF(AND(D2104=TRUE,E2104=""),"BUY",IF(AND(D2104=FALSE,E2104&lt;&gt;""),"SELL",IF(AND(D2104=TRUE,E2104&lt;&gt;""),"HOLD",""))))</f>
        <v/>
      </c>
      <c r="G2104" s="12">
        <f>IF(D2104=TRUE,4,0)</f>
        <v/>
      </c>
      <c r="H2104">
        <f>IF(A2104="","",BDP(A2104&amp;" US Equity","GICS_SECTOR_NAME"))</f>
        <v/>
      </c>
    </row>
    <row r="2105">
      <c r="A2105">
        <f>'Factor Scores'!A2105</f>
        <v/>
      </c>
      <c r="B2105" s="10">
        <f>IF(A2105="","",0.40*'Factor Scores'!C2105+0.20*'Factor Scores'!E2105+0.20*'Factor Scores'!G2105+0.20*'Factor Scores'!H2105)</f>
        <v/>
      </c>
      <c r="C2105" s="12">
        <f>IF(B2105="","",RANK(B2105,$B$2:$B$2501,0))</f>
        <v/>
      </c>
      <c r="D2105">
        <f>IF(C2105="","",C2105&lt;=25)</f>
        <v/>
      </c>
      <c r="F2105">
        <f>IF(A2105="","",IF(AND(D2105=TRUE,E2105=""),"BUY",IF(AND(D2105=FALSE,E2105&lt;&gt;""),"SELL",IF(AND(D2105=TRUE,E2105&lt;&gt;""),"HOLD",""))))</f>
        <v/>
      </c>
      <c r="G2105" s="12">
        <f>IF(D2105=TRUE,4,0)</f>
        <v/>
      </c>
      <c r="H2105">
        <f>IF(A2105="","",BDP(A2105&amp;" US Equity","GICS_SECTOR_NAME"))</f>
        <v/>
      </c>
    </row>
    <row r="2106">
      <c r="A2106">
        <f>'Factor Scores'!A2106</f>
        <v/>
      </c>
      <c r="B2106" s="10">
        <f>IF(A2106="","",0.40*'Factor Scores'!C2106+0.20*'Factor Scores'!E2106+0.20*'Factor Scores'!G2106+0.20*'Factor Scores'!H2106)</f>
        <v/>
      </c>
      <c r="C2106" s="12">
        <f>IF(B2106="","",RANK(B2106,$B$2:$B$2501,0))</f>
        <v/>
      </c>
      <c r="D2106">
        <f>IF(C2106="","",C2106&lt;=25)</f>
        <v/>
      </c>
      <c r="F2106">
        <f>IF(A2106="","",IF(AND(D2106=TRUE,E2106=""),"BUY",IF(AND(D2106=FALSE,E2106&lt;&gt;""),"SELL",IF(AND(D2106=TRUE,E2106&lt;&gt;""),"HOLD",""))))</f>
        <v/>
      </c>
      <c r="G2106" s="12">
        <f>IF(D2106=TRUE,4,0)</f>
        <v/>
      </c>
      <c r="H2106">
        <f>IF(A2106="","",BDP(A2106&amp;" US Equity","GICS_SECTOR_NAME"))</f>
        <v/>
      </c>
    </row>
    <row r="2107">
      <c r="A2107">
        <f>'Factor Scores'!A2107</f>
        <v/>
      </c>
      <c r="B2107" s="10">
        <f>IF(A2107="","",0.40*'Factor Scores'!C2107+0.20*'Factor Scores'!E2107+0.20*'Factor Scores'!G2107+0.20*'Factor Scores'!H2107)</f>
        <v/>
      </c>
      <c r="C2107" s="12">
        <f>IF(B2107="","",RANK(B2107,$B$2:$B$2501,0))</f>
        <v/>
      </c>
      <c r="D2107">
        <f>IF(C2107="","",C2107&lt;=25)</f>
        <v/>
      </c>
      <c r="F2107">
        <f>IF(A2107="","",IF(AND(D2107=TRUE,E2107=""),"BUY",IF(AND(D2107=FALSE,E2107&lt;&gt;""),"SELL",IF(AND(D2107=TRUE,E2107&lt;&gt;""),"HOLD",""))))</f>
        <v/>
      </c>
      <c r="G2107" s="12">
        <f>IF(D2107=TRUE,4,0)</f>
        <v/>
      </c>
      <c r="H2107">
        <f>IF(A2107="","",BDP(A2107&amp;" US Equity","GICS_SECTOR_NAME"))</f>
        <v/>
      </c>
    </row>
    <row r="2108">
      <c r="A2108">
        <f>'Factor Scores'!A2108</f>
        <v/>
      </c>
      <c r="B2108" s="10">
        <f>IF(A2108="","",0.40*'Factor Scores'!C2108+0.20*'Factor Scores'!E2108+0.20*'Factor Scores'!G2108+0.20*'Factor Scores'!H2108)</f>
        <v/>
      </c>
      <c r="C2108" s="12">
        <f>IF(B2108="","",RANK(B2108,$B$2:$B$2501,0))</f>
        <v/>
      </c>
      <c r="D2108">
        <f>IF(C2108="","",C2108&lt;=25)</f>
        <v/>
      </c>
      <c r="F2108">
        <f>IF(A2108="","",IF(AND(D2108=TRUE,E2108=""),"BUY",IF(AND(D2108=FALSE,E2108&lt;&gt;""),"SELL",IF(AND(D2108=TRUE,E2108&lt;&gt;""),"HOLD",""))))</f>
        <v/>
      </c>
      <c r="G2108" s="12">
        <f>IF(D2108=TRUE,4,0)</f>
        <v/>
      </c>
      <c r="H2108">
        <f>IF(A2108="","",BDP(A2108&amp;" US Equity","GICS_SECTOR_NAME"))</f>
        <v/>
      </c>
    </row>
    <row r="2109">
      <c r="A2109">
        <f>'Factor Scores'!A2109</f>
        <v/>
      </c>
      <c r="B2109" s="10">
        <f>IF(A2109="","",0.40*'Factor Scores'!C2109+0.20*'Factor Scores'!E2109+0.20*'Factor Scores'!G2109+0.20*'Factor Scores'!H2109)</f>
        <v/>
      </c>
      <c r="C2109" s="12">
        <f>IF(B2109="","",RANK(B2109,$B$2:$B$2501,0))</f>
        <v/>
      </c>
      <c r="D2109">
        <f>IF(C2109="","",C2109&lt;=25)</f>
        <v/>
      </c>
      <c r="F2109">
        <f>IF(A2109="","",IF(AND(D2109=TRUE,E2109=""),"BUY",IF(AND(D2109=FALSE,E2109&lt;&gt;""),"SELL",IF(AND(D2109=TRUE,E2109&lt;&gt;""),"HOLD",""))))</f>
        <v/>
      </c>
      <c r="G2109" s="12">
        <f>IF(D2109=TRUE,4,0)</f>
        <v/>
      </c>
      <c r="H2109">
        <f>IF(A2109="","",BDP(A2109&amp;" US Equity","GICS_SECTOR_NAME"))</f>
        <v/>
      </c>
    </row>
    <row r="2110">
      <c r="A2110">
        <f>'Factor Scores'!A2110</f>
        <v/>
      </c>
      <c r="B2110" s="10">
        <f>IF(A2110="","",0.40*'Factor Scores'!C2110+0.20*'Factor Scores'!E2110+0.20*'Factor Scores'!G2110+0.20*'Factor Scores'!H2110)</f>
        <v/>
      </c>
      <c r="C2110" s="12">
        <f>IF(B2110="","",RANK(B2110,$B$2:$B$2501,0))</f>
        <v/>
      </c>
      <c r="D2110">
        <f>IF(C2110="","",C2110&lt;=25)</f>
        <v/>
      </c>
      <c r="F2110">
        <f>IF(A2110="","",IF(AND(D2110=TRUE,E2110=""),"BUY",IF(AND(D2110=FALSE,E2110&lt;&gt;""),"SELL",IF(AND(D2110=TRUE,E2110&lt;&gt;""),"HOLD",""))))</f>
        <v/>
      </c>
      <c r="G2110" s="12">
        <f>IF(D2110=TRUE,4,0)</f>
        <v/>
      </c>
      <c r="H2110">
        <f>IF(A2110="","",BDP(A2110&amp;" US Equity","GICS_SECTOR_NAME"))</f>
        <v/>
      </c>
    </row>
    <row r="2111">
      <c r="A2111">
        <f>'Factor Scores'!A2111</f>
        <v/>
      </c>
      <c r="B2111" s="10">
        <f>IF(A2111="","",0.40*'Factor Scores'!C2111+0.20*'Factor Scores'!E2111+0.20*'Factor Scores'!G2111+0.20*'Factor Scores'!H2111)</f>
        <v/>
      </c>
      <c r="C2111" s="12">
        <f>IF(B2111="","",RANK(B2111,$B$2:$B$2501,0))</f>
        <v/>
      </c>
      <c r="D2111">
        <f>IF(C2111="","",C2111&lt;=25)</f>
        <v/>
      </c>
      <c r="F2111">
        <f>IF(A2111="","",IF(AND(D2111=TRUE,E2111=""),"BUY",IF(AND(D2111=FALSE,E2111&lt;&gt;""),"SELL",IF(AND(D2111=TRUE,E2111&lt;&gt;""),"HOLD",""))))</f>
        <v/>
      </c>
      <c r="G2111" s="12">
        <f>IF(D2111=TRUE,4,0)</f>
        <v/>
      </c>
      <c r="H2111">
        <f>IF(A2111="","",BDP(A2111&amp;" US Equity","GICS_SECTOR_NAME"))</f>
        <v/>
      </c>
    </row>
    <row r="2112">
      <c r="A2112">
        <f>'Factor Scores'!A2112</f>
        <v/>
      </c>
      <c r="B2112" s="10">
        <f>IF(A2112="","",0.40*'Factor Scores'!C2112+0.20*'Factor Scores'!E2112+0.20*'Factor Scores'!G2112+0.20*'Factor Scores'!H2112)</f>
        <v/>
      </c>
      <c r="C2112" s="12">
        <f>IF(B2112="","",RANK(B2112,$B$2:$B$2501,0))</f>
        <v/>
      </c>
      <c r="D2112">
        <f>IF(C2112="","",C2112&lt;=25)</f>
        <v/>
      </c>
      <c r="F2112">
        <f>IF(A2112="","",IF(AND(D2112=TRUE,E2112=""),"BUY",IF(AND(D2112=FALSE,E2112&lt;&gt;""),"SELL",IF(AND(D2112=TRUE,E2112&lt;&gt;""),"HOLD",""))))</f>
        <v/>
      </c>
      <c r="G2112" s="12">
        <f>IF(D2112=TRUE,4,0)</f>
        <v/>
      </c>
      <c r="H2112">
        <f>IF(A2112="","",BDP(A2112&amp;" US Equity","GICS_SECTOR_NAME"))</f>
        <v/>
      </c>
    </row>
    <row r="2113">
      <c r="A2113">
        <f>'Factor Scores'!A2113</f>
        <v/>
      </c>
      <c r="B2113" s="10">
        <f>IF(A2113="","",0.40*'Factor Scores'!C2113+0.20*'Factor Scores'!E2113+0.20*'Factor Scores'!G2113+0.20*'Factor Scores'!H2113)</f>
        <v/>
      </c>
      <c r="C2113" s="12">
        <f>IF(B2113="","",RANK(B2113,$B$2:$B$2501,0))</f>
        <v/>
      </c>
      <c r="D2113">
        <f>IF(C2113="","",C2113&lt;=25)</f>
        <v/>
      </c>
      <c r="F2113">
        <f>IF(A2113="","",IF(AND(D2113=TRUE,E2113=""),"BUY",IF(AND(D2113=FALSE,E2113&lt;&gt;""),"SELL",IF(AND(D2113=TRUE,E2113&lt;&gt;""),"HOLD",""))))</f>
        <v/>
      </c>
      <c r="G2113" s="12">
        <f>IF(D2113=TRUE,4,0)</f>
        <v/>
      </c>
      <c r="H2113">
        <f>IF(A2113="","",BDP(A2113&amp;" US Equity","GICS_SECTOR_NAME"))</f>
        <v/>
      </c>
    </row>
    <row r="2114">
      <c r="A2114">
        <f>'Factor Scores'!A2114</f>
        <v/>
      </c>
      <c r="B2114" s="10">
        <f>IF(A2114="","",0.40*'Factor Scores'!C2114+0.20*'Factor Scores'!E2114+0.20*'Factor Scores'!G2114+0.20*'Factor Scores'!H2114)</f>
        <v/>
      </c>
      <c r="C2114" s="12">
        <f>IF(B2114="","",RANK(B2114,$B$2:$B$2501,0))</f>
        <v/>
      </c>
      <c r="D2114">
        <f>IF(C2114="","",C2114&lt;=25)</f>
        <v/>
      </c>
      <c r="F2114">
        <f>IF(A2114="","",IF(AND(D2114=TRUE,E2114=""),"BUY",IF(AND(D2114=FALSE,E2114&lt;&gt;""),"SELL",IF(AND(D2114=TRUE,E2114&lt;&gt;""),"HOLD",""))))</f>
        <v/>
      </c>
      <c r="G2114" s="12">
        <f>IF(D2114=TRUE,4,0)</f>
        <v/>
      </c>
      <c r="H2114">
        <f>IF(A2114="","",BDP(A2114&amp;" US Equity","GICS_SECTOR_NAME"))</f>
        <v/>
      </c>
    </row>
    <row r="2115">
      <c r="A2115">
        <f>'Factor Scores'!A2115</f>
        <v/>
      </c>
      <c r="B2115" s="10">
        <f>IF(A2115="","",0.40*'Factor Scores'!C2115+0.20*'Factor Scores'!E2115+0.20*'Factor Scores'!G2115+0.20*'Factor Scores'!H2115)</f>
        <v/>
      </c>
      <c r="C2115" s="12">
        <f>IF(B2115="","",RANK(B2115,$B$2:$B$2501,0))</f>
        <v/>
      </c>
      <c r="D2115">
        <f>IF(C2115="","",C2115&lt;=25)</f>
        <v/>
      </c>
      <c r="F2115">
        <f>IF(A2115="","",IF(AND(D2115=TRUE,E2115=""),"BUY",IF(AND(D2115=FALSE,E2115&lt;&gt;""),"SELL",IF(AND(D2115=TRUE,E2115&lt;&gt;""),"HOLD",""))))</f>
        <v/>
      </c>
      <c r="G2115" s="12">
        <f>IF(D2115=TRUE,4,0)</f>
        <v/>
      </c>
      <c r="H2115">
        <f>IF(A2115="","",BDP(A2115&amp;" US Equity","GICS_SECTOR_NAME"))</f>
        <v/>
      </c>
    </row>
    <row r="2116">
      <c r="A2116">
        <f>'Factor Scores'!A2116</f>
        <v/>
      </c>
      <c r="B2116" s="10">
        <f>IF(A2116="","",0.40*'Factor Scores'!C2116+0.20*'Factor Scores'!E2116+0.20*'Factor Scores'!G2116+0.20*'Factor Scores'!H2116)</f>
        <v/>
      </c>
      <c r="C2116" s="12">
        <f>IF(B2116="","",RANK(B2116,$B$2:$B$2501,0))</f>
        <v/>
      </c>
      <c r="D2116">
        <f>IF(C2116="","",C2116&lt;=25)</f>
        <v/>
      </c>
      <c r="F2116">
        <f>IF(A2116="","",IF(AND(D2116=TRUE,E2116=""),"BUY",IF(AND(D2116=FALSE,E2116&lt;&gt;""),"SELL",IF(AND(D2116=TRUE,E2116&lt;&gt;""),"HOLD",""))))</f>
        <v/>
      </c>
      <c r="G2116" s="12">
        <f>IF(D2116=TRUE,4,0)</f>
        <v/>
      </c>
      <c r="H2116">
        <f>IF(A2116="","",BDP(A2116&amp;" US Equity","GICS_SECTOR_NAME"))</f>
        <v/>
      </c>
    </row>
    <row r="2117">
      <c r="A2117">
        <f>'Factor Scores'!A2117</f>
        <v/>
      </c>
      <c r="B2117" s="10">
        <f>IF(A2117="","",0.40*'Factor Scores'!C2117+0.20*'Factor Scores'!E2117+0.20*'Factor Scores'!G2117+0.20*'Factor Scores'!H2117)</f>
        <v/>
      </c>
      <c r="C2117" s="12">
        <f>IF(B2117="","",RANK(B2117,$B$2:$B$2501,0))</f>
        <v/>
      </c>
      <c r="D2117">
        <f>IF(C2117="","",C2117&lt;=25)</f>
        <v/>
      </c>
      <c r="F2117">
        <f>IF(A2117="","",IF(AND(D2117=TRUE,E2117=""),"BUY",IF(AND(D2117=FALSE,E2117&lt;&gt;""),"SELL",IF(AND(D2117=TRUE,E2117&lt;&gt;""),"HOLD",""))))</f>
        <v/>
      </c>
      <c r="G2117" s="12">
        <f>IF(D2117=TRUE,4,0)</f>
        <v/>
      </c>
      <c r="H2117">
        <f>IF(A2117="","",BDP(A2117&amp;" US Equity","GICS_SECTOR_NAME"))</f>
        <v/>
      </c>
    </row>
    <row r="2118">
      <c r="A2118">
        <f>'Factor Scores'!A2118</f>
        <v/>
      </c>
      <c r="B2118" s="10">
        <f>IF(A2118="","",0.40*'Factor Scores'!C2118+0.20*'Factor Scores'!E2118+0.20*'Factor Scores'!G2118+0.20*'Factor Scores'!H2118)</f>
        <v/>
      </c>
      <c r="C2118" s="12">
        <f>IF(B2118="","",RANK(B2118,$B$2:$B$2501,0))</f>
        <v/>
      </c>
      <c r="D2118">
        <f>IF(C2118="","",C2118&lt;=25)</f>
        <v/>
      </c>
      <c r="F2118">
        <f>IF(A2118="","",IF(AND(D2118=TRUE,E2118=""),"BUY",IF(AND(D2118=FALSE,E2118&lt;&gt;""),"SELL",IF(AND(D2118=TRUE,E2118&lt;&gt;""),"HOLD",""))))</f>
        <v/>
      </c>
      <c r="G2118" s="12">
        <f>IF(D2118=TRUE,4,0)</f>
        <v/>
      </c>
      <c r="H2118">
        <f>IF(A2118="","",BDP(A2118&amp;" US Equity","GICS_SECTOR_NAME"))</f>
        <v/>
      </c>
    </row>
    <row r="2119">
      <c r="A2119">
        <f>'Factor Scores'!A2119</f>
        <v/>
      </c>
      <c r="B2119" s="10">
        <f>IF(A2119="","",0.40*'Factor Scores'!C2119+0.20*'Factor Scores'!E2119+0.20*'Factor Scores'!G2119+0.20*'Factor Scores'!H2119)</f>
        <v/>
      </c>
      <c r="C2119" s="12">
        <f>IF(B2119="","",RANK(B2119,$B$2:$B$2501,0))</f>
        <v/>
      </c>
      <c r="D2119">
        <f>IF(C2119="","",C2119&lt;=25)</f>
        <v/>
      </c>
      <c r="F2119">
        <f>IF(A2119="","",IF(AND(D2119=TRUE,E2119=""),"BUY",IF(AND(D2119=FALSE,E2119&lt;&gt;""),"SELL",IF(AND(D2119=TRUE,E2119&lt;&gt;""),"HOLD",""))))</f>
        <v/>
      </c>
      <c r="G2119" s="12">
        <f>IF(D2119=TRUE,4,0)</f>
        <v/>
      </c>
      <c r="H2119">
        <f>IF(A2119="","",BDP(A2119&amp;" US Equity","GICS_SECTOR_NAME"))</f>
        <v/>
      </c>
    </row>
    <row r="2120">
      <c r="A2120">
        <f>'Factor Scores'!A2120</f>
        <v/>
      </c>
      <c r="B2120" s="10">
        <f>IF(A2120="","",0.40*'Factor Scores'!C2120+0.20*'Factor Scores'!E2120+0.20*'Factor Scores'!G2120+0.20*'Factor Scores'!H2120)</f>
        <v/>
      </c>
      <c r="C2120" s="12">
        <f>IF(B2120="","",RANK(B2120,$B$2:$B$2501,0))</f>
        <v/>
      </c>
      <c r="D2120">
        <f>IF(C2120="","",C2120&lt;=25)</f>
        <v/>
      </c>
      <c r="F2120">
        <f>IF(A2120="","",IF(AND(D2120=TRUE,E2120=""),"BUY",IF(AND(D2120=FALSE,E2120&lt;&gt;""),"SELL",IF(AND(D2120=TRUE,E2120&lt;&gt;""),"HOLD",""))))</f>
        <v/>
      </c>
      <c r="G2120" s="12">
        <f>IF(D2120=TRUE,4,0)</f>
        <v/>
      </c>
      <c r="H2120">
        <f>IF(A2120="","",BDP(A2120&amp;" US Equity","GICS_SECTOR_NAME"))</f>
        <v/>
      </c>
    </row>
    <row r="2121">
      <c r="A2121">
        <f>'Factor Scores'!A2121</f>
        <v/>
      </c>
      <c r="B2121" s="10">
        <f>IF(A2121="","",0.40*'Factor Scores'!C2121+0.20*'Factor Scores'!E2121+0.20*'Factor Scores'!G2121+0.20*'Factor Scores'!H2121)</f>
        <v/>
      </c>
      <c r="C2121" s="12">
        <f>IF(B2121="","",RANK(B2121,$B$2:$B$2501,0))</f>
        <v/>
      </c>
      <c r="D2121">
        <f>IF(C2121="","",C2121&lt;=25)</f>
        <v/>
      </c>
      <c r="F2121">
        <f>IF(A2121="","",IF(AND(D2121=TRUE,E2121=""),"BUY",IF(AND(D2121=FALSE,E2121&lt;&gt;""),"SELL",IF(AND(D2121=TRUE,E2121&lt;&gt;""),"HOLD",""))))</f>
        <v/>
      </c>
      <c r="G2121" s="12">
        <f>IF(D2121=TRUE,4,0)</f>
        <v/>
      </c>
      <c r="H2121">
        <f>IF(A2121="","",BDP(A2121&amp;" US Equity","GICS_SECTOR_NAME"))</f>
        <v/>
      </c>
    </row>
    <row r="2122">
      <c r="A2122">
        <f>'Factor Scores'!A2122</f>
        <v/>
      </c>
      <c r="B2122" s="10">
        <f>IF(A2122="","",0.40*'Factor Scores'!C2122+0.20*'Factor Scores'!E2122+0.20*'Factor Scores'!G2122+0.20*'Factor Scores'!H2122)</f>
        <v/>
      </c>
      <c r="C2122" s="12">
        <f>IF(B2122="","",RANK(B2122,$B$2:$B$2501,0))</f>
        <v/>
      </c>
      <c r="D2122">
        <f>IF(C2122="","",C2122&lt;=25)</f>
        <v/>
      </c>
      <c r="F2122">
        <f>IF(A2122="","",IF(AND(D2122=TRUE,E2122=""),"BUY",IF(AND(D2122=FALSE,E2122&lt;&gt;""),"SELL",IF(AND(D2122=TRUE,E2122&lt;&gt;""),"HOLD",""))))</f>
        <v/>
      </c>
      <c r="G2122" s="12">
        <f>IF(D2122=TRUE,4,0)</f>
        <v/>
      </c>
      <c r="H2122">
        <f>IF(A2122="","",BDP(A2122&amp;" US Equity","GICS_SECTOR_NAME"))</f>
        <v/>
      </c>
    </row>
    <row r="2123">
      <c r="A2123">
        <f>'Factor Scores'!A2123</f>
        <v/>
      </c>
      <c r="B2123" s="10">
        <f>IF(A2123="","",0.40*'Factor Scores'!C2123+0.20*'Factor Scores'!E2123+0.20*'Factor Scores'!G2123+0.20*'Factor Scores'!H2123)</f>
        <v/>
      </c>
      <c r="C2123" s="12">
        <f>IF(B2123="","",RANK(B2123,$B$2:$B$2501,0))</f>
        <v/>
      </c>
      <c r="D2123">
        <f>IF(C2123="","",C2123&lt;=25)</f>
        <v/>
      </c>
      <c r="F2123">
        <f>IF(A2123="","",IF(AND(D2123=TRUE,E2123=""),"BUY",IF(AND(D2123=FALSE,E2123&lt;&gt;""),"SELL",IF(AND(D2123=TRUE,E2123&lt;&gt;""),"HOLD",""))))</f>
        <v/>
      </c>
      <c r="G2123" s="12">
        <f>IF(D2123=TRUE,4,0)</f>
        <v/>
      </c>
      <c r="H2123">
        <f>IF(A2123="","",BDP(A2123&amp;" US Equity","GICS_SECTOR_NAME"))</f>
        <v/>
      </c>
    </row>
    <row r="2124">
      <c r="A2124">
        <f>'Factor Scores'!A2124</f>
        <v/>
      </c>
      <c r="B2124" s="10">
        <f>IF(A2124="","",0.40*'Factor Scores'!C2124+0.20*'Factor Scores'!E2124+0.20*'Factor Scores'!G2124+0.20*'Factor Scores'!H2124)</f>
        <v/>
      </c>
      <c r="C2124" s="12">
        <f>IF(B2124="","",RANK(B2124,$B$2:$B$2501,0))</f>
        <v/>
      </c>
      <c r="D2124">
        <f>IF(C2124="","",C2124&lt;=25)</f>
        <v/>
      </c>
      <c r="F2124">
        <f>IF(A2124="","",IF(AND(D2124=TRUE,E2124=""),"BUY",IF(AND(D2124=FALSE,E2124&lt;&gt;""),"SELL",IF(AND(D2124=TRUE,E2124&lt;&gt;""),"HOLD",""))))</f>
        <v/>
      </c>
      <c r="G2124" s="12">
        <f>IF(D2124=TRUE,4,0)</f>
        <v/>
      </c>
      <c r="H2124">
        <f>IF(A2124="","",BDP(A2124&amp;" US Equity","GICS_SECTOR_NAME"))</f>
        <v/>
      </c>
    </row>
    <row r="2125">
      <c r="A2125">
        <f>'Factor Scores'!A2125</f>
        <v/>
      </c>
      <c r="B2125" s="10">
        <f>IF(A2125="","",0.40*'Factor Scores'!C2125+0.20*'Factor Scores'!E2125+0.20*'Factor Scores'!G2125+0.20*'Factor Scores'!H2125)</f>
        <v/>
      </c>
      <c r="C2125" s="12">
        <f>IF(B2125="","",RANK(B2125,$B$2:$B$2501,0))</f>
        <v/>
      </c>
      <c r="D2125">
        <f>IF(C2125="","",C2125&lt;=25)</f>
        <v/>
      </c>
      <c r="F2125">
        <f>IF(A2125="","",IF(AND(D2125=TRUE,E2125=""),"BUY",IF(AND(D2125=FALSE,E2125&lt;&gt;""),"SELL",IF(AND(D2125=TRUE,E2125&lt;&gt;""),"HOLD",""))))</f>
        <v/>
      </c>
      <c r="G2125" s="12">
        <f>IF(D2125=TRUE,4,0)</f>
        <v/>
      </c>
      <c r="H2125">
        <f>IF(A2125="","",BDP(A2125&amp;" US Equity","GICS_SECTOR_NAME"))</f>
        <v/>
      </c>
    </row>
    <row r="2126">
      <c r="A2126">
        <f>'Factor Scores'!A2126</f>
        <v/>
      </c>
      <c r="B2126" s="10">
        <f>IF(A2126="","",0.40*'Factor Scores'!C2126+0.20*'Factor Scores'!E2126+0.20*'Factor Scores'!G2126+0.20*'Factor Scores'!H2126)</f>
        <v/>
      </c>
      <c r="C2126" s="12">
        <f>IF(B2126="","",RANK(B2126,$B$2:$B$2501,0))</f>
        <v/>
      </c>
      <c r="D2126">
        <f>IF(C2126="","",C2126&lt;=25)</f>
        <v/>
      </c>
      <c r="F2126">
        <f>IF(A2126="","",IF(AND(D2126=TRUE,E2126=""),"BUY",IF(AND(D2126=FALSE,E2126&lt;&gt;""),"SELL",IF(AND(D2126=TRUE,E2126&lt;&gt;""),"HOLD",""))))</f>
        <v/>
      </c>
      <c r="G2126" s="12">
        <f>IF(D2126=TRUE,4,0)</f>
        <v/>
      </c>
      <c r="H2126">
        <f>IF(A2126="","",BDP(A2126&amp;" US Equity","GICS_SECTOR_NAME"))</f>
        <v/>
      </c>
    </row>
    <row r="2127">
      <c r="A2127">
        <f>'Factor Scores'!A2127</f>
        <v/>
      </c>
      <c r="B2127" s="10">
        <f>IF(A2127="","",0.40*'Factor Scores'!C2127+0.20*'Factor Scores'!E2127+0.20*'Factor Scores'!G2127+0.20*'Factor Scores'!H2127)</f>
        <v/>
      </c>
      <c r="C2127" s="12">
        <f>IF(B2127="","",RANK(B2127,$B$2:$B$2501,0))</f>
        <v/>
      </c>
      <c r="D2127">
        <f>IF(C2127="","",C2127&lt;=25)</f>
        <v/>
      </c>
      <c r="F2127">
        <f>IF(A2127="","",IF(AND(D2127=TRUE,E2127=""),"BUY",IF(AND(D2127=FALSE,E2127&lt;&gt;""),"SELL",IF(AND(D2127=TRUE,E2127&lt;&gt;""),"HOLD",""))))</f>
        <v/>
      </c>
      <c r="G2127" s="12">
        <f>IF(D2127=TRUE,4,0)</f>
        <v/>
      </c>
      <c r="H2127">
        <f>IF(A2127="","",BDP(A2127&amp;" US Equity","GICS_SECTOR_NAME"))</f>
        <v/>
      </c>
    </row>
    <row r="2128">
      <c r="A2128">
        <f>'Factor Scores'!A2128</f>
        <v/>
      </c>
      <c r="B2128" s="10">
        <f>IF(A2128="","",0.40*'Factor Scores'!C2128+0.20*'Factor Scores'!E2128+0.20*'Factor Scores'!G2128+0.20*'Factor Scores'!H2128)</f>
        <v/>
      </c>
      <c r="C2128" s="12">
        <f>IF(B2128="","",RANK(B2128,$B$2:$B$2501,0))</f>
        <v/>
      </c>
      <c r="D2128">
        <f>IF(C2128="","",C2128&lt;=25)</f>
        <v/>
      </c>
      <c r="F2128">
        <f>IF(A2128="","",IF(AND(D2128=TRUE,E2128=""),"BUY",IF(AND(D2128=FALSE,E2128&lt;&gt;""),"SELL",IF(AND(D2128=TRUE,E2128&lt;&gt;""),"HOLD",""))))</f>
        <v/>
      </c>
      <c r="G2128" s="12">
        <f>IF(D2128=TRUE,4,0)</f>
        <v/>
      </c>
      <c r="H2128">
        <f>IF(A2128="","",BDP(A2128&amp;" US Equity","GICS_SECTOR_NAME"))</f>
        <v/>
      </c>
    </row>
    <row r="2129">
      <c r="A2129">
        <f>'Factor Scores'!A2129</f>
        <v/>
      </c>
      <c r="B2129" s="10">
        <f>IF(A2129="","",0.40*'Factor Scores'!C2129+0.20*'Factor Scores'!E2129+0.20*'Factor Scores'!G2129+0.20*'Factor Scores'!H2129)</f>
        <v/>
      </c>
      <c r="C2129" s="12">
        <f>IF(B2129="","",RANK(B2129,$B$2:$B$2501,0))</f>
        <v/>
      </c>
      <c r="D2129">
        <f>IF(C2129="","",C2129&lt;=25)</f>
        <v/>
      </c>
      <c r="F2129">
        <f>IF(A2129="","",IF(AND(D2129=TRUE,E2129=""),"BUY",IF(AND(D2129=FALSE,E2129&lt;&gt;""),"SELL",IF(AND(D2129=TRUE,E2129&lt;&gt;""),"HOLD",""))))</f>
        <v/>
      </c>
      <c r="G2129" s="12">
        <f>IF(D2129=TRUE,4,0)</f>
        <v/>
      </c>
      <c r="H2129">
        <f>IF(A2129="","",BDP(A2129&amp;" US Equity","GICS_SECTOR_NAME"))</f>
        <v/>
      </c>
    </row>
    <row r="2130">
      <c r="A2130">
        <f>'Factor Scores'!A2130</f>
        <v/>
      </c>
      <c r="B2130" s="10">
        <f>IF(A2130="","",0.40*'Factor Scores'!C2130+0.20*'Factor Scores'!E2130+0.20*'Factor Scores'!G2130+0.20*'Factor Scores'!H2130)</f>
        <v/>
      </c>
      <c r="C2130" s="12">
        <f>IF(B2130="","",RANK(B2130,$B$2:$B$2501,0))</f>
        <v/>
      </c>
      <c r="D2130">
        <f>IF(C2130="","",C2130&lt;=25)</f>
        <v/>
      </c>
      <c r="F2130">
        <f>IF(A2130="","",IF(AND(D2130=TRUE,E2130=""),"BUY",IF(AND(D2130=FALSE,E2130&lt;&gt;""),"SELL",IF(AND(D2130=TRUE,E2130&lt;&gt;""),"HOLD",""))))</f>
        <v/>
      </c>
      <c r="G2130" s="12">
        <f>IF(D2130=TRUE,4,0)</f>
        <v/>
      </c>
      <c r="H2130">
        <f>IF(A2130="","",BDP(A2130&amp;" US Equity","GICS_SECTOR_NAME"))</f>
        <v/>
      </c>
    </row>
    <row r="2131">
      <c r="A2131">
        <f>'Factor Scores'!A2131</f>
        <v/>
      </c>
      <c r="B2131" s="10">
        <f>IF(A2131="","",0.40*'Factor Scores'!C2131+0.20*'Factor Scores'!E2131+0.20*'Factor Scores'!G2131+0.20*'Factor Scores'!H2131)</f>
        <v/>
      </c>
      <c r="C2131" s="12">
        <f>IF(B2131="","",RANK(B2131,$B$2:$B$2501,0))</f>
        <v/>
      </c>
      <c r="D2131">
        <f>IF(C2131="","",C2131&lt;=25)</f>
        <v/>
      </c>
      <c r="F2131">
        <f>IF(A2131="","",IF(AND(D2131=TRUE,E2131=""),"BUY",IF(AND(D2131=FALSE,E2131&lt;&gt;""),"SELL",IF(AND(D2131=TRUE,E2131&lt;&gt;""),"HOLD",""))))</f>
        <v/>
      </c>
      <c r="G2131" s="12">
        <f>IF(D2131=TRUE,4,0)</f>
        <v/>
      </c>
      <c r="H2131">
        <f>IF(A2131="","",BDP(A2131&amp;" US Equity","GICS_SECTOR_NAME"))</f>
        <v/>
      </c>
    </row>
    <row r="2132">
      <c r="A2132">
        <f>'Factor Scores'!A2132</f>
        <v/>
      </c>
      <c r="B2132" s="10">
        <f>IF(A2132="","",0.40*'Factor Scores'!C2132+0.20*'Factor Scores'!E2132+0.20*'Factor Scores'!G2132+0.20*'Factor Scores'!H2132)</f>
        <v/>
      </c>
      <c r="C2132" s="12">
        <f>IF(B2132="","",RANK(B2132,$B$2:$B$2501,0))</f>
        <v/>
      </c>
      <c r="D2132">
        <f>IF(C2132="","",C2132&lt;=25)</f>
        <v/>
      </c>
      <c r="F2132">
        <f>IF(A2132="","",IF(AND(D2132=TRUE,E2132=""),"BUY",IF(AND(D2132=FALSE,E2132&lt;&gt;""),"SELL",IF(AND(D2132=TRUE,E2132&lt;&gt;""),"HOLD",""))))</f>
        <v/>
      </c>
      <c r="G2132" s="12">
        <f>IF(D2132=TRUE,4,0)</f>
        <v/>
      </c>
      <c r="H2132">
        <f>IF(A2132="","",BDP(A2132&amp;" US Equity","GICS_SECTOR_NAME"))</f>
        <v/>
      </c>
    </row>
    <row r="2133">
      <c r="A2133">
        <f>'Factor Scores'!A2133</f>
        <v/>
      </c>
      <c r="B2133" s="10">
        <f>IF(A2133="","",0.40*'Factor Scores'!C2133+0.20*'Factor Scores'!E2133+0.20*'Factor Scores'!G2133+0.20*'Factor Scores'!H2133)</f>
        <v/>
      </c>
      <c r="C2133" s="12">
        <f>IF(B2133="","",RANK(B2133,$B$2:$B$2501,0))</f>
        <v/>
      </c>
      <c r="D2133">
        <f>IF(C2133="","",C2133&lt;=25)</f>
        <v/>
      </c>
      <c r="F2133">
        <f>IF(A2133="","",IF(AND(D2133=TRUE,E2133=""),"BUY",IF(AND(D2133=FALSE,E2133&lt;&gt;""),"SELL",IF(AND(D2133=TRUE,E2133&lt;&gt;""),"HOLD",""))))</f>
        <v/>
      </c>
      <c r="G2133" s="12">
        <f>IF(D2133=TRUE,4,0)</f>
        <v/>
      </c>
      <c r="H2133">
        <f>IF(A2133="","",BDP(A2133&amp;" US Equity","GICS_SECTOR_NAME"))</f>
        <v/>
      </c>
    </row>
    <row r="2134">
      <c r="A2134">
        <f>'Factor Scores'!A2134</f>
        <v/>
      </c>
      <c r="B2134" s="10">
        <f>IF(A2134="","",0.40*'Factor Scores'!C2134+0.20*'Factor Scores'!E2134+0.20*'Factor Scores'!G2134+0.20*'Factor Scores'!H2134)</f>
        <v/>
      </c>
      <c r="C2134" s="12">
        <f>IF(B2134="","",RANK(B2134,$B$2:$B$2501,0))</f>
        <v/>
      </c>
      <c r="D2134">
        <f>IF(C2134="","",C2134&lt;=25)</f>
        <v/>
      </c>
      <c r="F2134">
        <f>IF(A2134="","",IF(AND(D2134=TRUE,E2134=""),"BUY",IF(AND(D2134=FALSE,E2134&lt;&gt;""),"SELL",IF(AND(D2134=TRUE,E2134&lt;&gt;""),"HOLD",""))))</f>
        <v/>
      </c>
      <c r="G2134" s="12">
        <f>IF(D2134=TRUE,4,0)</f>
        <v/>
      </c>
      <c r="H2134">
        <f>IF(A2134="","",BDP(A2134&amp;" US Equity","GICS_SECTOR_NAME"))</f>
        <v/>
      </c>
    </row>
    <row r="2135">
      <c r="A2135">
        <f>'Factor Scores'!A2135</f>
        <v/>
      </c>
      <c r="B2135" s="10">
        <f>IF(A2135="","",0.40*'Factor Scores'!C2135+0.20*'Factor Scores'!E2135+0.20*'Factor Scores'!G2135+0.20*'Factor Scores'!H2135)</f>
        <v/>
      </c>
      <c r="C2135" s="12">
        <f>IF(B2135="","",RANK(B2135,$B$2:$B$2501,0))</f>
        <v/>
      </c>
      <c r="D2135">
        <f>IF(C2135="","",C2135&lt;=25)</f>
        <v/>
      </c>
      <c r="F2135">
        <f>IF(A2135="","",IF(AND(D2135=TRUE,E2135=""),"BUY",IF(AND(D2135=FALSE,E2135&lt;&gt;""),"SELL",IF(AND(D2135=TRUE,E2135&lt;&gt;""),"HOLD",""))))</f>
        <v/>
      </c>
      <c r="G2135" s="12">
        <f>IF(D2135=TRUE,4,0)</f>
        <v/>
      </c>
      <c r="H2135">
        <f>IF(A2135="","",BDP(A2135&amp;" US Equity","GICS_SECTOR_NAME"))</f>
        <v/>
      </c>
    </row>
    <row r="2136">
      <c r="A2136">
        <f>'Factor Scores'!A2136</f>
        <v/>
      </c>
      <c r="B2136" s="10">
        <f>IF(A2136="","",0.40*'Factor Scores'!C2136+0.20*'Factor Scores'!E2136+0.20*'Factor Scores'!G2136+0.20*'Factor Scores'!H2136)</f>
        <v/>
      </c>
      <c r="C2136" s="12">
        <f>IF(B2136="","",RANK(B2136,$B$2:$B$2501,0))</f>
        <v/>
      </c>
      <c r="D2136">
        <f>IF(C2136="","",C2136&lt;=25)</f>
        <v/>
      </c>
      <c r="F2136">
        <f>IF(A2136="","",IF(AND(D2136=TRUE,E2136=""),"BUY",IF(AND(D2136=FALSE,E2136&lt;&gt;""),"SELL",IF(AND(D2136=TRUE,E2136&lt;&gt;""),"HOLD",""))))</f>
        <v/>
      </c>
      <c r="G2136" s="12">
        <f>IF(D2136=TRUE,4,0)</f>
        <v/>
      </c>
      <c r="H2136">
        <f>IF(A2136="","",BDP(A2136&amp;" US Equity","GICS_SECTOR_NAME"))</f>
        <v/>
      </c>
    </row>
    <row r="2137">
      <c r="A2137">
        <f>'Factor Scores'!A2137</f>
        <v/>
      </c>
      <c r="B2137" s="10">
        <f>IF(A2137="","",0.40*'Factor Scores'!C2137+0.20*'Factor Scores'!E2137+0.20*'Factor Scores'!G2137+0.20*'Factor Scores'!H2137)</f>
        <v/>
      </c>
      <c r="C2137" s="12">
        <f>IF(B2137="","",RANK(B2137,$B$2:$B$2501,0))</f>
        <v/>
      </c>
      <c r="D2137">
        <f>IF(C2137="","",C2137&lt;=25)</f>
        <v/>
      </c>
      <c r="F2137">
        <f>IF(A2137="","",IF(AND(D2137=TRUE,E2137=""),"BUY",IF(AND(D2137=FALSE,E2137&lt;&gt;""),"SELL",IF(AND(D2137=TRUE,E2137&lt;&gt;""),"HOLD",""))))</f>
        <v/>
      </c>
      <c r="G2137" s="12">
        <f>IF(D2137=TRUE,4,0)</f>
        <v/>
      </c>
      <c r="H2137">
        <f>IF(A2137="","",BDP(A2137&amp;" US Equity","GICS_SECTOR_NAME"))</f>
        <v/>
      </c>
    </row>
    <row r="2138">
      <c r="A2138">
        <f>'Factor Scores'!A2138</f>
        <v/>
      </c>
      <c r="B2138" s="10">
        <f>IF(A2138="","",0.40*'Factor Scores'!C2138+0.20*'Factor Scores'!E2138+0.20*'Factor Scores'!G2138+0.20*'Factor Scores'!H2138)</f>
        <v/>
      </c>
      <c r="C2138" s="12">
        <f>IF(B2138="","",RANK(B2138,$B$2:$B$2501,0))</f>
        <v/>
      </c>
      <c r="D2138">
        <f>IF(C2138="","",C2138&lt;=25)</f>
        <v/>
      </c>
      <c r="F2138">
        <f>IF(A2138="","",IF(AND(D2138=TRUE,E2138=""),"BUY",IF(AND(D2138=FALSE,E2138&lt;&gt;""),"SELL",IF(AND(D2138=TRUE,E2138&lt;&gt;""),"HOLD",""))))</f>
        <v/>
      </c>
      <c r="G2138" s="12">
        <f>IF(D2138=TRUE,4,0)</f>
        <v/>
      </c>
      <c r="H2138">
        <f>IF(A2138="","",BDP(A2138&amp;" US Equity","GICS_SECTOR_NAME"))</f>
        <v/>
      </c>
    </row>
    <row r="2139">
      <c r="A2139">
        <f>'Factor Scores'!A2139</f>
        <v/>
      </c>
      <c r="B2139" s="10">
        <f>IF(A2139="","",0.40*'Factor Scores'!C2139+0.20*'Factor Scores'!E2139+0.20*'Factor Scores'!G2139+0.20*'Factor Scores'!H2139)</f>
        <v/>
      </c>
      <c r="C2139" s="12">
        <f>IF(B2139="","",RANK(B2139,$B$2:$B$2501,0))</f>
        <v/>
      </c>
      <c r="D2139">
        <f>IF(C2139="","",C2139&lt;=25)</f>
        <v/>
      </c>
      <c r="F2139">
        <f>IF(A2139="","",IF(AND(D2139=TRUE,E2139=""),"BUY",IF(AND(D2139=FALSE,E2139&lt;&gt;""),"SELL",IF(AND(D2139=TRUE,E2139&lt;&gt;""),"HOLD",""))))</f>
        <v/>
      </c>
      <c r="G2139" s="12">
        <f>IF(D2139=TRUE,4,0)</f>
        <v/>
      </c>
      <c r="H2139">
        <f>IF(A2139="","",BDP(A2139&amp;" US Equity","GICS_SECTOR_NAME"))</f>
        <v/>
      </c>
    </row>
    <row r="2140">
      <c r="A2140">
        <f>'Factor Scores'!A2140</f>
        <v/>
      </c>
      <c r="B2140" s="10">
        <f>IF(A2140="","",0.40*'Factor Scores'!C2140+0.20*'Factor Scores'!E2140+0.20*'Factor Scores'!G2140+0.20*'Factor Scores'!H2140)</f>
        <v/>
      </c>
      <c r="C2140" s="12">
        <f>IF(B2140="","",RANK(B2140,$B$2:$B$2501,0))</f>
        <v/>
      </c>
      <c r="D2140">
        <f>IF(C2140="","",C2140&lt;=25)</f>
        <v/>
      </c>
      <c r="F2140">
        <f>IF(A2140="","",IF(AND(D2140=TRUE,E2140=""),"BUY",IF(AND(D2140=FALSE,E2140&lt;&gt;""),"SELL",IF(AND(D2140=TRUE,E2140&lt;&gt;""),"HOLD",""))))</f>
        <v/>
      </c>
      <c r="G2140" s="12">
        <f>IF(D2140=TRUE,4,0)</f>
        <v/>
      </c>
      <c r="H2140">
        <f>IF(A2140="","",BDP(A2140&amp;" US Equity","GICS_SECTOR_NAME"))</f>
        <v/>
      </c>
    </row>
    <row r="2141">
      <c r="A2141">
        <f>'Factor Scores'!A2141</f>
        <v/>
      </c>
      <c r="B2141" s="10">
        <f>IF(A2141="","",0.40*'Factor Scores'!C2141+0.20*'Factor Scores'!E2141+0.20*'Factor Scores'!G2141+0.20*'Factor Scores'!H2141)</f>
        <v/>
      </c>
      <c r="C2141" s="12">
        <f>IF(B2141="","",RANK(B2141,$B$2:$B$2501,0))</f>
        <v/>
      </c>
      <c r="D2141">
        <f>IF(C2141="","",C2141&lt;=25)</f>
        <v/>
      </c>
      <c r="F2141">
        <f>IF(A2141="","",IF(AND(D2141=TRUE,E2141=""),"BUY",IF(AND(D2141=FALSE,E2141&lt;&gt;""),"SELL",IF(AND(D2141=TRUE,E2141&lt;&gt;""),"HOLD",""))))</f>
        <v/>
      </c>
      <c r="G2141" s="12">
        <f>IF(D2141=TRUE,4,0)</f>
        <v/>
      </c>
      <c r="H2141">
        <f>IF(A2141="","",BDP(A2141&amp;" US Equity","GICS_SECTOR_NAME"))</f>
        <v/>
      </c>
    </row>
    <row r="2142">
      <c r="A2142">
        <f>'Factor Scores'!A2142</f>
        <v/>
      </c>
      <c r="B2142" s="10">
        <f>IF(A2142="","",0.40*'Factor Scores'!C2142+0.20*'Factor Scores'!E2142+0.20*'Factor Scores'!G2142+0.20*'Factor Scores'!H2142)</f>
        <v/>
      </c>
      <c r="C2142" s="12">
        <f>IF(B2142="","",RANK(B2142,$B$2:$B$2501,0))</f>
        <v/>
      </c>
      <c r="D2142">
        <f>IF(C2142="","",C2142&lt;=25)</f>
        <v/>
      </c>
      <c r="F2142">
        <f>IF(A2142="","",IF(AND(D2142=TRUE,E2142=""),"BUY",IF(AND(D2142=FALSE,E2142&lt;&gt;""),"SELL",IF(AND(D2142=TRUE,E2142&lt;&gt;""),"HOLD",""))))</f>
        <v/>
      </c>
      <c r="G2142" s="12">
        <f>IF(D2142=TRUE,4,0)</f>
        <v/>
      </c>
      <c r="H2142">
        <f>IF(A2142="","",BDP(A2142&amp;" US Equity","GICS_SECTOR_NAME"))</f>
        <v/>
      </c>
    </row>
    <row r="2143">
      <c r="A2143">
        <f>'Factor Scores'!A2143</f>
        <v/>
      </c>
      <c r="B2143" s="10">
        <f>IF(A2143="","",0.40*'Factor Scores'!C2143+0.20*'Factor Scores'!E2143+0.20*'Factor Scores'!G2143+0.20*'Factor Scores'!H2143)</f>
        <v/>
      </c>
      <c r="C2143" s="12">
        <f>IF(B2143="","",RANK(B2143,$B$2:$B$2501,0))</f>
        <v/>
      </c>
      <c r="D2143">
        <f>IF(C2143="","",C2143&lt;=25)</f>
        <v/>
      </c>
      <c r="F2143">
        <f>IF(A2143="","",IF(AND(D2143=TRUE,E2143=""),"BUY",IF(AND(D2143=FALSE,E2143&lt;&gt;""),"SELL",IF(AND(D2143=TRUE,E2143&lt;&gt;""),"HOLD",""))))</f>
        <v/>
      </c>
      <c r="G2143" s="12">
        <f>IF(D2143=TRUE,4,0)</f>
        <v/>
      </c>
      <c r="H2143">
        <f>IF(A2143="","",BDP(A2143&amp;" US Equity","GICS_SECTOR_NAME"))</f>
        <v/>
      </c>
    </row>
    <row r="2144">
      <c r="A2144">
        <f>'Factor Scores'!A2144</f>
        <v/>
      </c>
      <c r="B2144" s="10">
        <f>IF(A2144="","",0.40*'Factor Scores'!C2144+0.20*'Factor Scores'!E2144+0.20*'Factor Scores'!G2144+0.20*'Factor Scores'!H2144)</f>
        <v/>
      </c>
      <c r="C2144" s="12">
        <f>IF(B2144="","",RANK(B2144,$B$2:$B$2501,0))</f>
        <v/>
      </c>
      <c r="D2144">
        <f>IF(C2144="","",C2144&lt;=25)</f>
        <v/>
      </c>
      <c r="F2144">
        <f>IF(A2144="","",IF(AND(D2144=TRUE,E2144=""),"BUY",IF(AND(D2144=FALSE,E2144&lt;&gt;""),"SELL",IF(AND(D2144=TRUE,E2144&lt;&gt;""),"HOLD",""))))</f>
        <v/>
      </c>
      <c r="G2144" s="12">
        <f>IF(D2144=TRUE,4,0)</f>
        <v/>
      </c>
      <c r="H2144">
        <f>IF(A2144="","",BDP(A2144&amp;" US Equity","GICS_SECTOR_NAME"))</f>
        <v/>
      </c>
    </row>
    <row r="2145">
      <c r="A2145">
        <f>'Factor Scores'!A2145</f>
        <v/>
      </c>
      <c r="B2145" s="10">
        <f>IF(A2145="","",0.40*'Factor Scores'!C2145+0.20*'Factor Scores'!E2145+0.20*'Factor Scores'!G2145+0.20*'Factor Scores'!H2145)</f>
        <v/>
      </c>
      <c r="C2145" s="12">
        <f>IF(B2145="","",RANK(B2145,$B$2:$B$2501,0))</f>
        <v/>
      </c>
      <c r="D2145">
        <f>IF(C2145="","",C2145&lt;=25)</f>
        <v/>
      </c>
      <c r="F2145">
        <f>IF(A2145="","",IF(AND(D2145=TRUE,E2145=""),"BUY",IF(AND(D2145=FALSE,E2145&lt;&gt;""),"SELL",IF(AND(D2145=TRUE,E2145&lt;&gt;""),"HOLD",""))))</f>
        <v/>
      </c>
      <c r="G2145" s="12">
        <f>IF(D2145=TRUE,4,0)</f>
        <v/>
      </c>
      <c r="H2145">
        <f>IF(A2145="","",BDP(A2145&amp;" US Equity","GICS_SECTOR_NAME"))</f>
        <v/>
      </c>
    </row>
    <row r="2146">
      <c r="A2146">
        <f>'Factor Scores'!A2146</f>
        <v/>
      </c>
      <c r="B2146" s="10">
        <f>IF(A2146="","",0.40*'Factor Scores'!C2146+0.20*'Factor Scores'!E2146+0.20*'Factor Scores'!G2146+0.20*'Factor Scores'!H2146)</f>
        <v/>
      </c>
      <c r="C2146" s="12">
        <f>IF(B2146="","",RANK(B2146,$B$2:$B$2501,0))</f>
        <v/>
      </c>
      <c r="D2146">
        <f>IF(C2146="","",C2146&lt;=25)</f>
        <v/>
      </c>
      <c r="F2146">
        <f>IF(A2146="","",IF(AND(D2146=TRUE,E2146=""),"BUY",IF(AND(D2146=FALSE,E2146&lt;&gt;""),"SELL",IF(AND(D2146=TRUE,E2146&lt;&gt;""),"HOLD",""))))</f>
        <v/>
      </c>
      <c r="G2146" s="12">
        <f>IF(D2146=TRUE,4,0)</f>
        <v/>
      </c>
      <c r="H2146">
        <f>IF(A2146="","",BDP(A2146&amp;" US Equity","GICS_SECTOR_NAME"))</f>
        <v/>
      </c>
    </row>
    <row r="2147">
      <c r="A2147">
        <f>'Factor Scores'!A2147</f>
        <v/>
      </c>
      <c r="B2147" s="10">
        <f>IF(A2147="","",0.40*'Factor Scores'!C2147+0.20*'Factor Scores'!E2147+0.20*'Factor Scores'!G2147+0.20*'Factor Scores'!H2147)</f>
        <v/>
      </c>
      <c r="C2147" s="12">
        <f>IF(B2147="","",RANK(B2147,$B$2:$B$2501,0))</f>
        <v/>
      </c>
      <c r="D2147">
        <f>IF(C2147="","",C2147&lt;=25)</f>
        <v/>
      </c>
      <c r="F2147">
        <f>IF(A2147="","",IF(AND(D2147=TRUE,E2147=""),"BUY",IF(AND(D2147=FALSE,E2147&lt;&gt;""),"SELL",IF(AND(D2147=TRUE,E2147&lt;&gt;""),"HOLD",""))))</f>
        <v/>
      </c>
      <c r="G2147" s="12">
        <f>IF(D2147=TRUE,4,0)</f>
        <v/>
      </c>
      <c r="H2147">
        <f>IF(A2147="","",BDP(A2147&amp;" US Equity","GICS_SECTOR_NAME"))</f>
        <v/>
      </c>
    </row>
    <row r="2148">
      <c r="A2148">
        <f>'Factor Scores'!A2148</f>
        <v/>
      </c>
      <c r="B2148" s="10">
        <f>IF(A2148="","",0.40*'Factor Scores'!C2148+0.20*'Factor Scores'!E2148+0.20*'Factor Scores'!G2148+0.20*'Factor Scores'!H2148)</f>
        <v/>
      </c>
      <c r="C2148" s="12">
        <f>IF(B2148="","",RANK(B2148,$B$2:$B$2501,0))</f>
        <v/>
      </c>
      <c r="D2148">
        <f>IF(C2148="","",C2148&lt;=25)</f>
        <v/>
      </c>
      <c r="F2148">
        <f>IF(A2148="","",IF(AND(D2148=TRUE,E2148=""),"BUY",IF(AND(D2148=FALSE,E2148&lt;&gt;""),"SELL",IF(AND(D2148=TRUE,E2148&lt;&gt;""),"HOLD",""))))</f>
        <v/>
      </c>
      <c r="G2148" s="12">
        <f>IF(D2148=TRUE,4,0)</f>
        <v/>
      </c>
      <c r="H2148">
        <f>IF(A2148="","",BDP(A2148&amp;" US Equity","GICS_SECTOR_NAME"))</f>
        <v/>
      </c>
    </row>
    <row r="2149">
      <c r="A2149">
        <f>'Factor Scores'!A2149</f>
        <v/>
      </c>
      <c r="B2149" s="10">
        <f>IF(A2149="","",0.40*'Factor Scores'!C2149+0.20*'Factor Scores'!E2149+0.20*'Factor Scores'!G2149+0.20*'Factor Scores'!H2149)</f>
        <v/>
      </c>
      <c r="C2149" s="12">
        <f>IF(B2149="","",RANK(B2149,$B$2:$B$2501,0))</f>
        <v/>
      </c>
      <c r="D2149">
        <f>IF(C2149="","",C2149&lt;=25)</f>
        <v/>
      </c>
      <c r="F2149">
        <f>IF(A2149="","",IF(AND(D2149=TRUE,E2149=""),"BUY",IF(AND(D2149=FALSE,E2149&lt;&gt;""),"SELL",IF(AND(D2149=TRUE,E2149&lt;&gt;""),"HOLD",""))))</f>
        <v/>
      </c>
      <c r="G2149" s="12">
        <f>IF(D2149=TRUE,4,0)</f>
        <v/>
      </c>
      <c r="H2149">
        <f>IF(A2149="","",BDP(A2149&amp;" US Equity","GICS_SECTOR_NAME"))</f>
        <v/>
      </c>
    </row>
    <row r="2150">
      <c r="A2150">
        <f>'Factor Scores'!A2150</f>
        <v/>
      </c>
      <c r="B2150" s="10">
        <f>IF(A2150="","",0.40*'Factor Scores'!C2150+0.20*'Factor Scores'!E2150+0.20*'Factor Scores'!G2150+0.20*'Factor Scores'!H2150)</f>
        <v/>
      </c>
      <c r="C2150" s="12">
        <f>IF(B2150="","",RANK(B2150,$B$2:$B$2501,0))</f>
        <v/>
      </c>
      <c r="D2150">
        <f>IF(C2150="","",C2150&lt;=25)</f>
        <v/>
      </c>
      <c r="F2150">
        <f>IF(A2150="","",IF(AND(D2150=TRUE,E2150=""),"BUY",IF(AND(D2150=FALSE,E2150&lt;&gt;""),"SELL",IF(AND(D2150=TRUE,E2150&lt;&gt;""),"HOLD",""))))</f>
        <v/>
      </c>
      <c r="G2150" s="12">
        <f>IF(D2150=TRUE,4,0)</f>
        <v/>
      </c>
      <c r="H2150">
        <f>IF(A2150="","",BDP(A2150&amp;" US Equity","GICS_SECTOR_NAME"))</f>
        <v/>
      </c>
    </row>
    <row r="2151">
      <c r="A2151">
        <f>'Factor Scores'!A2151</f>
        <v/>
      </c>
      <c r="B2151" s="10">
        <f>IF(A2151="","",0.40*'Factor Scores'!C2151+0.20*'Factor Scores'!E2151+0.20*'Factor Scores'!G2151+0.20*'Factor Scores'!H2151)</f>
        <v/>
      </c>
      <c r="C2151" s="12">
        <f>IF(B2151="","",RANK(B2151,$B$2:$B$2501,0))</f>
        <v/>
      </c>
      <c r="D2151">
        <f>IF(C2151="","",C2151&lt;=25)</f>
        <v/>
      </c>
      <c r="F2151">
        <f>IF(A2151="","",IF(AND(D2151=TRUE,E2151=""),"BUY",IF(AND(D2151=FALSE,E2151&lt;&gt;""),"SELL",IF(AND(D2151=TRUE,E2151&lt;&gt;""),"HOLD",""))))</f>
        <v/>
      </c>
      <c r="G2151" s="12">
        <f>IF(D2151=TRUE,4,0)</f>
        <v/>
      </c>
      <c r="H2151">
        <f>IF(A2151="","",BDP(A2151&amp;" US Equity","GICS_SECTOR_NAME"))</f>
        <v/>
      </c>
    </row>
    <row r="2152">
      <c r="A2152">
        <f>'Factor Scores'!A2152</f>
        <v/>
      </c>
      <c r="B2152" s="10">
        <f>IF(A2152="","",0.40*'Factor Scores'!C2152+0.20*'Factor Scores'!E2152+0.20*'Factor Scores'!G2152+0.20*'Factor Scores'!H2152)</f>
        <v/>
      </c>
      <c r="C2152" s="12">
        <f>IF(B2152="","",RANK(B2152,$B$2:$B$2501,0))</f>
        <v/>
      </c>
      <c r="D2152">
        <f>IF(C2152="","",C2152&lt;=25)</f>
        <v/>
      </c>
      <c r="F2152">
        <f>IF(A2152="","",IF(AND(D2152=TRUE,E2152=""),"BUY",IF(AND(D2152=FALSE,E2152&lt;&gt;""),"SELL",IF(AND(D2152=TRUE,E2152&lt;&gt;""),"HOLD",""))))</f>
        <v/>
      </c>
      <c r="G2152" s="12">
        <f>IF(D2152=TRUE,4,0)</f>
        <v/>
      </c>
      <c r="H2152">
        <f>IF(A2152="","",BDP(A2152&amp;" US Equity","GICS_SECTOR_NAME"))</f>
        <v/>
      </c>
    </row>
    <row r="2153">
      <c r="A2153">
        <f>'Factor Scores'!A2153</f>
        <v/>
      </c>
      <c r="B2153" s="10">
        <f>IF(A2153="","",0.40*'Factor Scores'!C2153+0.20*'Factor Scores'!E2153+0.20*'Factor Scores'!G2153+0.20*'Factor Scores'!H2153)</f>
        <v/>
      </c>
      <c r="C2153" s="12">
        <f>IF(B2153="","",RANK(B2153,$B$2:$B$2501,0))</f>
        <v/>
      </c>
      <c r="D2153">
        <f>IF(C2153="","",C2153&lt;=25)</f>
        <v/>
      </c>
      <c r="F2153">
        <f>IF(A2153="","",IF(AND(D2153=TRUE,E2153=""),"BUY",IF(AND(D2153=FALSE,E2153&lt;&gt;""),"SELL",IF(AND(D2153=TRUE,E2153&lt;&gt;""),"HOLD",""))))</f>
        <v/>
      </c>
      <c r="G2153" s="12">
        <f>IF(D2153=TRUE,4,0)</f>
        <v/>
      </c>
      <c r="H2153">
        <f>IF(A2153="","",BDP(A2153&amp;" US Equity","GICS_SECTOR_NAME"))</f>
        <v/>
      </c>
    </row>
    <row r="2154">
      <c r="A2154">
        <f>'Factor Scores'!A2154</f>
        <v/>
      </c>
      <c r="B2154" s="10">
        <f>IF(A2154="","",0.40*'Factor Scores'!C2154+0.20*'Factor Scores'!E2154+0.20*'Factor Scores'!G2154+0.20*'Factor Scores'!H2154)</f>
        <v/>
      </c>
      <c r="C2154" s="12">
        <f>IF(B2154="","",RANK(B2154,$B$2:$B$2501,0))</f>
        <v/>
      </c>
      <c r="D2154">
        <f>IF(C2154="","",C2154&lt;=25)</f>
        <v/>
      </c>
      <c r="F2154">
        <f>IF(A2154="","",IF(AND(D2154=TRUE,E2154=""),"BUY",IF(AND(D2154=FALSE,E2154&lt;&gt;""),"SELL",IF(AND(D2154=TRUE,E2154&lt;&gt;""),"HOLD",""))))</f>
        <v/>
      </c>
      <c r="G2154" s="12">
        <f>IF(D2154=TRUE,4,0)</f>
        <v/>
      </c>
      <c r="H2154">
        <f>IF(A2154="","",BDP(A2154&amp;" US Equity","GICS_SECTOR_NAME"))</f>
        <v/>
      </c>
    </row>
    <row r="2155">
      <c r="A2155">
        <f>'Factor Scores'!A2155</f>
        <v/>
      </c>
      <c r="B2155" s="10">
        <f>IF(A2155="","",0.40*'Factor Scores'!C2155+0.20*'Factor Scores'!E2155+0.20*'Factor Scores'!G2155+0.20*'Factor Scores'!H2155)</f>
        <v/>
      </c>
      <c r="C2155" s="12">
        <f>IF(B2155="","",RANK(B2155,$B$2:$B$2501,0))</f>
        <v/>
      </c>
      <c r="D2155">
        <f>IF(C2155="","",C2155&lt;=25)</f>
        <v/>
      </c>
      <c r="F2155">
        <f>IF(A2155="","",IF(AND(D2155=TRUE,E2155=""),"BUY",IF(AND(D2155=FALSE,E2155&lt;&gt;""),"SELL",IF(AND(D2155=TRUE,E2155&lt;&gt;""),"HOLD",""))))</f>
        <v/>
      </c>
      <c r="G2155" s="12">
        <f>IF(D2155=TRUE,4,0)</f>
        <v/>
      </c>
      <c r="H2155">
        <f>IF(A2155="","",BDP(A2155&amp;" US Equity","GICS_SECTOR_NAME"))</f>
        <v/>
      </c>
    </row>
    <row r="2156">
      <c r="A2156">
        <f>'Factor Scores'!A2156</f>
        <v/>
      </c>
      <c r="B2156" s="10">
        <f>IF(A2156="","",0.40*'Factor Scores'!C2156+0.20*'Factor Scores'!E2156+0.20*'Factor Scores'!G2156+0.20*'Factor Scores'!H2156)</f>
        <v/>
      </c>
      <c r="C2156" s="12">
        <f>IF(B2156="","",RANK(B2156,$B$2:$B$2501,0))</f>
        <v/>
      </c>
      <c r="D2156">
        <f>IF(C2156="","",C2156&lt;=25)</f>
        <v/>
      </c>
      <c r="F2156">
        <f>IF(A2156="","",IF(AND(D2156=TRUE,E2156=""),"BUY",IF(AND(D2156=FALSE,E2156&lt;&gt;""),"SELL",IF(AND(D2156=TRUE,E2156&lt;&gt;""),"HOLD",""))))</f>
        <v/>
      </c>
      <c r="G2156" s="12">
        <f>IF(D2156=TRUE,4,0)</f>
        <v/>
      </c>
      <c r="H2156">
        <f>IF(A2156="","",BDP(A2156&amp;" US Equity","GICS_SECTOR_NAME"))</f>
        <v/>
      </c>
    </row>
    <row r="2157">
      <c r="A2157">
        <f>'Factor Scores'!A2157</f>
        <v/>
      </c>
      <c r="B2157" s="10">
        <f>IF(A2157="","",0.40*'Factor Scores'!C2157+0.20*'Factor Scores'!E2157+0.20*'Factor Scores'!G2157+0.20*'Factor Scores'!H2157)</f>
        <v/>
      </c>
      <c r="C2157" s="12">
        <f>IF(B2157="","",RANK(B2157,$B$2:$B$2501,0))</f>
        <v/>
      </c>
      <c r="D2157">
        <f>IF(C2157="","",C2157&lt;=25)</f>
        <v/>
      </c>
      <c r="F2157">
        <f>IF(A2157="","",IF(AND(D2157=TRUE,E2157=""),"BUY",IF(AND(D2157=FALSE,E2157&lt;&gt;""),"SELL",IF(AND(D2157=TRUE,E2157&lt;&gt;""),"HOLD",""))))</f>
        <v/>
      </c>
      <c r="G2157" s="12">
        <f>IF(D2157=TRUE,4,0)</f>
        <v/>
      </c>
      <c r="H2157">
        <f>IF(A2157="","",BDP(A2157&amp;" US Equity","GICS_SECTOR_NAME"))</f>
        <v/>
      </c>
    </row>
    <row r="2158">
      <c r="A2158">
        <f>'Factor Scores'!A2158</f>
        <v/>
      </c>
      <c r="B2158" s="10">
        <f>IF(A2158="","",0.40*'Factor Scores'!C2158+0.20*'Factor Scores'!E2158+0.20*'Factor Scores'!G2158+0.20*'Factor Scores'!H2158)</f>
        <v/>
      </c>
      <c r="C2158" s="12">
        <f>IF(B2158="","",RANK(B2158,$B$2:$B$2501,0))</f>
        <v/>
      </c>
      <c r="D2158">
        <f>IF(C2158="","",C2158&lt;=25)</f>
        <v/>
      </c>
      <c r="F2158">
        <f>IF(A2158="","",IF(AND(D2158=TRUE,E2158=""),"BUY",IF(AND(D2158=FALSE,E2158&lt;&gt;""),"SELL",IF(AND(D2158=TRUE,E2158&lt;&gt;""),"HOLD",""))))</f>
        <v/>
      </c>
      <c r="G2158" s="12">
        <f>IF(D2158=TRUE,4,0)</f>
        <v/>
      </c>
      <c r="H2158">
        <f>IF(A2158="","",BDP(A2158&amp;" US Equity","GICS_SECTOR_NAME"))</f>
        <v/>
      </c>
    </row>
    <row r="2159">
      <c r="A2159">
        <f>'Factor Scores'!A2159</f>
        <v/>
      </c>
      <c r="B2159" s="10">
        <f>IF(A2159="","",0.40*'Factor Scores'!C2159+0.20*'Factor Scores'!E2159+0.20*'Factor Scores'!G2159+0.20*'Factor Scores'!H2159)</f>
        <v/>
      </c>
      <c r="C2159" s="12">
        <f>IF(B2159="","",RANK(B2159,$B$2:$B$2501,0))</f>
        <v/>
      </c>
      <c r="D2159">
        <f>IF(C2159="","",C2159&lt;=25)</f>
        <v/>
      </c>
      <c r="F2159">
        <f>IF(A2159="","",IF(AND(D2159=TRUE,E2159=""),"BUY",IF(AND(D2159=FALSE,E2159&lt;&gt;""),"SELL",IF(AND(D2159=TRUE,E2159&lt;&gt;""),"HOLD",""))))</f>
        <v/>
      </c>
      <c r="G2159" s="12">
        <f>IF(D2159=TRUE,4,0)</f>
        <v/>
      </c>
      <c r="H2159">
        <f>IF(A2159="","",BDP(A2159&amp;" US Equity","GICS_SECTOR_NAME"))</f>
        <v/>
      </c>
    </row>
    <row r="2160">
      <c r="A2160">
        <f>'Factor Scores'!A2160</f>
        <v/>
      </c>
      <c r="B2160" s="10">
        <f>IF(A2160="","",0.40*'Factor Scores'!C2160+0.20*'Factor Scores'!E2160+0.20*'Factor Scores'!G2160+0.20*'Factor Scores'!H2160)</f>
        <v/>
      </c>
      <c r="C2160" s="12">
        <f>IF(B2160="","",RANK(B2160,$B$2:$B$2501,0))</f>
        <v/>
      </c>
      <c r="D2160">
        <f>IF(C2160="","",C2160&lt;=25)</f>
        <v/>
      </c>
      <c r="F2160">
        <f>IF(A2160="","",IF(AND(D2160=TRUE,E2160=""),"BUY",IF(AND(D2160=FALSE,E2160&lt;&gt;""),"SELL",IF(AND(D2160=TRUE,E2160&lt;&gt;""),"HOLD",""))))</f>
        <v/>
      </c>
      <c r="G2160" s="12">
        <f>IF(D2160=TRUE,4,0)</f>
        <v/>
      </c>
      <c r="H2160">
        <f>IF(A2160="","",BDP(A2160&amp;" US Equity","GICS_SECTOR_NAME"))</f>
        <v/>
      </c>
    </row>
    <row r="2161">
      <c r="A2161">
        <f>'Factor Scores'!A2161</f>
        <v/>
      </c>
      <c r="B2161" s="10">
        <f>IF(A2161="","",0.40*'Factor Scores'!C2161+0.20*'Factor Scores'!E2161+0.20*'Factor Scores'!G2161+0.20*'Factor Scores'!H2161)</f>
        <v/>
      </c>
      <c r="C2161" s="12">
        <f>IF(B2161="","",RANK(B2161,$B$2:$B$2501,0))</f>
        <v/>
      </c>
      <c r="D2161">
        <f>IF(C2161="","",C2161&lt;=25)</f>
        <v/>
      </c>
      <c r="F2161">
        <f>IF(A2161="","",IF(AND(D2161=TRUE,E2161=""),"BUY",IF(AND(D2161=FALSE,E2161&lt;&gt;""),"SELL",IF(AND(D2161=TRUE,E2161&lt;&gt;""),"HOLD",""))))</f>
        <v/>
      </c>
      <c r="G2161" s="12">
        <f>IF(D2161=TRUE,4,0)</f>
        <v/>
      </c>
      <c r="H2161">
        <f>IF(A2161="","",BDP(A2161&amp;" US Equity","GICS_SECTOR_NAME"))</f>
        <v/>
      </c>
    </row>
    <row r="2162">
      <c r="A2162">
        <f>'Factor Scores'!A2162</f>
        <v/>
      </c>
      <c r="B2162" s="10">
        <f>IF(A2162="","",0.40*'Factor Scores'!C2162+0.20*'Factor Scores'!E2162+0.20*'Factor Scores'!G2162+0.20*'Factor Scores'!H2162)</f>
        <v/>
      </c>
      <c r="C2162" s="12">
        <f>IF(B2162="","",RANK(B2162,$B$2:$B$2501,0))</f>
        <v/>
      </c>
      <c r="D2162">
        <f>IF(C2162="","",C2162&lt;=25)</f>
        <v/>
      </c>
      <c r="F2162">
        <f>IF(A2162="","",IF(AND(D2162=TRUE,E2162=""),"BUY",IF(AND(D2162=FALSE,E2162&lt;&gt;""),"SELL",IF(AND(D2162=TRUE,E2162&lt;&gt;""),"HOLD",""))))</f>
        <v/>
      </c>
      <c r="G2162" s="12">
        <f>IF(D2162=TRUE,4,0)</f>
        <v/>
      </c>
      <c r="H2162">
        <f>IF(A2162="","",BDP(A2162&amp;" US Equity","GICS_SECTOR_NAME"))</f>
        <v/>
      </c>
    </row>
    <row r="2163">
      <c r="A2163">
        <f>'Factor Scores'!A2163</f>
        <v/>
      </c>
      <c r="B2163" s="10">
        <f>IF(A2163="","",0.40*'Factor Scores'!C2163+0.20*'Factor Scores'!E2163+0.20*'Factor Scores'!G2163+0.20*'Factor Scores'!H2163)</f>
        <v/>
      </c>
      <c r="C2163" s="12">
        <f>IF(B2163="","",RANK(B2163,$B$2:$B$2501,0))</f>
        <v/>
      </c>
      <c r="D2163">
        <f>IF(C2163="","",C2163&lt;=25)</f>
        <v/>
      </c>
      <c r="F2163">
        <f>IF(A2163="","",IF(AND(D2163=TRUE,E2163=""),"BUY",IF(AND(D2163=FALSE,E2163&lt;&gt;""),"SELL",IF(AND(D2163=TRUE,E2163&lt;&gt;""),"HOLD",""))))</f>
        <v/>
      </c>
      <c r="G2163" s="12">
        <f>IF(D2163=TRUE,4,0)</f>
        <v/>
      </c>
      <c r="H2163">
        <f>IF(A2163="","",BDP(A2163&amp;" US Equity","GICS_SECTOR_NAME"))</f>
        <v/>
      </c>
    </row>
    <row r="2164">
      <c r="A2164">
        <f>'Factor Scores'!A2164</f>
        <v/>
      </c>
      <c r="B2164" s="10">
        <f>IF(A2164="","",0.40*'Factor Scores'!C2164+0.20*'Factor Scores'!E2164+0.20*'Factor Scores'!G2164+0.20*'Factor Scores'!H2164)</f>
        <v/>
      </c>
      <c r="C2164" s="12">
        <f>IF(B2164="","",RANK(B2164,$B$2:$B$2501,0))</f>
        <v/>
      </c>
      <c r="D2164">
        <f>IF(C2164="","",C2164&lt;=25)</f>
        <v/>
      </c>
      <c r="F2164">
        <f>IF(A2164="","",IF(AND(D2164=TRUE,E2164=""),"BUY",IF(AND(D2164=FALSE,E2164&lt;&gt;""),"SELL",IF(AND(D2164=TRUE,E2164&lt;&gt;""),"HOLD",""))))</f>
        <v/>
      </c>
      <c r="G2164" s="12">
        <f>IF(D2164=TRUE,4,0)</f>
        <v/>
      </c>
      <c r="H2164">
        <f>IF(A2164="","",BDP(A2164&amp;" US Equity","GICS_SECTOR_NAME"))</f>
        <v/>
      </c>
    </row>
    <row r="2165">
      <c r="A2165">
        <f>'Factor Scores'!A2165</f>
        <v/>
      </c>
      <c r="B2165" s="10">
        <f>IF(A2165="","",0.40*'Factor Scores'!C2165+0.20*'Factor Scores'!E2165+0.20*'Factor Scores'!G2165+0.20*'Factor Scores'!H2165)</f>
        <v/>
      </c>
      <c r="C2165" s="12">
        <f>IF(B2165="","",RANK(B2165,$B$2:$B$2501,0))</f>
        <v/>
      </c>
      <c r="D2165">
        <f>IF(C2165="","",C2165&lt;=25)</f>
        <v/>
      </c>
      <c r="F2165">
        <f>IF(A2165="","",IF(AND(D2165=TRUE,E2165=""),"BUY",IF(AND(D2165=FALSE,E2165&lt;&gt;""),"SELL",IF(AND(D2165=TRUE,E2165&lt;&gt;""),"HOLD",""))))</f>
        <v/>
      </c>
      <c r="G2165" s="12">
        <f>IF(D2165=TRUE,4,0)</f>
        <v/>
      </c>
      <c r="H2165">
        <f>IF(A2165="","",BDP(A2165&amp;" US Equity","GICS_SECTOR_NAME"))</f>
        <v/>
      </c>
    </row>
    <row r="2166">
      <c r="A2166">
        <f>'Factor Scores'!A2166</f>
        <v/>
      </c>
      <c r="B2166" s="10">
        <f>IF(A2166="","",0.40*'Factor Scores'!C2166+0.20*'Factor Scores'!E2166+0.20*'Factor Scores'!G2166+0.20*'Factor Scores'!H2166)</f>
        <v/>
      </c>
      <c r="C2166" s="12">
        <f>IF(B2166="","",RANK(B2166,$B$2:$B$2501,0))</f>
        <v/>
      </c>
      <c r="D2166">
        <f>IF(C2166="","",C2166&lt;=25)</f>
        <v/>
      </c>
      <c r="F2166">
        <f>IF(A2166="","",IF(AND(D2166=TRUE,E2166=""),"BUY",IF(AND(D2166=FALSE,E2166&lt;&gt;""),"SELL",IF(AND(D2166=TRUE,E2166&lt;&gt;""),"HOLD",""))))</f>
        <v/>
      </c>
      <c r="G2166" s="12">
        <f>IF(D2166=TRUE,4,0)</f>
        <v/>
      </c>
      <c r="H2166">
        <f>IF(A2166="","",BDP(A2166&amp;" US Equity","GICS_SECTOR_NAME"))</f>
        <v/>
      </c>
    </row>
    <row r="2167">
      <c r="A2167">
        <f>'Factor Scores'!A2167</f>
        <v/>
      </c>
      <c r="B2167" s="10">
        <f>IF(A2167="","",0.40*'Factor Scores'!C2167+0.20*'Factor Scores'!E2167+0.20*'Factor Scores'!G2167+0.20*'Factor Scores'!H2167)</f>
        <v/>
      </c>
      <c r="C2167" s="12">
        <f>IF(B2167="","",RANK(B2167,$B$2:$B$2501,0))</f>
        <v/>
      </c>
      <c r="D2167">
        <f>IF(C2167="","",C2167&lt;=25)</f>
        <v/>
      </c>
      <c r="F2167">
        <f>IF(A2167="","",IF(AND(D2167=TRUE,E2167=""),"BUY",IF(AND(D2167=FALSE,E2167&lt;&gt;""),"SELL",IF(AND(D2167=TRUE,E2167&lt;&gt;""),"HOLD",""))))</f>
        <v/>
      </c>
      <c r="G2167" s="12">
        <f>IF(D2167=TRUE,4,0)</f>
        <v/>
      </c>
      <c r="H2167">
        <f>IF(A2167="","",BDP(A2167&amp;" US Equity","GICS_SECTOR_NAME"))</f>
        <v/>
      </c>
    </row>
    <row r="2168">
      <c r="A2168">
        <f>'Factor Scores'!A2168</f>
        <v/>
      </c>
      <c r="B2168" s="10">
        <f>IF(A2168="","",0.40*'Factor Scores'!C2168+0.20*'Factor Scores'!E2168+0.20*'Factor Scores'!G2168+0.20*'Factor Scores'!H2168)</f>
        <v/>
      </c>
      <c r="C2168" s="12">
        <f>IF(B2168="","",RANK(B2168,$B$2:$B$2501,0))</f>
        <v/>
      </c>
      <c r="D2168">
        <f>IF(C2168="","",C2168&lt;=25)</f>
        <v/>
      </c>
      <c r="F2168">
        <f>IF(A2168="","",IF(AND(D2168=TRUE,E2168=""),"BUY",IF(AND(D2168=FALSE,E2168&lt;&gt;""),"SELL",IF(AND(D2168=TRUE,E2168&lt;&gt;""),"HOLD",""))))</f>
        <v/>
      </c>
      <c r="G2168" s="12">
        <f>IF(D2168=TRUE,4,0)</f>
        <v/>
      </c>
      <c r="H2168">
        <f>IF(A2168="","",BDP(A2168&amp;" US Equity","GICS_SECTOR_NAME"))</f>
        <v/>
      </c>
    </row>
    <row r="2169">
      <c r="A2169">
        <f>'Factor Scores'!A2169</f>
        <v/>
      </c>
      <c r="B2169" s="10">
        <f>IF(A2169="","",0.40*'Factor Scores'!C2169+0.20*'Factor Scores'!E2169+0.20*'Factor Scores'!G2169+0.20*'Factor Scores'!H2169)</f>
        <v/>
      </c>
      <c r="C2169" s="12">
        <f>IF(B2169="","",RANK(B2169,$B$2:$B$2501,0))</f>
        <v/>
      </c>
      <c r="D2169">
        <f>IF(C2169="","",C2169&lt;=25)</f>
        <v/>
      </c>
      <c r="F2169">
        <f>IF(A2169="","",IF(AND(D2169=TRUE,E2169=""),"BUY",IF(AND(D2169=FALSE,E2169&lt;&gt;""),"SELL",IF(AND(D2169=TRUE,E2169&lt;&gt;""),"HOLD",""))))</f>
        <v/>
      </c>
      <c r="G2169" s="12">
        <f>IF(D2169=TRUE,4,0)</f>
        <v/>
      </c>
      <c r="H2169">
        <f>IF(A2169="","",BDP(A2169&amp;" US Equity","GICS_SECTOR_NAME"))</f>
        <v/>
      </c>
    </row>
    <row r="2170">
      <c r="A2170">
        <f>'Factor Scores'!A2170</f>
        <v/>
      </c>
      <c r="B2170" s="10">
        <f>IF(A2170="","",0.40*'Factor Scores'!C2170+0.20*'Factor Scores'!E2170+0.20*'Factor Scores'!G2170+0.20*'Factor Scores'!H2170)</f>
        <v/>
      </c>
      <c r="C2170" s="12">
        <f>IF(B2170="","",RANK(B2170,$B$2:$B$2501,0))</f>
        <v/>
      </c>
      <c r="D2170">
        <f>IF(C2170="","",C2170&lt;=25)</f>
        <v/>
      </c>
      <c r="F2170">
        <f>IF(A2170="","",IF(AND(D2170=TRUE,E2170=""),"BUY",IF(AND(D2170=FALSE,E2170&lt;&gt;""),"SELL",IF(AND(D2170=TRUE,E2170&lt;&gt;""),"HOLD",""))))</f>
        <v/>
      </c>
      <c r="G2170" s="12">
        <f>IF(D2170=TRUE,4,0)</f>
        <v/>
      </c>
      <c r="H2170">
        <f>IF(A2170="","",BDP(A2170&amp;" US Equity","GICS_SECTOR_NAME"))</f>
        <v/>
      </c>
    </row>
    <row r="2171">
      <c r="A2171">
        <f>'Factor Scores'!A2171</f>
        <v/>
      </c>
      <c r="B2171" s="10">
        <f>IF(A2171="","",0.40*'Factor Scores'!C2171+0.20*'Factor Scores'!E2171+0.20*'Factor Scores'!G2171+0.20*'Factor Scores'!H2171)</f>
        <v/>
      </c>
      <c r="C2171" s="12">
        <f>IF(B2171="","",RANK(B2171,$B$2:$B$2501,0))</f>
        <v/>
      </c>
      <c r="D2171">
        <f>IF(C2171="","",C2171&lt;=25)</f>
        <v/>
      </c>
      <c r="F2171">
        <f>IF(A2171="","",IF(AND(D2171=TRUE,E2171=""),"BUY",IF(AND(D2171=FALSE,E2171&lt;&gt;""),"SELL",IF(AND(D2171=TRUE,E2171&lt;&gt;""),"HOLD",""))))</f>
        <v/>
      </c>
      <c r="G2171" s="12">
        <f>IF(D2171=TRUE,4,0)</f>
        <v/>
      </c>
      <c r="H2171">
        <f>IF(A2171="","",BDP(A2171&amp;" US Equity","GICS_SECTOR_NAME"))</f>
        <v/>
      </c>
    </row>
    <row r="2172">
      <c r="A2172">
        <f>'Factor Scores'!A2172</f>
        <v/>
      </c>
      <c r="B2172" s="10">
        <f>IF(A2172="","",0.40*'Factor Scores'!C2172+0.20*'Factor Scores'!E2172+0.20*'Factor Scores'!G2172+0.20*'Factor Scores'!H2172)</f>
        <v/>
      </c>
      <c r="C2172" s="12">
        <f>IF(B2172="","",RANK(B2172,$B$2:$B$2501,0))</f>
        <v/>
      </c>
      <c r="D2172">
        <f>IF(C2172="","",C2172&lt;=25)</f>
        <v/>
      </c>
      <c r="F2172">
        <f>IF(A2172="","",IF(AND(D2172=TRUE,E2172=""),"BUY",IF(AND(D2172=FALSE,E2172&lt;&gt;""),"SELL",IF(AND(D2172=TRUE,E2172&lt;&gt;""),"HOLD",""))))</f>
        <v/>
      </c>
      <c r="G2172" s="12">
        <f>IF(D2172=TRUE,4,0)</f>
        <v/>
      </c>
      <c r="H2172">
        <f>IF(A2172="","",BDP(A2172&amp;" US Equity","GICS_SECTOR_NAME"))</f>
        <v/>
      </c>
    </row>
    <row r="2173">
      <c r="A2173">
        <f>'Factor Scores'!A2173</f>
        <v/>
      </c>
      <c r="B2173" s="10">
        <f>IF(A2173="","",0.40*'Factor Scores'!C2173+0.20*'Factor Scores'!E2173+0.20*'Factor Scores'!G2173+0.20*'Factor Scores'!H2173)</f>
        <v/>
      </c>
      <c r="C2173" s="12">
        <f>IF(B2173="","",RANK(B2173,$B$2:$B$2501,0))</f>
        <v/>
      </c>
      <c r="D2173">
        <f>IF(C2173="","",C2173&lt;=25)</f>
        <v/>
      </c>
      <c r="F2173">
        <f>IF(A2173="","",IF(AND(D2173=TRUE,E2173=""),"BUY",IF(AND(D2173=FALSE,E2173&lt;&gt;""),"SELL",IF(AND(D2173=TRUE,E2173&lt;&gt;""),"HOLD",""))))</f>
        <v/>
      </c>
      <c r="G2173" s="12">
        <f>IF(D2173=TRUE,4,0)</f>
        <v/>
      </c>
      <c r="H2173">
        <f>IF(A2173="","",BDP(A2173&amp;" US Equity","GICS_SECTOR_NAME"))</f>
        <v/>
      </c>
    </row>
    <row r="2174">
      <c r="A2174">
        <f>'Factor Scores'!A2174</f>
        <v/>
      </c>
      <c r="B2174" s="10">
        <f>IF(A2174="","",0.40*'Factor Scores'!C2174+0.20*'Factor Scores'!E2174+0.20*'Factor Scores'!G2174+0.20*'Factor Scores'!H2174)</f>
        <v/>
      </c>
      <c r="C2174" s="12">
        <f>IF(B2174="","",RANK(B2174,$B$2:$B$2501,0))</f>
        <v/>
      </c>
      <c r="D2174">
        <f>IF(C2174="","",C2174&lt;=25)</f>
        <v/>
      </c>
      <c r="F2174">
        <f>IF(A2174="","",IF(AND(D2174=TRUE,E2174=""),"BUY",IF(AND(D2174=FALSE,E2174&lt;&gt;""),"SELL",IF(AND(D2174=TRUE,E2174&lt;&gt;""),"HOLD",""))))</f>
        <v/>
      </c>
      <c r="G2174" s="12">
        <f>IF(D2174=TRUE,4,0)</f>
        <v/>
      </c>
      <c r="H2174">
        <f>IF(A2174="","",BDP(A2174&amp;" US Equity","GICS_SECTOR_NAME"))</f>
        <v/>
      </c>
    </row>
    <row r="2175">
      <c r="A2175">
        <f>'Factor Scores'!A2175</f>
        <v/>
      </c>
      <c r="B2175" s="10">
        <f>IF(A2175="","",0.40*'Factor Scores'!C2175+0.20*'Factor Scores'!E2175+0.20*'Factor Scores'!G2175+0.20*'Factor Scores'!H2175)</f>
        <v/>
      </c>
      <c r="C2175" s="12">
        <f>IF(B2175="","",RANK(B2175,$B$2:$B$2501,0))</f>
        <v/>
      </c>
      <c r="D2175">
        <f>IF(C2175="","",C2175&lt;=25)</f>
        <v/>
      </c>
      <c r="F2175">
        <f>IF(A2175="","",IF(AND(D2175=TRUE,E2175=""),"BUY",IF(AND(D2175=FALSE,E2175&lt;&gt;""),"SELL",IF(AND(D2175=TRUE,E2175&lt;&gt;""),"HOLD",""))))</f>
        <v/>
      </c>
      <c r="G2175" s="12">
        <f>IF(D2175=TRUE,4,0)</f>
        <v/>
      </c>
      <c r="H2175">
        <f>IF(A2175="","",BDP(A2175&amp;" US Equity","GICS_SECTOR_NAME"))</f>
        <v/>
      </c>
    </row>
    <row r="2176">
      <c r="A2176">
        <f>'Factor Scores'!A2176</f>
        <v/>
      </c>
      <c r="B2176" s="10">
        <f>IF(A2176="","",0.40*'Factor Scores'!C2176+0.20*'Factor Scores'!E2176+0.20*'Factor Scores'!G2176+0.20*'Factor Scores'!H2176)</f>
        <v/>
      </c>
      <c r="C2176" s="12">
        <f>IF(B2176="","",RANK(B2176,$B$2:$B$2501,0))</f>
        <v/>
      </c>
      <c r="D2176">
        <f>IF(C2176="","",C2176&lt;=25)</f>
        <v/>
      </c>
      <c r="F2176">
        <f>IF(A2176="","",IF(AND(D2176=TRUE,E2176=""),"BUY",IF(AND(D2176=FALSE,E2176&lt;&gt;""),"SELL",IF(AND(D2176=TRUE,E2176&lt;&gt;""),"HOLD",""))))</f>
        <v/>
      </c>
      <c r="G2176" s="12">
        <f>IF(D2176=TRUE,4,0)</f>
        <v/>
      </c>
      <c r="H2176">
        <f>IF(A2176="","",BDP(A2176&amp;" US Equity","GICS_SECTOR_NAME"))</f>
        <v/>
      </c>
    </row>
    <row r="2177">
      <c r="A2177">
        <f>'Factor Scores'!A2177</f>
        <v/>
      </c>
      <c r="B2177" s="10">
        <f>IF(A2177="","",0.40*'Factor Scores'!C2177+0.20*'Factor Scores'!E2177+0.20*'Factor Scores'!G2177+0.20*'Factor Scores'!H2177)</f>
        <v/>
      </c>
      <c r="C2177" s="12">
        <f>IF(B2177="","",RANK(B2177,$B$2:$B$2501,0))</f>
        <v/>
      </c>
      <c r="D2177">
        <f>IF(C2177="","",C2177&lt;=25)</f>
        <v/>
      </c>
      <c r="F2177">
        <f>IF(A2177="","",IF(AND(D2177=TRUE,E2177=""),"BUY",IF(AND(D2177=FALSE,E2177&lt;&gt;""),"SELL",IF(AND(D2177=TRUE,E2177&lt;&gt;""),"HOLD",""))))</f>
        <v/>
      </c>
      <c r="G2177" s="12">
        <f>IF(D2177=TRUE,4,0)</f>
        <v/>
      </c>
      <c r="H2177">
        <f>IF(A2177="","",BDP(A2177&amp;" US Equity","GICS_SECTOR_NAME"))</f>
        <v/>
      </c>
    </row>
    <row r="2178">
      <c r="A2178">
        <f>'Factor Scores'!A2178</f>
        <v/>
      </c>
      <c r="B2178" s="10">
        <f>IF(A2178="","",0.40*'Factor Scores'!C2178+0.20*'Factor Scores'!E2178+0.20*'Factor Scores'!G2178+0.20*'Factor Scores'!H2178)</f>
        <v/>
      </c>
      <c r="C2178" s="12">
        <f>IF(B2178="","",RANK(B2178,$B$2:$B$2501,0))</f>
        <v/>
      </c>
      <c r="D2178">
        <f>IF(C2178="","",C2178&lt;=25)</f>
        <v/>
      </c>
      <c r="F2178">
        <f>IF(A2178="","",IF(AND(D2178=TRUE,E2178=""),"BUY",IF(AND(D2178=FALSE,E2178&lt;&gt;""),"SELL",IF(AND(D2178=TRUE,E2178&lt;&gt;""),"HOLD",""))))</f>
        <v/>
      </c>
      <c r="G2178" s="12">
        <f>IF(D2178=TRUE,4,0)</f>
        <v/>
      </c>
      <c r="H2178">
        <f>IF(A2178="","",BDP(A2178&amp;" US Equity","GICS_SECTOR_NAME"))</f>
        <v/>
      </c>
    </row>
    <row r="2179">
      <c r="A2179">
        <f>'Factor Scores'!A2179</f>
        <v/>
      </c>
      <c r="B2179" s="10">
        <f>IF(A2179="","",0.40*'Factor Scores'!C2179+0.20*'Factor Scores'!E2179+0.20*'Factor Scores'!G2179+0.20*'Factor Scores'!H2179)</f>
        <v/>
      </c>
      <c r="C2179" s="12">
        <f>IF(B2179="","",RANK(B2179,$B$2:$B$2501,0))</f>
        <v/>
      </c>
      <c r="D2179">
        <f>IF(C2179="","",C2179&lt;=25)</f>
        <v/>
      </c>
      <c r="F2179">
        <f>IF(A2179="","",IF(AND(D2179=TRUE,E2179=""),"BUY",IF(AND(D2179=FALSE,E2179&lt;&gt;""),"SELL",IF(AND(D2179=TRUE,E2179&lt;&gt;""),"HOLD",""))))</f>
        <v/>
      </c>
      <c r="G2179" s="12">
        <f>IF(D2179=TRUE,4,0)</f>
        <v/>
      </c>
      <c r="H2179">
        <f>IF(A2179="","",BDP(A2179&amp;" US Equity","GICS_SECTOR_NAME"))</f>
        <v/>
      </c>
    </row>
    <row r="2180">
      <c r="A2180">
        <f>'Factor Scores'!A2180</f>
        <v/>
      </c>
      <c r="B2180" s="10">
        <f>IF(A2180="","",0.40*'Factor Scores'!C2180+0.20*'Factor Scores'!E2180+0.20*'Factor Scores'!G2180+0.20*'Factor Scores'!H2180)</f>
        <v/>
      </c>
      <c r="C2180" s="12">
        <f>IF(B2180="","",RANK(B2180,$B$2:$B$2501,0))</f>
        <v/>
      </c>
      <c r="D2180">
        <f>IF(C2180="","",C2180&lt;=25)</f>
        <v/>
      </c>
      <c r="F2180">
        <f>IF(A2180="","",IF(AND(D2180=TRUE,E2180=""),"BUY",IF(AND(D2180=FALSE,E2180&lt;&gt;""),"SELL",IF(AND(D2180=TRUE,E2180&lt;&gt;""),"HOLD",""))))</f>
        <v/>
      </c>
      <c r="G2180" s="12">
        <f>IF(D2180=TRUE,4,0)</f>
        <v/>
      </c>
      <c r="H2180">
        <f>IF(A2180="","",BDP(A2180&amp;" US Equity","GICS_SECTOR_NAME"))</f>
        <v/>
      </c>
    </row>
    <row r="2181">
      <c r="A2181">
        <f>'Factor Scores'!A2181</f>
        <v/>
      </c>
      <c r="B2181" s="10">
        <f>IF(A2181="","",0.40*'Factor Scores'!C2181+0.20*'Factor Scores'!E2181+0.20*'Factor Scores'!G2181+0.20*'Factor Scores'!H2181)</f>
        <v/>
      </c>
      <c r="C2181" s="12">
        <f>IF(B2181="","",RANK(B2181,$B$2:$B$2501,0))</f>
        <v/>
      </c>
      <c r="D2181">
        <f>IF(C2181="","",C2181&lt;=25)</f>
        <v/>
      </c>
      <c r="F2181">
        <f>IF(A2181="","",IF(AND(D2181=TRUE,E2181=""),"BUY",IF(AND(D2181=FALSE,E2181&lt;&gt;""),"SELL",IF(AND(D2181=TRUE,E2181&lt;&gt;""),"HOLD",""))))</f>
        <v/>
      </c>
      <c r="G2181" s="12">
        <f>IF(D2181=TRUE,4,0)</f>
        <v/>
      </c>
      <c r="H2181">
        <f>IF(A2181="","",BDP(A2181&amp;" US Equity","GICS_SECTOR_NAME"))</f>
        <v/>
      </c>
    </row>
    <row r="2182">
      <c r="A2182">
        <f>'Factor Scores'!A2182</f>
        <v/>
      </c>
      <c r="B2182" s="10">
        <f>IF(A2182="","",0.40*'Factor Scores'!C2182+0.20*'Factor Scores'!E2182+0.20*'Factor Scores'!G2182+0.20*'Factor Scores'!H2182)</f>
        <v/>
      </c>
      <c r="C2182" s="12">
        <f>IF(B2182="","",RANK(B2182,$B$2:$B$2501,0))</f>
        <v/>
      </c>
      <c r="D2182">
        <f>IF(C2182="","",C2182&lt;=25)</f>
        <v/>
      </c>
      <c r="F2182">
        <f>IF(A2182="","",IF(AND(D2182=TRUE,E2182=""),"BUY",IF(AND(D2182=FALSE,E2182&lt;&gt;""),"SELL",IF(AND(D2182=TRUE,E2182&lt;&gt;""),"HOLD",""))))</f>
        <v/>
      </c>
      <c r="G2182" s="12">
        <f>IF(D2182=TRUE,4,0)</f>
        <v/>
      </c>
      <c r="H2182">
        <f>IF(A2182="","",BDP(A2182&amp;" US Equity","GICS_SECTOR_NAME"))</f>
        <v/>
      </c>
    </row>
    <row r="2183">
      <c r="A2183">
        <f>'Factor Scores'!A2183</f>
        <v/>
      </c>
      <c r="B2183" s="10">
        <f>IF(A2183="","",0.40*'Factor Scores'!C2183+0.20*'Factor Scores'!E2183+0.20*'Factor Scores'!G2183+0.20*'Factor Scores'!H2183)</f>
        <v/>
      </c>
      <c r="C2183" s="12">
        <f>IF(B2183="","",RANK(B2183,$B$2:$B$2501,0))</f>
        <v/>
      </c>
      <c r="D2183">
        <f>IF(C2183="","",C2183&lt;=25)</f>
        <v/>
      </c>
      <c r="F2183">
        <f>IF(A2183="","",IF(AND(D2183=TRUE,E2183=""),"BUY",IF(AND(D2183=FALSE,E2183&lt;&gt;""),"SELL",IF(AND(D2183=TRUE,E2183&lt;&gt;""),"HOLD",""))))</f>
        <v/>
      </c>
      <c r="G2183" s="12">
        <f>IF(D2183=TRUE,4,0)</f>
        <v/>
      </c>
      <c r="H2183">
        <f>IF(A2183="","",BDP(A2183&amp;" US Equity","GICS_SECTOR_NAME"))</f>
        <v/>
      </c>
    </row>
    <row r="2184">
      <c r="A2184">
        <f>'Factor Scores'!A2184</f>
        <v/>
      </c>
      <c r="B2184" s="10">
        <f>IF(A2184="","",0.40*'Factor Scores'!C2184+0.20*'Factor Scores'!E2184+0.20*'Factor Scores'!G2184+0.20*'Factor Scores'!H2184)</f>
        <v/>
      </c>
      <c r="C2184" s="12">
        <f>IF(B2184="","",RANK(B2184,$B$2:$B$2501,0))</f>
        <v/>
      </c>
      <c r="D2184">
        <f>IF(C2184="","",C2184&lt;=25)</f>
        <v/>
      </c>
      <c r="F2184">
        <f>IF(A2184="","",IF(AND(D2184=TRUE,E2184=""),"BUY",IF(AND(D2184=FALSE,E2184&lt;&gt;""),"SELL",IF(AND(D2184=TRUE,E2184&lt;&gt;""),"HOLD",""))))</f>
        <v/>
      </c>
      <c r="G2184" s="12">
        <f>IF(D2184=TRUE,4,0)</f>
        <v/>
      </c>
      <c r="H2184">
        <f>IF(A2184="","",BDP(A2184&amp;" US Equity","GICS_SECTOR_NAME"))</f>
        <v/>
      </c>
    </row>
    <row r="2185">
      <c r="A2185">
        <f>'Factor Scores'!A2185</f>
        <v/>
      </c>
      <c r="B2185" s="10">
        <f>IF(A2185="","",0.40*'Factor Scores'!C2185+0.20*'Factor Scores'!E2185+0.20*'Factor Scores'!G2185+0.20*'Factor Scores'!H2185)</f>
        <v/>
      </c>
      <c r="C2185" s="12">
        <f>IF(B2185="","",RANK(B2185,$B$2:$B$2501,0))</f>
        <v/>
      </c>
      <c r="D2185">
        <f>IF(C2185="","",C2185&lt;=25)</f>
        <v/>
      </c>
      <c r="F2185">
        <f>IF(A2185="","",IF(AND(D2185=TRUE,E2185=""),"BUY",IF(AND(D2185=FALSE,E2185&lt;&gt;""),"SELL",IF(AND(D2185=TRUE,E2185&lt;&gt;""),"HOLD",""))))</f>
        <v/>
      </c>
      <c r="G2185" s="12">
        <f>IF(D2185=TRUE,4,0)</f>
        <v/>
      </c>
      <c r="H2185">
        <f>IF(A2185="","",BDP(A2185&amp;" US Equity","GICS_SECTOR_NAME"))</f>
        <v/>
      </c>
    </row>
    <row r="2186">
      <c r="A2186">
        <f>'Factor Scores'!A2186</f>
        <v/>
      </c>
      <c r="B2186" s="10">
        <f>IF(A2186="","",0.40*'Factor Scores'!C2186+0.20*'Factor Scores'!E2186+0.20*'Factor Scores'!G2186+0.20*'Factor Scores'!H2186)</f>
        <v/>
      </c>
      <c r="C2186" s="12">
        <f>IF(B2186="","",RANK(B2186,$B$2:$B$2501,0))</f>
        <v/>
      </c>
      <c r="D2186">
        <f>IF(C2186="","",C2186&lt;=25)</f>
        <v/>
      </c>
      <c r="F2186">
        <f>IF(A2186="","",IF(AND(D2186=TRUE,E2186=""),"BUY",IF(AND(D2186=FALSE,E2186&lt;&gt;""),"SELL",IF(AND(D2186=TRUE,E2186&lt;&gt;""),"HOLD",""))))</f>
        <v/>
      </c>
      <c r="G2186" s="12">
        <f>IF(D2186=TRUE,4,0)</f>
        <v/>
      </c>
      <c r="H2186">
        <f>IF(A2186="","",BDP(A2186&amp;" US Equity","GICS_SECTOR_NAME"))</f>
        <v/>
      </c>
    </row>
    <row r="2187">
      <c r="A2187">
        <f>'Factor Scores'!A2187</f>
        <v/>
      </c>
      <c r="B2187" s="10">
        <f>IF(A2187="","",0.40*'Factor Scores'!C2187+0.20*'Factor Scores'!E2187+0.20*'Factor Scores'!G2187+0.20*'Factor Scores'!H2187)</f>
        <v/>
      </c>
      <c r="C2187" s="12">
        <f>IF(B2187="","",RANK(B2187,$B$2:$B$2501,0))</f>
        <v/>
      </c>
      <c r="D2187">
        <f>IF(C2187="","",C2187&lt;=25)</f>
        <v/>
      </c>
      <c r="F2187">
        <f>IF(A2187="","",IF(AND(D2187=TRUE,E2187=""),"BUY",IF(AND(D2187=FALSE,E2187&lt;&gt;""),"SELL",IF(AND(D2187=TRUE,E2187&lt;&gt;""),"HOLD",""))))</f>
        <v/>
      </c>
      <c r="G2187" s="12">
        <f>IF(D2187=TRUE,4,0)</f>
        <v/>
      </c>
      <c r="H2187">
        <f>IF(A2187="","",BDP(A2187&amp;" US Equity","GICS_SECTOR_NAME"))</f>
        <v/>
      </c>
    </row>
    <row r="2188">
      <c r="A2188">
        <f>'Factor Scores'!A2188</f>
        <v/>
      </c>
      <c r="B2188" s="10">
        <f>IF(A2188="","",0.40*'Factor Scores'!C2188+0.20*'Factor Scores'!E2188+0.20*'Factor Scores'!G2188+0.20*'Factor Scores'!H2188)</f>
        <v/>
      </c>
      <c r="C2188" s="12">
        <f>IF(B2188="","",RANK(B2188,$B$2:$B$2501,0))</f>
        <v/>
      </c>
      <c r="D2188">
        <f>IF(C2188="","",C2188&lt;=25)</f>
        <v/>
      </c>
      <c r="F2188">
        <f>IF(A2188="","",IF(AND(D2188=TRUE,E2188=""),"BUY",IF(AND(D2188=FALSE,E2188&lt;&gt;""),"SELL",IF(AND(D2188=TRUE,E2188&lt;&gt;""),"HOLD",""))))</f>
        <v/>
      </c>
      <c r="G2188" s="12">
        <f>IF(D2188=TRUE,4,0)</f>
        <v/>
      </c>
      <c r="H2188">
        <f>IF(A2188="","",BDP(A2188&amp;" US Equity","GICS_SECTOR_NAME"))</f>
        <v/>
      </c>
    </row>
    <row r="2189">
      <c r="A2189">
        <f>'Factor Scores'!A2189</f>
        <v/>
      </c>
      <c r="B2189" s="10">
        <f>IF(A2189="","",0.40*'Factor Scores'!C2189+0.20*'Factor Scores'!E2189+0.20*'Factor Scores'!G2189+0.20*'Factor Scores'!H2189)</f>
        <v/>
      </c>
      <c r="C2189" s="12">
        <f>IF(B2189="","",RANK(B2189,$B$2:$B$2501,0))</f>
        <v/>
      </c>
      <c r="D2189">
        <f>IF(C2189="","",C2189&lt;=25)</f>
        <v/>
      </c>
      <c r="F2189">
        <f>IF(A2189="","",IF(AND(D2189=TRUE,E2189=""),"BUY",IF(AND(D2189=FALSE,E2189&lt;&gt;""),"SELL",IF(AND(D2189=TRUE,E2189&lt;&gt;""),"HOLD",""))))</f>
        <v/>
      </c>
      <c r="G2189" s="12">
        <f>IF(D2189=TRUE,4,0)</f>
        <v/>
      </c>
      <c r="H2189">
        <f>IF(A2189="","",BDP(A2189&amp;" US Equity","GICS_SECTOR_NAME"))</f>
        <v/>
      </c>
    </row>
    <row r="2190">
      <c r="A2190">
        <f>'Factor Scores'!A2190</f>
        <v/>
      </c>
      <c r="B2190" s="10">
        <f>IF(A2190="","",0.40*'Factor Scores'!C2190+0.20*'Factor Scores'!E2190+0.20*'Factor Scores'!G2190+0.20*'Factor Scores'!H2190)</f>
        <v/>
      </c>
      <c r="C2190" s="12">
        <f>IF(B2190="","",RANK(B2190,$B$2:$B$2501,0))</f>
        <v/>
      </c>
      <c r="D2190">
        <f>IF(C2190="","",C2190&lt;=25)</f>
        <v/>
      </c>
      <c r="F2190">
        <f>IF(A2190="","",IF(AND(D2190=TRUE,E2190=""),"BUY",IF(AND(D2190=FALSE,E2190&lt;&gt;""),"SELL",IF(AND(D2190=TRUE,E2190&lt;&gt;""),"HOLD",""))))</f>
        <v/>
      </c>
      <c r="G2190" s="12">
        <f>IF(D2190=TRUE,4,0)</f>
        <v/>
      </c>
      <c r="H2190">
        <f>IF(A2190="","",BDP(A2190&amp;" US Equity","GICS_SECTOR_NAME"))</f>
        <v/>
      </c>
    </row>
    <row r="2191">
      <c r="A2191">
        <f>'Factor Scores'!A2191</f>
        <v/>
      </c>
      <c r="B2191" s="10">
        <f>IF(A2191="","",0.40*'Factor Scores'!C2191+0.20*'Factor Scores'!E2191+0.20*'Factor Scores'!G2191+0.20*'Factor Scores'!H2191)</f>
        <v/>
      </c>
      <c r="C2191" s="12">
        <f>IF(B2191="","",RANK(B2191,$B$2:$B$2501,0))</f>
        <v/>
      </c>
      <c r="D2191">
        <f>IF(C2191="","",C2191&lt;=25)</f>
        <v/>
      </c>
      <c r="F2191">
        <f>IF(A2191="","",IF(AND(D2191=TRUE,E2191=""),"BUY",IF(AND(D2191=FALSE,E2191&lt;&gt;""),"SELL",IF(AND(D2191=TRUE,E2191&lt;&gt;""),"HOLD",""))))</f>
        <v/>
      </c>
      <c r="G2191" s="12">
        <f>IF(D2191=TRUE,4,0)</f>
        <v/>
      </c>
      <c r="H2191">
        <f>IF(A2191="","",BDP(A2191&amp;" US Equity","GICS_SECTOR_NAME"))</f>
        <v/>
      </c>
    </row>
    <row r="2192">
      <c r="A2192">
        <f>'Factor Scores'!A2192</f>
        <v/>
      </c>
      <c r="B2192" s="10">
        <f>IF(A2192="","",0.40*'Factor Scores'!C2192+0.20*'Factor Scores'!E2192+0.20*'Factor Scores'!G2192+0.20*'Factor Scores'!H2192)</f>
        <v/>
      </c>
      <c r="C2192" s="12">
        <f>IF(B2192="","",RANK(B2192,$B$2:$B$2501,0))</f>
        <v/>
      </c>
      <c r="D2192">
        <f>IF(C2192="","",C2192&lt;=25)</f>
        <v/>
      </c>
      <c r="F2192">
        <f>IF(A2192="","",IF(AND(D2192=TRUE,E2192=""),"BUY",IF(AND(D2192=FALSE,E2192&lt;&gt;""),"SELL",IF(AND(D2192=TRUE,E2192&lt;&gt;""),"HOLD",""))))</f>
        <v/>
      </c>
      <c r="G2192" s="12">
        <f>IF(D2192=TRUE,4,0)</f>
        <v/>
      </c>
      <c r="H2192">
        <f>IF(A2192="","",BDP(A2192&amp;" US Equity","GICS_SECTOR_NAME"))</f>
        <v/>
      </c>
    </row>
    <row r="2193">
      <c r="A2193">
        <f>'Factor Scores'!A2193</f>
        <v/>
      </c>
      <c r="B2193" s="10">
        <f>IF(A2193="","",0.40*'Factor Scores'!C2193+0.20*'Factor Scores'!E2193+0.20*'Factor Scores'!G2193+0.20*'Factor Scores'!H2193)</f>
        <v/>
      </c>
      <c r="C2193" s="12">
        <f>IF(B2193="","",RANK(B2193,$B$2:$B$2501,0))</f>
        <v/>
      </c>
      <c r="D2193">
        <f>IF(C2193="","",C2193&lt;=25)</f>
        <v/>
      </c>
      <c r="F2193">
        <f>IF(A2193="","",IF(AND(D2193=TRUE,E2193=""),"BUY",IF(AND(D2193=FALSE,E2193&lt;&gt;""),"SELL",IF(AND(D2193=TRUE,E2193&lt;&gt;""),"HOLD",""))))</f>
        <v/>
      </c>
      <c r="G2193" s="12">
        <f>IF(D2193=TRUE,4,0)</f>
        <v/>
      </c>
      <c r="H2193">
        <f>IF(A2193="","",BDP(A2193&amp;" US Equity","GICS_SECTOR_NAME"))</f>
        <v/>
      </c>
    </row>
    <row r="2194">
      <c r="A2194">
        <f>'Factor Scores'!A2194</f>
        <v/>
      </c>
      <c r="B2194" s="10">
        <f>IF(A2194="","",0.40*'Factor Scores'!C2194+0.20*'Factor Scores'!E2194+0.20*'Factor Scores'!G2194+0.20*'Factor Scores'!H2194)</f>
        <v/>
      </c>
      <c r="C2194" s="12">
        <f>IF(B2194="","",RANK(B2194,$B$2:$B$2501,0))</f>
        <v/>
      </c>
      <c r="D2194">
        <f>IF(C2194="","",C2194&lt;=25)</f>
        <v/>
      </c>
      <c r="F2194">
        <f>IF(A2194="","",IF(AND(D2194=TRUE,E2194=""),"BUY",IF(AND(D2194=FALSE,E2194&lt;&gt;""),"SELL",IF(AND(D2194=TRUE,E2194&lt;&gt;""),"HOLD",""))))</f>
        <v/>
      </c>
      <c r="G2194" s="12">
        <f>IF(D2194=TRUE,4,0)</f>
        <v/>
      </c>
      <c r="H2194">
        <f>IF(A2194="","",BDP(A2194&amp;" US Equity","GICS_SECTOR_NAME"))</f>
        <v/>
      </c>
    </row>
    <row r="2195">
      <c r="A2195">
        <f>'Factor Scores'!A2195</f>
        <v/>
      </c>
      <c r="B2195" s="10">
        <f>IF(A2195="","",0.40*'Factor Scores'!C2195+0.20*'Factor Scores'!E2195+0.20*'Factor Scores'!G2195+0.20*'Factor Scores'!H2195)</f>
        <v/>
      </c>
      <c r="C2195" s="12">
        <f>IF(B2195="","",RANK(B2195,$B$2:$B$2501,0))</f>
        <v/>
      </c>
      <c r="D2195">
        <f>IF(C2195="","",C2195&lt;=25)</f>
        <v/>
      </c>
      <c r="F2195">
        <f>IF(A2195="","",IF(AND(D2195=TRUE,E2195=""),"BUY",IF(AND(D2195=FALSE,E2195&lt;&gt;""),"SELL",IF(AND(D2195=TRUE,E2195&lt;&gt;""),"HOLD",""))))</f>
        <v/>
      </c>
      <c r="G2195" s="12">
        <f>IF(D2195=TRUE,4,0)</f>
        <v/>
      </c>
      <c r="H2195">
        <f>IF(A2195="","",BDP(A2195&amp;" US Equity","GICS_SECTOR_NAME"))</f>
        <v/>
      </c>
    </row>
    <row r="2196">
      <c r="A2196">
        <f>'Factor Scores'!A2196</f>
        <v/>
      </c>
      <c r="B2196" s="10">
        <f>IF(A2196="","",0.40*'Factor Scores'!C2196+0.20*'Factor Scores'!E2196+0.20*'Factor Scores'!G2196+0.20*'Factor Scores'!H2196)</f>
        <v/>
      </c>
      <c r="C2196" s="12">
        <f>IF(B2196="","",RANK(B2196,$B$2:$B$2501,0))</f>
        <v/>
      </c>
      <c r="D2196">
        <f>IF(C2196="","",C2196&lt;=25)</f>
        <v/>
      </c>
      <c r="F2196">
        <f>IF(A2196="","",IF(AND(D2196=TRUE,E2196=""),"BUY",IF(AND(D2196=FALSE,E2196&lt;&gt;""),"SELL",IF(AND(D2196=TRUE,E2196&lt;&gt;""),"HOLD",""))))</f>
        <v/>
      </c>
      <c r="G2196" s="12">
        <f>IF(D2196=TRUE,4,0)</f>
        <v/>
      </c>
      <c r="H2196">
        <f>IF(A2196="","",BDP(A2196&amp;" US Equity","GICS_SECTOR_NAME"))</f>
        <v/>
      </c>
    </row>
    <row r="2197">
      <c r="A2197">
        <f>'Factor Scores'!A2197</f>
        <v/>
      </c>
      <c r="B2197" s="10">
        <f>IF(A2197="","",0.40*'Factor Scores'!C2197+0.20*'Factor Scores'!E2197+0.20*'Factor Scores'!G2197+0.20*'Factor Scores'!H2197)</f>
        <v/>
      </c>
      <c r="C2197" s="12">
        <f>IF(B2197="","",RANK(B2197,$B$2:$B$2501,0))</f>
        <v/>
      </c>
      <c r="D2197">
        <f>IF(C2197="","",C2197&lt;=25)</f>
        <v/>
      </c>
      <c r="F2197">
        <f>IF(A2197="","",IF(AND(D2197=TRUE,E2197=""),"BUY",IF(AND(D2197=FALSE,E2197&lt;&gt;""),"SELL",IF(AND(D2197=TRUE,E2197&lt;&gt;""),"HOLD",""))))</f>
        <v/>
      </c>
      <c r="G2197" s="12">
        <f>IF(D2197=TRUE,4,0)</f>
        <v/>
      </c>
      <c r="H2197">
        <f>IF(A2197="","",BDP(A2197&amp;" US Equity","GICS_SECTOR_NAME"))</f>
        <v/>
      </c>
    </row>
    <row r="2198">
      <c r="A2198">
        <f>'Factor Scores'!A2198</f>
        <v/>
      </c>
      <c r="B2198" s="10">
        <f>IF(A2198="","",0.40*'Factor Scores'!C2198+0.20*'Factor Scores'!E2198+0.20*'Factor Scores'!G2198+0.20*'Factor Scores'!H2198)</f>
        <v/>
      </c>
      <c r="C2198" s="12">
        <f>IF(B2198="","",RANK(B2198,$B$2:$B$2501,0))</f>
        <v/>
      </c>
      <c r="D2198">
        <f>IF(C2198="","",C2198&lt;=25)</f>
        <v/>
      </c>
      <c r="F2198">
        <f>IF(A2198="","",IF(AND(D2198=TRUE,E2198=""),"BUY",IF(AND(D2198=FALSE,E2198&lt;&gt;""),"SELL",IF(AND(D2198=TRUE,E2198&lt;&gt;""),"HOLD",""))))</f>
        <v/>
      </c>
      <c r="G2198" s="12">
        <f>IF(D2198=TRUE,4,0)</f>
        <v/>
      </c>
      <c r="H2198">
        <f>IF(A2198="","",BDP(A2198&amp;" US Equity","GICS_SECTOR_NAME"))</f>
        <v/>
      </c>
    </row>
    <row r="2199">
      <c r="A2199">
        <f>'Factor Scores'!A2199</f>
        <v/>
      </c>
      <c r="B2199" s="10">
        <f>IF(A2199="","",0.40*'Factor Scores'!C2199+0.20*'Factor Scores'!E2199+0.20*'Factor Scores'!G2199+0.20*'Factor Scores'!H2199)</f>
        <v/>
      </c>
      <c r="C2199" s="12">
        <f>IF(B2199="","",RANK(B2199,$B$2:$B$2501,0))</f>
        <v/>
      </c>
      <c r="D2199">
        <f>IF(C2199="","",C2199&lt;=25)</f>
        <v/>
      </c>
      <c r="F2199">
        <f>IF(A2199="","",IF(AND(D2199=TRUE,E2199=""),"BUY",IF(AND(D2199=FALSE,E2199&lt;&gt;""),"SELL",IF(AND(D2199=TRUE,E2199&lt;&gt;""),"HOLD",""))))</f>
        <v/>
      </c>
      <c r="G2199" s="12">
        <f>IF(D2199=TRUE,4,0)</f>
        <v/>
      </c>
      <c r="H2199">
        <f>IF(A2199="","",BDP(A2199&amp;" US Equity","GICS_SECTOR_NAME"))</f>
        <v/>
      </c>
    </row>
    <row r="2200">
      <c r="A2200">
        <f>'Factor Scores'!A2200</f>
        <v/>
      </c>
      <c r="B2200" s="10">
        <f>IF(A2200="","",0.40*'Factor Scores'!C2200+0.20*'Factor Scores'!E2200+0.20*'Factor Scores'!G2200+0.20*'Factor Scores'!H2200)</f>
        <v/>
      </c>
      <c r="C2200" s="12">
        <f>IF(B2200="","",RANK(B2200,$B$2:$B$2501,0))</f>
        <v/>
      </c>
      <c r="D2200">
        <f>IF(C2200="","",C2200&lt;=25)</f>
        <v/>
      </c>
      <c r="F2200">
        <f>IF(A2200="","",IF(AND(D2200=TRUE,E2200=""),"BUY",IF(AND(D2200=FALSE,E2200&lt;&gt;""),"SELL",IF(AND(D2200=TRUE,E2200&lt;&gt;""),"HOLD",""))))</f>
        <v/>
      </c>
      <c r="G2200" s="12">
        <f>IF(D2200=TRUE,4,0)</f>
        <v/>
      </c>
      <c r="H2200">
        <f>IF(A2200="","",BDP(A2200&amp;" US Equity","GICS_SECTOR_NAME"))</f>
        <v/>
      </c>
    </row>
    <row r="2201">
      <c r="A2201">
        <f>'Factor Scores'!A2201</f>
        <v/>
      </c>
      <c r="B2201" s="10">
        <f>IF(A2201="","",0.40*'Factor Scores'!C2201+0.20*'Factor Scores'!E2201+0.20*'Factor Scores'!G2201+0.20*'Factor Scores'!H2201)</f>
        <v/>
      </c>
      <c r="C2201" s="12">
        <f>IF(B2201="","",RANK(B2201,$B$2:$B$2501,0))</f>
        <v/>
      </c>
      <c r="D2201">
        <f>IF(C2201="","",C2201&lt;=25)</f>
        <v/>
      </c>
      <c r="F2201">
        <f>IF(A2201="","",IF(AND(D2201=TRUE,E2201=""),"BUY",IF(AND(D2201=FALSE,E2201&lt;&gt;""),"SELL",IF(AND(D2201=TRUE,E2201&lt;&gt;""),"HOLD",""))))</f>
        <v/>
      </c>
      <c r="G2201" s="12">
        <f>IF(D2201=TRUE,4,0)</f>
        <v/>
      </c>
      <c r="H2201">
        <f>IF(A2201="","",BDP(A2201&amp;" US Equity","GICS_SECTOR_NAME"))</f>
        <v/>
      </c>
    </row>
    <row r="2202">
      <c r="A2202">
        <f>'Factor Scores'!A2202</f>
        <v/>
      </c>
      <c r="B2202" s="10">
        <f>IF(A2202="","",0.40*'Factor Scores'!C2202+0.20*'Factor Scores'!E2202+0.20*'Factor Scores'!G2202+0.20*'Factor Scores'!H2202)</f>
        <v/>
      </c>
      <c r="C2202" s="12">
        <f>IF(B2202="","",RANK(B2202,$B$2:$B$2501,0))</f>
        <v/>
      </c>
      <c r="D2202">
        <f>IF(C2202="","",C2202&lt;=25)</f>
        <v/>
      </c>
      <c r="F2202">
        <f>IF(A2202="","",IF(AND(D2202=TRUE,E2202=""),"BUY",IF(AND(D2202=FALSE,E2202&lt;&gt;""),"SELL",IF(AND(D2202=TRUE,E2202&lt;&gt;""),"HOLD",""))))</f>
        <v/>
      </c>
      <c r="G2202" s="12">
        <f>IF(D2202=TRUE,4,0)</f>
        <v/>
      </c>
      <c r="H2202">
        <f>IF(A2202="","",BDP(A2202&amp;" US Equity","GICS_SECTOR_NAME"))</f>
        <v/>
      </c>
    </row>
    <row r="2203">
      <c r="A2203">
        <f>'Factor Scores'!A2203</f>
        <v/>
      </c>
      <c r="B2203" s="10">
        <f>IF(A2203="","",0.40*'Factor Scores'!C2203+0.20*'Factor Scores'!E2203+0.20*'Factor Scores'!G2203+0.20*'Factor Scores'!H2203)</f>
        <v/>
      </c>
      <c r="C2203" s="12">
        <f>IF(B2203="","",RANK(B2203,$B$2:$B$2501,0))</f>
        <v/>
      </c>
      <c r="D2203">
        <f>IF(C2203="","",C2203&lt;=25)</f>
        <v/>
      </c>
      <c r="F2203">
        <f>IF(A2203="","",IF(AND(D2203=TRUE,E2203=""),"BUY",IF(AND(D2203=FALSE,E2203&lt;&gt;""),"SELL",IF(AND(D2203=TRUE,E2203&lt;&gt;""),"HOLD",""))))</f>
        <v/>
      </c>
      <c r="G2203" s="12">
        <f>IF(D2203=TRUE,4,0)</f>
        <v/>
      </c>
      <c r="H2203">
        <f>IF(A2203="","",BDP(A2203&amp;" US Equity","GICS_SECTOR_NAME"))</f>
        <v/>
      </c>
    </row>
    <row r="2204">
      <c r="A2204">
        <f>'Factor Scores'!A2204</f>
        <v/>
      </c>
      <c r="B2204" s="10">
        <f>IF(A2204="","",0.40*'Factor Scores'!C2204+0.20*'Factor Scores'!E2204+0.20*'Factor Scores'!G2204+0.20*'Factor Scores'!H2204)</f>
        <v/>
      </c>
      <c r="C2204" s="12">
        <f>IF(B2204="","",RANK(B2204,$B$2:$B$2501,0))</f>
        <v/>
      </c>
      <c r="D2204">
        <f>IF(C2204="","",C2204&lt;=25)</f>
        <v/>
      </c>
      <c r="F2204">
        <f>IF(A2204="","",IF(AND(D2204=TRUE,E2204=""),"BUY",IF(AND(D2204=FALSE,E2204&lt;&gt;""),"SELL",IF(AND(D2204=TRUE,E2204&lt;&gt;""),"HOLD",""))))</f>
        <v/>
      </c>
      <c r="G2204" s="12">
        <f>IF(D2204=TRUE,4,0)</f>
        <v/>
      </c>
      <c r="H2204">
        <f>IF(A2204="","",BDP(A2204&amp;" US Equity","GICS_SECTOR_NAME"))</f>
        <v/>
      </c>
    </row>
    <row r="2205">
      <c r="A2205">
        <f>'Factor Scores'!A2205</f>
        <v/>
      </c>
      <c r="B2205" s="10">
        <f>IF(A2205="","",0.40*'Factor Scores'!C2205+0.20*'Factor Scores'!E2205+0.20*'Factor Scores'!G2205+0.20*'Factor Scores'!H2205)</f>
        <v/>
      </c>
      <c r="C2205" s="12">
        <f>IF(B2205="","",RANK(B2205,$B$2:$B$2501,0))</f>
        <v/>
      </c>
      <c r="D2205">
        <f>IF(C2205="","",C2205&lt;=25)</f>
        <v/>
      </c>
      <c r="F2205">
        <f>IF(A2205="","",IF(AND(D2205=TRUE,E2205=""),"BUY",IF(AND(D2205=FALSE,E2205&lt;&gt;""),"SELL",IF(AND(D2205=TRUE,E2205&lt;&gt;""),"HOLD",""))))</f>
        <v/>
      </c>
      <c r="G2205" s="12">
        <f>IF(D2205=TRUE,4,0)</f>
        <v/>
      </c>
      <c r="H2205">
        <f>IF(A2205="","",BDP(A2205&amp;" US Equity","GICS_SECTOR_NAME"))</f>
        <v/>
      </c>
    </row>
    <row r="2206">
      <c r="A2206">
        <f>'Factor Scores'!A2206</f>
        <v/>
      </c>
      <c r="B2206" s="10">
        <f>IF(A2206="","",0.40*'Factor Scores'!C2206+0.20*'Factor Scores'!E2206+0.20*'Factor Scores'!G2206+0.20*'Factor Scores'!H2206)</f>
        <v/>
      </c>
      <c r="C2206" s="12">
        <f>IF(B2206="","",RANK(B2206,$B$2:$B$2501,0))</f>
        <v/>
      </c>
      <c r="D2206">
        <f>IF(C2206="","",C2206&lt;=25)</f>
        <v/>
      </c>
      <c r="F2206">
        <f>IF(A2206="","",IF(AND(D2206=TRUE,E2206=""),"BUY",IF(AND(D2206=FALSE,E2206&lt;&gt;""),"SELL",IF(AND(D2206=TRUE,E2206&lt;&gt;""),"HOLD",""))))</f>
        <v/>
      </c>
      <c r="G2206" s="12">
        <f>IF(D2206=TRUE,4,0)</f>
        <v/>
      </c>
      <c r="H2206">
        <f>IF(A2206="","",BDP(A2206&amp;" US Equity","GICS_SECTOR_NAME"))</f>
        <v/>
      </c>
    </row>
    <row r="2207">
      <c r="A2207">
        <f>'Factor Scores'!A2207</f>
        <v/>
      </c>
      <c r="B2207" s="10">
        <f>IF(A2207="","",0.40*'Factor Scores'!C2207+0.20*'Factor Scores'!E2207+0.20*'Factor Scores'!G2207+0.20*'Factor Scores'!H2207)</f>
        <v/>
      </c>
      <c r="C2207" s="12">
        <f>IF(B2207="","",RANK(B2207,$B$2:$B$2501,0))</f>
        <v/>
      </c>
      <c r="D2207">
        <f>IF(C2207="","",C2207&lt;=25)</f>
        <v/>
      </c>
      <c r="F2207">
        <f>IF(A2207="","",IF(AND(D2207=TRUE,E2207=""),"BUY",IF(AND(D2207=FALSE,E2207&lt;&gt;""),"SELL",IF(AND(D2207=TRUE,E2207&lt;&gt;""),"HOLD",""))))</f>
        <v/>
      </c>
      <c r="G2207" s="12">
        <f>IF(D2207=TRUE,4,0)</f>
        <v/>
      </c>
      <c r="H2207">
        <f>IF(A2207="","",BDP(A2207&amp;" US Equity","GICS_SECTOR_NAME"))</f>
        <v/>
      </c>
    </row>
    <row r="2208">
      <c r="A2208">
        <f>'Factor Scores'!A2208</f>
        <v/>
      </c>
      <c r="B2208" s="10">
        <f>IF(A2208="","",0.40*'Factor Scores'!C2208+0.20*'Factor Scores'!E2208+0.20*'Factor Scores'!G2208+0.20*'Factor Scores'!H2208)</f>
        <v/>
      </c>
      <c r="C2208" s="12">
        <f>IF(B2208="","",RANK(B2208,$B$2:$B$2501,0))</f>
        <v/>
      </c>
      <c r="D2208">
        <f>IF(C2208="","",C2208&lt;=25)</f>
        <v/>
      </c>
      <c r="F2208">
        <f>IF(A2208="","",IF(AND(D2208=TRUE,E2208=""),"BUY",IF(AND(D2208=FALSE,E2208&lt;&gt;""),"SELL",IF(AND(D2208=TRUE,E2208&lt;&gt;""),"HOLD",""))))</f>
        <v/>
      </c>
      <c r="G2208" s="12">
        <f>IF(D2208=TRUE,4,0)</f>
        <v/>
      </c>
      <c r="H2208">
        <f>IF(A2208="","",BDP(A2208&amp;" US Equity","GICS_SECTOR_NAME"))</f>
        <v/>
      </c>
    </row>
    <row r="2209">
      <c r="A2209">
        <f>'Factor Scores'!A2209</f>
        <v/>
      </c>
      <c r="B2209" s="10">
        <f>IF(A2209="","",0.40*'Factor Scores'!C2209+0.20*'Factor Scores'!E2209+0.20*'Factor Scores'!G2209+0.20*'Factor Scores'!H2209)</f>
        <v/>
      </c>
      <c r="C2209" s="12">
        <f>IF(B2209="","",RANK(B2209,$B$2:$B$2501,0))</f>
        <v/>
      </c>
      <c r="D2209">
        <f>IF(C2209="","",C2209&lt;=25)</f>
        <v/>
      </c>
      <c r="F2209">
        <f>IF(A2209="","",IF(AND(D2209=TRUE,E2209=""),"BUY",IF(AND(D2209=FALSE,E2209&lt;&gt;""),"SELL",IF(AND(D2209=TRUE,E2209&lt;&gt;""),"HOLD",""))))</f>
        <v/>
      </c>
      <c r="G2209" s="12">
        <f>IF(D2209=TRUE,4,0)</f>
        <v/>
      </c>
      <c r="H2209">
        <f>IF(A2209="","",BDP(A2209&amp;" US Equity","GICS_SECTOR_NAME"))</f>
        <v/>
      </c>
    </row>
    <row r="2210">
      <c r="A2210">
        <f>'Factor Scores'!A2210</f>
        <v/>
      </c>
      <c r="B2210" s="10">
        <f>IF(A2210="","",0.40*'Factor Scores'!C2210+0.20*'Factor Scores'!E2210+0.20*'Factor Scores'!G2210+0.20*'Factor Scores'!H2210)</f>
        <v/>
      </c>
      <c r="C2210" s="12">
        <f>IF(B2210="","",RANK(B2210,$B$2:$B$2501,0))</f>
        <v/>
      </c>
      <c r="D2210">
        <f>IF(C2210="","",C2210&lt;=25)</f>
        <v/>
      </c>
      <c r="F2210">
        <f>IF(A2210="","",IF(AND(D2210=TRUE,E2210=""),"BUY",IF(AND(D2210=FALSE,E2210&lt;&gt;""),"SELL",IF(AND(D2210=TRUE,E2210&lt;&gt;""),"HOLD",""))))</f>
        <v/>
      </c>
      <c r="G2210" s="12">
        <f>IF(D2210=TRUE,4,0)</f>
        <v/>
      </c>
      <c r="H2210">
        <f>IF(A2210="","",BDP(A2210&amp;" US Equity","GICS_SECTOR_NAME"))</f>
        <v/>
      </c>
    </row>
    <row r="2211">
      <c r="A2211">
        <f>'Factor Scores'!A2211</f>
        <v/>
      </c>
      <c r="B2211" s="10">
        <f>IF(A2211="","",0.40*'Factor Scores'!C2211+0.20*'Factor Scores'!E2211+0.20*'Factor Scores'!G2211+0.20*'Factor Scores'!H2211)</f>
        <v/>
      </c>
      <c r="C2211" s="12">
        <f>IF(B2211="","",RANK(B2211,$B$2:$B$2501,0))</f>
        <v/>
      </c>
      <c r="D2211">
        <f>IF(C2211="","",C2211&lt;=25)</f>
        <v/>
      </c>
      <c r="F2211">
        <f>IF(A2211="","",IF(AND(D2211=TRUE,E2211=""),"BUY",IF(AND(D2211=FALSE,E2211&lt;&gt;""),"SELL",IF(AND(D2211=TRUE,E2211&lt;&gt;""),"HOLD",""))))</f>
        <v/>
      </c>
      <c r="G2211" s="12">
        <f>IF(D2211=TRUE,4,0)</f>
        <v/>
      </c>
      <c r="H2211">
        <f>IF(A2211="","",BDP(A2211&amp;" US Equity","GICS_SECTOR_NAME"))</f>
        <v/>
      </c>
    </row>
    <row r="2212">
      <c r="A2212">
        <f>'Factor Scores'!A2212</f>
        <v/>
      </c>
      <c r="B2212" s="10">
        <f>IF(A2212="","",0.40*'Factor Scores'!C2212+0.20*'Factor Scores'!E2212+0.20*'Factor Scores'!G2212+0.20*'Factor Scores'!H2212)</f>
        <v/>
      </c>
      <c r="C2212" s="12">
        <f>IF(B2212="","",RANK(B2212,$B$2:$B$2501,0))</f>
        <v/>
      </c>
      <c r="D2212">
        <f>IF(C2212="","",C2212&lt;=25)</f>
        <v/>
      </c>
      <c r="F2212">
        <f>IF(A2212="","",IF(AND(D2212=TRUE,E2212=""),"BUY",IF(AND(D2212=FALSE,E2212&lt;&gt;""),"SELL",IF(AND(D2212=TRUE,E2212&lt;&gt;""),"HOLD",""))))</f>
        <v/>
      </c>
      <c r="G2212" s="12">
        <f>IF(D2212=TRUE,4,0)</f>
        <v/>
      </c>
      <c r="H2212">
        <f>IF(A2212="","",BDP(A2212&amp;" US Equity","GICS_SECTOR_NAME"))</f>
        <v/>
      </c>
    </row>
    <row r="2213">
      <c r="A2213">
        <f>'Factor Scores'!A2213</f>
        <v/>
      </c>
      <c r="B2213" s="10">
        <f>IF(A2213="","",0.40*'Factor Scores'!C2213+0.20*'Factor Scores'!E2213+0.20*'Factor Scores'!G2213+0.20*'Factor Scores'!H2213)</f>
        <v/>
      </c>
      <c r="C2213" s="12">
        <f>IF(B2213="","",RANK(B2213,$B$2:$B$2501,0))</f>
        <v/>
      </c>
      <c r="D2213">
        <f>IF(C2213="","",C2213&lt;=25)</f>
        <v/>
      </c>
      <c r="F2213">
        <f>IF(A2213="","",IF(AND(D2213=TRUE,E2213=""),"BUY",IF(AND(D2213=FALSE,E2213&lt;&gt;""),"SELL",IF(AND(D2213=TRUE,E2213&lt;&gt;""),"HOLD",""))))</f>
        <v/>
      </c>
      <c r="G2213" s="12">
        <f>IF(D2213=TRUE,4,0)</f>
        <v/>
      </c>
      <c r="H2213">
        <f>IF(A2213="","",BDP(A2213&amp;" US Equity","GICS_SECTOR_NAME"))</f>
        <v/>
      </c>
    </row>
    <row r="2214">
      <c r="A2214">
        <f>'Factor Scores'!A2214</f>
        <v/>
      </c>
      <c r="B2214" s="10">
        <f>IF(A2214="","",0.40*'Factor Scores'!C2214+0.20*'Factor Scores'!E2214+0.20*'Factor Scores'!G2214+0.20*'Factor Scores'!H2214)</f>
        <v/>
      </c>
      <c r="C2214" s="12">
        <f>IF(B2214="","",RANK(B2214,$B$2:$B$2501,0))</f>
        <v/>
      </c>
      <c r="D2214">
        <f>IF(C2214="","",C2214&lt;=25)</f>
        <v/>
      </c>
      <c r="F2214">
        <f>IF(A2214="","",IF(AND(D2214=TRUE,E2214=""),"BUY",IF(AND(D2214=FALSE,E2214&lt;&gt;""),"SELL",IF(AND(D2214=TRUE,E2214&lt;&gt;""),"HOLD",""))))</f>
        <v/>
      </c>
      <c r="G2214" s="12">
        <f>IF(D2214=TRUE,4,0)</f>
        <v/>
      </c>
      <c r="H2214">
        <f>IF(A2214="","",BDP(A2214&amp;" US Equity","GICS_SECTOR_NAME"))</f>
        <v/>
      </c>
    </row>
    <row r="2215">
      <c r="A2215">
        <f>'Factor Scores'!A2215</f>
        <v/>
      </c>
      <c r="B2215" s="10">
        <f>IF(A2215="","",0.40*'Factor Scores'!C2215+0.20*'Factor Scores'!E2215+0.20*'Factor Scores'!G2215+0.20*'Factor Scores'!H2215)</f>
        <v/>
      </c>
      <c r="C2215" s="12">
        <f>IF(B2215="","",RANK(B2215,$B$2:$B$2501,0))</f>
        <v/>
      </c>
      <c r="D2215">
        <f>IF(C2215="","",C2215&lt;=25)</f>
        <v/>
      </c>
      <c r="F2215">
        <f>IF(A2215="","",IF(AND(D2215=TRUE,E2215=""),"BUY",IF(AND(D2215=FALSE,E2215&lt;&gt;""),"SELL",IF(AND(D2215=TRUE,E2215&lt;&gt;""),"HOLD",""))))</f>
        <v/>
      </c>
      <c r="G2215" s="12">
        <f>IF(D2215=TRUE,4,0)</f>
        <v/>
      </c>
      <c r="H2215">
        <f>IF(A2215="","",BDP(A2215&amp;" US Equity","GICS_SECTOR_NAME"))</f>
        <v/>
      </c>
    </row>
    <row r="2216">
      <c r="A2216">
        <f>'Factor Scores'!A2216</f>
        <v/>
      </c>
      <c r="B2216" s="10">
        <f>IF(A2216="","",0.40*'Factor Scores'!C2216+0.20*'Factor Scores'!E2216+0.20*'Factor Scores'!G2216+0.20*'Factor Scores'!H2216)</f>
        <v/>
      </c>
      <c r="C2216" s="12">
        <f>IF(B2216="","",RANK(B2216,$B$2:$B$2501,0))</f>
        <v/>
      </c>
      <c r="D2216">
        <f>IF(C2216="","",C2216&lt;=25)</f>
        <v/>
      </c>
      <c r="F2216">
        <f>IF(A2216="","",IF(AND(D2216=TRUE,E2216=""),"BUY",IF(AND(D2216=FALSE,E2216&lt;&gt;""),"SELL",IF(AND(D2216=TRUE,E2216&lt;&gt;""),"HOLD",""))))</f>
        <v/>
      </c>
      <c r="G2216" s="12">
        <f>IF(D2216=TRUE,4,0)</f>
        <v/>
      </c>
      <c r="H2216">
        <f>IF(A2216="","",BDP(A2216&amp;" US Equity","GICS_SECTOR_NAME"))</f>
        <v/>
      </c>
    </row>
    <row r="2217">
      <c r="A2217">
        <f>'Factor Scores'!A2217</f>
        <v/>
      </c>
      <c r="B2217" s="10">
        <f>IF(A2217="","",0.40*'Factor Scores'!C2217+0.20*'Factor Scores'!E2217+0.20*'Factor Scores'!G2217+0.20*'Factor Scores'!H2217)</f>
        <v/>
      </c>
      <c r="C2217" s="12">
        <f>IF(B2217="","",RANK(B2217,$B$2:$B$2501,0))</f>
        <v/>
      </c>
      <c r="D2217">
        <f>IF(C2217="","",C2217&lt;=25)</f>
        <v/>
      </c>
      <c r="F2217">
        <f>IF(A2217="","",IF(AND(D2217=TRUE,E2217=""),"BUY",IF(AND(D2217=FALSE,E2217&lt;&gt;""),"SELL",IF(AND(D2217=TRUE,E2217&lt;&gt;""),"HOLD",""))))</f>
        <v/>
      </c>
      <c r="G2217" s="12">
        <f>IF(D2217=TRUE,4,0)</f>
        <v/>
      </c>
      <c r="H2217">
        <f>IF(A2217="","",BDP(A2217&amp;" US Equity","GICS_SECTOR_NAME"))</f>
        <v/>
      </c>
    </row>
    <row r="2218">
      <c r="A2218">
        <f>'Factor Scores'!A2218</f>
        <v/>
      </c>
      <c r="B2218" s="10">
        <f>IF(A2218="","",0.40*'Factor Scores'!C2218+0.20*'Factor Scores'!E2218+0.20*'Factor Scores'!G2218+0.20*'Factor Scores'!H2218)</f>
        <v/>
      </c>
      <c r="C2218" s="12">
        <f>IF(B2218="","",RANK(B2218,$B$2:$B$2501,0))</f>
        <v/>
      </c>
      <c r="D2218">
        <f>IF(C2218="","",C2218&lt;=25)</f>
        <v/>
      </c>
      <c r="F2218">
        <f>IF(A2218="","",IF(AND(D2218=TRUE,E2218=""),"BUY",IF(AND(D2218=FALSE,E2218&lt;&gt;""),"SELL",IF(AND(D2218=TRUE,E2218&lt;&gt;""),"HOLD",""))))</f>
        <v/>
      </c>
      <c r="G2218" s="12">
        <f>IF(D2218=TRUE,4,0)</f>
        <v/>
      </c>
      <c r="H2218">
        <f>IF(A2218="","",BDP(A2218&amp;" US Equity","GICS_SECTOR_NAME"))</f>
        <v/>
      </c>
    </row>
    <row r="2219">
      <c r="A2219">
        <f>'Factor Scores'!A2219</f>
        <v/>
      </c>
      <c r="B2219" s="10">
        <f>IF(A2219="","",0.40*'Factor Scores'!C2219+0.20*'Factor Scores'!E2219+0.20*'Factor Scores'!G2219+0.20*'Factor Scores'!H2219)</f>
        <v/>
      </c>
      <c r="C2219" s="12">
        <f>IF(B2219="","",RANK(B2219,$B$2:$B$2501,0))</f>
        <v/>
      </c>
      <c r="D2219">
        <f>IF(C2219="","",C2219&lt;=25)</f>
        <v/>
      </c>
      <c r="F2219">
        <f>IF(A2219="","",IF(AND(D2219=TRUE,E2219=""),"BUY",IF(AND(D2219=FALSE,E2219&lt;&gt;""),"SELL",IF(AND(D2219=TRUE,E2219&lt;&gt;""),"HOLD",""))))</f>
        <v/>
      </c>
      <c r="G2219" s="12">
        <f>IF(D2219=TRUE,4,0)</f>
        <v/>
      </c>
      <c r="H2219">
        <f>IF(A2219="","",BDP(A2219&amp;" US Equity","GICS_SECTOR_NAME"))</f>
        <v/>
      </c>
    </row>
    <row r="2220">
      <c r="A2220">
        <f>'Factor Scores'!A2220</f>
        <v/>
      </c>
      <c r="B2220" s="10">
        <f>IF(A2220="","",0.40*'Factor Scores'!C2220+0.20*'Factor Scores'!E2220+0.20*'Factor Scores'!G2220+0.20*'Factor Scores'!H2220)</f>
        <v/>
      </c>
      <c r="C2220" s="12">
        <f>IF(B2220="","",RANK(B2220,$B$2:$B$2501,0))</f>
        <v/>
      </c>
      <c r="D2220">
        <f>IF(C2220="","",C2220&lt;=25)</f>
        <v/>
      </c>
      <c r="F2220">
        <f>IF(A2220="","",IF(AND(D2220=TRUE,E2220=""),"BUY",IF(AND(D2220=FALSE,E2220&lt;&gt;""),"SELL",IF(AND(D2220=TRUE,E2220&lt;&gt;""),"HOLD",""))))</f>
        <v/>
      </c>
      <c r="G2220" s="12">
        <f>IF(D2220=TRUE,4,0)</f>
        <v/>
      </c>
      <c r="H2220">
        <f>IF(A2220="","",BDP(A2220&amp;" US Equity","GICS_SECTOR_NAME"))</f>
        <v/>
      </c>
    </row>
    <row r="2221">
      <c r="A2221">
        <f>'Factor Scores'!A2221</f>
        <v/>
      </c>
      <c r="B2221" s="10">
        <f>IF(A2221="","",0.40*'Factor Scores'!C2221+0.20*'Factor Scores'!E2221+0.20*'Factor Scores'!G2221+0.20*'Factor Scores'!H2221)</f>
        <v/>
      </c>
      <c r="C2221" s="12">
        <f>IF(B2221="","",RANK(B2221,$B$2:$B$2501,0))</f>
        <v/>
      </c>
      <c r="D2221">
        <f>IF(C2221="","",C2221&lt;=25)</f>
        <v/>
      </c>
      <c r="F2221">
        <f>IF(A2221="","",IF(AND(D2221=TRUE,E2221=""),"BUY",IF(AND(D2221=FALSE,E2221&lt;&gt;""),"SELL",IF(AND(D2221=TRUE,E2221&lt;&gt;""),"HOLD",""))))</f>
        <v/>
      </c>
      <c r="G2221" s="12">
        <f>IF(D2221=TRUE,4,0)</f>
        <v/>
      </c>
      <c r="H2221">
        <f>IF(A2221="","",BDP(A2221&amp;" US Equity","GICS_SECTOR_NAME"))</f>
        <v/>
      </c>
    </row>
    <row r="2222">
      <c r="A2222">
        <f>'Factor Scores'!A2222</f>
        <v/>
      </c>
      <c r="B2222" s="10">
        <f>IF(A2222="","",0.40*'Factor Scores'!C2222+0.20*'Factor Scores'!E2222+0.20*'Factor Scores'!G2222+0.20*'Factor Scores'!H2222)</f>
        <v/>
      </c>
      <c r="C2222" s="12">
        <f>IF(B2222="","",RANK(B2222,$B$2:$B$2501,0))</f>
        <v/>
      </c>
      <c r="D2222">
        <f>IF(C2222="","",C2222&lt;=25)</f>
        <v/>
      </c>
      <c r="F2222">
        <f>IF(A2222="","",IF(AND(D2222=TRUE,E2222=""),"BUY",IF(AND(D2222=FALSE,E2222&lt;&gt;""),"SELL",IF(AND(D2222=TRUE,E2222&lt;&gt;""),"HOLD",""))))</f>
        <v/>
      </c>
      <c r="G2222" s="12">
        <f>IF(D2222=TRUE,4,0)</f>
        <v/>
      </c>
      <c r="H2222">
        <f>IF(A2222="","",BDP(A2222&amp;" US Equity","GICS_SECTOR_NAME"))</f>
        <v/>
      </c>
    </row>
    <row r="2223">
      <c r="A2223">
        <f>'Factor Scores'!A2223</f>
        <v/>
      </c>
      <c r="B2223" s="10">
        <f>IF(A2223="","",0.40*'Factor Scores'!C2223+0.20*'Factor Scores'!E2223+0.20*'Factor Scores'!G2223+0.20*'Factor Scores'!H2223)</f>
        <v/>
      </c>
      <c r="C2223" s="12">
        <f>IF(B2223="","",RANK(B2223,$B$2:$B$2501,0))</f>
        <v/>
      </c>
      <c r="D2223">
        <f>IF(C2223="","",C2223&lt;=25)</f>
        <v/>
      </c>
      <c r="F2223">
        <f>IF(A2223="","",IF(AND(D2223=TRUE,E2223=""),"BUY",IF(AND(D2223=FALSE,E2223&lt;&gt;""),"SELL",IF(AND(D2223=TRUE,E2223&lt;&gt;""),"HOLD",""))))</f>
        <v/>
      </c>
      <c r="G2223" s="12">
        <f>IF(D2223=TRUE,4,0)</f>
        <v/>
      </c>
      <c r="H2223">
        <f>IF(A2223="","",BDP(A2223&amp;" US Equity","GICS_SECTOR_NAME"))</f>
        <v/>
      </c>
    </row>
    <row r="2224">
      <c r="A2224">
        <f>'Factor Scores'!A2224</f>
        <v/>
      </c>
      <c r="B2224" s="10">
        <f>IF(A2224="","",0.40*'Factor Scores'!C2224+0.20*'Factor Scores'!E2224+0.20*'Factor Scores'!G2224+0.20*'Factor Scores'!H2224)</f>
        <v/>
      </c>
      <c r="C2224" s="12">
        <f>IF(B2224="","",RANK(B2224,$B$2:$B$2501,0))</f>
        <v/>
      </c>
      <c r="D2224">
        <f>IF(C2224="","",C2224&lt;=25)</f>
        <v/>
      </c>
      <c r="F2224">
        <f>IF(A2224="","",IF(AND(D2224=TRUE,E2224=""),"BUY",IF(AND(D2224=FALSE,E2224&lt;&gt;""),"SELL",IF(AND(D2224=TRUE,E2224&lt;&gt;""),"HOLD",""))))</f>
        <v/>
      </c>
      <c r="G2224" s="12">
        <f>IF(D2224=TRUE,4,0)</f>
        <v/>
      </c>
      <c r="H2224">
        <f>IF(A2224="","",BDP(A2224&amp;" US Equity","GICS_SECTOR_NAME"))</f>
        <v/>
      </c>
    </row>
    <row r="2225">
      <c r="A2225">
        <f>'Factor Scores'!A2225</f>
        <v/>
      </c>
      <c r="B2225" s="10">
        <f>IF(A2225="","",0.40*'Factor Scores'!C2225+0.20*'Factor Scores'!E2225+0.20*'Factor Scores'!G2225+0.20*'Factor Scores'!H2225)</f>
        <v/>
      </c>
      <c r="C2225" s="12">
        <f>IF(B2225="","",RANK(B2225,$B$2:$B$2501,0))</f>
        <v/>
      </c>
      <c r="D2225">
        <f>IF(C2225="","",C2225&lt;=25)</f>
        <v/>
      </c>
      <c r="F2225">
        <f>IF(A2225="","",IF(AND(D2225=TRUE,E2225=""),"BUY",IF(AND(D2225=FALSE,E2225&lt;&gt;""),"SELL",IF(AND(D2225=TRUE,E2225&lt;&gt;""),"HOLD",""))))</f>
        <v/>
      </c>
      <c r="G2225" s="12">
        <f>IF(D2225=TRUE,4,0)</f>
        <v/>
      </c>
      <c r="H2225">
        <f>IF(A2225="","",BDP(A2225&amp;" US Equity","GICS_SECTOR_NAME"))</f>
        <v/>
      </c>
    </row>
    <row r="2226">
      <c r="A2226">
        <f>'Factor Scores'!A2226</f>
        <v/>
      </c>
      <c r="B2226" s="10">
        <f>IF(A2226="","",0.40*'Factor Scores'!C2226+0.20*'Factor Scores'!E2226+0.20*'Factor Scores'!G2226+0.20*'Factor Scores'!H2226)</f>
        <v/>
      </c>
      <c r="C2226" s="12">
        <f>IF(B2226="","",RANK(B2226,$B$2:$B$2501,0))</f>
        <v/>
      </c>
      <c r="D2226">
        <f>IF(C2226="","",C2226&lt;=25)</f>
        <v/>
      </c>
      <c r="F2226">
        <f>IF(A2226="","",IF(AND(D2226=TRUE,E2226=""),"BUY",IF(AND(D2226=FALSE,E2226&lt;&gt;""),"SELL",IF(AND(D2226=TRUE,E2226&lt;&gt;""),"HOLD",""))))</f>
        <v/>
      </c>
      <c r="G2226" s="12">
        <f>IF(D2226=TRUE,4,0)</f>
        <v/>
      </c>
      <c r="H2226">
        <f>IF(A2226="","",BDP(A2226&amp;" US Equity","GICS_SECTOR_NAME"))</f>
        <v/>
      </c>
    </row>
    <row r="2227">
      <c r="A2227">
        <f>'Factor Scores'!A2227</f>
        <v/>
      </c>
      <c r="B2227" s="10">
        <f>IF(A2227="","",0.40*'Factor Scores'!C2227+0.20*'Factor Scores'!E2227+0.20*'Factor Scores'!G2227+0.20*'Factor Scores'!H2227)</f>
        <v/>
      </c>
      <c r="C2227" s="12">
        <f>IF(B2227="","",RANK(B2227,$B$2:$B$2501,0))</f>
        <v/>
      </c>
      <c r="D2227">
        <f>IF(C2227="","",C2227&lt;=25)</f>
        <v/>
      </c>
      <c r="F2227">
        <f>IF(A2227="","",IF(AND(D2227=TRUE,E2227=""),"BUY",IF(AND(D2227=FALSE,E2227&lt;&gt;""),"SELL",IF(AND(D2227=TRUE,E2227&lt;&gt;""),"HOLD",""))))</f>
        <v/>
      </c>
      <c r="G2227" s="12">
        <f>IF(D2227=TRUE,4,0)</f>
        <v/>
      </c>
      <c r="H2227">
        <f>IF(A2227="","",BDP(A2227&amp;" US Equity","GICS_SECTOR_NAME"))</f>
        <v/>
      </c>
    </row>
    <row r="2228">
      <c r="A2228">
        <f>'Factor Scores'!A2228</f>
        <v/>
      </c>
      <c r="B2228" s="10">
        <f>IF(A2228="","",0.40*'Factor Scores'!C2228+0.20*'Factor Scores'!E2228+0.20*'Factor Scores'!G2228+0.20*'Factor Scores'!H2228)</f>
        <v/>
      </c>
      <c r="C2228" s="12">
        <f>IF(B2228="","",RANK(B2228,$B$2:$B$2501,0))</f>
        <v/>
      </c>
      <c r="D2228">
        <f>IF(C2228="","",C2228&lt;=25)</f>
        <v/>
      </c>
      <c r="F2228">
        <f>IF(A2228="","",IF(AND(D2228=TRUE,E2228=""),"BUY",IF(AND(D2228=FALSE,E2228&lt;&gt;""),"SELL",IF(AND(D2228=TRUE,E2228&lt;&gt;""),"HOLD",""))))</f>
        <v/>
      </c>
      <c r="G2228" s="12">
        <f>IF(D2228=TRUE,4,0)</f>
        <v/>
      </c>
      <c r="H2228">
        <f>IF(A2228="","",BDP(A2228&amp;" US Equity","GICS_SECTOR_NAME"))</f>
        <v/>
      </c>
    </row>
    <row r="2229">
      <c r="A2229">
        <f>'Factor Scores'!A2229</f>
        <v/>
      </c>
      <c r="B2229" s="10">
        <f>IF(A2229="","",0.40*'Factor Scores'!C2229+0.20*'Factor Scores'!E2229+0.20*'Factor Scores'!G2229+0.20*'Factor Scores'!H2229)</f>
        <v/>
      </c>
      <c r="C2229" s="12">
        <f>IF(B2229="","",RANK(B2229,$B$2:$B$2501,0))</f>
        <v/>
      </c>
      <c r="D2229">
        <f>IF(C2229="","",C2229&lt;=25)</f>
        <v/>
      </c>
      <c r="F2229">
        <f>IF(A2229="","",IF(AND(D2229=TRUE,E2229=""),"BUY",IF(AND(D2229=FALSE,E2229&lt;&gt;""),"SELL",IF(AND(D2229=TRUE,E2229&lt;&gt;""),"HOLD",""))))</f>
        <v/>
      </c>
      <c r="G2229" s="12">
        <f>IF(D2229=TRUE,4,0)</f>
        <v/>
      </c>
      <c r="H2229">
        <f>IF(A2229="","",BDP(A2229&amp;" US Equity","GICS_SECTOR_NAME"))</f>
        <v/>
      </c>
    </row>
    <row r="2230">
      <c r="A2230">
        <f>'Factor Scores'!A2230</f>
        <v/>
      </c>
      <c r="B2230" s="10">
        <f>IF(A2230="","",0.40*'Factor Scores'!C2230+0.20*'Factor Scores'!E2230+0.20*'Factor Scores'!G2230+0.20*'Factor Scores'!H2230)</f>
        <v/>
      </c>
      <c r="C2230" s="12">
        <f>IF(B2230="","",RANK(B2230,$B$2:$B$2501,0))</f>
        <v/>
      </c>
      <c r="D2230">
        <f>IF(C2230="","",C2230&lt;=25)</f>
        <v/>
      </c>
      <c r="F2230">
        <f>IF(A2230="","",IF(AND(D2230=TRUE,E2230=""),"BUY",IF(AND(D2230=FALSE,E2230&lt;&gt;""),"SELL",IF(AND(D2230=TRUE,E2230&lt;&gt;""),"HOLD",""))))</f>
        <v/>
      </c>
      <c r="G2230" s="12">
        <f>IF(D2230=TRUE,4,0)</f>
        <v/>
      </c>
      <c r="H2230">
        <f>IF(A2230="","",BDP(A2230&amp;" US Equity","GICS_SECTOR_NAME"))</f>
        <v/>
      </c>
    </row>
    <row r="2231">
      <c r="A2231">
        <f>'Factor Scores'!A2231</f>
        <v/>
      </c>
      <c r="B2231" s="10">
        <f>IF(A2231="","",0.40*'Factor Scores'!C2231+0.20*'Factor Scores'!E2231+0.20*'Factor Scores'!G2231+0.20*'Factor Scores'!H2231)</f>
        <v/>
      </c>
      <c r="C2231" s="12">
        <f>IF(B2231="","",RANK(B2231,$B$2:$B$2501,0))</f>
        <v/>
      </c>
      <c r="D2231">
        <f>IF(C2231="","",C2231&lt;=25)</f>
        <v/>
      </c>
      <c r="F2231">
        <f>IF(A2231="","",IF(AND(D2231=TRUE,E2231=""),"BUY",IF(AND(D2231=FALSE,E2231&lt;&gt;""),"SELL",IF(AND(D2231=TRUE,E2231&lt;&gt;""),"HOLD",""))))</f>
        <v/>
      </c>
      <c r="G2231" s="12">
        <f>IF(D2231=TRUE,4,0)</f>
        <v/>
      </c>
      <c r="H2231">
        <f>IF(A2231="","",BDP(A2231&amp;" US Equity","GICS_SECTOR_NAME"))</f>
        <v/>
      </c>
    </row>
    <row r="2232">
      <c r="A2232">
        <f>'Factor Scores'!A2232</f>
        <v/>
      </c>
      <c r="B2232" s="10">
        <f>IF(A2232="","",0.40*'Factor Scores'!C2232+0.20*'Factor Scores'!E2232+0.20*'Factor Scores'!G2232+0.20*'Factor Scores'!H2232)</f>
        <v/>
      </c>
      <c r="C2232" s="12">
        <f>IF(B2232="","",RANK(B2232,$B$2:$B$2501,0))</f>
        <v/>
      </c>
      <c r="D2232">
        <f>IF(C2232="","",C2232&lt;=25)</f>
        <v/>
      </c>
      <c r="F2232">
        <f>IF(A2232="","",IF(AND(D2232=TRUE,E2232=""),"BUY",IF(AND(D2232=FALSE,E2232&lt;&gt;""),"SELL",IF(AND(D2232=TRUE,E2232&lt;&gt;""),"HOLD",""))))</f>
        <v/>
      </c>
      <c r="G2232" s="12">
        <f>IF(D2232=TRUE,4,0)</f>
        <v/>
      </c>
      <c r="H2232">
        <f>IF(A2232="","",BDP(A2232&amp;" US Equity","GICS_SECTOR_NAME"))</f>
        <v/>
      </c>
    </row>
    <row r="2233">
      <c r="A2233">
        <f>'Factor Scores'!A2233</f>
        <v/>
      </c>
      <c r="B2233" s="10">
        <f>IF(A2233="","",0.40*'Factor Scores'!C2233+0.20*'Factor Scores'!E2233+0.20*'Factor Scores'!G2233+0.20*'Factor Scores'!H2233)</f>
        <v/>
      </c>
      <c r="C2233" s="12">
        <f>IF(B2233="","",RANK(B2233,$B$2:$B$2501,0))</f>
        <v/>
      </c>
      <c r="D2233">
        <f>IF(C2233="","",C2233&lt;=25)</f>
        <v/>
      </c>
      <c r="F2233">
        <f>IF(A2233="","",IF(AND(D2233=TRUE,E2233=""),"BUY",IF(AND(D2233=FALSE,E2233&lt;&gt;""),"SELL",IF(AND(D2233=TRUE,E2233&lt;&gt;""),"HOLD",""))))</f>
        <v/>
      </c>
      <c r="G2233" s="12">
        <f>IF(D2233=TRUE,4,0)</f>
        <v/>
      </c>
      <c r="H2233">
        <f>IF(A2233="","",BDP(A2233&amp;" US Equity","GICS_SECTOR_NAME"))</f>
        <v/>
      </c>
    </row>
    <row r="2234">
      <c r="A2234">
        <f>'Factor Scores'!A2234</f>
        <v/>
      </c>
      <c r="B2234" s="10">
        <f>IF(A2234="","",0.40*'Factor Scores'!C2234+0.20*'Factor Scores'!E2234+0.20*'Factor Scores'!G2234+0.20*'Factor Scores'!H2234)</f>
        <v/>
      </c>
      <c r="C2234" s="12">
        <f>IF(B2234="","",RANK(B2234,$B$2:$B$2501,0))</f>
        <v/>
      </c>
      <c r="D2234">
        <f>IF(C2234="","",C2234&lt;=25)</f>
        <v/>
      </c>
      <c r="F2234">
        <f>IF(A2234="","",IF(AND(D2234=TRUE,E2234=""),"BUY",IF(AND(D2234=FALSE,E2234&lt;&gt;""),"SELL",IF(AND(D2234=TRUE,E2234&lt;&gt;""),"HOLD",""))))</f>
        <v/>
      </c>
      <c r="G2234" s="12">
        <f>IF(D2234=TRUE,4,0)</f>
        <v/>
      </c>
      <c r="H2234">
        <f>IF(A2234="","",BDP(A2234&amp;" US Equity","GICS_SECTOR_NAME"))</f>
        <v/>
      </c>
    </row>
    <row r="2235">
      <c r="A2235">
        <f>'Factor Scores'!A2235</f>
        <v/>
      </c>
      <c r="B2235" s="10">
        <f>IF(A2235="","",0.40*'Factor Scores'!C2235+0.20*'Factor Scores'!E2235+0.20*'Factor Scores'!G2235+0.20*'Factor Scores'!H2235)</f>
        <v/>
      </c>
      <c r="C2235" s="12">
        <f>IF(B2235="","",RANK(B2235,$B$2:$B$2501,0))</f>
        <v/>
      </c>
      <c r="D2235">
        <f>IF(C2235="","",C2235&lt;=25)</f>
        <v/>
      </c>
      <c r="F2235">
        <f>IF(A2235="","",IF(AND(D2235=TRUE,E2235=""),"BUY",IF(AND(D2235=FALSE,E2235&lt;&gt;""),"SELL",IF(AND(D2235=TRUE,E2235&lt;&gt;""),"HOLD",""))))</f>
        <v/>
      </c>
      <c r="G2235" s="12">
        <f>IF(D2235=TRUE,4,0)</f>
        <v/>
      </c>
      <c r="H2235">
        <f>IF(A2235="","",BDP(A2235&amp;" US Equity","GICS_SECTOR_NAME"))</f>
        <v/>
      </c>
    </row>
    <row r="2236">
      <c r="A2236">
        <f>'Factor Scores'!A2236</f>
        <v/>
      </c>
      <c r="B2236" s="10">
        <f>IF(A2236="","",0.40*'Factor Scores'!C2236+0.20*'Factor Scores'!E2236+0.20*'Factor Scores'!G2236+0.20*'Factor Scores'!H2236)</f>
        <v/>
      </c>
      <c r="C2236" s="12">
        <f>IF(B2236="","",RANK(B2236,$B$2:$B$2501,0))</f>
        <v/>
      </c>
      <c r="D2236">
        <f>IF(C2236="","",C2236&lt;=25)</f>
        <v/>
      </c>
      <c r="F2236">
        <f>IF(A2236="","",IF(AND(D2236=TRUE,E2236=""),"BUY",IF(AND(D2236=FALSE,E2236&lt;&gt;""),"SELL",IF(AND(D2236=TRUE,E2236&lt;&gt;""),"HOLD",""))))</f>
        <v/>
      </c>
      <c r="G2236" s="12">
        <f>IF(D2236=TRUE,4,0)</f>
        <v/>
      </c>
      <c r="H2236">
        <f>IF(A2236="","",BDP(A2236&amp;" US Equity","GICS_SECTOR_NAME"))</f>
        <v/>
      </c>
    </row>
    <row r="2237">
      <c r="A2237">
        <f>'Factor Scores'!A2237</f>
        <v/>
      </c>
      <c r="B2237" s="10">
        <f>IF(A2237="","",0.40*'Factor Scores'!C2237+0.20*'Factor Scores'!E2237+0.20*'Factor Scores'!G2237+0.20*'Factor Scores'!H2237)</f>
        <v/>
      </c>
      <c r="C2237" s="12">
        <f>IF(B2237="","",RANK(B2237,$B$2:$B$2501,0))</f>
        <v/>
      </c>
      <c r="D2237">
        <f>IF(C2237="","",C2237&lt;=25)</f>
        <v/>
      </c>
      <c r="F2237">
        <f>IF(A2237="","",IF(AND(D2237=TRUE,E2237=""),"BUY",IF(AND(D2237=FALSE,E2237&lt;&gt;""),"SELL",IF(AND(D2237=TRUE,E2237&lt;&gt;""),"HOLD",""))))</f>
        <v/>
      </c>
      <c r="G2237" s="12">
        <f>IF(D2237=TRUE,4,0)</f>
        <v/>
      </c>
      <c r="H2237">
        <f>IF(A2237="","",BDP(A2237&amp;" US Equity","GICS_SECTOR_NAME"))</f>
        <v/>
      </c>
    </row>
    <row r="2238">
      <c r="A2238">
        <f>'Factor Scores'!A2238</f>
        <v/>
      </c>
      <c r="B2238" s="10">
        <f>IF(A2238="","",0.40*'Factor Scores'!C2238+0.20*'Factor Scores'!E2238+0.20*'Factor Scores'!G2238+0.20*'Factor Scores'!H2238)</f>
        <v/>
      </c>
      <c r="C2238" s="12">
        <f>IF(B2238="","",RANK(B2238,$B$2:$B$2501,0))</f>
        <v/>
      </c>
      <c r="D2238">
        <f>IF(C2238="","",C2238&lt;=25)</f>
        <v/>
      </c>
      <c r="F2238">
        <f>IF(A2238="","",IF(AND(D2238=TRUE,E2238=""),"BUY",IF(AND(D2238=FALSE,E2238&lt;&gt;""),"SELL",IF(AND(D2238=TRUE,E2238&lt;&gt;""),"HOLD",""))))</f>
        <v/>
      </c>
      <c r="G2238" s="12">
        <f>IF(D2238=TRUE,4,0)</f>
        <v/>
      </c>
      <c r="H2238">
        <f>IF(A2238="","",BDP(A2238&amp;" US Equity","GICS_SECTOR_NAME"))</f>
        <v/>
      </c>
    </row>
    <row r="2239">
      <c r="A2239">
        <f>'Factor Scores'!A2239</f>
        <v/>
      </c>
      <c r="B2239" s="10">
        <f>IF(A2239="","",0.40*'Factor Scores'!C2239+0.20*'Factor Scores'!E2239+0.20*'Factor Scores'!G2239+0.20*'Factor Scores'!H2239)</f>
        <v/>
      </c>
      <c r="C2239" s="12">
        <f>IF(B2239="","",RANK(B2239,$B$2:$B$2501,0))</f>
        <v/>
      </c>
      <c r="D2239">
        <f>IF(C2239="","",C2239&lt;=25)</f>
        <v/>
      </c>
      <c r="F2239">
        <f>IF(A2239="","",IF(AND(D2239=TRUE,E2239=""),"BUY",IF(AND(D2239=FALSE,E2239&lt;&gt;""),"SELL",IF(AND(D2239=TRUE,E2239&lt;&gt;""),"HOLD",""))))</f>
        <v/>
      </c>
      <c r="G2239" s="12">
        <f>IF(D2239=TRUE,4,0)</f>
        <v/>
      </c>
      <c r="H2239">
        <f>IF(A2239="","",BDP(A2239&amp;" US Equity","GICS_SECTOR_NAME"))</f>
        <v/>
      </c>
    </row>
    <row r="2240">
      <c r="A2240">
        <f>'Factor Scores'!A2240</f>
        <v/>
      </c>
      <c r="B2240" s="10">
        <f>IF(A2240="","",0.40*'Factor Scores'!C2240+0.20*'Factor Scores'!E2240+0.20*'Factor Scores'!G2240+0.20*'Factor Scores'!H2240)</f>
        <v/>
      </c>
      <c r="C2240" s="12">
        <f>IF(B2240="","",RANK(B2240,$B$2:$B$2501,0))</f>
        <v/>
      </c>
      <c r="D2240">
        <f>IF(C2240="","",C2240&lt;=25)</f>
        <v/>
      </c>
      <c r="F2240">
        <f>IF(A2240="","",IF(AND(D2240=TRUE,E2240=""),"BUY",IF(AND(D2240=FALSE,E2240&lt;&gt;""),"SELL",IF(AND(D2240=TRUE,E2240&lt;&gt;""),"HOLD",""))))</f>
        <v/>
      </c>
      <c r="G2240" s="12">
        <f>IF(D2240=TRUE,4,0)</f>
        <v/>
      </c>
      <c r="H2240">
        <f>IF(A2240="","",BDP(A2240&amp;" US Equity","GICS_SECTOR_NAME"))</f>
        <v/>
      </c>
    </row>
    <row r="2241">
      <c r="A2241">
        <f>'Factor Scores'!A2241</f>
        <v/>
      </c>
      <c r="B2241" s="10">
        <f>IF(A2241="","",0.40*'Factor Scores'!C2241+0.20*'Factor Scores'!E2241+0.20*'Factor Scores'!G2241+0.20*'Factor Scores'!H2241)</f>
        <v/>
      </c>
      <c r="C2241" s="12">
        <f>IF(B2241="","",RANK(B2241,$B$2:$B$2501,0))</f>
        <v/>
      </c>
      <c r="D2241">
        <f>IF(C2241="","",C2241&lt;=25)</f>
        <v/>
      </c>
      <c r="F2241">
        <f>IF(A2241="","",IF(AND(D2241=TRUE,E2241=""),"BUY",IF(AND(D2241=FALSE,E2241&lt;&gt;""),"SELL",IF(AND(D2241=TRUE,E2241&lt;&gt;""),"HOLD",""))))</f>
        <v/>
      </c>
      <c r="G2241" s="12">
        <f>IF(D2241=TRUE,4,0)</f>
        <v/>
      </c>
      <c r="H2241">
        <f>IF(A2241="","",BDP(A2241&amp;" US Equity","GICS_SECTOR_NAME"))</f>
        <v/>
      </c>
    </row>
    <row r="2242">
      <c r="A2242">
        <f>'Factor Scores'!A2242</f>
        <v/>
      </c>
      <c r="B2242" s="10">
        <f>IF(A2242="","",0.40*'Factor Scores'!C2242+0.20*'Factor Scores'!E2242+0.20*'Factor Scores'!G2242+0.20*'Factor Scores'!H2242)</f>
        <v/>
      </c>
      <c r="C2242" s="12">
        <f>IF(B2242="","",RANK(B2242,$B$2:$B$2501,0))</f>
        <v/>
      </c>
      <c r="D2242">
        <f>IF(C2242="","",C2242&lt;=25)</f>
        <v/>
      </c>
      <c r="F2242">
        <f>IF(A2242="","",IF(AND(D2242=TRUE,E2242=""),"BUY",IF(AND(D2242=FALSE,E2242&lt;&gt;""),"SELL",IF(AND(D2242=TRUE,E2242&lt;&gt;""),"HOLD",""))))</f>
        <v/>
      </c>
      <c r="G2242" s="12">
        <f>IF(D2242=TRUE,4,0)</f>
        <v/>
      </c>
      <c r="H2242">
        <f>IF(A2242="","",BDP(A2242&amp;" US Equity","GICS_SECTOR_NAME"))</f>
        <v/>
      </c>
    </row>
    <row r="2243">
      <c r="A2243">
        <f>'Factor Scores'!A2243</f>
        <v/>
      </c>
      <c r="B2243" s="10">
        <f>IF(A2243="","",0.40*'Factor Scores'!C2243+0.20*'Factor Scores'!E2243+0.20*'Factor Scores'!G2243+0.20*'Factor Scores'!H2243)</f>
        <v/>
      </c>
      <c r="C2243" s="12">
        <f>IF(B2243="","",RANK(B2243,$B$2:$B$2501,0))</f>
        <v/>
      </c>
      <c r="D2243">
        <f>IF(C2243="","",C2243&lt;=25)</f>
        <v/>
      </c>
      <c r="F2243">
        <f>IF(A2243="","",IF(AND(D2243=TRUE,E2243=""),"BUY",IF(AND(D2243=FALSE,E2243&lt;&gt;""),"SELL",IF(AND(D2243=TRUE,E2243&lt;&gt;""),"HOLD",""))))</f>
        <v/>
      </c>
      <c r="G2243" s="12">
        <f>IF(D2243=TRUE,4,0)</f>
        <v/>
      </c>
      <c r="H2243">
        <f>IF(A2243="","",BDP(A2243&amp;" US Equity","GICS_SECTOR_NAME"))</f>
        <v/>
      </c>
    </row>
    <row r="2244">
      <c r="A2244">
        <f>'Factor Scores'!A2244</f>
        <v/>
      </c>
      <c r="B2244" s="10">
        <f>IF(A2244="","",0.40*'Factor Scores'!C2244+0.20*'Factor Scores'!E2244+0.20*'Factor Scores'!G2244+0.20*'Factor Scores'!H2244)</f>
        <v/>
      </c>
      <c r="C2244" s="12">
        <f>IF(B2244="","",RANK(B2244,$B$2:$B$2501,0))</f>
        <v/>
      </c>
      <c r="D2244">
        <f>IF(C2244="","",C2244&lt;=25)</f>
        <v/>
      </c>
      <c r="F2244">
        <f>IF(A2244="","",IF(AND(D2244=TRUE,E2244=""),"BUY",IF(AND(D2244=FALSE,E2244&lt;&gt;""),"SELL",IF(AND(D2244=TRUE,E2244&lt;&gt;""),"HOLD",""))))</f>
        <v/>
      </c>
      <c r="G2244" s="12">
        <f>IF(D2244=TRUE,4,0)</f>
        <v/>
      </c>
      <c r="H2244">
        <f>IF(A2244="","",BDP(A2244&amp;" US Equity","GICS_SECTOR_NAME"))</f>
        <v/>
      </c>
    </row>
    <row r="2245">
      <c r="A2245">
        <f>'Factor Scores'!A2245</f>
        <v/>
      </c>
      <c r="B2245" s="10">
        <f>IF(A2245="","",0.40*'Factor Scores'!C2245+0.20*'Factor Scores'!E2245+0.20*'Factor Scores'!G2245+0.20*'Factor Scores'!H2245)</f>
        <v/>
      </c>
      <c r="C2245" s="12">
        <f>IF(B2245="","",RANK(B2245,$B$2:$B$2501,0))</f>
        <v/>
      </c>
      <c r="D2245">
        <f>IF(C2245="","",C2245&lt;=25)</f>
        <v/>
      </c>
      <c r="F2245">
        <f>IF(A2245="","",IF(AND(D2245=TRUE,E2245=""),"BUY",IF(AND(D2245=FALSE,E2245&lt;&gt;""),"SELL",IF(AND(D2245=TRUE,E2245&lt;&gt;""),"HOLD",""))))</f>
        <v/>
      </c>
      <c r="G2245" s="12">
        <f>IF(D2245=TRUE,4,0)</f>
        <v/>
      </c>
      <c r="H2245">
        <f>IF(A2245="","",BDP(A2245&amp;" US Equity","GICS_SECTOR_NAME"))</f>
        <v/>
      </c>
    </row>
    <row r="2246">
      <c r="A2246">
        <f>'Factor Scores'!A2246</f>
        <v/>
      </c>
      <c r="B2246" s="10">
        <f>IF(A2246="","",0.40*'Factor Scores'!C2246+0.20*'Factor Scores'!E2246+0.20*'Factor Scores'!G2246+0.20*'Factor Scores'!H2246)</f>
        <v/>
      </c>
      <c r="C2246" s="12">
        <f>IF(B2246="","",RANK(B2246,$B$2:$B$2501,0))</f>
        <v/>
      </c>
      <c r="D2246">
        <f>IF(C2246="","",C2246&lt;=25)</f>
        <v/>
      </c>
      <c r="F2246">
        <f>IF(A2246="","",IF(AND(D2246=TRUE,E2246=""),"BUY",IF(AND(D2246=FALSE,E2246&lt;&gt;""),"SELL",IF(AND(D2246=TRUE,E2246&lt;&gt;""),"HOLD",""))))</f>
        <v/>
      </c>
      <c r="G2246" s="12">
        <f>IF(D2246=TRUE,4,0)</f>
        <v/>
      </c>
      <c r="H2246">
        <f>IF(A2246="","",BDP(A2246&amp;" US Equity","GICS_SECTOR_NAME"))</f>
        <v/>
      </c>
    </row>
    <row r="2247">
      <c r="A2247">
        <f>'Factor Scores'!A2247</f>
        <v/>
      </c>
      <c r="B2247" s="10">
        <f>IF(A2247="","",0.40*'Factor Scores'!C2247+0.20*'Factor Scores'!E2247+0.20*'Factor Scores'!G2247+0.20*'Factor Scores'!H2247)</f>
        <v/>
      </c>
      <c r="C2247" s="12">
        <f>IF(B2247="","",RANK(B2247,$B$2:$B$2501,0))</f>
        <v/>
      </c>
      <c r="D2247">
        <f>IF(C2247="","",C2247&lt;=25)</f>
        <v/>
      </c>
      <c r="F2247">
        <f>IF(A2247="","",IF(AND(D2247=TRUE,E2247=""),"BUY",IF(AND(D2247=FALSE,E2247&lt;&gt;""),"SELL",IF(AND(D2247=TRUE,E2247&lt;&gt;""),"HOLD",""))))</f>
        <v/>
      </c>
      <c r="G2247" s="12">
        <f>IF(D2247=TRUE,4,0)</f>
        <v/>
      </c>
      <c r="H2247">
        <f>IF(A2247="","",BDP(A2247&amp;" US Equity","GICS_SECTOR_NAME"))</f>
        <v/>
      </c>
    </row>
    <row r="2248">
      <c r="A2248">
        <f>'Factor Scores'!A2248</f>
        <v/>
      </c>
      <c r="B2248" s="10">
        <f>IF(A2248="","",0.40*'Factor Scores'!C2248+0.20*'Factor Scores'!E2248+0.20*'Factor Scores'!G2248+0.20*'Factor Scores'!H2248)</f>
        <v/>
      </c>
      <c r="C2248" s="12">
        <f>IF(B2248="","",RANK(B2248,$B$2:$B$2501,0))</f>
        <v/>
      </c>
      <c r="D2248">
        <f>IF(C2248="","",C2248&lt;=25)</f>
        <v/>
      </c>
      <c r="F2248">
        <f>IF(A2248="","",IF(AND(D2248=TRUE,E2248=""),"BUY",IF(AND(D2248=FALSE,E2248&lt;&gt;""),"SELL",IF(AND(D2248=TRUE,E2248&lt;&gt;""),"HOLD",""))))</f>
        <v/>
      </c>
      <c r="G2248" s="12">
        <f>IF(D2248=TRUE,4,0)</f>
        <v/>
      </c>
      <c r="H2248">
        <f>IF(A2248="","",BDP(A2248&amp;" US Equity","GICS_SECTOR_NAME"))</f>
        <v/>
      </c>
    </row>
    <row r="2249">
      <c r="A2249">
        <f>'Factor Scores'!A2249</f>
        <v/>
      </c>
      <c r="B2249" s="10">
        <f>IF(A2249="","",0.40*'Factor Scores'!C2249+0.20*'Factor Scores'!E2249+0.20*'Factor Scores'!G2249+0.20*'Factor Scores'!H2249)</f>
        <v/>
      </c>
      <c r="C2249" s="12">
        <f>IF(B2249="","",RANK(B2249,$B$2:$B$2501,0))</f>
        <v/>
      </c>
      <c r="D2249">
        <f>IF(C2249="","",C2249&lt;=25)</f>
        <v/>
      </c>
      <c r="F2249">
        <f>IF(A2249="","",IF(AND(D2249=TRUE,E2249=""),"BUY",IF(AND(D2249=FALSE,E2249&lt;&gt;""),"SELL",IF(AND(D2249=TRUE,E2249&lt;&gt;""),"HOLD",""))))</f>
        <v/>
      </c>
      <c r="G2249" s="12">
        <f>IF(D2249=TRUE,4,0)</f>
        <v/>
      </c>
      <c r="H2249">
        <f>IF(A2249="","",BDP(A2249&amp;" US Equity","GICS_SECTOR_NAME"))</f>
        <v/>
      </c>
    </row>
    <row r="2250">
      <c r="A2250">
        <f>'Factor Scores'!A2250</f>
        <v/>
      </c>
      <c r="B2250" s="10">
        <f>IF(A2250="","",0.40*'Factor Scores'!C2250+0.20*'Factor Scores'!E2250+0.20*'Factor Scores'!G2250+0.20*'Factor Scores'!H2250)</f>
        <v/>
      </c>
      <c r="C2250" s="12">
        <f>IF(B2250="","",RANK(B2250,$B$2:$B$2501,0))</f>
        <v/>
      </c>
      <c r="D2250">
        <f>IF(C2250="","",C2250&lt;=25)</f>
        <v/>
      </c>
      <c r="F2250">
        <f>IF(A2250="","",IF(AND(D2250=TRUE,E2250=""),"BUY",IF(AND(D2250=FALSE,E2250&lt;&gt;""),"SELL",IF(AND(D2250=TRUE,E2250&lt;&gt;""),"HOLD",""))))</f>
        <v/>
      </c>
      <c r="G2250" s="12">
        <f>IF(D2250=TRUE,4,0)</f>
        <v/>
      </c>
      <c r="H2250">
        <f>IF(A2250="","",BDP(A2250&amp;" US Equity","GICS_SECTOR_NAME"))</f>
        <v/>
      </c>
    </row>
    <row r="2251">
      <c r="A2251">
        <f>'Factor Scores'!A2251</f>
        <v/>
      </c>
      <c r="B2251" s="10">
        <f>IF(A2251="","",0.40*'Factor Scores'!C2251+0.20*'Factor Scores'!E2251+0.20*'Factor Scores'!G2251+0.20*'Factor Scores'!H2251)</f>
        <v/>
      </c>
      <c r="C2251" s="12">
        <f>IF(B2251="","",RANK(B2251,$B$2:$B$2501,0))</f>
        <v/>
      </c>
      <c r="D2251">
        <f>IF(C2251="","",C2251&lt;=25)</f>
        <v/>
      </c>
      <c r="F2251">
        <f>IF(A2251="","",IF(AND(D2251=TRUE,E2251=""),"BUY",IF(AND(D2251=FALSE,E2251&lt;&gt;""),"SELL",IF(AND(D2251=TRUE,E2251&lt;&gt;""),"HOLD",""))))</f>
        <v/>
      </c>
      <c r="G2251" s="12">
        <f>IF(D2251=TRUE,4,0)</f>
        <v/>
      </c>
      <c r="H2251">
        <f>IF(A2251="","",BDP(A2251&amp;" US Equity","GICS_SECTOR_NAME"))</f>
        <v/>
      </c>
    </row>
    <row r="2252">
      <c r="A2252">
        <f>'Factor Scores'!A2252</f>
        <v/>
      </c>
      <c r="B2252" s="10">
        <f>IF(A2252="","",0.40*'Factor Scores'!C2252+0.20*'Factor Scores'!E2252+0.20*'Factor Scores'!G2252+0.20*'Factor Scores'!H2252)</f>
        <v/>
      </c>
      <c r="C2252" s="12">
        <f>IF(B2252="","",RANK(B2252,$B$2:$B$2501,0))</f>
        <v/>
      </c>
      <c r="D2252">
        <f>IF(C2252="","",C2252&lt;=25)</f>
        <v/>
      </c>
      <c r="F2252">
        <f>IF(A2252="","",IF(AND(D2252=TRUE,E2252=""),"BUY",IF(AND(D2252=FALSE,E2252&lt;&gt;""),"SELL",IF(AND(D2252=TRUE,E2252&lt;&gt;""),"HOLD",""))))</f>
        <v/>
      </c>
      <c r="G2252" s="12">
        <f>IF(D2252=TRUE,4,0)</f>
        <v/>
      </c>
      <c r="H2252">
        <f>IF(A2252="","",BDP(A2252&amp;" US Equity","GICS_SECTOR_NAME"))</f>
        <v/>
      </c>
    </row>
    <row r="2253">
      <c r="A2253">
        <f>'Factor Scores'!A2253</f>
        <v/>
      </c>
      <c r="B2253" s="10">
        <f>IF(A2253="","",0.40*'Factor Scores'!C2253+0.20*'Factor Scores'!E2253+0.20*'Factor Scores'!G2253+0.20*'Factor Scores'!H2253)</f>
        <v/>
      </c>
      <c r="C2253" s="12">
        <f>IF(B2253="","",RANK(B2253,$B$2:$B$2501,0))</f>
        <v/>
      </c>
      <c r="D2253">
        <f>IF(C2253="","",C2253&lt;=25)</f>
        <v/>
      </c>
      <c r="F2253">
        <f>IF(A2253="","",IF(AND(D2253=TRUE,E2253=""),"BUY",IF(AND(D2253=FALSE,E2253&lt;&gt;""),"SELL",IF(AND(D2253=TRUE,E2253&lt;&gt;""),"HOLD",""))))</f>
        <v/>
      </c>
      <c r="G2253" s="12">
        <f>IF(D2253=TRUE,4,0)</f>
        <v/>
      </c>
      <c r="H2253">
        <f>IF(A2253="","",BDP(A2253&amp;" US Equity","GICS_SECTOR_NAME"))</f>
        <v/>
      </c>
    </row>
    <row r="2254">
      <c r="A2254">
        <f>'Factor Scores'!A2254</f>
        <v/>
      </c>
      <c r="B2254" s="10">
        <f>IF(A2254="","",0.40*'Factor Scores'!C2254+0.20*'Factor Scores'!E2254+0.20*'Factor Scores'!G2254+0.20*'Factor Scores'!H2254)</f>
        <v/>
      </c>
      <c r="C2254" s="12">
        <f>IF(B2254="","",RANK(B2254,$B$2:$B$2501,0))</f>
        <v/>
      </c>
      <c r="D2254">
        <f>IF(C2254="","",C2254&lt;=25)</f>
        <v/>
      </c>
      <c r="F2254">
        <f>IF(A2254="","",IF(AND(D2254=TRUE,E2254=""),"BUY",IF(AND(D2254=FALSE,E2254&lt;&gt;""),"SELL",IF(AND(D2254=TRUE,E2254&lt;&gt;""),"HOLD",""))))</f>
        <v/>
      </c>
      <c r="G2254" s="12">
        <f>IF(D2254=TRUE,4,0)</f>
        <v/>
      </c>
      <c r="H2254">
        <f>IF(A2254="","",BDP(A2254&amp;" US Equity","GICS_SECTOR_NAME"))</f>
        <v/>
      </c>
    </row>
    <row r="2255">
      <c r="A2255">
        <f>'Factor Scores'!A2255</f>
        <v/>
      </c>
      <c r="B2255" s="10">
        <f>IF(A2255="","",0.40*'Factor Scores'!C2255+0.20*'Factor Scores'!E2255+0.20*'Factor Scores'!G2255+0.20*'Factor Scores'!H2255)</f>
        <v/>
      </c>
      <c r="C2255" s="12">
        <f>IF(B2255="","",RANK(B2255,$B$2:$B$2501,0))</f>
        <v/>
      </c>
      <c r="D2255">
        <f>IF(C2255="","",C2255&lt;=25)</f>
        <v/>
      </c>
      <c r="F2255">
        <f>IF(A2255="","",IF(AND(D2255=TRUE,E2255=""),"BUY",IF(AND(D2255=FALSE,E2255&lt;&gt;""),"SELL",IF(AND(D2255=TRUE,E2255&lt;&gt;""),"HOLD",""))))</f>
        <v/>
      </c>
      <c r="G2255" s="12">
        <f>IF(D2255=TRUE,4,0)</f>
        <v/>
      </c>
      <c r="H2255">
        <f>IF(A2255="","",BDP(A2255&amp;" US Equity","GICS_SECTOR_NAME"))</f>
        <v/>
      </c>
    </row>
    <row r="2256">
      <c r="A2256">
        <f>'Factor Scores'!A2256</f>
        <v/>
      </c>
      <c r="B2256" s="10">
        <f>IF(A2256="","",0.40*'Factor Scores'!C2256+0.20*'Factor Scores'!E2256+0.20*'Factor Scores'!G2256+0.20*'Factor Scores'!H2256)</f>
        <v/>
      </c>
      <c r="C2256" s="12">
        <f>IF(B2256="","",RANK(B2256,$B$2:$B$2501,0))</f>
        <v/>
      </c>
      <c r="D2256">
        <f>IF(C2256="","",C2256&lt;=25)</f>
        <v/>
      </c>
      <c r="F2256">
        <f>IF(A2256="","",IF(AND(D2256=TRUE,E2256=""),"BUY",IF(AND(D2256=FALSE,E2256&lt;&gt;""),"SELL",IF(AND(D2256=TRUE,E2256&lt;&gt;""),"HOLD",""))))</f>
        <v/>
      </c>
      <c r="G2256" s="12">
        <f>IF(D2256=TRUE,4,0)</f>
        <v/>
      </c>
      <c r="H2256">
        <f>IF(A2256="","",BDP(A2256&amp;" US Equity","GICS_SECTOR_NAME"))</f>
        <v/>
      </c>
    </row>
    <row r="2257">
      <c r="A2257">
        <f>'Factor Scores'!A2257</f>
        <v/>
      </c>
      <c r="B2257" s="10">
        <f>IF(A2257="","",0.40*'Factor Scores'!C2257+0.20*'Factor Scores'!E2257+0.20*'Factor Scores'!G2257+0.20*'Factor Scores'!H2257)</f>
        <v/>
      </c>
      <c r="C2257" s="12">
        <f>IF(B2257="","",RANK(B2257,$B$2:$B$2501,0))</f>
        <v/>
      </c>
      <c r="D2257">
        <f>IF(C2257="","",C2257&lt;=25)</f>
        <v/>
      </c>
      <c r="F2257">
        <f>IF(A2257="","",IF(AND(D2257=TRUE,E2257=""),"BUY",IF(AND(D2257=FALSE,E2257&lt;&gt;""),"SELL",IF(AND(D2257=TRUE,E2257&lt;&gt;""),"HOLD",""))))</f>
        <v/>
      </c>
      <c r="G2257" s="12">
        <f>IF(D2257=TRUE,4,0)</f>
        <v/>
      </c>
      <c r="H2257">
        <f>IF(A2257="","",BDP(A2257&amp;" US Equity","GICS_SECTOR_NAME"))</f>
        <v/>
      </c>
    </row>
    <row r="2258">
      <c r="A2258">
        <f>'Factor Scores'!A2258</f>
        <v/>
      </c>
      <c r="B2258" s="10">
        <f>IF(A2258="","",0.40*'Factor Scores'!C2258+0.20*'Factor Scores'!E2258+0.20*'Factor Scores'!G2258+0.20*'Factor Scores'!H2258)</f>
        <v/>
      </c>
      <c r="C2258" s="12">
        <f>IF(B2258="","",RANK(B2258,$B$2:$B$2501,0))</f>
        <v/>
      </c>
      <c r="D2258">
        <f>IF(C2258="","",C2258&lt;=25)</f>
        <v/>
      </c>
      <c r="F2258">
        <f>IF(A2258="","",IF(AND(D2258=TRUE,E2258=""),"BUY",IF(AND(D2258=FALSE,E2258&lt;&gt;""),"SELL",IF(AND(D2258=TRUE,E2258&lt;&gt;""),"HOLD",""))))</f>
        <v/>
      </c>
      <c r="G2258" s="12">
        <f>IF(D2258=TRUE,4,0)</f>
        <v/>
      </c>
      <c r="H2258">
        <f>IF(A2258="","",BDP(A2258&amp;" US Equity","GICS_SECTOR_NAME"))</f>
        <v/>
      </c>
    </row>
    <row r="2259">
      <c r="A2259">
        <f>'Factor Scores'!A2259</f>
        <v/>
      </c>
      <c r="B2259" s="10">
        <f>IF(A2259="","",0.40*'Factor Scores'!C2259+0.20*'Factor Scores'!E2259+0.20*'Factor Scores'!G2259+0.20*'Factor Scores'!H2259)</f>
        <v/>
      </c>
      <c r="C2259" s="12">
        <f>IF(B2259="","",RANK(B2259,$B$2:$B$2501,0))</f>
        <v/>
      </c>
      <c r="D2259">
        <f>IF(C2259="","",C2259&lt;=25)</f>
        <v/>
      </c>
      <c r="F2259">
        <f>IF(A2259="","",IF(AND(D2259=TRUE,E2259=""),"BUY",IF(AND(D2259=FALSE,E2259&lt;&gt;""),"SELL",IF(AND(D2259=TRUE,E2259&lt;&gt;""),"HOLD",""))))</f>
        <v/>
      </c>
      <c r="G2259" s="12">
        <f>IF(D2259=TRUE,4,0)</f>
        <v/>
      </c>
      <c r="H2259">
        <f>IF(A2259="","",BDP(A2259&amp;" US Equity","GICS_SECTOR_NAME"))</f>
        <v/>
      </c>
    </row>
    <row r="2260">
      <c r="A2260">
        <f>'Factor Scores'!A2260</f>
        <v/>
      </c>
      <c r="B2260" s="10">
        <f>IF(A2260="","",0.40*'Factor Scores'!C2260+0.20*'Factor Scores'!E2260+0.20*'Factor Scores'!G2260+0.20*'Factor Scores'!H2260)</f>
        <v/>
      </c>
      <c r="C2260" s="12">
        <f>IF(B2260="","",RANK(B2260,$B$2:$B$2501,0))</f>
        <v/>
      </c>
      <c r="D2260">
        <f>IF(C2260="","",C2260&lt;=25)</f>
        <v/>
      </c>
      <c r="F2260">
        <f>IF(A2260="","",IF(AND(D2260=TRUE,E2260=""),"BUY",IF(AND(D2260=FALSE,E2260&lt;&gt;""),"SELL",IF(AND(D2260=TRUE,E2260&lt;&gt;""),"HOLD",""))))</f>
        <v/>
      </c>
      <c r="G2260" s="12">
        <f>IF(D2260=TRUE,4,0)</f>
        <v/>
      </c>
      <c r="H2260">
        <f>IF(A2260="","",BDP(A2260&amp;" US Equity","GICS_SECTOR_NAME"))</f>
        <v/>
      </c>
    </row>
    <row r="2261">
      <c r="A2261">
        <f>'Factor Scores'!A2261</f>
        <v/>
      </c>
      <c r="B2261" s="10">
        <f>IF(A2261="","",0.40*'Factor Scores'!C2261+0.20*'Factor Scores'!E2261+0.20*'Factor Scores'!G2261+0.20*'Factor Scores'!H2261)</f>
        <v/>
      </c>
      <c r="C2261" s="12">
        <f>IF(B2261="","",RANK(B2261,$B$2:$B$2501,0))</f>
        <v/>
      </c>
      <c r="D2261">
        <f>IF(C2261="","",C2261&lt;=25)</f>
        <v/>
      </c>
      <c r="F2261">
        <f>IF(A2261="","",IF(AND(D2261=TRUE,E2261=""),"BUY",IF(AND(D2261=FALSE,E2261&lt;&gt;""),"SELL",IF(AND(D2261=TRUE,E2261&lt;&gt;""),"HOLD",""))))</f>
        <v/>
      </c>
      <c r="G2261" s="12">
        <f>IF(D2261=TRUE,4,0)</f>
        <v/>
      </c>
      <c r="H2261">
        <f>IF(A2261="","",BDP(A2261&amp;" US Equity","GICS_SECTOR_NAME"))</f>
        <v/>
      </c>
    </row>
    <row r="2262">
      <c r="A2262">
        <f>'Factor Scores'!A2262</f>
        <v/>
      </c>
      <c r="B2262" s="10">
        <f>IF(A2262="","",0.40*'Factor Scores'!C2262+0.20*'Factor Scores'!E2262+0.20*'Factor Scores'!G2262+0.20*'Factor Scores'!H2262)</f>
        <v/>
      </c>
      <c r="C2262" s="12">
        <f>IF(B2262="","",RANK(B2262,$B$2:$B$2501,0))</f>
        <v/>
      </c>
      <c r="D2262">
        <f>IF(C2262="","",C2262&lt;=25)</f>
        <v/>
      </c>
      <c r="F2262">
        <f>IF(A2262="","",IF(AND(D2262=TRUE,E2262=""),"BUY",IF(AND(D2262=FALSE,E2262&lt;&gt;""),"SELL",IF(AND(D2262=TRUE,E2262&lt;&gt;""),"HOLD",""))))</f>
        <v/>
      </c>
      <c r="G2262" s="12">
        <f>IF(D2262=TRUE,4,0)</f>
        <v/>
      </c>
      <c r="H2262">
        <f>IF(A2262="","",BDP(A2262&amp;" US Equity","GICS_SECTOR_NAME"))</f>
        <v/>
      </c>
    </row>
    <row r="2263">
      <c r="A2263">
        <f>'Factor Scores'!A2263</f>
        <v/>
      </c>
      <c r="B2263" s="10">
        <f>IF(A2263="","",0.40*'Factor Scores'!C2263+0.20*'Factor Scores'!E2263+0.20*'Factor Scores'!G2263+0.20*'Factor Scores'!H2263)</f>
        <v/>
      </c>
      <c r="C2263" s="12">
        <f>IF(B2263="","",RANK(B2263,$B$2:$B$2501,0))</f>
        <v/>
      </c>
      <c r="D2263">
        <f>IF(C2263="","",C2263&lt;=25)</f>
        <v/>
      </c>
      <c r="F2263">
        <f>IF(A2263="","",IF(AND(D2263=TRUE,E2263=""),"BUY",IF(AND(D2263=FALSE,E2263&lt;&gt;""),"SELL",IF(AND(D2263=TRUE,E2263&lt;&gt;""),"HOLD",""))))</f>
        <v/>
      </c>
      <c r="G2263" s="12">
        <f>IF(D2263=TRUE,4,0)</f>
        <v/>
      </c>
      <c r="H2263">
        <f>IF(A2263="","",BDP(A2263&amp;" US Equity","GICS_SECTOR_NAME"))</f>
        <v/>
      </c>
    </row>
    <row r="2264">
      <c r="A2264">
        <f>'Factor Scores'!A2264</f>
        <v/>
      </c>
      <c r="B2264" s="10">
        <f>IF(A2264="","",0.40*'Factor Scores'!C2264+0.20*'Factor Scores'!E2264+0.20*'Factor Scores'!G2264+0.20*'Factor Scores'!H2264)</f>
        <v/>
      </c>
      <c r="C2264" s="12">
        <f>IF(B2264="","",RANK(B2264,$B$2:$B$2501,0))</f>
        <v/>
      </c>
      <c r="D2264">
        <f>IF(C2264="","",C2264&lt;=25)</f>
        <v/>
      </c>
      <c r="F2264">
        <f>IF(A2264="","",IF(AND(D2264=TRUE,E2264=""),"BUY",IF(AND(D2264=FALSE,E2264&lt;&gt;""),"SELL",IF(AND(D2264=TRUE,E2264&lt;&gt;""),"HOLD",""))))</f>
        <v/>
      </c>
      <c r="G2264" s="12">
        <f>IF(D2264=TRUE,4,0)</f>
        <v/>
      </c>
      <c r="H2264">
        <f>IF(A2264="","",BDP(A2264&amp;" US Equity","GICS_SECTOR_NAME"))</f>
        <v/>
      </c>
    </row>
    <row r="2265">
      <c r="A2265">
        <f>'Factor Scores'!A2265</f>
        <v/>
      </c>
      <c r="B2265" s="10">
        <f>IF(A2265="","",0.40*'Factor Scores'!C2265+0.20*'Factor Scores'!E2265+0.20*'Factor Scores'!G2265+0.20*'Factor Scores'!H2265)</f>
        <v/>
      </c>
      <c r="C2265" s="12">
        <f>IF(B2265="","",RANK(B2265,$B$2:$B$2501,0))</f>
        <v/>
      </c>
      <c r="D2265">
        <f>IF(C2265="","",C2265&lt;=25)</f>
        <v/>
      </c>
      <c r="F2265">
        <f>IF(A2265="","",IF(AND(D2265=TRUE,E2265=""),"BUY",IF(AND(D2265=FALSE,E2265&lt;&gt;""),"SELL",IF(AND(D2265=TRUE,E2265&lt;&gt;""),"HOLD",""))))</f>
        <v/>
      </c>
      <c r="G2265" s="12">
        <f>IF(D2265=TRUE,4,0)</f>
        <v/>
      </c>
      <c r="H2265">
        <f>IF(A2265="","",BDP(A2265&amp;" US Equity","GICS_SECTOR_NAME"))</f>
        <v/>
      </c>
    </row>
    <row r="2266">
      <c r="A2266">
        <f>'Factor Scores'!A2266</f>
        <v/>
      </c>
      <c r="B2266" s="10">
        <f>IF(A2266="","",0.40*'Factor Scores'!C2266+0.20*'Factor Scores'!E2266+0.20*'Factor Scores'!G2266+0.20*'Factor Scores'!H2266)</f>
        <v/>
      </c>
      <c r="C2266" s="12">
        <f>IF(B2266="","",RANK(B2266,$B$2:$B$2501,0))</f>
        <v/>
      </c>
      <c r="D2266">
        <f>IF(C2266="","",C2266&lt;=25)</f>
        <v/>
      </c>
      <c r="F2266">
        <f>IF(A2266="","",IF(AND(D2266=TRUE,E2266=""),"BUY",IF(AND(D2266=FALSE,E2266&lt;&gt;""),"SELL",IF(AND(D2266=TRUE,E2266&lt;&gt;""),"HOLD",""))))</f>
        <v/>
      </c>
      <c r="G2266" s="12">
        <f>IF(D2266=TRUE,4,0)</f>
        <v/>
      </c>
      <c r="H2266">
        <f>IF(A2266="","",BDP(A2266&amp;" US Equity","GICS_SECTOR_NAME"))</f>
        <v/>
      </c>
    </row>
    <row r="2267">
      <c r="A2267">
        <f>'Factor Scores'!A2267</f>
        <v/>
      </c>
      <c r="B2267" s="10">
        <f>IF(A2267="","",0.40*'Factor Scores'!C2267+0.20*'Factor Scores'!E2267+0.20*'Factor Scores'!G2267+0.20*'Factor Scores'!H2267)</f>
        <v/>
      </c>
      <c r="C2267" s="12">
        <f>IF(B2267="","",RANK(B2267,$B$2:$B$2501,0))</f>
        <v/>
      </c>
      <c r="D2267">
        <f>IF(C2267="","",C2267&lt;=25)</f>
        <v/>
      </c>
      <c r="F2267">
        <f>IF(A2267="","",IF(AND(D2267=TRUE,E2267=""),"BUY",IF(AND(D2267=FALSE,E2267&lt;&gt;""),"SELL",IF(AND(D2267=TRUE,E2267&lt;&gt;""),"HOLD",""))))</f>
        <v/>
      </c>
      <c r="G2267" s="12">
        <f>IF(D2267=TRUE,4,0)</f>
        <v/>
      </c>
      <c r="H2267">
        <f>IF(A2267="","",BDP(A2267&amp;" US Equity","GICS_SECTOR_NAME"))</f>
        <v/>
      </c>
    </row>
    <row r="2268">
      <c r="A2268">
        <f>'Factor Scores'!A2268</f>
        <v/>
      </c>
      <c r="B2268" s="10">
        <f>IF(A2268="","",0.40*'Factor Scores'!C2268+0.20*'Factor Scores'!E2268+0.20*'Factor Scores'!G2268+0.20*'Factor Scores'!H2268)</f>
        <v/>
      </c>
      <c r="C2268" s="12">
        <f>IF(B2268="","",RANK(B2268,$B$2:$B$2501,0))</f>
        <v/>
      </c>
      <c r="D2268">
        <f>IF(C2268="","",C2268&lt;=25)</f>
        <v/>
      </c>
      <c r="F2268">
        <f>IF(A2268="","",IF(AND(D2268=TRUE,E2268=""),"BUY",IF(AND(D2268=FALSE,E2268&lt;&gt;""),"SELL",IF(AND(D2268=TRUE,E2268&lt;&gt;""),"HOLD",""))))</f>
        <v/>
      </c>
      <c r="G2268" s="12">
        <f>IF(D2268=TRUE,4,0)</f>
        <v/>
      </c>
      <c r="H2268">
        <f>IF(A2268="","",BDP(A2268&amp;" US Equity","GICS_SECTOR_NAME"))</f>
        <v/>
      </c>
    </row>
    <row r="2269">
      <c r="A2269">
        <f>'Factor Scores'!A2269</f>
        <v/>
      </c>
      <c r="B2269" s="10">
        <f>IF(A2269="","",0.40*'Factor Scores'!C2269+0.20*'Factor Scores'!E2269+0.20*'Factor Scores'!G2269+0.20*'Factor Scores'!H2269)</f>
        <v/>
      </c>
      <c r="C2269" s="12">
        <f>IF(B2269="","",RANK(B2269,$B$2:$B$2501,0))</f>
        <v/>
      </c>
      <c r="D2269">
        <f>IF(C2269="","",C2269&lt;=25)</f>
        <v/>
      </c>
      <c r="F2269">
        <f>IF(A2269="","",IF(AND(D2269=TRUE,E2269=""),"BUY",IF(AND(D2269=FALSE,E2269&lt;&gt;""),"SELL",IF(AND(D2269=TRUE,E2269&lt;&gt;""),"HOLD",""))))</f>
        <v/>
      </c>
      <c r="G2269" s="12">
        <f>IF(D2269=TRUE,4,0)</f>
        <v/>
      </c>
      <c r="H2269">
        <f>IF(A2269="","",BDP(A2269&amp;" US Equity","GICS_SECTOR_NAME"))</f>
        <v/>
      </c>
    </row>
    <row r="2270">
      <c r="A2270">
        <f>'Factor Scores'!A2270</f>
        <v/>
      </c>
      <c r="B2270" s="10">
        <f>IF(A2270="","",0.40*'Factor Scores'!C2270+0.20*'Factor Scores'!E2270+0.20*'Factor Scores'!G2270+0.20*'Factor Scores'!H2270)</f>
        <v/>
      </c>
      <c r="C2270" s="12">
        <f>IF(B2270="","",RANK(B2270,$B$2:$B$2501,0))</f>
        <v/>
      </c>
      <c r="D2270">
        <f>IF(C2270="","",C2270&lt;=25)</f>
        <v/>
      </c>
      <c r="F2270">
        <f>IF(A2270="","",IF(AND(D2270=TRUE,E2270=""),"BUY",IF(AND(D2270=FALSE,E2270&lt;&gt;""),"SELL",IF(AND(D2270=TRUE,E2270&lt;&gt;""),"HOLD",""))))</f>
        <v/>
      </c>
      <c r="G2270" s="12">
        <f>IF(D2270=TRUE,4,0)</f>
        <v/>
      </c>
      <c r="H2270">
        <f>IF(A2270="","",BDP(A2270&amp;" US Equity","GICS_SECTOR_NAME"))</f>
        <v/>
      </c>
    </row>
    <row r="2271">
      <c r="A2271">
        <f>'Factor Scores'!A2271</f>
        <v/>
      </c>
      <c r="B2271" s="10">
        <f>IF(A2271="","",0.40*'Factor Scores'!C2271+0.20*'Factor Scores'!E2271+0.20*'Factor Scores'!G2271+0.20*'Factor Scores'!H2271)</f>
        <v/>
      </c>
      <c r="C2271" s="12">
        <f>IF(B2271="","",RANK(B2271,$B$2:$B$2501,0))</f>
        <v/>
      </c>
      <c r="D2271">
        <f>IF(C2271="","",C2271&lt;=25)</f>
        <v/>
      </c>
      <c r="F2271">
        <f>IF(A2271="","",IF(AND(D2271=TRUE,E2271=""),"BUY",IF(AND(D2271=FALSE,E2271&lt;&gt;""),"SELL",IF(AND(D2271=TRUE,E2271&lt;&gt;""),"HOLD",""))))</f>
        <v/>
      </c>
      <c r="G2271" s="12">
        <f>IF(D2271=TRUE,4,0)</f>
        <v/>
      </c>
      <c r="H2271">
        <f>IF(A2271="","",BDP(A2271&amp;" US Equity","GICS_SECTOR_NAME"))</f>
        <v/>
      </c>
    </row>
    <row r="2272">
      <c r="A2272">
        <f>'Factor Scores'!A2272</f>
        <v/>
      </c>
      <c r="B2272" s="10">
        <f>IF(A2272="","",0.40*'Factor Scores'!C2272+0.20*'Factor Scores'!E2272+0.20*'Factor Scores'!G2272+0.20*'Factor Scores'!H2272)</f>
        <v/>
      </c>
      <c r="C2272" s="12">
        <f>IF(B2272="","",RANK(B2272,$B$2:$B$2501,0))</f>
        <v/>
      </c>
      <c r="D2272">
        <f>IF(C2272="","",C2272&lt;=25)</f>
        <v/>
      </c>
      <c r="F2272">
        <f>IF(A2272="","",IF(AND(D2272=TRUE,E2272=""),"BUY",IF(AND(D2272=FALSE,E2272&lt;&gt;""),"SELL",IF(AND(D2272=TRUE,E2272&lt;&gt;""),"HOLD",""))))</f>
        <v/>
      </c>
      <c r="G2272" s="12">
        <f>IF(D2272=TRUE,4,0)</f>
        <v/>
      </c>
      <c r="H2272">
        <f>IF(A2272="","",BDP(A2272&amp;" US Equity","GICS_SECTOR_NAME"))</f>
        <v/>
      </c>
    </row>
    <row r="2273">
      <c r="A2273">
        <f>'Factor Scores'!A2273</f>
        <v/>
      </c>
      <c r="B2273" s="10">
        <f>IF(A2273="","",0.40*'Factor Scores'!C2273+0.20*'Factor Scores'!E2273+0.20*'Factor Scores'!G2273+0.20*'Factor Scores'!H2273)</f>
        <v/>
      </c>
      <c r="C2273" s="12">
        <f>IF(B2273="","",RANK(B2273,$B$2:$B$2501,0))</f>
        <v/>
      </c>
      <c r="D2273">
        <f>IF(C2273="","",C2273&lt;=25)</f>
        <v/>
      </c>
      <c r="F2273">
        <f>IF(A2273="","",IF(AND(D2273=TRUE,E2273=""),"BUY",IF(AND(D2273=FALSE,E2273&lt;&gt;""),"SELL",IF(AND(D2273=TRUE,E2273&lt;&gt;""),"HOLD",""))))</f>
        <v/>
      </c>
      <c r="G2273" s="12">
        <f>IF(D2273=TRUE,4,0)</f>
        <v/>
      </c>
      <c r="H2273">
        <f>IF(A2273="","",BDP(A2273&amp;" US Equity","GICS_SECTOR_NAME"))</f>
        <v/>
      </c>
    </row>
    <row r="2274">
      <c r="A2274">
        <f>'Factor Scores'!A2274</f>
        <v/>
      </c>
      <c r="B2274" s="10">
        <f>IF(A2274="","",0.40*'Factor Scores'!C2274+0.20*'Factor Scores'!E2274+0.20*'Factor Scores'!G2274+0.20*'Factor Scores'!H2274)</f>
        <v/>
      </c>
      <c r="C2274" s="12">
        <f>IF(B2274="","",RANK(B2274,$B$2:$B$2501,0))</f>
        <v/>
      </c>
      <c r="D2274">
        <f>IF(C2274="","",C2274&lt;=25)</f>
        <v/>
      </c>
      <c r="F2274">
        <f>IF(A2274="","",IF(AND(D2274=TRUE,E2274=""),"BUY",IF(AND(D2274=FALSE,E2274&lt;&gt;""),"SELL",IF(AND(D2274=TRUE,E2274&lt;&gt;""),"HOLD",""))))</f>
        <v/>
      </c>
      <c r="G2274" s="12">
        <f>IF(D2274=TRUE,4,0)</f>
        <v/>
      </c>
      <c r="H2274">
        <f>IF(A2274="","",BDP(A2274&amp;" US Equity","GICS_SECTOR_NAME"))</f>
        <v/>
      </c>
    </row>
    <row r="2275">
      <c r="A2275">
        <f>'Factor Scores'!A2275</f>
        <v/>
      </c>
      <c r="B2275" s="10">
        <f>IF(A2275="","",0.40*'Factor Scores'!C2275+0.20*'Factor Scores'!E2275+0.20*'Factor Scores'!G2275+0.20*'Factor Scores'!H2275)</f>
        <v/>
      </c>
      <c r="C2275" s="12">
        <f>IF(B2275="","",RANK(B2275,$B$2:$B$2501,0))</f>
        <v/>
      </c>
      <c r="D2275">
        <f>IF(C2275="","",C2275&lt;=25)</f>
        <v/>
      </c>
      <c r="F2275">
        <f>IF(A2275="","",IF(AND(D2275=TRUE,E2275=""),"BUY",IF(AND(D2275=FALSE,E2275&lt;&gt;""),"SELL",IF(AND(D2275=TRUE,E2275&lt;&gt;""),"HOLD",""))))</f>
        <v/>
      </c>
      <c r="G2275" s="12">
        <f>IF(D2275=TRUE,4,0)</f>
        <v/>
      </c>
      <c r="H2275">
        <f>IF(A2275="","",BDP(A2275&amp;" US Equity","GICS_SECTOR_NAME"))</f>
        <v/>
      </c>
    </row>
    <row r="2276">
      <c r="A2276">
        <f>'Factor Scores'!A2276</f>
        <v/>
      </c>
      <c r="B2276" s="10">
        <f>IF(A2276="","",0.40*'Factor Scores'!C2276+0.20*'Factor Scores'!E2276+0.20*'Factor Scores'!G2276+0.20*'Factor Scores'!H2276)</f>
        <v/>
      </c>
      <c r="C2276" s="12">
        <f>IF(B2276="","",RANK(B2276,$B$2:$B$2501,0))</f>
        <v/>
      </c>
      <c r="D2276">
        <f>IF(C2276="","",C2276&lt;=25)</f>
        <v/>
      </c>
      <c r="F2276">
        <f>IF(A2276="","",IF(AND(D2276=TRUE,E2276=""),"BUY",IF(AND(D2276=FALSE,E2276&lt;&gt;""),"SELL",IF(AND(D2276=TRUE,E2276&lt;&gt;""),"HOLD",""))))</f>
        <v/>
      </c>
      <c r="G2276" s="12">
        <f>IF(D2276=TRUE,4,0)</f>
        <v/>
      </c>
      <c r="H2276">
        <f>IF(A2276="","",BDP(A2276&amp;" US Equity","GICS_SECTOR_NAME"))</f>
        <v/>
      </c>
    </row>
    <row r="2277">
      <c r="A2277">
        <f>'Factor Scores'!A2277</f>
        <v/>
      </c>
      <c r="B2277" s="10">
        <f>IF(A2277="","",0.40*'Factor Scores'!C2277+0.20*'Factor Scores'!E2277+0.20*'Factor Scores'!G2277+0.20*'Factor Scores'!H2277)</f>
        <v/>
      </c>
      <c r="C2277" s="12">
        <f>IF(B2277="","",RANK(B2277,$B$2:$B$2501,0))</f>
        <v/>
      </c>
      <c r="D2277">
        <f>IF(C2277="","",C2277&lt;=25)</f>
        <v/>
      </c>
      <c r="F2277">
        <f>IF(A2277="","",IF(AND(D2277=TRUE,E2277=""),"BUY",IF(AND(D2277=FALSE,E2277&lt;&gt;""),"SELL",IF(AND(D2277=TRUE,E2277&lt;&gt;""),"HOLD",""))))</f>
        <v/>
      </c>
      <c r="G2277" s="12">
        <f>IF(D2277=TRUE,4,0)</f>
        <v/>
      </c>
      <c r="H2277">
        <f>IF(A2277="","",BDP(A2277&amp;" US Equity","GICS_SECTOR_NAME"))</f>
        <v/>
      </c>
    </row>
    <row r="2278">
      <c r="A2278">
        <f>'Factor Scores'!A2278</f>
        <v/>
      </c>
      <c r="B2278" s="10">
        <f>IF(A2278="","",0.40*'Factor Scores'!C2278+0.20*'Factor Scores'!E2278+0.20*'Factor Scores'!G2278+0.20*'Factor Scores'!H2278)</f>
        <v/>
      </c>
      <c r="C2278" s="12">
        <f>IF(B2278="","",RANK(B2278,$B$2:$B$2501,0))</f>
        <v/>
      </c>
      <c r="D2278">
        <f>IF(C2278="","",C2278&lt;=25)</f>
        <v/>
      </c>
      <c r="F2278">
        <f>IF(A2278="","",IF(AND(D2278=TRUE,E2278=""),"BUY",IF(AND(D2278=FALSE,E2278&lt;&gt;""),"SELL",IF(AND(D2278=TRUE,E2278&lt;&gt;""),"HOLD",""))))</f>
        <v/>
      </c>
      <c r="G2278" s="12">
        <f>IF(D2278=TRUE,4,0)</f>
        <v/>
      </c>
      <c r="H2278">
        <f>IF(A2278="","",BDP(A2278&amp;" US Equity","GICS_SECTOR_NAME"))</f>
        <v/>
      </c>
    </row>
    <row r="2279">
      <c r="A2279">
        <f>'Factor Scores'!A2279</f>
        <v/>
      </c>
      <c r="B2279" s="10">
        <f>IF(A2279="","",0.40*'Factor Scores'!C2279+0.20*'Factor Scores'!E2279+0.20*'Factor Scores'!G2279+0.20*'Factor Scores'!H2279)</f>
        <v/>
      </c>
      <c r="C2279" s="12">
        <f>IF(B2279="","",RANK(B2279,$B$2:$B$2501,0))</f>
        <v/>
      </c>
      <c r="D2279">
        <f>IF(C2279="","",C2279&lt;=25)</f>
        <v/>
      </c>
      <c r="F2279">
        <f>IF(A2279="","",IF(AND(D2279=TRUE,E2279=""),"BUY",IF(AND(D2279=FALSE,E2279&lt;&gt;""),"SELL",IF(AND(D2279=TRUE,E2279&lt;&gt;""),"HOLD",""))))</f>
        <v/>
      </c>
      <c r="G2279" s="12">
        <f>IF(D2279=TRUE,4,0)</f>
        <v/>
      </c>
      <c r="H2279">
        <f>IF(A2279="","",BDP(A2279&amp;" US Equity","GICS_SECTOR_NAME"))</f>
        <v/>
      </c>
    </row>
    <row r="2280">
      <c r="A2280">
        <f>'Factor Scores'!A2280</f>
        <v/>
      </c>
      <c r="B2280" s="10">
        <f>IF(A2280="","",0.40*'Factor Scores'!C2280+0.20*'Factor Scores'!E2280+0.20*'Factor Scores'!G2280+0.20*'Factor Scores'!H2280)</f>
        <v/>
      </c>
      <c r="C2280" s="12">
        <f>IF(B2280="","",RANK(B2280,$B$2:$B$2501,0))</f>
        <v/>
      </c>
      <c r="D2280">
        <f>IF(C2280="","",C2280&lt;=25)</f>
        <v/>
      </c>
      <c r="F2280">
        <f>IF(A2280="","",IF(AND(D2280=TRUE,E2280=""),"BUY",IF(AND(D2280=FALSE,E2280&lt;&gt;""),"SELL",IF(AND(D2280=TRUE,E2280&lt;&gt;""),"HOLD",""))))</f>
        <v/>
      </c>
      <c r="G2280" s="12">
        <f>IF(D2280=TRUE,4,0)</f>
        <v/>
      </c>
      <c r="H2280">
        <f>IF(A2280="","",BDP(A2280&amp;" US Equity","GICS_SECTOR_NAME"))</f>
        <v/>
      </c>
    </row>
    <row r="2281">
      <c r="A2281">
        <f>'Factor Scores'!A2281</f>
        <v/>
      </c>
      <c r="B2281" s="10">
        <f>IF(A2281="","",0.40*'Factor Scores'!C2281+0.20*'Factor Scores'!E2281+0.20*'Factor Scores'!G2281+0.20*'Factor Scores'!H2281)</f>
        <v/>
      </c>
      <c r="C2281" s="12">
        <f>IF(B2281="","",RANK(B2281,$B$2:$B$2501,0))</f>
        <v/>
      </c>
      <c r="D2281">
        <f>IF(C2281="","",C2281&lt;=25)</f>
        <v/>
      </c>
      <c r="F2281">
        <f>IF(A2281="","",IF(AND(D2281=TRUE,E2281=""),"BUY",IF(AND(D2281=FALSE,E2281&lt;&gt;""),"SELL",IF(AND(D2281=TRUE,E2281&lt;&gt;""),"HOLD",""))))</f>
        <v/>
      </c>
      <c r="G2281" s="12">
        <f>IF(D2281=TRUE,4,0)</f>
        <v/>
      </c>
      <c r="H2281">
        <f>IF(A2281="","",BDP(A2281&amp;" US Equity","GICS_SECTOR_NAME"))</f>
        <v/>
      </c>
    </row>
    <row r="2282">
      <c r="A2282">
        <f>'Factor Scores'!A2282</f>
        <v/>
      </c>
      <c r="B2282" s="10">
        <f>IF(A2282="","",0.40*'Factor Scores'!C2282+0.20*'Factor Scores'!E2282+0.20*'Factor Scores'!G2282+0.20*'Factor Scores'!H2282)</f>
        <v/>
      </c>
      <c r="C2282" s="12">
        <f>IF(B2282="","",RANK(B2282,$B$2:$B$2501,0))</f>
        <v/>
      </c>
      <c r="D2282">
        <f>IF(C2282="","",C2282&lt;=25)</f>
        <v/>
      </c>
      <c r="F2282">
        <f>IF(A2282="","",IF(AND(D2282=TRUE,E2282=""),"BUY",IF(AND(D2282=FALSE,E2282&lt;&gt;""),"SELL",IF(AND(D2282=TRUE,E2282&lt;&gt;""),"HOLD",""))))</f>
        <v/>
      </c>
      <c r="G2282" s="12">
        <f>IF(D2282=TRUE,4,0)</f>
        <v/>
      </c>
      <c r="H2282">
        <f>IF(A2282="","",BDP(A2282&amp;" US Equity","GICS_SECTOR_NAME"))</f>
        <v/>
      </c>
    </row>
    <row r="2283">
      <c r="A2283">
        <f>'Factor Scores'!A2283</f>
        <v/>
      </c>
      <c r="B2283" s="10">
        <f>IF(A2283="","",0.40*'Factor Scores'!C2283+0.20*'Factor Scores'!E2283+0.20*'Factor Scores'!G2283+0.20*'Factor Scores'!H2283)</f>
        <v/>
      </c>
      <c r="C2283" s="12">
        <f>IF(B2283="","",RANK(B2283,$B$2:$B$2501,0))</f>
        <v/>
      </c>
      <c r="D2283">
        <f>IF(C2283="","",C2283&lt;=25)</f>
        <v/>
      </c>
      <c r="F2283">
        <f>IF(A2283="","",IF(AND(D2283=TRUE,E2283=""),"BUY",IF(AND(D2283=FALSE,E2283&lt;&gt;""),"SELL",IF(AND(D2283=TRUE,E2283&lt;&gt;""),"HOLD",""))))</f>
        <v/>
      </c>
      <c r="G2283" s="12">
        <f>IF(D2283=TRUE,4,0)</f>
        <v/>
      </c>
      <c r="H2283">
        <f>IF(A2283="","",BDP(A2283&amp;" US Equity","GICS_SECTOR_NAME"))</f>
        <v/>
      </c>
    </row>
    <row r="2284">
      <c r="A2284">
        <f>'Factor Scores'!A2284</f>
        <v/>
      </c>
      <c r="B2284" s="10">
        <f>IF(A2284="","",0.40*'Factor Scores'!C2284+0.20*'Factor Scores'!E2284+0.20*'Factor Scores'!G2284+0.20*'Factor Scores'!H2284)</f>
        <v/>
      </c>
      <c r="C2284" s="12">
        <f>IF(B2284="","",RANK(B2284,$B$2:$B$2501,0))</f>
        <v/>
      </c>
      <c r="D2284">
        <f>IF(C2284="","",C2284&lt;=25)</f>
        <v/>
      </c>
      <c r="F2284">
        <f>IF(A2284="","",IF(AND(D2284=TRUE,E2284=""),"BUY",IF(AND(D2284=FALSE,E2284&lt;&gt;""),"SELL",IF(AND(D2284=TRUE,E2284&lt;&gt;""),"HOLD",""))))</f>
        <v/>
      </c>
      <c r="G2284" s="12">
        <f>IF(D2284=TRUE,4,0)</f>
        <v/>
      </c>
      <c r="H2284">
        <f>IF(A2284="","",BDP(A2284&amp;" US Equity","GICS_SECTOR_NAME"))</f>
        <v/>
      </c>
    </row>
    <row r="2285">
      <c r="A2285">
        <f>'Factor Scores'!A2285</f>
        <v/>
      </c>
      <c r="B2285" s="10">
        <f>IF(A2285="","",0.40*'Factor Scores'!C2285+0.20*'Factor Scores'!E2285+0.20*'Factor Scores'!G2285+0.20*'Factor Scores'!H2285)</f>
        <v/>
      </c>
      <c r="C2285" s="12">
        <f>IF(B2285="","",RANK(B2285,$B$2:$B$2501,0))</f>
        <v/>
      </c>
      <c r="D2285">
        <f>IF(C2285="","",C2285&lt;=25)</f>
        <v/>
      </c>
      <c r="F2285">
        <f>IF(A2285="","",IF(AND(D2285=TRUE,E2285=""),"BUY",IF(AND(D2285=FALSE,E2285&lt;&gt;""),"SELL",IF(AND(D2285=TRUE,E2285&lt;&gt;""),"HOLD",""))))</f>
        <v/>
      </c>
      <c r="G2285" s="12">
        <f>IF(D2285=TRUE,4,0)</f>
        <v/>
      </c>
      <c r="H2285">
        <f>IF(A2285="","",BDP(A2285&amp;" US Equity","GICS_SECTOR_NAME"))</f>
        <v/>
      </c>
    </row>
    <row r="2286">
      <c r="A2286">
        <f>'Factor Scores'!A2286</f>
        <v/>
      </c>
      <c r="B2286" s="10">
        <f>IF(A2286="","",0.40*'Factor Scores'!C2286+0.20*'Factor Scores'!E2286+0.20*'Factor Scores'!G2286+0.20*'Factor Scores'!H2286)</f>
        <v/>
      </c>
      <c r="C2286" s="12">
        <f>IF(B2286="","",RANK(B2286,$B$2:$B$2501,0))</f>
        <v/>
      </c>
      <c r="D2286">
        <f>IF(C2286="","",C2286&lt;=25)</f>
        <v/>
      </c>
      <c r="F2286">
        <f>IF(A2286="","",IF(AND(D2286=TRUE,E2286=""),"BUY",IF(AND(D2286=FALSE,E2286&lt;&gt;""),"SELL",IF(AND(D2286=TRUE,E2286&lt;&gt;""),"HOLD",""))))</f>
        <v/>
      </c>
      <c r="G2286" s="12">
        <f>IF(D2286=TRUE,4,0)</f>
        <v/>
      </c>
      <c r="H2286">
        <f>IF(A2286="","",BDP(A2286&amp;" US Equity","GICS_SECTOR_NAME"))</f>
        <v/>
      </c>
    </row>
    <row r="2287">
      <c r="A2287">
        <f>'Factor Scores'!A2287</f>
        <v/>
      </c>
      <c r="B2287" s="10">
        <f>IF(A2287="","",0.40*'Factor Scores'!C2287+0.20*'Factor Scores'!E2287+0.20*'Factor Scores'!G2287+0.20*'Factor Scores'!H2287)</f>
        <v/>
      </c>
      <c r="C2287" s="12">
        <f>IF(B2287="","",RANK(B2287,$B$2:$B$2501,0))</f>
        <v/>
      </c>
      <c r="D2287">
        <f>IF(C2287="","",C2287&lt;=25)</f>
        <v/>
      </c>
      <c r="F2287">
        <f>IF(A2287="","",IF(AND(D2287=TRUE,E2287=""),"BUY",IF(AND(D2287=FALSE,E2287&lt;&gt;""),"SELL",IF(AND(D2287=TRUE,E2287&lt;&gt;""),"HOLD",""))))</f>
        <v/>
      </c>
      <c r="G2287" s="12">
        <f>IF(D2287=TRUE,4,0)</f>
        <v/>
      </c>
      <c r="H2287">
        <f>IF(A2287="","",BDP(A2287&amp;" US Equity","GICS_SECTOR_NAME"))</f>
        <v/>
      </c>
    </row>
    <row r="2288">
      <c r="A2288">
        <f>'Factor Scores'!A2288</f>
        <v/>
      </c>
      <c r="B2288" s="10">
        <f>IF(A2288="","",0.40*'Factor Scores'!C2288+0.20*'Factor Scores'!E2288+0.20*'Factor Scores'!G2288+0.20*'Factor Scores'!H2288)</f>
        <v/>
      </c>
      <c r="C2288" s="12">
        <f>IF(B2288="","",RANK(B2288,$B$2:$B$2501,0))</f>
        <v/>
      </c>
      <c r="D2288">
        <f>IF(C2288="","",C2288&lt;=25)</f>
        <v/>
      </c>
      <c r="F2288">
        <f>IF(A2288="","",IF(AND(D2288=TRUE,E2288=""),"BUY",IF(AND(D2288=FALSE,E2288&lt;&gt;""),"SELL",IF(AND(D2288=TRUE,E2288&lt;&gt;""),"HOLD",""))))</f>
        <v/>
      </c>
      <c r="G2288" s="12">
        <f>IF(D2288=TRUE,4,0)</f>
        <v/>
      </c>
      <c r="H2288">
        <f>IF(A2288="","",BDP(A2288&amp;" US Equity","GICS_SECTOR_NAME"))</f>
        <v/>
      </c>
    </row>
    <row r="2289">
      <c r="A2289">
        <f>'Factor Scores'!A2289</f>
        <v/>
      </c>
      <c r="B2289" s="10">
        <f>IF(A2289="","",0.40*'Factor Scores'!C2289+0.20*'Factor Scores'!E2289+0.20*'Factor Scores'!G2289+0.20*'Factor Scores'!H2289)</f>
        <v/>
      </c>
      <c r="C2289" s="12">
        <f>IF(B2289="","",RANK(B2289,$B$2:$B$2501,0))</f>
        <v/>
      </c>
      <c r="D2289">
        <f>IF(C2289="","",C2289&lt;=25)</f>
        <v/>
      </c>
      <c r="F2289">
        <f>IF(A2289="","",IF(AND(D2289=TRUE,E2289=""),"BUY",IF(AND(D2289=FALSE,E2289&lt;&gt;""),"SELL",IF(AND(D2289=TRUE,E2289&lt;&gt;""),"HOLD",""))))</f>
        <v/>
      </c>
      <c r="G2289" s="12">
        <f>IF(D2289=TRUE,4,0)</f>
        <v/>
      </c>
      <c r="H2289">
        <f>IF(A2289="","",BDP(A2289&amp;" US Equity","GICS_SECTOR_NAME"))</f>
        <v/>
      </c>
    </row>
    <row r="2290">
      <c r="A2290">
        <f>'Factor Scores'!A2290</f>
        <v/>
      </c>
      <c r="B2290" s="10">
        <f>IF(A2290="","",0.40*'Factor Scores'!C2290+0.20*'Factor Scores'!E2290+0.20*'Factor Scores'!G2290+0.20*'Factor Scores'!H2290)</f>
        <v/>
      </c>
      <c r="C2290" s="12">
        <f>IF(B2290="","",RANK(B2290,$B$2:$B$2501,0))</f>
        <v/>
      </c>
      <c r="D2290">
        <f>IF(C2290="","",C2290&lt;=25)</f>
        <v/>
      </c>
      <c r="F2290">
        <f>IF(A2290="","",IF(AND(D2290=TRUE,E2290=""),"BUY",IF(AND(D2290=FALSE,E2290&lt;&gt;""),"SELL",IF(AND(D2290=TRUE,E2290&lt;&gt;""),"HOLD",""))))</f>
        <v/>
      </c>
      <c r="G2290" s="12">
        <f>IF(D2290=TRUE,4,0)</f>
        <v/>
      </c>
      <c r="H2290">
        <f>IF(A2290="","",BDP(A2290&amp;" US Equity","GICS_SECTOR_NAME"))</f>
        <v/>
      </c>
    </row>
    <row r="2291">
      <c r="A2291">
        <f>'Factor Scores'!A2291</f>
        <v/>
      </c>
      <c r="B2291" s="10">
        <f>IF(A2291="","",0.40*'Factor Scores'!C2291+0.20*'Factor Scores'!E2291+0.20*'Factor Scores'!G2291+0.20*'Factor Scores'!H2291)</f>
        <v/>
      </c>
      <c r="C2291" s="12">
        <f>IF(B2291="","",RANK(B2291,$B$2:$B$2501,0))</f>
        <v/>
      </c>
      <c r="D2291">
        <f>IF(C2291="","",C2291&lt;=25)</f>
        <v/>
      </c>
      <c r="F2291">
        <f>IF(A2291="","",IF(AND(D2291=TRUE,E2291=""),"BUY",IF(AND(D2291=FALSE,E2291&lt;&gt;""),"SELL",IF(AND(D2291=TRUE,E2291&lt;&gt;""),"HOLD",""))))</f>
        <v/>
      </c>
      <c r="G2291" s="12">
        <f>IF(D2291=TRUE,4,0)</f>
        <v/>
      </c>
      <c r="H2291">
        <f>IF(A2291="","",BDP(A2291&amp;" US Equity","GICS_SECTOR_NAME"))</f>
        <v/>
      </c>
    </row>
    <row r="2292">
      <c r="A2292">
        <f>'Factor Scores'!A2292</f>
        <v/>
      </c>
      <c r="B2292" s="10">
        <f>IF(A2292="","",0.40*'Factor Scores'!C2292+0.20*'Factor Scores'!E2292+0.20*'Factor Scores'!G2292+0.20*'Factor Scores'!H2292)</f>
        <v/>
      </c>
      <c r="C2292" s="12">
        <f>IF(B2292="","",RANK(B2292,$B$2:$B$2501,0))</f>
        <v/>
      </c>
      <c r="D2292">
        <f>IF(C2292="","",C2292&lt;=25)</f>
        <v/>
      </c>
      <c r="F2292">
        <f>IF(A2292="","",IF(AND(D2292=TRUE,E2292=""),"BUY",IF(AND(D2292=FALSE,E2292&lt;&gt;""),"SELL",IF(AND(D2292=TRUE,E2292&lt;&gt;""),"HOLD",""))))</f>
        <v/>
      </c>
      <c r="G2292" s="12">
        <f>IF(D2292=TRUE,4,0)</f>
        <v/>
      </c>
      <c r="H2292">
        <f>IF(A2292="","",BDP(A2292&amp;" US Equity","GICS_SECTOR_NAME"))</f>
        <v/>
      </c>
    </row>
    <row r="2293">
      <c r="A2293">
        <f>'Factor Scores'!A2293</f>
        <v/>
      </c>
      <c r="B2293" s="10">
        <f>IF(A2293="","",0.40*'Factor Scores'!C2293+0.20*'Factor Scores'!E2293+0.20*'Factor Scores'!G2293+0.20*'Factor Scores'!H2293)</f>
        <v/>
      </c>
      <c r="C2293" s="12">
        <f>IF(B2293="","",RANK(B2293,$B$2:$B$2501,0))</f>
        <v/>
      </c>
      <c r="D2293">
        <f>IF(C2293="","",C2293&lt;=25)</f>
        <v/>
      </c>
      <c r="F2293">
        <f>IF(A2293="","",IF(AND(D2293=TRUE,E2293=""),"BUY",IF(AND(D2293=FALSE,E2293&lt;&gt;""),"SELL",IF(AND(D2293=TRUE,E2293&lt;&gt;""),"HOLD",""))))</f>
        <v/>
      </c>
      <c r="G2293" s="12">
        <f>IF(D2293=TRUE,4,0)</f>
        <v/>
      </c>
      <c r="H2293">
        <f>IF(A2293="","",BDP(A2293&amp;" US Equity","GICS_SECTOR_NAME"))</f>
        <v/>
      </c>
    </row>
    <row r="2294">
      <c r="A2294">
        <f>'Factor Scores'!A2294</f>
        <v/>
      </c>
      <c r="B2294" s="10">
        <f>IF(A2294="","",0.40*'Factor Scores'!C2294+0.20*'Factor Scores'!E2294+0.20*'Factor Scores'!G2294+0.20*'Factor Scores'!H2294)</f>
        <v/>
      </c>
      <c r="C2294" s="12">
        <f>IF(B2294="","",RANK(B2294,$B$2:$B$2501,0))</f>
        <v/>
      </c>
      <c r="D2294">
        <f>IF(C2294="","",C2294&lt;=25)</f>
        <v/>
      </c>
      <c r="F2294">
        <f>IF(A2294="","",IF(AND(D2294=TRUE,E2294=""),"BUY",IF(AND(D2294=FALSE,E2294&lt;&gt;""),"SELL",IF(AND(D2294=TRUE,E2294&lt;&gt;""),"HOLD",""))))</f>
        <v/>
      </c>
      <c r="G2294" s="12">
        <f>IF(D2294=TRUE,4,0)</f>
        <v/>
      </c>
      <c r="H2294">
        <f>IF(A2294="","",BDP(A2294&amp;" US Equity","GICS_SECTOR_NAME"))</f>
        <v/>
      </c>
    </row>
    <row r="2295">
      <c r="A2295">
        <f>'Factor Scores'!A2295</f>
        <v/>
      </c>
      <c r="B2295" s="10">
        <f>IF(A2295="","",0.40*'Factor Scores'!C2295+0.20*'Factor Scores'!E2295+0.20*'Factor Scores'!G2295+0.20*'Factor Scores'!H2295)</f>
        <v/>
      </c>
      <c r="C2295" s="12">
        <f>IF(B2295="","",RANK(B2295,$B$2:$B$2501,0))</f>
        <v/>
      </c>
      <c r="D2295">
        <f>IF(C2295="","",C2295&lt;=25)</f>
        <v/>
      </c>
      <c r="F2295">
        <f>IF(A2295="","",IF(AND(D2295=TRUE,E2295=""),"BUY",IF(AND(D2295=FALSE,E2295&lt;&gt;""),"SELL",IF(AND(D2295=TRUE,E2295&lt;&gt;""),"HOLD",""))))</f>
        <v/>
      </c>
      <c r="G2295" s="12">
        <f>IF(D2295=TRUE,4,0)</f>
        <v/>
      </c>
      <c r="H2295">
        <f>IF(A2295="","",BDP(A2295&amp;" US Equity","GICS_SECTOR_NAME"))</f>
        <v/>
      </c>
    </row>
    <row r="2296">
      <c r="A2296">
        <f>'Factor Scores'!A2296</f>
        <v/>
      </c>
      <c r="B2296" s="10">
        <f>IF(A2296="","",0.40*'Factor Scores'!C2296+0.20*'Factor Scores'!E2296+0.20*'Factor Scores'!G2296+0.20*'Factor Scores'!H2296)</f>
        <v/>
      </c>
      <c r="C2296" s="12">
        <f>IF(B2296="","",RANK(B2296,$B$2:$B$2501,0))</f>
        <v/>
      </c>
      <c r="D2296">
        <f>IF(C2296="","",C2296&lt;=25)</f>
        <v/>
      </c>
      <c r="F2296">
        <f>IF(A2296="","",IF(AND(D2296=TRUE,E2296=""),"BUY",IF(AND(D2296=FALSE,E2296&lt;&gt;""),"SELL",IF(AND(D2296=TRUE,E2296&lt;&gt;""),"HOLD",""))))</f>
        <v/>
      </c>
      <c r="G2296" s="12">
        <f>IF(D2296=TRUE,4,0)</f>
        <v/>
      </c>
      <c r="H2296">
        <f>IF(A2296="","",BDP(A2296&amp;" US Equity","GICS_SECTOR_NAME"))</f>
        <v/>
      </c>
    </row>
    <row r="2297">
      <c r="A2297">
        <f>'Factor Scores'!A2297</f>
        <v/>
      </c>
      <c r="B2297" s="10">
        <f>IF(A2297="","",0.40*'Factor Scores'!C2297+0.20*'Factor Scores'!E2297+0.20*'Factor Scores'!G2297+0.20*'Factor Scores'!H2297)</f>
        <v/>
      </c>
      <c r="C2297" s="12">
        <f>IF(B2297="","",RANK(B2297,$B$2:$B$2501,0))</f>
        <v/>
      </c>
      <c r="D2297">
        <f>IF(C2297="","",C2297&lt;=25)</f>
        <v/>
      </c>
      <c r="F2297">
        <f>IF(A2297="","",IF(AND(D2297=TRUE,E2297=""),"BUY",IF(AND(D2297=FALSE,E2297&lt;&gt;""),"SELL",IF(AND(D2297=TRUE,E2297&lt;&gt;""),"HOLD",""))))</f>
        <v/>
      </c>
      <c r="G2297" s="12">
        <f>IF(D2297=TRUE,4,0)</f>
        <v/>
      </c>
      <c r="H2297">
        <f>IF(A2297="","",BDP(A2297&amp;" US Equity","GICS_SECTOR_NAME"))</f>
        <v/>
      </c>
    </row>
    <row r="2298">
      <c r="A2298">
        <f>'Factor Scores'!A2298</f>
        <v/>
      </c>
      <c r="B2298" s="10">
        <f>IF(A2298="","",0.40*'Factor Scores'!C2298+0.20*'Factor Scores'!E2298+0.20*'Factor Scores'!G2298+0.20*'Factor Scores'!H2298)</f>
        <v/>
      </c>
      <c r="C2298" s="12">
        <f>IF(B2298="","",RANK(B2298,$B$2:$B$2501,0))</f>
        <v/>
      </c>
      <c r="D2298">
        <f>IF(C2298="","",C2298&lt;=25)</f>
        <v/>
      </c>
      <c r="F2298">
        <f>IF(A2298="","",IF(AND(D2298=TRUE,E2298=""),"BUY",IF(AND(D2298=FALSE,E2298&lt;&gt;""),"SELL",IF(AND(D2298=TRUE,E2298&lt;&gt;""),"HOLD",""))))</f>
        <v/>
      </c>
      <c r="G2298" s="12">
        <f>IF(D2298=TRUE,4,0)</f>
        <v/>
      </c>
      <c r="H2298">
        <f>IF(A2298="","",BDP(A2298&amp;" US Equity","GICS_SECTOR_NAME"))</f>
        <v/>
      </c>
    </row>
    <row r="2299">
      <c r="A2299">
        <f>'Factor Scores'!A2299</f>
        <v/>
      </c>
      <c r="B2299" s="10">
        <f>IF(A2299="","",0.40*'Factor Scores'!C2299+0.20*'Factor Scores'!E2299+0.20*'Factor Scores'!G2299+0.20*'Factor Scores'!H2299)</f>
        <v/>
      </c>
      <c r="C2299" s="12">
        <f>IF(B2299="","",RANK(B2299,$B$2:$B$2501,0))</f>
        <v/>
      </c>
      <c r="D2299">
        <f>IF(C2299="","",C2299&lt;=25)</f>
        <v/>
      </c>
      <c r="F2299">
        <f>IF(A2299="","",IF(AND(D2299=TRUE,E2299=""),"BUY",IF(AND(D2299=FALSE,E2299&lt;&gt;""),"SELL",IF(AND(D2299=TRUE,E2299&lt;&gt;""),"HOLD",""))))</f>
        <v/>
      </c>
      <c r="G2299" s="12">
        <f>IF(D2299=TRUE,4,0)</f>
        <v/>
      </c>
      <c r="H2299">
        <f>IF(A2299="","",BDP(A2299&amp;" US Equity","GICS_SECTOR_NAME"))</f>
        <v/>
      </c>
    </row>
    <row r="2300">
      <c r="A2300">
        <f>'Factor Scores'!A2300</f>
        <v/>
      </c>
      <c r="B2300" s="10">
        <f>IF(A2300="","",0.40*'Factor Scores'!C2300+0.20*'Factor Scores'!E2300+0.20*'Factor Scores'!G2300+0.20*'Factor Scores'!H2300)</f>
        <v/>
      </c>
      <c r="C2300" s="12">
        <f>IF(B2300="","",RANK(B2300,$B$2:$B$2501,0))</f>
        <v/>
      </c>
      <c r="D2300">
        <f>IF(C2300="","",C2300&lt;=25)</f>
        <v/>
      </c>
      <c r="F2300">
        <f>IF(A2300="","",IF(AND(D2300=TRUE,E2300=""),"BUY",IF(AND(D2300=FALSE,E2300&lt;&gt;""),"SELL",IF(AND(D2300=TRUE,E2300&lt;&gt;""),"HOLD",""))))</f>
        <v/>
      </c>
      <c r="G2300" s="12">
        <f>IF(D2300=TRUE,4,0)</f>
        <v/>
      </c>
      <c r="H2300">
        <f>IF(A2300="","",BDP(A2300&amp;" US Equity","GICS_SECTOR_NAME"))</f>
        <v/>
      </c>
    </row>
    <row r="2301">
      <c r="A2301">
        <f>'Factor Scores'!A2301</f>
        <v/>
      </c>
      <c r="B2301" s="10">
        <f>IF(A2301="","",0.40*'Factor Scores'!C2301+0.20*'Factor Scores'!E2301+0.20*'Factor Scores'!G2301+0.20*'Factor Scores'!H2301)</f>
        <v/>
      </c>
      <c r="C2301" s="12">
        <f>IF(B2301="","",RANK(B2301,$B$2:$B$2501,0))</f>
        <v/>
      </c>
      <c r="D2301">
        <f>IF(C2301="","",C2301&lt;=25)</f>
        <v/>
      </c>
      <c r="F2301">
        <f>IF(A2301="","",IF(AND(D2301=TRUE,E2301=""),"BUY",IF(AND(D2301=FALSE,E2301&lt;&gt;""),"SELL",IF(AND(D2301=TRUE,E2301&lt;&gt;""),"HOLD",""))))</f>
        <v/>
      </c>
      <c r="G2301" s="12">
        <f>IF(D2301=TRUE,4,0)</f>
        <v/>
      </c>
      <c r="H2301">
        <f>IF(A2301="","",BDP(A2301&amp;" US Equity","GICS_SECTOR_NAME"))</f>
        <v/>
      </c>
    </row>
    <row r="2302">
      <c r="A2302">
        <f>'Factor Scores'!A2302</f>
        <v/>
      </c>
      <c r="B2302" s="10">
        <f>IF(A2302="","",0.40*'Factor Scores'!C2302+0.20*'Factor Scores'!E2302+0.20*'Factor Scores'!G2302+0.20*'Factor Scores'!H2302)</f>
        <v/>
      </c>
      <c r="C2302" s="12">
        <f>IF(B2302="","",RANK(B2302,$B$2:$B$2501,0))</f>
        <v/>
      </c>
      <c r="D2302">
        <f>IF(C2302="","",C2302&lt;=25)</f>
        <v/>
      </c>
      <c r="F2302">
        <f>IF(A2302="","",IF(AND(D2302=TRUE,E2302=""),"BUY",IF(AND(D2302=FALSE,E2302&lt;&gt;""),"SELL",IF(AND(D2302=TRUE,E2302&lt;&gt;""),"HOLD",""))))</f>
        <v/>
      </c>
      <c r="G2302" s="12">
        <f>IF(D2302=TRUE,4,0)</f>
        <v/>
      </c>
      <c r="H2302">
        <f>IF(A2302="","",BDP(A2302&amp;" US Equity","GICS_SECTOR_NAME"))</f>
        <v/>
      </c>
    </row>
    <row r="2303">
      <c r="A2303">
        <f>'Factor Scores'!A2303</f>
        <v/>
      </c>
      <c r="B2303" s="10">
        <f>IF(A2303="","",0.40*'Factor Scores'!C2303+0.20*'Factor Scores'!E2303+0.20*'Factor Scores'!G2303+0.20*'Factor Scores'!H2303)</f>
        <v/>
      </c>
      <c r="C2303" s="12">
        <f>IF(B2303="","",RANK(B2303,$B$2:$B$2501,0))</f>
        <v/>
      </c>
      <c r="D2303">
        <f>IF(C2303="","",C2303&lt;=25)</f>
        <v/>
      </c>
      <c r="F2303">
        <f>IF(A2303="","",IF(AND(D2303=TRUE,E2303=""),"BUY",IF(AND(D2303=FALSE,E2303&lt;&gt;""),"SELL",IF(AND(D2303=TRUE,E2303&lt;&gt;""),"HOLD",""))))</f>
        <v/>
      </c>
      <c r="G2303" s="12">
        <f>IF(D2303=TRUE,4,0)</f>
        <v/>
      </c>
      <c r="H2303">
        <f>IF(A2303="","",BDP(A2303&amp;" US Equity","GICS_SECTOR_NAME"))</f>
        <v/>
      </c>
    </row>
    <row r="2304">
      <c r="A2304">
        <f>'Factor Scores'!A2304</f>
        <v/>
      </c>
      <c r="B2304" s="10">
        <f>IF(A2304="","",0.40*'Factor Scores'!C2304+0.20*'Factor Scores'!E2304+0.20*'Factor Scores'!G2304+0.20*'Factor Scores'!H2304)</f>
        <v/>
      </c>
      <c r="C2304" s="12">
        <f>IF(B2304="","",RANK(B2304,$B$2:$B$2501,0))</f>
        <v/>
      </c>
      <c r="D2304">
        <f>IF(C2304="","",C2304&lt;=25)</f>
        <v/>
      </c>
      <c r="F2304">
        <f>IF(A2304="","",IF(AND(D2304=TRUE,E2304=""),"BUY",IF(AND(D2304=FALSE,E2304&lt;&gt;""),"SELL",IF(AND(D2304=TRUE,E2304&lt;&gt;""),"HOLD",""))))</f>
        <v/>
      </c>
      <c r="G2304" s="12">
        <f>IF(D2304=TRUE,4,0)</f>
        <v/>
      </c>
      <c r="H2304">
        <f>IF(A2304="","",BDP(A2304&amp;" US Equity","GICS_SECTOR_NAME"))</f>
        <v/>
      </c>
    </row>
    <row r="2305">
      <c r="A2305">
        <f>'Factor Scores'!A2305</f>
        <v/>
      </c>
      <c r="B2305" s="10">
        <f>IF(A2305="","",0.40*'Factor Scores'!C2305+0.20*'Factor Scores'!E2305+0.20*'Factor Scores'!G2305+0.20*'Factor Scores'!H2305)</f>
        <v/>
      </c>
      <c r="C2305" s="12">
        <f>IF(B2305="","",RANK(B2305,$B$2:$B$2501,0))</f>
        <v/>
      </c>
      <c r="D2305">
        <f>IF(C2305="","",C2305&lt;=25)</f>
        <v/>
      </c>
      <c r="F2305">
        <f>IF(A2305="","",IF(AND(D2305=TRUE,E2305=""),"BUY",IF(AND(D2305=FALSE,E2305&lt;&gt;""),"SELL",IF(AND(D2305=TRUE,E2305&lt;&gt;""),"HOLD",""))))</f>
        <v/>
      </c>
      <c r="G2305" s="12">
        <f>IF(D2305=TRUE,4,0)</f>
        <v/>
      </c>
      <c r="H2305">
        <f>IF(A2305="","",BDP(A2305&amp;" US Equity","GICS_SECTOR_NAME"))</f>
        <v/>
      </c>
    </row>
    <row r="2306">
      <c r="A2306">
        <f>'Factor Scores'!A2306</f>
        <v/>
      </c>
      <c r="B2306" s="10">
        <f>IF(A2306="","",0.40*'Factor Scores'!C2306+0.20*'Factor Scores'!E2306+0.20*'Factor Scores'!G2306+0.20*'Factor Scores'!H2306)</f>
        <v/>
      </c>
      <c r="C2306" s="12">
        <f>IF(B2306="","",RANK(B2306,$B$2:$B$2501,0))</f>
        <v/>
      </c>
      <c r="D2306">
        <f>IF(C2306="","",C2306&lt;=25)</f>
        <v/>
      </c>
      <c r="F2306">
        <f>IF(A2306="","",IF(AND(D2306=TRUE,E2306=""),"BUY",IF(AND(D2306=FALSE,E2306&lt;&gt;""),"SELL",IF(AND(D2306=TRUE,E2306&lt;&gt;""),"HOLD",""))))</f>
        <v/>
      </c>
      <c r="G2306" s="12">
        <f>IF(D2306=TRUE,4,0)</f>
        <v/>
      </c>
      <c r="H2306">
        <f>IF(A2306="","",BDP(A2306&amp;" US Equity","GICS_SECTOR_NAME"))</f>
        <v/>
      </c>
    </row>
    <row r="2307">
      <c r="A2307">
        <f>'Factor Scores'!A2307</f>
        <v/>
      </c>
      <c r="B2307" s="10">
        <f>IF(A2307="","",0.40*'Factor Scores'!C2307+0.20*'Factor Scores'!E2307+0.20*'Factor Scores'!G2307+0.20*'Factor Scores'!H2307)</f>
        <v/>
      </c>
      <c r="C2307" s="12">
        <f>IF(B2307="","",RANK(B2307,$B$2:$B$2501,0))</f>
        <v/>
      </c>
      <c r="D2307">
        <f>IF(C2307="","",C2307&lt;=25)</f>
        <v/>
      </c>
      <c r="F2307">
        <f>IF(A2307="","",IF(AND(D2307=TRUE,E2307=""),"BUY",IF(AND(D2307=FALSE,E2307&lt;&gt;""),"SELL",IF(AND(D2307=TRUE,E2307&lt;&gt;""),"HOLD",""))))</f>
        <v/>
      </c>
      <c r="G2307" s="12">
        <f>IF(D2307=TRUE,4,0)</f>
        <v/>
      </c>
      <c r="H2307">
        <f>IF(A2307="","",BDP(A2307&amp;" US Equity","GICS_SECTOR_NAME"))</f>
        <v/>
      </c>
    </row>
    <row r="2308">
      <c r="A2308">
        <f>'Factor Scores'!A2308</f>
        <v/>
      </c>
      <c r="B2308" s="10">
        <f>IF(A2308="","",0.40*'Factor Scores'!C2308+0.20*'Factor Scores'!E2308+0.20*'Factor Scores'!G2308+0.20*'Factor Scores'!H2308)</f>
        <v/>
      </c>
      <c r="C2308" s="12">
        <f>IF(B2308="","",RANK(B2308,$B$2:$B$2501,0))</f>
        <v/>
      </c>
      <c r="D2308">
        <f>IF(C2308="","",C2308&lt;=25)</f>
        <v/>
      </c>
      <c r="F2308">
        <f>IF(A2308="","",IF(AND(D2308=TRUE,E2308=""),"BUY",IF(AND(D2308=FALSE,E2308&lt;&gt;""),"SELL",IF(AND(D2308=TRUE,E2308&lt;&gt;""),"HOLD",""))))</f>
        <v/>
      </c>
      <c r="G2308" s="12">
        <f>IF(D2308=TRUE,4,0)</f>
        <v/>
      </c>
      <c r="H2308">
        <f>IF(A2308="","",BDP(A2308&amp;" US Equity","GICS_SECTOR_NAME"))</f>
        <v/>
      </c>
    </row>
    <row r="2309">
      <c r="A2309">
        <f>'Factor Scores'!A2309</f>
        <v/>
      </c>
      <c r="B2309" s="10">
        <f>IF(A2309="","",0.40*'Factor Scores'!C2309+0.20*'Factor Scores'!E2309+0.20*'Factor Scores'!G2309+0.20*'Factor Scores'!H2309)</f>
        <v/>
      </c>
      <c r="C2309" s="12">
        <f>IF(B2309="","",RANK(B2309,$B$2:$B$2501,0))</f>
        <v/>
      </c>
      <c r="D2309">
        <f>IF(C2309="","",C2309&lt;=25)</f>
        <v/>
      </c>
      <c r="F2309">
        <f>IF(A2309="","",IF(AND(D2309=TRUE,E2309=""),"BUY",IF(AND(D2309=FALSE,E2309&lt;&gt;""),"SELL",IF(AND(D2309=TRUE,E2309&lt;&gt;""),"HOLD",""))))</f>
        <v/>
      </c>
      <c r="G2309" s="12">
        <f>IF(D2309=TRUE,4,0)</f>
        <v/>
      </c>
      <c r="H2309">
        <f>IF(A2309="","",BDP(A2309&amp;" US Equity","GICS_SECTOR_NAME"))</f>
        <v/>
      </c>
    </row>
    <row r="2310">
      <c r="A2310">
        <f>'Factor Scores'!A2310</f>
        <v/>
      </c>
      <c r="B2310" s="10">
        <f>IF(A2310="","",0.40*'Factor Scores'!C2310+0.20*'Factor Scores'!E2310+0.20*'Factor Scores'!G2310+0.20*'Factor Scores'!H2310)</f>
        <v/>
      </c>
      <c r="C2310" s="12">
        <f>IF(B2310="","",RANK(B2310,$B$2:$B$2501,0))</f>
        <v/>
      </c>
      <c r="D2310">
        <f>IF(C2310="","",C2310&lt;=25)</f>
        <v/>
      </c>
      <c r="F2310">
        <f>IF(A2310="","",IF(AND(D2310=TRUE,E2310=""),"BUY",IF(AND(D2310=FALSE,E2310&lt;&gt;""),"SELL",IF(AND(D2310=TRUE,E2310&lt;&gt;""),"HOLD",""))))</f>
        <v/>
      </c>
      <c r="G2310" s="12">
        <f>IF(D2310=TRUE,4,0)</f>
        <v/>
      </c>
      <c r="H2310">
        <f>IF(A2310="","",BDP(A2310&amp;" US Equity","GICS_SECTOR_NAME"))</f>
        <v/>
      </c>
    </row>
    <row r="2311">
      <c r="A2311">
        <f>'Factor Scores'!A2311</f>
        <v/>
      </c>
      <c r="B2311" s="10">
        <f>IF(A2311="","",0.40*'Factor Scores'!C2311+0.20*'Factor Scores'!E2311+0.20*'Factor Scores'!G2311+0.20*'Factor Scores'!H2311)</f>
        <v/>
      </c>
      <c r="C2311" s="12">
        <f>IF(B2311="","",RANK(B2311,$B$2:$B$2501,0))</f>
        <v/>
      </c>
      <c r="D2311">
        <f>IF(C2311="","",C2311&lt;=25)</f>
        <v/>
      </c>
      <c r="F2311">
        <f>IF(A2311="","",IF(AND(D2311=TRUE,E2311=""),"BUY",IF(AND(D2311=FALSE,E2311&lt;&gt;""),"SELL",IF(AND(D2311=TRUE,E2311&lt;&gt;""),"HOLD",""))))</f>
        <v/>
      </c>
      <c r="G2311" s="12">
        <f>IF(D2311=TRUE,4,0)</f>
        <v/>
      </c>
      <c r="H2311">
        <f>IF(A2311="","",BDP(A2311&amp;" US Equity","GICS_SECTOR_NAME"))</f>
        <v/>
      </c>
    </row>
    <row r="2312">
      <c r="A2312">
        <f>'Factor Scores'!A2312</f>
        <v/>
      </c>
      <c r="B2312" s="10">
        <f>IF(A2312="","",0.40*'Factor Scores'!C2312+0.20*'Factor Scores'!E2312+0.20*'Factor Scores'!G2312+0.20*'Factor Scores'!H2312)</f>
        <v/>
      </c>
      <c r="C2312" s="12">
        <f>IF(B2312="","",RANK(B2312,$B$2:$B$2501,0))</f>
        <v/>
      </c>
      <c r="D2312">
        <f>IF(C2312="","",C2312&lt;=25)</f>
        <v/>
      </c>
      <c r="F2312">
        <f>IF(A2312="","",IF(AND(D2312=TRUE,E2312=""),"BUY",IF(AND(D2312=FALSE,E2312&lt;&gt;""),"SELL",IF(AND(D2312=TRUE,E2312&lt;&gt;""),"HOLD",""))))</f>
        <v/>
      </c>
      <c r="G2312" s="12">
        <f>IF(D2312=TRUE,4,0)</f>
        <v/>
      </c>
      <c r="H2312">
        <f>IF(A2312="","",BDP(A2312&amp;" US Equity","GICS_SECTOR_NAME"))</f>
        <v/>
      </c>
    </row>
    <row r="2313">
      <c r="A2313">
        <f>'Factor Scores'!A2313</f>
        <v/>
      </c>
      <c r="B2313" s="10">
        <f>IF(A2313="","",0.40*'Factor Scores'!C2313+0.20*'Factor Scores'!E2313+0.20*'Factor Scores'!G2313+0.20*'Factor Scores'!H2313)</f>
        <v/>
      </c>
      <c r="C2313" s="12">
        <f>IF(B2313="","",RANK(B2313,$B$2:$B$2501,0))</f>
        <v/>
      </c>
      <c r="D2313">
        <f>IF(C2313="","",C2313&lt;=25)</f>
        <v/>
      </c>
      <c r="F2313">
        <f>IF(A2313="","",IF(AND(D2313=TRUE,E2313=""),"BUY",IF(AND(D2313=FALSE,E2313&lt;&gt;""),"SELL",IF(AND(D2313=TRUE,E2313&lt;&gt;""),"HOLD",""))))</f>
        <v/>
      </c>
      <c r="G2313" s="12">
        <f>IF(D2313=TRUE,4,0)</f>
        <v/>
      </c>
      <c r="H2313">
        <f>IF(A2313="","",BDP(A2313&amp;" US Equity","GICS_SECTOR_NAME"))</f>
        <v/>
      </c>
    </row>
    <row r="2314">
      <c r="A2314">
        <f>'Factor Scores'!A2314</f>
        <v/>
      </c>
      <c r="B2314" s="10">
        <f>IF(A2314="","",0.40*'Factor Scores'!C2314+0.20*'Factor Scores'!E2314+0.20*'Factor Scores'!G2314+0.20*'Factor Scores'!H2314)</f>
        <v/>
      </c>
      <c r="C2314" s="12">
        <f>IF(B2314="","",RANK(B2314,$B$2:$B$2501,0))</f>
        <v/>
      </c>
      <c r="D2314">
        <f>IF(C2314="","",C2314&lt;=25)</f>
        <v/>
      </c>
      <c r="F2314">
        <f>IF(A2314="","",IF(AND(D2314=TRUE,E2314=""),"BUY",IF(AND(D2314=FALSE,E2314&lt;&gt;""),"SELL",IF(AND(D2314=TRUE,E2314&lt;&gt;""),"HOLD",""))))</f>
        <v/>
      </c>
      <c r="G2314" s="12">
        <f>IF(D2314=TRUE,4,0)</f>
        <v/>
      </c>
      <c r="H2314">
        <f>IF(A2314="","",BDP(A2314&amp;" US Equity","GICS_SECTOR_NAME"))</f>
        <v/>
      </c>
    </row>
    <row r="2315">
      <c r="A2315">
        <f>'Factor Scores'!A2315</f>
        <v/>
      </c>
      <c r="B2315" s="10">
        <f>IF(A2315="","",0.40*'Factor Scores'!C2315+0.20*'Factor Scores'!E2315+0.20*'Factor Scores'!G2315+0.20*'Factor Scores'!H2315)</f>
        <v/>
      </c>
      <c r="C2315" s="12">
        <f>IF(B2315="","",RANK(B2315,$B$2:$B$2501,0))</f>
        <v/>
      </c>
      <c r="D2315">
        <f>IF(C2315="","",C2315&lt;=25)</f>
        <v/>
      </c>
      <c r="F2315">
        <f>IF(A2315="","",IF(AND(D2315=TRUE,E2315=""),"BUY",IF(AND(D2315=FALSE,E2315&lt;&gt;""),"SELL",IF(AND(D2315=TRUE,E2315&lt;&gt;""),"HOLD",""))))</f>
        <v/>
      </c>
      <c r="G2315" s="12">
        <f>IF(D2315=TRUE,4,0)</f>
        <v/>
      </c>
      <c r="H2315">
        <f>IF(A2315="","",BDP(A2315&amp;" US Equity","GICS_SECTOR_NAME"))</f>
        <v/>
      </c>
    </row>
    <row r="2316">
      <c r="A2316">
        <f>'Factor Scores'!A2316</f>
        <v/>
      </c>
      <c r="B2316" s="10">
        <f>IF(A2316="","",0.40*'Factor Scores'!C2316+0.20*'Factor Scores'!E2316+0.20*'Factor Scores'!G2316+0.20*'Factor Scores'!H2316)</f>
        <v/>
      </c>
      <c r="C2316" s="12">
        <f>IF(B2316="","",RANK(B2316,$B$2:$B$2501,0))</f>
        <v/>
      </c>
      <c r="D2316">
        <f>IF(C2316="","",C2316&lt;=25)</f>
        <v/>
      </c>
      <c r="F2316">
        <f>IF(A2316="","",IF(AND(D2316=TRUE,E2316=""),"BUY",IF(AND(D2316=FALSE,E2316&lt;&gt;""),"SELL",IF(AND(D2316=TRUE,E2316&lt;&gt;""),"HOLD",""))))</f>
        <v/>
      </c>
      <c r="G2316" s="12">
        <f>IF(D2316=TRUE,4,0)</f>
        <v/>
      </c>
      <c r="H2316">
        <f>IF(A2316="","",BDP(A2316&amp;" US Equity","GICS_SECTOR_NAME"))</f>
        <v/>
      </c>
    </row>
    <row r="2317">
      <c r="A2317">
        <f>'Factor Scores'!A2317</f>
        <v/>
      </c>
      <c r="B2317" s="10">
        <f>IF(A2317="","",0.40*'Factor Scores'!C2317+0.20*'Factor Scores'!E2317+0.20*'Factor Scores'!G2317+0.20*'Factor Scores'!H2317)</f>
        <v/>
      </c>
      <c r="C2317" s="12">
        <f>IF(B2317="","",RANK(B2317,$B$2:$B$2501,0))</f>
        <v/>
      </c>
      <c r="D2317">
        <f>IF(C2317="","",C2317&lt;=25)</f>
        <v/>
      </c>
      <c r="F2317">
        <f>IF(A2317="","",IF(AND(D2317=TRUE,E2317=""),"BUY",IF(AND(D2317=FALSE,E2317&lt;&gt;""),"SELL",IF(AND(D2317=TRUE,E2317&lt;&gt;""),"HOLD",""))))</f>
        <v/>
      </c>
      <c r="G2317" s="12">
        <f>IF(D2317=TRUE,4,0)</f>
        <v/>
      </c>
      <c r="H2317">
        <f>IF(A2317="","",BDP(A2317&amp;" US Equity","GICS_SECTOR_NAME"))</f>
        <v/>
      </c>
    </row>
    <row r="2318">
      <c r="A2318">
        <f>'Factor Scores'!A2318</f>
        <v/>
      </c>
      <c r="B2318" s="10">
        <f>IF(A2318="","",0.40*'Factor Scores'!C2318+0.20*'Factor Scores'!E2318+0.20*'Factor Scores'!G2318+0.20*'Factor Scores'!H2318)</f>
        <v/>
      </c>
      <c r="C2318" s="12">
        <f>IF(B2318="","",RANK(B2318,$B$2:$B$2501,0))</f>
        <v/>
      </c>
      <c r="D2318">
        <f>IF(C2318="","",C2318&lt;=25)</f>
        <v/>
      </c>
      <c r="F2318">
        <f>IF(A2318="","",IF(AND(D2318=TRUE,E2318=""),"BUY",IF(AND(D2318=FALSE,E2318&lt;&gt;""),"SELL",IF(AND(D2318=TRUE,E2318&lt;&gt;""),"HOLD",""))))</f>
        <v/>
      </c>
      <c r="G2318" s="12">
        <f>IF(D2318=TRUE,4,0)</f>
        <v/>
      </c>
      <c r="H2318">
        <f>IF(A2318="","",BDP(A2318&amp;" US Equity","GICS_SECTOR_NAME"))</f>
        <v/>
      </c>
    </row>
    <row r="2319">
      <c r="A2319">
        <f>'Factor Scores'!A2319</f>
        <v/>
      </c>
      <c r="B2319" s="10">
        <f>IF(A2319="","",0.40*'Factor Scores'!C2319+0.20*'Factor Scores'!E2319+0.20*'Factor Scores'!G2319+0.20*'Factor Scores'!H2319)</f>
        <v/>
      </c>
      <c r="C2319" s="12">
        <f>IF(B2319="","",RANK(B2319,$B$2:$B$2501,0))</f>
        <v/>
      </c>
      <c r="D2319">
        <f>IF(C2319="","",C2319&lt;=25)</f>
        <v/>
      </c>
      <c r="F2319">
        <f>IF(A2319="","",IF(AND(D2319=TRUE,E2319=""),"BUY",IF(AND(D2319=FALSE,E2319&lt;&gt;""),"SELL",IF(AND(D2319=TRUE,E2319&lt;&gt;""),"HOLD",""))))</f>
        <v/>
      </c>
      <c r="G2319" s="12">
        <f>IF(D2319=TRUE,4,0)</f>
        <v/>
      </c>
      <c r="H2319">
        <f>IF(A2319="","",BDP(A2319&amp;" US Equity","GICS_SECTOR_NAME"))</f>
        <v/>
      </c>
    </row>
    <row r="2320">
      <c r="A2320">
        <f>'Factor Scores'!A2320</f>
        <v/>
      </c>
      <c r="B2320" s="10">
        <f>IF(A2320="","",0.40*'Factor Scores'!C2320+0.20*'Factor Scores'!E2320+0.20*'Factor Scores'!G2320+0.20*'Factor Scores'!H2320)</f>
        <v/>
      </c>
      <c r="C2320" s="12">
        <f>IF(B2320="","",RANK(B2320,$B$2:$B$2501,0))</f>
        <v/>
      </c>
      <c r="D2320">
        <f>IF(C2320="","",C2320&lt;=25)</f>
        <v/>
      </c>
      <c r="F2320">
        <f>IF(A2320="","",IF(AND(D2320=TRUE,E2320=""),"BUY",IF(AND(D2320=FALSE,E2320&lt;&gt;""),"SELL",IF(AND(D2320=TRUE,E2320&lt;&gt;""),"HOLD",""))))</f>
        <v/>
      </c>
      <c r="G2320" s="12">
        <f>IF(D2320=TRUE,4,0)</f>
        <v/>
      </c>
      <c r="H2320">
        <f>IF(A2320="","",BDP(A2320&amp;" US Equity","GICS_SECTOR_NAME"))</f>
        <v/>
      </c>
    </row>
    <row r="2321">
      <c r="A2321">
        <f>'Factor Scores'!A2321</f>
        <v/>
      </c>
      <c r="B2321" s="10">
        <f>IF(A2321="","",0.40*'Factor Scores'!C2321+0.20*'Factor Scores'!E2321+0.20*'Factor Scores'!G2321+0.20*'Factor Scores'!H2321)</f>
        <v/>
      </c>
      <c r="C2321" s="12">
        <f>IF(B2321="","",RANK(B2321,$B$2:$B$2501,0))</f>
        <v/>
      </c>
      <c r="D2321">
        <f>IF(C2321="","",C2321&lt;=25)</f>
        <v/>
      </c>
      <c r="F2321">
        <f>IF(A2321="","",IF(AND(D2321=TRUE,E2321=""),"BUY",IF(AND(D2321=FALSE,E2321&lt;&gt;""),"SELL",IF(AND(D2321=TRUE,E2321&lt;&gt;""),"HOLD",""))))</f>
        <v/>
      </c>
      <c r="G2321" s="12">
        <f>IF(D2321=TRUE,4,0)</f>
        <v/>
      </c>
      <c r="H2321">
        <f>IF(A2321="","",BDP(A2321&amp;" US Equity","GICS_SECTOR_NAME"))</f>
        <v/>
      </c>
    </row>
    <row r="2322">
      <c r="A2322">
        <f>'Factor Scores'!A2322</f>
        <v/>
      </c>
      <c r="B2322" s="10">
        <f>IF(A2322="","",0.40*'Factor Scores'!C2322+0.20*'Factor Scores'!E2322+0.20*'Factor Scores'!G2322+0.20*'Factor Scores'!H2322)</f>
        <v/>
      </c>
      <c r="C2322" s="12">
        <f>IF(B2322="","",RANK(B2322,$B$2:$B$2501,0))</f>
        <v/>
      </c>
      <c r="D2322">
        <f>IF(C2322="","",C2322&lt;=25)</f>
        <v/>
      </c>
      <c r="F2322">
        <f>IF(A2322="","",IF(AND(D2322=TRUE,E2322=""),"BUY",IF(AND(D2322=FALSE,E2322&lt;&gt;""),"SELL",IF(AND(D2322=TRUE,E2322&lt;&gt;""),"HOLD",""))))</f>
        <v/>
      </c>
      <c r="G2322" s="12">
        <f>IF(D2322=TRUE,4,0)</f>
        <v/>
      </c>
      <c r="H2322">
        <f>IF(A2322="","",BDP(A2322&amp;" US Equity","GICS_SECTOR_NAME"))</f>
        <v/>
      </c>
    </row>
    <row r="2323">
      <c r="A2323">
        <f>'Factor Scores'!A2323</f>
        <v/>
      </c>
      <c r="B2323" s="10">
        <f>IF(A2323="","",0.40*'Factor Scores'!C2323+0.20*'Factor Scores'!E2323+0.20*'Factor Scores'!G2323+0.20*'Factor Scores'!H2323)</f>
        <v/>
      </c>
      <c r="C2323" s="12">
        <f>IF(B2323="","",RANK(B2323,$B$2:$B$2501,0))</f>
        <v/>
      </c>
      <c r="D2323">
        <f>IF(C2323="","",C2323&lt;=25)</f>
        <v/>
      </c>
      <c r="F2323">
        <f>IF(A2323="","",IF(AND(D2323=TRUE,E2323=""),"BUY",IF(AND(D2323=FALSE,E2323&lt;&gt;""),"SELL",IF(AND(D2323=TRUE,E2323&lt;&gt;""),"HOLD",""))))</f>
        <v/>
      </c>
      <c r="G2323" s="12">
        <f>IF(D2323=TRUE,4,0)</f>
        <v/>
      </c>
      <c r="H2323">
        <f>IF(A2323="","",BDP(A2323&amp;" US Equity","GICS_SECTOR_NAME"))</f>
        <v/>
      </c>
    </row>
    <row r="2324">
      <c r="A2324">
        <f>'Factor Scores'!A2324</f>
        <v/>
      </c>
      <c r="B2324" s="10">
        <f>IF(A2324="","",0.40*'Factor Scores'!C2324+0.20*'Factor Scores'!E2324+0.20*'Factor Scores'!G2324+0.20*'Factor Scores'!H2324)</f>
        <v/>
      </c>
      <c r="C2324" s="12">
        <f>IF(B2324="","",RANK(B2324,$B$2:$B$2501,0))</f>
        <v/>
      </c>
      <c r="D2324">
        <f>IF(C2324="","",C2324&lt;=25)</f>
        <v/>
      </c>
      <c r="F2324">
        <f>IF(A2324="","",IF(AND(D2324=TRUE,E2324=""),"BUY",IF(AND(D2324=FALSE,E2324&lt;&gt;""),"SELL",IF(AND(D2324=TRUE,E2324&lt;&gt;""),"HOLD",""))))</f>
        <v/>
      </c>
      <c r="G2324" s="12">
        <f>IF(D2324=TRUE,4,0)</f>
        <v/>
      </c>
      <c r="H2324">
        <f>IF(A2324="","",BDP(A2324&amp;" US Equity","GICS_SECTOR_NAME"))</f>
        <v/>
      </c>
    </row>
    <row r="2325">
      <c r="A2325">
        <f>'Factor Scores'!A2325</f>
        <v/>
      </c>
      <c r="B2325" s="10">
        <f>IF(A2325="","",0.40*'Factor Scores'!C2325+0.20*'Factor Scores'!E2325+0.20*'Factor Scores'!G2325+0.20*'Factor Scores'!H2325)</f>
        <v/>
      </c>
      <c r="C2325" s="12">
        <f>IF(B2325="","",RANK(B2325,$B$2:$B$2501,0))</f>
        <v/>
      </c>
      <c r="D2325">
        <f>IF(C2325="","",C2325&lt;=25)</f>
        <v/>
      </c>
      <c r="F2325">
        <f>IF(A2325="","",IF(AND(D2325=TRUE,E2325=""),"BUY",IF(AND(D2325=FALSE,E2325&lt;&gt;""),"SELL",IF(AND(D2325=TRUE,E2325&lt;&gt;""),"HOLD",""))))</f>
        <v/>
      </c>
      <c r="G2325" s="12">
        <f>IF(D2325=TRUE,4,0)</f>
        <v/>
      </c>
      <c r="H2325">
        <f>IF(A2325="","",BDP(A2325&amp;" US Equity","GICS_SECTOR_NAME"))</f>
        <v/>
      </c>
    </row>
    <row r="2326">
      <c r="A2326">
        <f>'Factor Scores'!A2326</f>
        <v/>
      </c>
      <c r="B2326" s="10">
        <f>IF(A2326="","",0.40*'Factor Scores'!C2326+0.20*'Factor Scores'!E2326+0.20*'Factor Scores'!G2326+0.20*'Factor Scores'!H2326)</f>
        <v/>
      </c>
      <c r="C2326" s="12">
        <f>IF(B2326="","",RANK(B2326,$B$2:$B$2501,0))</f>
        <v/>
      </c>
      <c r="D2326">
        <f>IF(C2326="","",C2326&lt;=25)</f>
        <v/>
      </c>
      <c r="F2326">
        <f>IF(A2326="","",IF(AND(D2326=TRUE,E2326=""),"BUY",IF(AND(D2326=FALSE,E2326&lt;&gt;""),"SELL",IF(AND(D2326=TRUE,E2326&lt;&gt;""),"HOLD",""))))</f>
        <v/>
      </c>
      <c r="G2326" s="12">
        <f>IF(D2326=TRUE,4,0)</f>
        <v/>
      </c>
      <c r="H2326">
        <f>IF(A2326="","",BDP(A2326&amp;" US Equity","GICS_SECTOR_NAME"))</f>
        <v/>
      </c>
    </row>
    <row r="2327">
      <c r="A2327">
        <f>'Factor Scores'!A2327</f>
        <v/>
      </c>
      <c r="B2327" s="10">
        <f>IF(A2327="","",0.40*'Factor Scores'!C2327+0.20*'Factor Scores'!E2327+0.20*'Factor Scores'!G2327+0.20*'Factor Scores'!H2327)</f>
        <v/>
      </c>
      <c r="C2327" s="12">
        <f>IF(B2327="","",RANK(B2327,$B$2:$B$2501,0))</f>
        <v/>
      </c>
      <c r="D2327">
        <f>IF(C2327="","",C2327&lt;=25)</f>
        <v/>
      </c>
      <c r="F2327">
        <f>IF(A2327="","",IF(AND(D2327=TRUE,E2327=""),"BUY",IF(AND(D2327=FALSE,E2327&lt;&gt;""),"SELL",IF(AND(D2327=TRUE,E2327&lt;&gt;""),"HOLD",""))))</f>
        <v/>
      </c>
      <c r="G2327" s="12">
        <f>IF(D2327=TRUE,4,0)</f>
        <v/>
      </c>
      <c r="H2327">
        <f>IF(A2327="","",BDP(A2327&amp;" US Equity","GICS_SECTOR_NAME"))</f>
        <v/>
      </c>
    </row>
    <row r="2328">
      <c r="A2328">
        <f>'Factor Scores'!A2328</f>
        <v/>
      </c>
      <c r="B2328" s="10">
        <f>IF(A2328="","",0.40*'Factor Scores'!C2328+0.20*'Factor Scores'!E2328+0.20*'Factor Scores'!G2328+0.20*'Factor Scores'!H2328)</f>
        <v/>
      </c>
      <c r="C2328" s="12">
        <f>IF(B2328="","",RANK(B2328,$B$2:$B$2501,0))</f>
        <v/>
      </c>
      <c r="D2328">
        <f>IF(C2328="","",C2328&lt;=25)</f>
        <v/>
      </c>
      <c r="F2328">
        <f>IF(A2328="","",IF(AND(D2328=TRUE,E2328=""),"BUY",IF(AND(D2328=FALSE,E2328&lt;&gt;""),"SELL",IF(AND(D2328=TRUE,E2328&lt;&gt;""),"HOLD",""))))</f>
        <v/>
      </c>
      <c r="G2328" s="12">
        <f>IF(D2328=TRUE,4,0)</f>
        <v/>
      </c>
      <c r="H2328">
        <f>IF(A2328="","",BDP(A2328&amp;" US Equity","GICS_SECTOR_NAME"))</f>
        <v/>
      </c>
    </row>
    <row r="2329">
      <c r="A2329">
        <f>'Factor Scores'!A2329</f>
        <v/>
      </c>
      <c r="B2329" s="10">
        <f>IF(A2329="","",0.40*'Factor Scores'!C2329+0.20*'Factor Scores'!E2329+0.20*'Factor Scores'!G2329+0.20*'Factor Scores'!H2329)</f>
        <v/>
      </c>
      <c r="C2329" s="12">
        <f>IF(B2329="","",RANK(B2329,$B$2:$B$2501,0))</f>
        <v/>
      </c>
      <c r="D2329">
        <f>IF(C2329="","",C2329&lt;=25)</f>
        <v/>
      </c>
      <c r="F2329">
        <f>IF(A2329="","",IF(AND(D2329=TRUE,E2329=""),"BUY",IF(AND(D2329=FALSE,E2329&lt;&gt;""),"SELL",IF(AND(D2329=TRUE,E2329&lt;&gt;""),"HOLD",""))))</f>
        <v/>
      </c>
      <c r="G2329" s="12">
        <f>IF(D2329=TRUE,4,0)</f>
        <v/>
      </c>
      <c r="H2329">
        <f>IF(A2329="","",BDP(A2329&amp;" US Equity","GICS_SECTOR_NAME"))</f>
        <v/>
      </c>
    </row>
    <row r="2330">
      <c r="A2330">
        <f>'Factor Scores'!A2330</f>
        <v/>
      </c>
      <c r="B2330" s="10">
        <f>IF(A2330="","",0.40*'Factor Scores'!C2330+0.20*'Factor Scores'!E2330+0.20*'Factor Scores'!G2330+0.20*'Factor Scores'!H2330)</f>
        <v/>
      </c>
      <c r="C2330" s="12">
        <f>IF(B2330="","",RANK(B2330,$B$2:$B$2501,0))</f>
        <v/>
      </c>
      <c r="D2330">
        <f>IF(C2330="","",C2330&lt;=25)</f>
        <v/>
      </c>
      <c r="F2330">
        <f>IF(A2330="","",IF(AND(D2330=TRUE,E2330=""),"BUY",IF(AND(D2330=FALSE,E2330&lt;&gt;""),"SELL",IF(AND(D2330=TRUE,E2330&lt;&gt;""),"HOLD",""))))</f>
        <v/>
      </c>
      <c r="G2330" s="12">
        <f>IF(D2330=TRUE,4,0)</f>
        <v/>
      </c>
      <c r="H2330">
        <f>IF(A2330="","",BDP(A2330&amp;" US Equity","GICS_SECTOR_NAME"))</f>
        <v/>
      </c>
    </row>
    <row r="2331">
      <c r="A2331">
        <f>'Factor Scores'!A2331</f>
        <v/>
      </c>
      <c r="B2331" s="10">
        <f>IF(A2331="","",0.40*'Factor Scores'!C2331+0.20*'Factor Scores'!E2331+0.20*'Factor Scores'!G2331+0.20*'Factor Scores'!H2331)</f>
        <v/>
      </c>
      <c r="C2331" s="12">
        <f>IF(B2331="","",RANK(B2331,$B$2:$B$2501,0))</f>
        <v/>
      </c>
      <c r="D2331">
        <f>IF(C2331="","",C2331&lt;=25)</f>
        <v/>
      </c>
      <c r="F2331">
        <f>IF(A2331="","",IF(AND(D2331=TRUE,E2331=""),"BUY",IF(AND(D2331=FALSE,E2331&lt;&gt;""),"SELL",IF(AND(D2331=TRUE,E2331&lt;&gt;""),"HOLD",""))))</f>
        <v/>
      </c>
      <c r="G2331" s="12">
        <f>IF(D2331=TRUE,4,0)</f>
        <v/>
      </c>
      <c r="H2331">
        <f>IF(A2331="","",BDP(A2331&amp;" US Equity","GICS_SECTOR_NAME"))</f>
        <v/>
      </c>
    </row>
    <row r="2332">
      <c r="A2332">
        <f>'Factor Scores'!A2332</f>
        <v/>
      </c>
      <c r="B2332" s="10">
        <f>IF(A2332="","",0.40*'Factor Scores'!C2332+0.20*'Factor Scores'!E2332+0.20*'Factor Scores'!G2332+0.20*'Factor Scores'!H2332)</f>
        <v/>
      </c>
      <c r="C2332" s="12">
        <f>IF(B2332="","",RANK(B2332,$B$2:$B$2501,0))</f>
        <v/>
      </c>
      <c r="D2332">
        <f>IF(C2332="","",C2332&lt;=25)</f>
        <v/>
      </c>
      <c r="F2332">
        <f>IF(A2332="","",IF(AND(D2332=TRUE,E2332=""),"BUY",IF(AND(D2332=FALSE,E2332&lt;&gt;""),"SELL",IF(AND(D2332=TRUE,E2332&lt;&gt;""),"HOLD",""))))</f>
        <v/>
      </c>
      <c r="G2332" s="12">
        <f>IF(D2332=TRUE,4,0)</f>
        <v/>
      </c>
      <c r="H2332">
        <f>IF(A2332="","",BDP(A2332&amp;" US Equity","GICS_SECTOR_NAME"))</f>
        <v/>
      </c>
    </row>
    <row r="2333">
      <c r="A2333">
        <f>'Factor Scores'!A2333</f>
        <v/>
      </c>
      <c r="B2333" s="10">
        <f>IF(A2333="","",0.40*'Factor Scores'!C2333+0.20*'Factor Scores'!E2333+0.20*'Factor Scores'!G2333+0.20*'Factor Scores'!H2333)</f>
        <v/>
      </c>
      <c r="C2333" s="12">
        <f>IF(B2333="","",RANK(B2333,$B$2:$B$2501,0))</f>
        <v/>
      </c>
      <c r="D2333">
        <f>IF(C2333="","",C2333&lt;=25)</f>
        <v/>
      </c>
      <c r="F2333">
        <f>IF(A2333="","",IF(AND(D2333=TRUE,E2333=""),"BUY",IF(AND(D2333=FALSE,E2333&lt;&gt;""),"SELL",IF(AND(D2333=TRUE,E2333&lt;&gt;""),"HOLD",""))))</f>
        <v/>
      </c>
      <c r="G2333" s="12">
        <f>IF(D2333=TRUE,4,0)</f>
        <v/>
      </c>
      <c r="H2333">
        <f>IF(A2333="","",BDP(A2333&amp;" US Equity","GICS_SECTOR_NAME"))</f>
        <v/>
      </c>
    </row>
    <row r="2334">
      <c r="A2334">
        <f>'Factor Scores'!A2334</f>
        <v/>
      </c>
      <c r="B2334" s="10">
        <f>IF(A2334="","",0.40*'Factor Scores'!C2334+0.20*'Factor Scores'!E2334+0.20*'Factor Scores'!G2334+0.20*'Factor Scores'!H2334)</f>
        <v/>
      </c>
      <c r="C2334" s="12">
        <f>IF(B2334="","",RANK(B2334,$B$2:$B$2501,0))</f>
        <v/>
      </c>
      <c r="D2334">
        <f>IF(C2334="","",C2334&lt;=25)</f>
        <v/>
      </c>
      <c r="F2334">
        <f>IF(A2334="","",IF(AND(D2334=TRUE,E2334=""),"BUY",IF(AND(D2334=FALSE,E2334&lt;&gt;""),"SELL",IF(AND(D2334=TRUE,E2334&lt;&gt;""),"HOLD",""))))</f>
        <v/>
      </c>
      <c r="G2334" s="12">
        <f>IF(D2334=TRUE,4,0)</f>
        <v/>
      </c>
      <c r="H2334">
        <f>IF(A2334="","",BDP(A2334&amp;" US Equity","GICS_SECTOR_NAME"))</f>
        <v/>
      </c>
    </row>
    <row r="2335">
      <c r="A2335">
        <f>'Factor Scores'!A2335</f>
        <v/>
      </c>
      <c r="B2335" s="10">
        <f>IF(A2335="","",0.40*'Factor Scores'!C2335+0.20*'Factor Scores'!E2335+0.20*'Factor Scores'!G2335+0.20*'Factor Scores'!H2335)</f>
        <v/>
      </c>
      <c r="C2335" s="12">
        <f>IF(B2335="","",RANK(B2335,$B$2:$B$2501,0))</f>
        <v/>
      </c>
      <c r="D2335">
        <f>IF(C2335="","",C2335&lt;=25)</f>
        <v/>
      </c>
      <c r="F2335">
        <f>IF(A2335="","",IF(AND(D2335=TRUE,E2335=""),"BUY",IF(AND(D2335=FALSE,E2335&lt;&gt;""),"SELL",IF(AND(D2335=TRUE,E2335&lt;&gt;""),"HOLD",""))))</f>
        <v/>
      </c>
      <c r="G2335" s="12">
        <f>IF(D2335=TRUE,4,0)</f>
        <v/>
      </c>
      <c r="H2335">
        <f>IF(A2335="","",BDP(A2335&amp;" US Equity","GICS_SECTOR_NAME"))</f>
        <v/>
      </c>
    </row>
    <row r="2336">
      <c r="A2336">
        <f>'Factor Scores'!A2336</f>
        <v/>
      </c>
      <c r="B2336" s="10">
        <f>IF(A2336="","",0.40*'Factor Scores'!C2336+0.20*'Factor Scores'!E2336+0.20*'Factor Scores'!G2336+0.20*'Factor Scores'!H2336)</f>
        <v/>
      </c>
      <c r="C2336" s="12">
        <f>IF(B2336="","",RANK(B2336,$B$2:$B$2501,0))</f>
        <v/>
      </c>
      <c r="D2336">
        <f>IF(C2336="","",C2336&lt;=25)</f>
        <v/>
      </c>
      <c r="F2336">
        <f>IF(A2336="","",IF(AND(D2336=TRUE,E2336=""),"BUY",IF(AND(D2336=FALSE,E2336&lt;&gt;""),"SELL",IF(AND(D2336=TRUE,E2336&lt;&gt;""),"HOLD",""))))</f>
        <v/>
      </c>
      <c r="G2336" s="12">
        <f>IF(D2336=TRUE,4,0)</f>
        <v/>
      </c>
      <c r="H2336">
        <f>IF(A2336="","",BDP(A2336&amp;" US Equity","GICS_SECTOR_NAME"))</f>
        <v/>
      </c>
    </row>
    <row r="2337">
      <c r="A2337">
        <f>'Factor Scores'!A2337</f>
        <v/>
      </c>
      <c r="B2337" s="10">
        <f>IF(A2337="","",0.40*'Factor Scores'!C2337+0.20*'Factor Scores'!E2337+0.20*'Factor Scores'!G2337+0.20*'Factor Scores'!H2337)</f>
        <v/>
      </c>
      <c r="C2337" s="12">
        <f>IF(B2337="","",RANK(B2337,$B$2:$B$2501,0))</f>
        <v/>
      </c>
      <c r="D2337">
        <f>IF(C2337="","",C2337&lt;=25)</f>
        <v/>
      </c>
      <c r="F2337">
        <f>IF(A2337="","",IF(AND(D2337=TRUE,E2337=""),"BUY",IF(AND(D2337=FALSE,E2337&lt;&gt;""),"SELL",IF(AND(D2337=TRUE,E2337&lt;&gt;""),"HOLD",""))))</f>
        <v/>
      </c>
      <c r="G2337" s="12">
        <f>IF(D2337=TRUE,4,0)</f>
        <v/>
      </c>
      <c r="H2337">
        <f>IF(A2337="","",BDP(A2337&amp;" US Equity","GICS_SECTOR_NAME"))</f>
        <v/>
      </c>
    </row>
    <row r="2338">
      <c r="A2338">
        <f>'Factor Scores'!A2338</f>
        <v/>
      </c>
      <c r="B2338" s="10">
        <f>IF(A2338="","",0.40*'Factor Scores'!C2338+0.20*'Factor Scores'!E2338+0.20*'Factor Scores'!G2338+0.20*'Factor Scores'!H2338)</f>
        <v/>
      </c>
      <c r="C2338" s="12">
        <f>IF(B2338="","",RANK(B2338,$B$2:$B$2501,0))</f>
        <v/>
      </c>
      <c r="D2338">
        <f>IF(C2338="","",C2338&lt;=25)</f>
        <v/>
      </c>
      <c r="F2338">
        <f>IF(A2338="","",IF(AND(D2338=TRUE,E2338=""),"BUY",IF(AND(D2338=FALSE,E2338&lt;&gt;""),"SELL",IF(AND(D2338=TRUE,E2338&lt;&gt;""),"HOLD",""))))</f>
        <v/>
      </c>
      <c r="G2338" s="12">
        <f>IF(D2338=TRUE,4,0)</f>
        <v/>
      </c>
      <c r="H2338">
        <f>IF(A2338="","",BDP(A2338&amp;" US Equity","GICS_SECTOR_NAME"))</f>
        <v/>
      </c>
    </row>
    <row r="2339">
      <c r="A2339">
        <f>'Factor Scores'!A2339</f>
        <v/>
      </c>
      <c r="B2339" s="10">
        <f>IF(A2339="","",0.40*'Factor Scores'!C2339+0.20*'Factor Scores'!E2339+0.20*'Factor Scores'!G2339+0.20*'Factor Scores'!H2339)</f>
        <v/>
      </c>
      <c r="C2339" s="12">
        <f>IF(B2339="","",RANK(B2339,$B$2:$B$2501,0))</f>
        <v/>
      </c>
      <c r="D2339">
        <f>IF(C2339="","",C2339&lt;=25)</f>
        <v/>
      </c>
      <c r="F2339">
        <f>IF(A2339="","",IF(AND(D2339=TRUE,E2339=""),"BUY",IF(AND(D2339=FALSE,E2339&lt;&gt;""),"SELL",IF(AND(D2339=TRUE,E2339&lt;&gt;""),"HOLD",""))))</f>
        <v/>
      </c>
      <c r="G2339" s="12">
        <f>IF(D2339=TRUE,4,0)</f>
        <v/>
      </c>
      <c r="H2339">
        <f>IF(A2339="","",BDP(A2339&amp;" US Equity","GICS_SECTOR_NAME"))</f>
        <v/>
      </c>
    </row>
    <row r="2340">
      <c r="A2340">
        <f>'Factor Scores'!A2340</f>
        <v/>
      </c>
      <c r="B2340" s="10">
        <f>IF(A2340="","",0.40*'Factor Scores'!C2340+0.20*'Factor Scores'!E2340+0.20*'Factor Scores'!G2340+0.20*'Factor Scores'!H2340)</f>
        <v/>
      </c>
      <c r="C2340" s="12">
        <f>IF(B2340="","",RANK(B2340,$B$2:$B$2501,0))</f>
        <v/>
      </c>
      <c r="D2340">
        <f>IF(C2340="","",C2340&lt;=25)</f>
        <v/>
      </c>
      <c r="F2340">
        <f>IF(A2340="","",IF(AND(D2340=TRUE,E2340=""),"BUY",IF(AND(D2340=FALSE,E2340&lt;&gt;""),"SELL",IF(AND(D2340=TRUE,E2340&lt;&gt;""),"HOLD",""))))</f>
        <v/>
      </c>
      <c r="G2340" s="12">
        <f>IF(D2340=TRUE,4,0)</f>
        <v/>
      </c>
      <c r="H2340">
        <f>IF(A2340="","",BDP(A2340&amp;" US Equity","GICS_SECTOR_NAME"))</f>
        <v/>
      </c>
    </row>
    <row r="2341">
      <c r="A2341">
        <f>'Factor Scores'!A2341</f>
        <v/>
      </c>
      <c r="B2341" s="10">
        <f>IF(A2341="","",0.40*'Factor Scores'!C2341+0.20*'Factor Scores'!E2341+0.20*'Factor Scores'!G2341+0.20*'Factor Scores'!H2341)</f>
        <v/>
      </c>
      <c r="C2341" s="12">
        <f>IF(B2341="","",RANK(B2341,$B$2:$B$2501,0))</f>
        <v/>
      </c>
      <c r="D2341">
        <f>IF(C2341="","",C2341&lt;=25)</f>
        <v/>
      </c>
      <c r="F2341">
        <f>IF(A2341="","",IF(AND(D2341=TRUE,E2341=""),"BUY",IF(AND(D2341=FALSE,E2341&lt;&gt;""),"SELL",IF(AND(D2341=TRUE,E2341&lt;&gt;""),"HOLD",""))))</f>
        <v/>
      </c>
      <c r="G2341" s="12">
        <f>IF(D2341=TRUE,4,0)</f>
        <v/>
      </c>
      <c r="H2341">
        <f>IF(A2341="","",BDP(A2341&amp;" US Equity","GICS_SECTOR_NAME"))</f>
        <v/>
      </c>
    </row>
    <row r="2342">
      <c r="A2342">
        <f>'Factor Scores'!A2342</f>
        <v/>
      </c>
      <c r="B2342" s="10">
        <f>IF(A2342="","",0.40*'Factor Scores'!C2342+0.20*'Factor Scores'!E2342+0.20*'Factor Scores'!G2342+0.20*'Factor Scores'!H2342)</f>
        <v/>
      </c>
      <c r="C2342" s="12">
        <f>IF(B2342="","",RANK(B2342,$B$2:$B$2501,0))</f>
        <v/>
      </c>
      <c r="D2342">
        <f>IF(C2342="","",C2342&lt;=25)</f>
        <v/>
      </c>
      <c r="F2342">
        <f>IF(A2342="","",IF(AND(D2342=TRUE,E2342=""),"BUY",IF(AND(D2342=FALSE,E2342&lt;&gt;""),"SELL",IF(AND(D2342=TRUE,E2342&lt;&gt;""),"HOLD",""))))</f>
        <v/>
      </c>
      <c r="G2342" s="12">
        <f>IF(D2342=TRUE,4,0)</f>
        <v/>
      </c>
      <c r="H2342">
        <f>IF(A2342="","",BDP(A2342&amp;" US Equity","GICS_SECTOR_NAME"))</f>
        <v/>
      </c>
    </row>
    <row r="2343">
      <c r="A2343">
        <f>'Factor Scores'!A2343</f>
        <v/>
      </c>
      <c r="B2343" s="10">
        <f>IF(A2343="","",0.40*'Factor Scores'!C2343+0.20*'Factor Scores'!E2343+0.20*'Factor Scores'!G2343+0.20*'Factor Scores'!H2343)</f>
        <v/>
      </c>
      <c r="C2343" s="12">
        <f>IF(B2343="","",RANK(B2343,$B$2:$B$2501,0))</f>
        <v/>
      </c>
      <c r="D2343">
        <f>IF(C2343="","",C2343&lt;=25)</f>
        <v/>
      </c>
      <c r="F2343">
        <f>IF(A2343="","",IF(AND(D2343=TRUE,E2343=""),"BUY",IF(AND(D2343=FALSE,E2343&lt;&gt;""),"SELL",IF(AND(D2343=TRUE,E2343&lt;&gt;""),"HOLD",""))))</f>
        <v/>
      </c>
      <c r="G2343" s="12">
        <f>IF(D2343=TRUE,4,0)</f>
        <v/>
      </c>
      <c r="H2343">
        <f>IF(A2343="","",BDP(A2343&amp;" US Equity","GICS_SECTOR_NAME"))</f>
        <v/>
      </c>
    </row>
    <row r="2344">
      <c r="A2344">
        <f>'Factor Scores'!A2344</f>
        <v/>
      </c>
      <c r="B2344" s="10">
        <f>IF(A2344="","",0.40*'Factor Scores'!C2344+0.20*'Factor Scores'!E2344+0.20*'Factor Scores'!G2344+0.20*'Factor Scores'!H2344)</f>
        <v/>
      </c>
      <c r="C2344" s="12">
        <f>IF(B2344="","",RANK(B2344,$B$2:$B$2501,0))</f>
        <v/>
      </c>
      <c r="D2344">
        <f>IF(C2344="","",C2344&lt;=25)</f>
        <v/>
      </c>
      <c r="F2344">
        <f>IF(A2344="","",IF(AND(D2344=TRUE,E2344=""),"BUY",IF(AND(D2344=FALSE,E2344&lt;&gt;""),"SELL",IF(AND(D2344=TRUE,E2344&lt;&gt;""),"HOLD",""))))</f>
        <v/>
      </c>
      <c r="G2344" s="12">
        <f>IF(D2344=TRUE,4,0)</f>
        <v/>
      </c>
      <c r="H2344">
        <f>IF(A2344="","",BDP(A2344&amp;" US Equity","GICS_SECTOR_NAME"))</f>
        <v/>
      </c>
    </row>
    <row r="2345">
      <c r="A2345">
        <f>'Factor Scores'!A2345</f>
        <v/>
      </c>
      <c r="B2345" s="10">
        <f>IF(A2345="","",0.40*'Factor Scores'!C2345+0.20*'Factor Scores'!E2345+0.20*'Factor Scores'!G2345+0.20*'Factor Scores'!H2345)</f>
        <v/>
      </c>
      <c r="C2345" s="12">
        <f>IF(B2345="","",RANK(B2345,$B$2:$B$2501,0))</f>
        <v/>
      </c>
      <c r="D2345">
        <f>IF(C2345="","",C2345&lt;=25)</f>
        <v/>
      </c>
      <c r="F2345">
        <f>IF(A2345="","",IF(AND(D2345=TRUE,E2345=""),"BUY",IF(AND(D2345=FALSE,E2345&lt;&gt;""),"SELL",IF(AND(D2345=TRUE,E2345&lt;&gt;""),"HOLD",""))))</f>
        <v/>
      </c>
      <c r="G2345" s="12">
        <f>IF(D2345=TRUE,4,0)</f>
        <v/>
      </c>
      <c r="H2345">
        <f>IF(A2345="","",BDP(A2345&amp;" US Equity","GICS_SECTOR_NAME"))</f>
        <v/>
      </c>
    </row>
    <row r="2346">
      <c r="A2346">
        <f>'Factor Scores'!A2346</f>
        <v/>
      </c>
      <c r="B2346" s="10">
        <f>IF(A2346="","",0.40*'Factor Scores'!C2346+0.20*'Factor Scores'!E2346+0.20*'Factor Scores'!G2346+0.20*'Factor Scores'!H2346)</f>
        <v/>
      </c>
      <c r="C2346" s="12">
        <f>IF(B2346="","",RANK(B2346,$B$2:$B$2501,0))</f>
        <v/>
      </c>
      <c r="D2346">
        <f>IF(C2346="","",C2346&lt;=25)</f>
        <v/>
      </c>
      <c r="F2346">
        <f>IF(A2346="","",IF(AND(D2346=TRUE,E2346=""),"BUY",IF(AND(D2346=FALSE,E2346&lt;&gt;""),"SELL",IF(AND(D2346=TRUE,E2346&lt;&gt;""),"HOLD",""))))</f>
        <v/>
      </c>
      <c r="G2346" s="12">
        <f>IF(D2346=TRUE,4,0)</f>
        <v/>
      </c>
      <c r="H2346">
        <f>IF(A2346="","",BDP(A2346&amp;" US Equity","GICS_SECTOR_NAME"))</f>
        <v/>
      </c>
    </row>
    <row r="2347">
      <c r="A2347">
        <f>'Factor Scores'!A2347</f>
        <v/>
      </c>
      <c r="B2347" s="10">
        <f>IF(A2347="","",0.40*'Factor Scores'!C2347+0.20*'Factor Scores'!E2347+0.20*'Factor Scores'!G2347+0.20*'Factor Scores'!H2347)</f>
        <v/>
      </c>
      <c r="C2347" s="12">
        <f>IF(B2347="","",RANK(B2347,$B$2:$B$2501,0))</f>
        <v/>
      </c>
      <c r="D2347">
        <f>IF(C2347="","",C2347&lt;=25)</f>
        <v/>
      </c>
      <c r="F2347">
        <f>IF(A2347="","",IF(AND(D2347=TRUE,E2347=""),"BUY",IF(AND(D2347=FALSE,E2347&lt;&gt;""),"SELL",IF(AND(D2347=TRUE,E2347&lt;&gt;""),"HOLD",""))))</f>
        <v/>
      </c>
      <c r="G2347" s="12">
        <f>IF(D2347=TRUE,4,0)</f>
        <v/>
      </c>
      <c r="H2347">
        <f>IF(A2347="","",BDP(A2347&amp;" US Equity","GICS_SECTOR_NAME"))</f>
        <v/>
      </c>
    </row>
    <row r="2348">
      <c r="A2348">
        <f>'Factor Scores'!A2348</f>
        <v/>
      </c>
      <c r="B2348" s="10">
        <f>IF(A2348="","",0.40*'Factor Scores'!C2348+0.20*'Factor Scores'!E2348+0.20*'Factor Scores'!G2348+0.20*'Factor Scores'!H2348)</f>
        <v/>
      </c>
      <c r="C2348" s="12">
        <f>IF(B2348="","",RANK(B2348,$B$2:$B$2501,0))</f>
        <v/>
      </c>
      <c r="D2348">
        <f>IF(C2348="","",C2348&lt;=25)</f>
        <v/>
      </c>
      <c r="F2348">
        <f>IF(A2348="","",IF(AND(D2348=TRUE,E2348=""),"BUY",IF(AND(D2348=FALSE,E2348&lt;&gt;""),"SELL",IF(AND(D2348=TRUE,E2348&lt;&gt;""),"HOLD",""))))</f>
        <v/>
      </c>
      <c r="G2348" s="12">
        <f>IF(D2348=TRUE,4,0)</f>
        <v/>
      </c>
      <c r="H2348">
        <f>IF(A2348="","",BDP(A2348&amp;" US Equity","GICS_SECTOR_NAME"))</f>
        <v/>
      </c>
    </row>
    <row r="2349">
      <c r="A2349">
        <f>'Factor Scores'!A2349</f>
        <v/>
      </c>
      <c r="B2349" s="10">
        <f>IF(A2349="","",0.40*'Factor Scores'!C2349+0.20*'Factor Scores'!E2349+0.20*'Factor Scores'!G2349+0.20*'Factor Scores'!H2349)</f>
        <v/>
      </c>
      <c r="C2349" s="12">
        <f>IF(B2349="","",RANK(B2349,$B$2:$B$2501,0))</f>
        <v/>
      </c>
      <c r="D2349">
        <f>IF(C2349="","",C2349&lt;=25)</f>
        <v/>
      </c>
      <c r="F2349">
        <f>IF(A2349="","",IF(AND(D2349=TRUE,E2349=""),"BUY",IF(AND(D2349=FALSE,E2349&lt;&gt;""),"SELL",IF(AND(D2349=TRUE,E2349&lt;&gt;""),"HOLD",""))))</f>
        <v/>
      </c>
      <c r="G2349" s="12">
        <f>IF(D2349=TRUE,4,0)</f>
        <v/>
      </c>
      <c r="H2349">
        <f>IF(A2349="","",BDP(A2349&amp;" US Equity","GICS_SECTOR_NAME"))</f>
        <v/>
      </c>
    </row>
    <row r="2350">
      <c r="A2350">
        <f>'Factor Scores'!A2350</f>
        <v/>
      </c>
      <c r="B2350" s="10">
        <f>IF(A2350="","",0.40*'Factor Scores'!C2350+0.20*'Factor Scores'!E2350+0.20*'Factor Scores'!G2350+0.20*'Factor Scores'!H2350)</f>
        <v/>
      </c>
      <c r="C2350" s="12">
        <f>IF(B2350="","",RANK(B2350,$B$2:$B$2501,0))</f>
        <v/>
      </c>
      <c r="D2350">
        <f>IF(C2350="","",C2350&lt;=25)</f>
        <v/>
      </c>
      <c r="F2350">
        <f>IF(A2350="","",IF(AND(D2350=TRUE,E2350=""),"BUY",IF(AND(D2350=FALSE,E2350&lt;&gt;""),"SELL",IF(AND(D2350=TRUE,E2350&lt;&gt;""),"HOLD",""))))</f>
        <v/>
      </c>
      <c r="G2350" s="12">
        <f>IF(D2350=TRUE,4,0)</f>
        <v/>
      </c>
      <c r="H2350">
        <f>IF(A2350="","",BDP(A2350&amp;" US Equity","GICS_SECTOR_NAME"))</f>
        <v/>
      </c>
    </row>
    <row r="2351">
      <c r="A2351">
        <f>'Factor Scores'!A2351</f>
        <v/>
      </c>
      <c r="B2351" s="10">
        <f>IF(A2351="","",0.40*'Factor Scores'!C2351+0.20*'Factor Scores'!E2351+0.20*'Factor Scores'!G2351+0.20*'Factor Scores'!H2351)</f>
        <v/>
      </c>
      <c r="C2351" s="12">
        <f>IF(B2351="","",RANK(B2351,$B$2:$B$2501,0))</f>
        <v/>
      </c>
      <c r="D2351">
        <f>IF(C2351="","",C2351&lt;=25)</f>
        <v/>
      </c>
      <c r="F2351">
        <f>IF(A2351="","",IF(AND(D2351=TRUE,E2351=""),"BUY",IF(AND(D2351=FALSE,E2351&lt;&gt;""),"SELL",IF(AND(D2351=TRUE,E2351&lt;&gt;""),"HOLD",""))))</f>
        <v/>
      </c>
      <c r="G2351" s="12">
        <f>IF(D2351=TRUE,4,0)</f>
        <v/>
      </c>
      <c r="H2351">
        <f>IF(A2351="","",BDP(A2351&amp;" US Equity","GICS_SECTOR_NAME"))</f>
        <v/>
      </c>
    </row>
    <row r="2352">
      <c r="A2352">
        <f>'Factor Scores'!A2352</f>
        <v/>
      </c>
      <c r="B2352" s="10">
        <f>IF(A2352="","",0.40*'Factor Scores'!C2352+0.20*'Factor Scores'!E2352+0.20*'Factor Scores'!G2352+0.20*'Factor Scores'!H2352)</f>
        <v/>
      </c>
      <c r="C2352" s="12">
        <f>IF(B2352="","",RANK(B2352,$B$2:$B$2501,0))</f>
        <v/>
      </c>
      <c r="D2352">
        <f>IF(C2352="","",C2352&lt;=25)</f>
        <v/>
      </c>
      <c r="F2352">
        <f>IF(A2352="","",IF(AND(D2352=TRUE,E2352=""),"BUY",IF(AND(D2352=FALSE,E2352&lt;&gt;""),"SELL",IF(AND(D2352=TRUE,E2352&lt;&gt;""),"HOLD",""))))</f>
        <v/>
      </c>
      <c r="G2352" s="12">
        <f>IF(D2352=TRUE,4,0)</f>
        <v/>
      </c>
      <c r="H2352">
        <f>IF(A2352="","",BDP(A2352&amp;" US Equity","GICS_SECTOR_NAME"))</f>
        <v/>
      </c>
    </row>
    <row r="2353">
      <c r="A2353">
        <f>'Factor Scores'!A2353</f>
        <v/>
      </c>
      <c r="B2353" s="10">
        <f>IF(A2353="","",0.40*'Factor Scores'!C2353+0.20*'Factor Scores'!E2353+0.20*'Factor Scores'!G2353+0.20*'Factor Scores'!H2353)</f>
        <v/>
      </c>
      <c r="C2353" s="12">
        <f>IF(B2353="","",RANK(B2353,$B$2:$B$2501,0))</f>
        <v/>
      </c>
      <c r="D2353">
        <f>IF(C2353="","",C2353&lt;=25)</f>
        <v/>
      </c>
      <c r="F2353">
        <f>IF(A2353="","",IF(AND(D2353=TRUE,E2353=""),"BUY",IF(AND(D2353=FALSE,E2353&lt;&gt;""),"SELL",IF(AND(D2353=TRUE,E2353&lt;&gt;""),"HOLD",""))))</f>
        <v/>
      </c>
      <c r="G2353" s="12">
        <f>IF(D2353=TRUE,4,0)</f>
        <v/>
      </c>
      <c r="H2353">
        <f>IF(A2353="","",BDP(A2353&amp;" US Equity","GICS_SECTOR_NAME"))</f>
        <v/>
      </c>
    </row>
    <row r="2354">
      <c r="A2354">
        <f>'Factor Scores'!A2354</f>
        <v/>
      </c>
      <c r="B2354" s="10">
        <f>IF(A2354="","",0.40*'Factor Scores'!C2354+0.20*'Factor Scores'!E2354+0.20*'Factor Scores'!G2354+0.20*'Factor Scores'!H2354)</f>
        <v/>
      </c>
      <c r="C2354" s="12">
        <f>IF(B2354="","",RANK(B2354,$B$2:$B$2501,0))</f>
        <v/>
      </c>
      <c r="D2354">
        <f>IF(C2354="","",C2354&lt;=25)</f>
        <v/>
      </c>
      <c r="F2354">
        <f>IF(A2354="","",IF(AND(D2354=TRUE,E2354=""),"BUY",IF(AND(D2354=FALSE,E2354&lt;&gt;""),"SELL",IF(AND(D2354=TRUE,E2354&lt;&gt;""),"HOLD",""))))</f>
        <v/>
      </c>
      <c r="G2354" s="12">
        <f>IF(D2354=TRUE,4,0)</f>
        <v/>
      </c>
      <c r="H2354">
        <f>IF(A2354="","",BDP(A2354&amp;" US Equity","GICS_SECTOR_NAME"))</f>
        <v/>
      </c>
    </row>
    <row r="2355">
      <c r="A2355">
        <f>'Factor Scores'!A2355</f>
        <v/>
      </c>
      <c r="B2355" s="10">
        <f>IF(A2355="","",0.40*'Factor Scores'!C2355+0.20*'Factor Scores'!E2355+0.20*'Factor Scores'!G2355+0.20*'Factor Scores'!H2355)</f>
        <v/>
      </c>
      <c r="C2355" s="12">
        <f>IF(B2355="","",RANK(B2355,$B$2:$B$2501,0))</f>
        <v/>
      </c>
      <c r="D2355">
        <f>IF(C2355="","",C2355&lt;=25)</f>
        <v/>
      </c>
      <c r="F2355">
        <f>IF(A2355="","",IF(AND(D2355=TRUE,E2355=""),"BUY",IF(AND(D2355=FALSE,E2355&lt;&gt;""),"SELL",IF(AND(D2355=TRUE,E2355&lt;&gt;""),"HOLD",""))))</f>
        <v/>
      </c>
      <c r="G2355" s="12">
        <f>IF(D2355=TRUE,4,0)</f>
        <v/>
      </c>
      <c r="H2355">
        <f>IF(A2355="","",BDP(A2355&amp;" US Equity","GICS_SECTOR_NAME"))</f>
        <v/>
      </c>
    </row>
    <row r="2356">
      <c r="A2356">
        <f>'Factor Scores'!A2356</f>
        <v/>
      </c>
      <c r="B2356" s="10">
        <f>IF(A2356="","",0.40*'Factor Scores'!C2356+0.20*'Factor Scores'!E2356+0.20*'Factor Scores'!G2356+0.20*'Factor Scores'!H2356)</f>
        <v/>
      </c>
      <c r="C2356" s="12">
        <f>IF(B2356="","",RANK(B2356,$B$2:$B$2501,0))</f>
        <v/>
      </c>
      <c r="D2356">
        <f>IF(C2356="","",C2356&lt;=25)</f>
        <v/>
      </c>
      <c r="F2356">
        <f>IF(A2356="","",IF(AND(D2356=TRUE,E2356=""),"BUY",IF(AND(D2356=FALSE,E2356&lt;&gt;""),"SELL",IF(AND(D2356=TRUE,E2356&lt;&gt;""),"HOLD",""))))</f>
        <v/>
      </c>
      <c r="G2356" s="12">
        <f>IF(D2356=TRUE,4,0)</f>
        <v/>
      </c>
      <c r="H2356">
        <f>IF(A2356="","",BDP(A2356&amp;" US Equity","GICS_SECTOR_NAME"))</f>
        <v/>
      </c>
    </row>
    <row r="2357">
      <c r="A2357">
        <f>'Factor Scores'!A2357</f>
        <v/>
      </c>
      <c r="B2357" s="10">
        <f>IF(A2357="","",0.40*'Factor Scores'!C2357+0.20*'Factor Scores'!E2357+0.20*'Factor Scores'!G2357+0.20*'Factor Scores'!H2357)</f>
        <v/>
      </c>
      <c r="C2357" s="12">
        <f>IF(B2357="","",RANK(B2357,$B$2:$B$2501,0))</f>
        <v/>
      </c>
      <c r="D2357">
        <f>IF(C2357="","",C2357&lt;=25)</f>
        <v/>
      </c>
      <c r="F2357">
        <f>IF(A2357="","",IF(AND(D2357=TRUE,E2357=""),"BUY",IF(AND(D2357=FALSE,E2357&lt;&gt;""),"SELL",IF(AND(D2357=TRUE,E2357&lt;&gt;""),"HOLD",""))))</f>
        <v/>
      </c>
      <c r="G2357" s="12">
        <f>IF(D2357=TRUE,4,0)</f>
        <v/>
      </c>
      <c r="H2357">
        <f>IF(A2357="","",BDP(A2357&amp;" US Equity","GICS_SECTOR_NAME"))</f>
        <v/>
      </c>
    </row>
    <row r="2358">
      <c r="A2358">
        <f>'Factor Scores'!A2358</f>
        <v/>
      </c>
      <c r="B2358" s="10">
        <f>IF(A2358="","",0.40*'Factor Scores'!C2358+0.20*'Factor Scores'!E2358+0.20*'Factor Scores'!G2358+0.20*'Factor Scores'!H2358)</f>
        <v/>
      </c>
      <c r="C2358" s="12">
        <f>IF(B2358="","",RANK(B2358,$B$2:$B$2501,0))</f>
        <v/>
      </c>
      <c r="D2358">
        <f>IF(C2358="","",C2358&lt;=25)</f>
        <v/>
      </c>
      <c r="F2358">
        <f>IF(A2358="","",IF(AND(D2358=TRUE,E2358=""),"BUY",IF(AND(D2358=FALSE,E2358&lt;&gt;""),"SELL",IF(AND(D2358=TRUE,E2358&lt;&gt;""),"HOLD",""))))</f>
        <v/>
      </c>
      <c r="G2358" s="12">
        <f>IF(D2358=TRUE,4,0)</f>
        <v/>
      </c>
      <c r="H2358">
        <f>IF(A2358="","",BDP(A2358&amp;" US Equity","GICS_SECTOR_NAME"))</f>
        <v/>
      </c>
    </row>
    <row r="2359">
      <c r="A2359">
        <f>'Factor Scores'!A2359</f>
        <v/>
      </c>
      <c r="B2359" s="10">
        <f>IF(A2359="","",0.40*'Factor Scores'!C2359+0.20*'Factor Scores'!E2359+0.20*'Factor Scores'!G2359+0.20*'Factor Scores'!H2359)</f>
        <v/>
      </c>
      <c r="C2359" s="12">
        <f>IF(B2359="","",RANK(B2359,$B$2:$B$2501,0))</f>
        <v/>
      </c>
      <c r="D2359">
        <f>IF(C2359="","",C2359&lt;=25)</f>
        <v/>
      </c>
      <c r="F2359">
        <f>IF(A2359="","",IF(AND(D2359=TRUE,E2359=""),"BUY",IF(AND(D2359=FALSE,E2359&lt;&gt;""),"SELL",IF(AND(D2359=TRUE,E2359&lt;&gt;""),"HOLD",""))))</f>
        <v/>
      </c>
      <c r="G2359" s="12">
        <f>IF(D2359=TRUE,4,0)</f>
        <v/>
      </c>
      <c r="H2359">
        <f>IF(A2359="","",BDP(A2359&amp;" US Equity","GICS_SECTOR_NAME"))</f>
        <v/>
      </c>
    </row>
    <row r="2360">
      <c r="A2360">
        <f>'Factor Scores'!A2360</f>
        <v/>
      </c>
      <c r="B2360" s="10">
        <f>IF(A2360="","",0.40*'Factor Scores'!C2360+0.20*'Factor Scores'!E2360+0.20*'Factor Scores'!G2360+0.20*'Factor Scores'!H2360)</f>
        <v/>
      </c>
      <c r="C2360" s="12">
        <f>IF(B2360="","",RANK(B2360,$B$2:$B$2501,0))</f>
        <v/>
      </c>
      <c r="D2360">
        <f>IF(C2360="","",C2360&lt;=25)</f>
        <v/>
      </c>
      <c r="F2360">
        <f>IF(A2360="","",IF(AND(D2360=TRUE,E2360=""),"BUY",IF(AND(D2360=FALSE,E2360&lt;&gt;""),"SELL",IF(AND(D2360=TRUE,E2360&lt;&gt;""),"HOLD",""))))</f>
        <v/>
      </c>
      <c r="G2360" s="12">
        <f>IF(D2360=TRUE,4,0)</f>
        <v/>
      </c>
      <c r="H2360">
        <f>IF(A2360="","",BDP(A2360&amp;" US Equity","GICS_SECTOR_NAME"))</f>
        <v/>
      </c>
    </row>
    <row r="2361">
      <c r="A2361">
        <f>'Factor Scores'!A2361</f>
        <v/>
      </c>
      <c r="B2361" s="10">
        <f>IF(A2361="","",0.40*'Factor Scores'!C2361+0.20*'Factor Scores'!E2361+0.20*'Factor Scores'!G2361+0.20*'Factor Scores'!H2361)</f>
        <v/>
      </c>
      <c r="C2361" s="12">
        <f>IF(B2361="","",RANK(B2361,$B$2:$B$2501,0))</f>
        <v/>
      </c>
      <c r="D2361">
        <f>IF(C2361="","",C2361&lt;=25)</f>
        <v/>
      </c>
      <c r="F2361">
        <f>IF(A2361="","",IF(AND(D2361=TRUE,E2361=""),"BUY",IF(AND(D2361=FALSE,E2361&lt;&gt;""),"SELL",IF(AND(D2361=TRUE,E2361&lt;&gt;""),"HOLD",""))))</f>
        <v/>
      </c>
      <c r="G2361" s="12">
        <f>IF(D2361=TRUE,4,0)</f>
        <v/>
      </c>
      <c r="H2361">
        <f>IF(A2361="","",BDP(A2361&amp;" US Equity","GICS_SECTOR_NAME"))</f>
        <v/>
      </c>
    </row>
    <row r="2362">
      <c r="A2362">
        <f>'Factor Scores'!A2362</f>
        <v/>
      </c>
      <c r="B2362" s="10">
        <f>IF(A2362="","",0.40*'Factor Scores'!C2362+0.20*'Factor Scores'!E2362+0.20*'Factor Scores'!G2362+0.20*'Factor Scores'!H2362)</f>
        <v/>
      </c>
      <c r="C2362" s="12">
        <f>IF(B2362="","",RANK(B2362,$B$2:$B$2501,0))</f>
        <v/>
      </c>
      <c r="D2362">
        <f>IF(C2362="","",C2362&lt;=25)</f>
        <v/>
      </c>
      <c r="F2362">
        <f>IF(A2362="","",IF(AND(D2362=TRUE,E2362=""),"BUY",IF(AND(D2362=FALSE,E2362&lt;&gt;""),"SELL",IF(AND(D2362=TRUE,E2362&lt;&gt;""),"HOLD",""))))</f>
        <v/>
      </c>
      <c r="G2362" s="12">
        <f>IF(D2362=TRUE,4,0)</f>
        <v/>
      </c>
      <c r="H2362">
        <f>IF(A2362="","",BDP(A2362&amp;" US Equity","GICS_SECTOR_NAME"))</f>
        <v/>
      </c>
    </row>
    <row r="2363">
      <c r="A2363">
        <f>'Factor Scores'!A2363</f>
        <v/>
      </c>
      <c r="B2363" s="10">
        <f>IF(A2363="","",0.40*'Factor Scores'!C2363+0.20*'Factor Scores'!E2363+0.20*'Factor Scores'!G2363+0.20*'Factor Scores'!H2363)</f>
        <v/>
      </c>
      <c r="C2363" s="12">
        <f>IF(B2363="","",RANK(B2363,$B$2:$B$2501,0))</f>
        <v/>
      </c>
      <c r="D2363">
        <f>IF(C2363="","",C2363&lt;=25)</f>
        <v/>
      </c>
      <c r="F2363">
        <f>IF(A2363="","",IF(AND(D2363=TRUE,E2363=""),"BUY",IF(AND(D2363=FALSE,E2363&lt;&gt;""),"SELL",IF(AND(D2363=TRUE,E2363&lt;&gt;""),"HOLD",""))))</f>
        <v/>
      </c>
      <c r="G2363" s="12">
        <f>IF(D2363=TRUE,4,0)</f>
        <v/>
      </c>
      <c r="H2363">
        <f>IF(A2363="","",BDP(A2363&amp;" US Equity","GICS_SECTOR_NAME"))</f>
        <v/>
      </c>
    </row>
    <row r="2364">
      <c r="A2364">
        <f>'Factor Scores'!A2364</f>
        <v/>
      </c>
      <c r="B2364" s="10">
        <f>IF(A2364="","",0.40*'Factor Scores'!C2364+0.20*'Factor Scores'!E2364+0.20*'Factor Scores'!G2364+0.20*'Factor Scores'!H2364)</f>
        <v/>
      </c>
      <c r="C2364" s="12">
        <f>IF(B2364="","",RANK(B2364,$B$2:$B$2501,0))</f>
        <v/>
      </c>
      <c r="D2364">
        <f>IF(C2364="","",C2364&lt;=25)</f>
        <v/>
      </c>
      <c r="F2364">
        <f>IF(A2364="","",IF(AND(D2364=TRUE,E2364=""),"BUY",IF(AND(D2364=FALSE,E2364&lt;&gt;""),"SELL",IF(AND(D2364=TRUE,E2364&lt;&gt;""),"HOLD",""))))</f>
        <v/>
      </c>
      <c r="G2364" s="12">
        <f>IF(D2364=TRUE,4,0)</f>
        <v/>
      </c>
      <c r="H2364">
        <f>IF(A2364="","",BDP(A2364&amp;" US Equity","GICS_SECTOR_NAME"))</f>
        <v/>
      </c>
    </row>
    <row r="2365">
      <c r="A2365">
        <f>'Factor Scores'!A2365</f>
        <v/>
      </c>
      <c r="B2365" s="10">
        <f>IF(A2365="","",0.40*'Factor Scores'!C2365+0.20*'Factor Scores'!E2365+0.20*'Factor Scores'!G2365+0.20*'Factor Scores'!H2365)</f>
        <v/>
      </c>
      <c r="C2365" s="12">
        <f>IF(B2365="","",RANK(B2365,$B$2:$B$2501,0))</f>
        <v/>
      </c>
      <c r="D2365">
        <f>IF(C2365="","",C2365&lt;=25)</f>
        <v/>
      </c>
      <c r="F2365">
        <f>IF(A2365="","",IF(AND(D2365=TRUE,E2365=""),"BUY",IF(AND(D2365=FALSE,E2365&lt;&gt;""),"SELL",IF(AND(D2365=TRUE,E2365&lt;&gt;""),"HOLD",""))))</f>
        <v/>
      </c>
      <c r="G2365" s="12">
        <f>IF(D2365=TRUE,4,0)</f>
        <v/>
      </c>
      <c r="H2365">
        <f>IF(A2365="","",BDP(A2365&amp;" US Equity","GICS_SECTOR_NAME"))</f>
        <v/>
      </c>
    </row>
    <row r="2366">
      <c r="A2366">
        <f>'Factor Scores'!A2366</f>
        <v/>
      </c>
      <c r="B2366" s="10">
        <f>IF(A2366="","",0.40*'Factor Scores'!C2366+0.20*'Factor Scores'!E2366+0.20*'Factor Scores'!G2366+0.20*'Factor Scores'!H2366)</f>
        <v/>
      </c>
      <c r="C2366" s="12">
        <f>IF(B2366="","",RANK(B2366,$B$2:$B$2501,0))</f>
        <v/>
      </c>
      <c r="D2366">
        <f>IF(C2366="","",C2366&lt;=25)</f>
        <v/>
      </c>
      <c r="F2366">
        <f>IF(A2366="","",IF(AND(D2366=TRUE,E2366=""),"BUY",IF(AND(D2366=FALSE,E2366&lt;&gt;""),"SELL",IF(AND(D2366=TRUE,E2366&lt;&gt;""),"HOLD",""))))</f>
        <v/>
      </c>
      <c r="G2366" s="12">
        <f>IF(D2366=TRUE,4,0)</f>
        <v/>
      </c>
      <c r="H2366">
        <f>IF(A2366="","",BDP(A2366&amp;" US Equity","GICS_SECTOR_NAME"))</f>
        <v/>
      </c>
    </row>
    <row r="2367">
      <c r="A2367">
        <f>'Factor Scores'!A2367</f>
        <v/>
      </c>
      <c r="B2367" s="10">
        <f>IF(A2367="","",0.40*'Factor Scores'!C2367+0.20*'Factor Scores'!E2367+0.20*'Factor Scores'!G2367+0.20*'Factor Scores'!H2367)</f>
        <v/>
      </c>
      <c r="C2367" s="12">
        <f>IF(B2367="","",RANK(B2367,$B$2:$B$2501,0))</f>
        <v/>
      </c>
      <c r="D2367">
        <f>IF(C2367="","",C2367&lt;=25)</f>
        <v/>
      </c>
      <c r="F2367">
        <f>IF(A2367="","",IF(AND(D2367=TRUE,E2367=""),"BUY",IF(AND(D2367=FALSE,E2367&lt;&gt;""),"SELL",IF(AND(D2367=TRUE,E2367&lt;&gt;""),"HOLD",""))))</f>
        <v/>
      </c>
      <c r="G2367" s="12">
        <f>IF(D2367=TRUE,4,0)</f>
        <v/>
      </c>
      <c r="H2367">
        <f>IF(A2367="","",BDP(A2367&amp;" US Equity","GICS_SECTOR_NAME"))</f>
        <v/>
      </c>
    </row>
    <row r="2368">
      <c r="A2368">
        <f>'Factor Scores'!A2368</f>
        <v/>
      </c>
      <c r="B2368" s="10">
        <f>IF(A2368="","",0.40*'Factor Scores'!C2368+0.20*'Factor Scores'!E2368+0.20*'Factor Scores'!G2368+0.20*'Factor Scores'!H2368)</f>
        <v/>
      </c>
      <c r="C2368" s="12">
        <f>IF(B2368="","",RANK(B2368,$B$2:$B$2501,0))</f>
        <v/>
      </c>
      <c r="D2368">
        <f>IF(C2368="","",C2368&lt;=25)</f>
        <v/>
      </c>
      <c r="F2368">
        <f>IF(A2368="","",IF(AND(D2368=TRUE,E2368=""),"BUY",IF(AND(D2368=FALSE,E2368&lt;&gt;""),"SELL",IF(AND(D2368=TRUE,E2368&lt;&gt;""),"HOLD",""))))</f>
        <v/>
      </c>
      <c r="G2368" s="12">
        <f>IF(D2368=TRUE,4,0)</f>
        <v/>
      </c>
      <c r="H2368">
        <f>IF(A2368="","",BDP(A2368&amp;" US Equity","GICS_SECTOR_NAME"))</f>
        <v/>
      </c>
    </row>
    <row r="2369">
      <c r="A2369">
        <f>'Factor Scores'!A2369</f>
        <v/>
      </c>
      <c r="B2369" s="10">
        <f>IF(A2369="","",0.40*'Factor Scores'!C2369+0.20*'Factor Scores'!E2369+0.20*'Factor Scores'!G2369+0.20*'Factor Scores'!H2369)</f>
        <v/>
      </c>
      <c r="C2369" s="12">
        <f>IF(B2369="","",RANK(B2369,$B$2:$B$2501,0))</f>
        <v/>
      </c>
      <c r="D2369">
        <f>IF(C2369="","",C2369&lt;=25)</f>
        <v/>
      </c>
      <c r="F2369">
        <f>IF(A2369="","",IF(AND(D2369=TRUE,E2369=""),"BUY",IF(AND(D2369=FALSE,E2369&lt;&gt;""),"SELL",IF(AND(D2369=TRUE,E2369&lt;&gt;""),"HOLD",""))))</f>
        <v/>
      </c>
      <c r="G2369" s="12">
        <f>IF(D2369=TRUE,4,0)</f>
        <v/>
      </c>
      <c r="H2369">
        <f>IF(A2369="","",BDP(A2369&amp;" US Equity","GICS_SECTOR_NAME"))</f>
        <v/>
      </c>
    </row>
    <row r="2370">
      <c r="A2370">
        <f>'Factor Scores'!A2370</f>
        <v/>
      </c>
      <c r="B2370" s="10">
        <f>IF(A2370="","",0.40*'Factor Scores'!C2370+0.20*'Factor Scores'!E2370+0.20*'Factor Scores'!G2370+0.20*'Factor Scores'!H2370)</f>
        <v/>
      </c>
      <c r="C2370" s="12">
        <f>IF(B2370="","",RANK(B2370,$B$2:$B$2501,0))</f>
        <v/>
      </c>
      <c r="D2370">
        <f>IF(C2370="","",C2370&lt;=25)</f>
        <v/>
      </c>
      <c r="F2370">
        <f>IF(A2370="","",IF(AND(D2370=TRUE,E2370=""),"BUY",IF(AND(D2370=FALSE,E2370&lt;&gt;""),"SELL",IF(AND(D2370=TRUE,E2370&lt;&gt;""),"HOLD",""))))</f>
        <v/>
      </c>
      <c r="G2370" s="12">
        <f>IF(D2370=TRUE,4,0)</f>
        <v/>
      </c>
      <c r="H2370">
        <f>IF(A2370="","",BDP(A2370&amp;" US Equity","GICS_SECTOR_NAME"))</f>
        <v/>
      </c>
    </row>
    <row r="2371">
      <c r="A2371">
        <f>'Factor Scores'!A2371</f>
        <v/>
      </c>
      <c r="B2371" s="10">
        <f>IF(A2371="","",0.40*'Factor Scores'!C2371+0.20*'Factor Scores'!E2371+0.20*'Factor Scores'!G2371+0.20*'Factor Scores'!H2371)</f>
        <v/>
      </c>
      <c r="C2371" s="12">
        <f>IF(B2371="","",RANK(B2371,$B$2:$B$2501,0))</f>
        <v/>
      </c>
      <c r="D2371">
        <f>IF(C2371="","",C2371&lt;=25)</f>
        <v/>
      </c>
      <c r="F2371">
        <f>IF(A2371="","",IF(AND(D2371=TRUE,E2371=""),"BUY",IF(AND(D2371=FALSE,E2371&lt;&gt;""),"SELL",IF(AND(D2371=TRUE,E2371&lt;&gt;""),"HOLD",""))))</f>
        <v/>
      </c>
      <c r="G2371" s="12">
        <f>IF(D2371=TRUE,4,0)</f>
        <v/>
      </c>
      <c r="H2371">
        <f>IF(A2371="","",BDP(A2371&amp;" US Equity","GICS_SECTOR_NAME"))</f>
        <v/>
      </c>
    </row>
    <row r="2372">
      <c r="A2372">
        <f>'Factor Scores'!A2372</f>
        <v/>
      </c>
      <c r="B2372" s="10">
        <f>IF(A2372="","",0.40*'Factor Scores'!C2372+0.20*'Factor Scores'!E2372+0.20*'Factor Scores'!G2372+0.20*'Factor Scores'!H2372)</f>
        <v/>
      </c>
      <c r="C2372" s="12">
        <f>IF(B2372="","",RANK(B2372,$B$2:$B$2501,0))</f>
        <v/>
      </c>
      <c r="D2372">
        <f>IF(C2372="","",C2372&lt;=25)</f>
        <v/>
      </c>
      <c r="F2372">
        <f>IF(A2372="","",IF(AND(D2372=TRUE,E2372=""),"BUY",IF(AND(D2372=FALSE,E2372&lt;&gt;""),"SELL",IF(AND(D2372=TRUE,E2372&lt;&gt;""),"HOLD",""))))</f>
        <v/>
      </c>
      <c r="G2372" s="12">
        <f>IF(D2372=TRUE,4,0)</f>
        <v/>
      </c>
      <c r="H2372">
        <f>IF(A2372="","",BDP(A2372&amp;" US Equity","GICS_SECTOR_NAME"))</f>
        <v/>
      </c>
    </row>
    <row r="2373">
      <c r="A2373">
        <f>'Factor Scores'!A2373</f>
        <v/>
      </c>
      <c r="B2373" s="10">
        <f>IF(A2373="","",0.40*'Factor Scores'!C2373+0.20*'Factor Scores'!E2373+0.20*'Factor Scores'!G2373+0.20*'Factor Scores'!H2373)</f>
        <v/>
      </c>
      <c r="C2373" s="12">
        <f>IF(B2373="","",RANK(B2373,$B$2:$B$2501,0))</f>
        <v/>
      </c>
      <c r="D2373">
        <f>IF(C2373="","",C2373&lt;=25)</f>
        <v/>
      </c>
      <c r="F2373">
        <f>IF(A2373="","",IF(AND(D2373=TRUE,E2373=""),"BUY",IF(AND(D2373=FALSE,E2373&lt;&gt;""),"SELL",IF(AND(D2373=TRUE,E2373&lt;&gt;""),"HOLD",""))))</f>
        <v/>
      </c>
      <c r="G2373" s="12">
        <f>IF(D2373=TRUE,4,0)</f>
        <v/>
      </c>
      <c r="H2373">
        <f>IF(A2373="","",BDP(A2373&amp;" US Equity","GICS_SECTOR_NAME"))</f>
        <v/>
      </c>
    </row>
    <row r="2374">
      <c r="A2374">
        <f>'Factor Scores'!A2374</f>
        <v/>
      </c>
      <c r="B2374" s="10">
        <f>IF(A2374="","",0.40*'Factor Scores'!C2374+0.20*'Factor Scores'!E2374+0.20*'Factor Scores'!G2374+0.20*'Factor Scores'!H2374)</f>
        <v/>
      </c>
      <c r="C2374" s="12">
        <f>IF(B2374="","",RANK(B2374,$B$2:$B$2501,0))</f>
        <v/>
      </c>
      <c r="D2374">
        <f>IF(C2374="","",C2374&lt;=25)</f>
        <v/>
      </c>
      <c r="F2374">
        <f>IF(A2374="","",IF(AND(D2374=TRUE,E2374=""),"BUY",IF(AND(D2374=FALSE,E2374&lt;&gt;""),"SELL",IF(AND(D2374=TRUE,E2374&lt;&gt;""),"HOLD",""))))</f>
        <v/>
      </c>
      <c r="G2374" s="12">
        <f>IF(D2374=TRUE,4,0)</f>
        <v/>
      </c>
      <c r="H2374">
        <f>IF(A2374="","",BDP(A2374&amp;" US Equity","GICS_SECTOR_NAME"))</f>
        <v/>
      </c>
    </row>
    <row r="2375">
      <c r="A2375">
        <f>'Factor Scores'!A2375</f>
        <v/>
      </c>
      <c r="B2375" s="10">
        <f>IF(A2375="","",0.40*'Factor Scores'!C2375+0.20*'Factor Scores'!E2375+0.20*'Factor Scores'!G2375+0.20*'Factor Scores'!H2375)</f>
        <v/>
      </c>
      <c r="C2375" s="12">
        <f>IF(B2375="","",RANK(B2375,$B$2:$B$2501,0))</f>
        <v/>
      </c>
      <c r="D2375">
        <f>IF(C2375="","",C2375&lt;=25)</f>
        <v/>
      </c>
      <c r="F2375">
        <f>IF(A2375="","",IF(AND(D2375=TRUE,E2375=""),"BUY",IF(AND(D2375=FALSE,E2375&lt;&gt;""),"SELL",IF(AND(D2375=TRUE,E2375&lt;&gt;""),"HOLD",""))))</f>
        <v/>
      </c>
      <c r="G2375" s="12">
        <f>IF(D2375=TRUE,4,0)</f>
        <v/>
      </c>
      <c r="H2375">
        <f>IF(A2375="","",BDP(A2375&amp;" US Equity","GICS_SECTOR_NAME"))</f>
        <v/>
      </c>
    </row>
    <row r="2376">
      <c r="A2376">
        <f>'Factor Scores'!A2376</f>
        <v/>
      </c>
      <c r="B2376" s="10">
        <f>IF(A2376="","",0.40*'Factor Scores'!C2376+0.20*'Factor Scores'!E2376+0.20*'Factor Scores'!G2376+0.20*'Factor Scores'!H2376)</f>
        <v/>
      </c>
      <c r="C2376" s="12">
        <f>IF(B2376="","",RANK(B2376,$B$2:$B$2501,0))</f>
        <v/>
      </c>
      <c r="D2376">
        <f>IF(C2376="","",C2376&lt;=25)</f>
        <v/>
      </c>
      <c r="F2376">
        <f>IF(A2376="","",IF(AND(D2376=TRUE,E2376=""),"BUY",IF(AND(D2376=FALSE,E2376&lt;&gt;""),"SELL",IF(AND(D2376=TRUE,E2376&lt;&gt;""),"HOLD",""))))</f>
        <v/>
      </c>
      <c r="G2376" s="12">
        <f>IF(D2376=TRUE,4,0)</f>
        <v/>
      </c>
      <c r="H2376">
        <f>IF(A2376="","",BDP(A2376&amp;" US Equity","GICS_SECTOR_NAME"))</f>
        <v/>
      </c>
    </row>
    <row r="2377">
      <c r="A2377">
        <f>'Factor Scores'!A2377</f>
        <v/>
      </c>
      <c r="B2377" s="10">
        <f>IF(A2377="","",0.40*'Factor Scores'!C2377+0.20*'Factor Scores'!E2377+0.20*'Factor Scores'!G2377+0.20*'Factor Scores'!H2377)</f>
        <v/>
      </c>
      <c r="C2377" s="12">
        <f>IF(B2377="","",RANK(B2377,$B$2:$B$2501,0))</f>
        <v/>
      </c>
      <c r="D2377">
        <f>IF(C2377="","",C2377&lt;=25)</f>
        <v/>
      </c>
      <c r="F2377">
        <f>IF(A2377="","",IF(AND(D2377=TRUE,E2377=""),"BUY",IF(AND(D2377=FALSE,E2377&lt;&gt;""),"SELL",IF(AND(D2377=TRUE,E2377&lt;&gt;""),"HOLD",""))))</f>
        <v/>
      </c>
      <c r="G2377" s="12">
        <f>IF(D2377=TRUE,4,0)</f>
        <v/>
      </c>
      <c r="H2377">
        <f>IF(A2377="","",BDP(A2377&amp;" US Equity","GICS_SECTOR_NAME"))</f>
        <v/>
      </c>
    </row>
    <row r="2378">
      <c r="A2378">
        <f>'Factor Scores'!A2378</f>
        <v/>
      </c>
      <c r="B2378" s="10">
        <f>IF(A2378="","",0.40*'Factor Scores'!C2378+0.20*'Factor Scores'!E2378+0.20*'Factor Scores'!G2378+0.20*'Factor Scores'!H2378)</f>
        <v/>
      </c>
      <c r="C2378" s="12">
        <f>IF(B2378="","",RANK(B2378,$B$2:$B$2501,0))</f>
        <v/>
      </c>
      <c r="D2378">
        <f>IF(C2378="","",C2378&lt;=25)</f>
        <v/>
      </c>
      <c r="F2378">
        <f>IF(A2378="","",IF(AND(D2378=TRUE,E2378=""),"BUY",IF(AND(D2378=FALSE,E2378&lt;&gt;""),"SELL",IF(AND(D2378=TRUE,E2378&lt;&gt;""),"HOLD",""))))</f>
        <v/>
      </c>
      <c r="G2378" s="12">
        <f>IF(D2378=TRUE,4,0)</f>
        <v/>
      </c>
      <c r="H2378">
        <f>IF(A2378="","",BDP(A2378&amp;" US Equity","GICS_SECTOR_NAME"))</f>
        <v/>
      </c>
    </row>
    <row r="2379">
      <c r="A2379">
        <f>'Factor Scores'!A2379</f>
        <v/>
      </c>
      <c r="B2379" s="10">
        <f>IF(A2379="","",0.40*'Factor Scores'!C2379+0.20*'Factor Scores'!E2379+0.20*'Factor Scores'!G2379+0.20*'Factor Scores'!H2379)</f>
        <v/>
      </c>
      <c r="C2379" s="12">
        <f>IF(B2379="","",RANK(B2379,$B$2:$B$2501,0))</f>
        <v/>
      </c>
      <c r="D2379">
        <f>IF(C2379="","",C2379&lt;=25)</f>
        <v/>
      </c>
      <c r="F2379">
        <f>IF(A2379="","",IF(AND(D2379=TRUE,E2379=""),"BUY",IF(AND(D2379=FALSE,E2379&lt;&gt;""),"SELL",IF(AND(D2379=TRUE,E2379&lt;&gt;""),"HOLD",""))))</f>
        <v/>
      </c>
      <c r="G2379" s="12">
        <f>IF(D2379=TRUE,4,0)</f>
        <v/>
      </c>
      <c r="H2379">
        <f>IF(A2379="","",BDP(A2379&amp;" US Equity","GICS_SECTOR_NAME"))</f>
        <v/>
      </c>
    </row>
    <row r="2380">
      <c r="A2380">
        <f>'Factor Scores'!A2380</f>
        <v/>
      </c>
      <c r="B2380" s="10">
        <f>IF(A2380="","",0.40*'Factor Scores'!C2380+0.20*'Factor Scores'!E2380+0.20*'Factor Scores'!G2380+0.20*'Factor Scores'!H2380)</f>
        <v/>
      </c>
      <c r="C2380" s="12">
        <f>IF(B2380="","",RANK(B2380,$B$2:$B$2501,0))</f>
        <v/>
      </c>
      <c r="D2380">
        <f>IF(C2380="","",C2380&lt;=25)</f>
        <v/>
      </c>
      <c r="F2380">
        <f>IF(A2380="","",IF(AND(D2380=TRUE,E2380=""),"BUY",IF(AND(D2380=FALSE,E2380&lt;&gt;""),"SELL",IF(AND(D2380=TRUE,E2380&lt;&gt;""),"HOLD",""))))</f>
        <v/>
      </c>
      <c r="G2380" s="12">
        <f>IF(D2380=TRUE,4,0)</f>
        <v/>
      </c>
      <c r="H2380">
        <f>IF(A2380="","",BDP(A2380&amp;" US Equity","GICS_SECTOR_NAME"))</f>
        <v/>
      </c>
    </row>
    <row r="2381">
      <c r="A2381">
        <f>'Factor Scores'!A2381</f>
        <v/>
      </c>
      <c r="B2381" s="10">
        <f>IF(A2381="","",0.40*'Factor Scores'!C2381+0.20*'Factor Scores'!E2381+0.20*'Factor Scores'!G2381+0.20*'Factor Scores'!H2381)</f>
        <v/>
      </c>
      <c r="C2381" s="12">
        <f>IF(B2381="","",RANK(B2381,$B$2:$B$2501,0))</f>
        <v/>
      </c>
      <c r="D2381">
        <f>IF(C2381="","",C2381&lt;=25)</f>
        <v/>
      </c>
      <c r="F2381">
        <f>IF(A2381="","",IF(AND(D2381=TRUE,E2381=""),"BUY",IF(AND(D2381=FALSE,E2381&lt;&gt;""),"SELL",IF(AND(D2381=TRUE,E2381&lt;&gt;""),"HOLD",""))))</f>
        <v/>
      </c>
      <c r="G2381" s="12">
        <f>IF(D2381=TRUE,4,0)</f>
        <v/>
      </c>
      <c r="H2381">
        <f>IF(A2381="","",BDP(A2381&amp;" US Equity","GICS_SECTOR_NAME"))</f>
        <v/>
      </c>
    </row>
    <row r="2382">
      <c r="A2382">
        <f>'Factor Scores'!A2382</f>
        <v/>
      </c>
      <c r="B2382" s="10">
        <f>IF(A2382="","",0.40*'Factor Scores'!C2382+0.20*'Factor Scores'!E2382+0.20*'Factor Scores'!G2382+0.20*'Factor Scores'!H2382)</f>
        <v/>
      </c>
      <c r="C2382" s="12">
        <f>IF(B2382="","",RANK(B2382,$B$2:$B$2501,0))</f>
        <v/>
      </c>
      <c r="D2382">
        <f>IF(C2382="","",C2382&lt;=25)</f>
        <v/>
      </c>
      <c r="F2382">
        <f>IF(A2382="","",IF(AND(D2382=TRUE,E2382=""),"BUY",IF(AND(D2382=FALSE,E2382&lt;&gt;""),"SELL",IF(AND(D2382=TRUE,E2382&lt;&gt;""),"HOLD",""))))</f>
        <v/>
      </c>
      <c r="G2382" s="12">
        <f>IF(D2382=TRUE,4,0)</f>
        <v/>
      </c>
      <c r="H2382">
        <f>IF(A2382="","",BDP(A2382&amp;" US Equity","GICS_SECTOR_NAME"))</f>
        <v/>
      </c>
    </row>
    <row r="2383">
      <c r="A2383">
        <f>'Factor Scores'!A2383</f>
        <v/>
      </c>
      <c r="B2383" s="10">
        <f>IF(A2383="","",0.40*'Factor Scores'!C2383+0.20*'Factor Scores'!E2383+0.20*'Factor Scores'!G2383+0.20*'Factor Scores'!H2383)</f>
        <v/>
      </c>
      <c r="C2383" s="12">
        <f>IF(B2383="","",RANK(B2383,$B$2:$B$2501,0))</f>
        <v/>
      </c>
      <c r="D2383">
        <f>IF(C2383="","",C2383&lt;=25)</f>
        <v/>
      </c>
      <c r="F2383">
        <f>IF(A2383="","",IF(AND(D2383=TRUE,E2383=""),"BUY",IF(AND(D2383=FALSE,E2383&lt;&gt;""),"SELL",IF(AND(D2383=TRUE,E2383&lt;&gt;""),"HOLD",""))))</f>
        <v/>
      </c>
      <c r="G2383" s="12">
        <f>IF(D2383=TRUE,4,0)</f>
        <v/>
      </c>
      <c r="H2383">
        <f>IF(A2383="","",BDP(A2383&amp;" US Equity","GICS_SECTOR_NAME"))</f>
        <v/>
      </c>
    </row>
    <row r="2384">
      <c r="A2384">
        <f>'Factor Scores'!A2384</f>
        <v/>
      </c>
      <c r="B2384" s="10">
        <f>IF(A2384="","",0.40*'Factor Scores'!C2384+0.20*'Factor Scores'!E2384+0.20*'Factor Scores'!G2384+0.20*'Factor Scores'!H2384)</f>
        <v/>
      </c>
      <c r="C2384" s="12">
        <f>IF(B2384="","",RANK(B2384,$B$2:$B$2501,0))</f>
        <v/>
      </c>
      <c r="D2384">
        <f>IF(C2384="","",C2384&lt;=25)</f>
        <v/>
      </c>
      <c r="F2384">
        <f>IF(A2384="","",IF(AND(D2384=TRUE,E2384=""),"BUY",IF(AND(D2384=FALSE,E2384&lt;&gt;""),"SELL",IF(AND(D2384=TRUE,E2384&lt;&gt;""),"HOLD",""))))</f>
        <v/>
      </c>
      <c r="G2384" s="12">
        <f>IF(D2384=TRUE,4,0)</f>
        <v/>
      </c>
      <c r="H2384">
        <f>IF(A2384="","",BDP(A2384&amp;" US Equity","GICS_SECTOR_NAME"))</f>
        <v/>
      </c>
    </row>
    <row r="2385">
      <c r="A2385">
        <f>'Factor Scores'!A2385</f>
        <v/>
      </c>
      <c r="B2385" s="10">
        <f>IF(A2385="","",0.40*'Factor Scores'!C2385+0.20*'Factor Scores'!E2385+0.20*'Factor Scores'!G2385+0.20*'Factor Scores'!H2385)</f>
        <v/>
      </c>
      <c r="C2385" s="12">
        <f>IF(B2385="","",RANK(B2385,$B$2:$B$2501,0))</f>
        <v/>
      </c>
      <c r="D2385">
        <f>IF(C2385="","",C2385&lt;=25)</f>
        <v/>
      </c>
      <c r="F2385">
        <f>IF(A2385="","",IF(AND(D2385=TRUE,E2385=""),"BUY",IF(AND(D2385=FALSE,E2385&lt;&gt;""),"SELL",IF(AND(D2385=TRUE,E2385&lt;&gt;""),"HOLD",""))))</f>
        <v/>
      </c>
      <c r="G2385" s="12">
        <f>IF(D2385=TRUE,4,0)</f>
        <v/>
      </c>
      <c r="H2385">
        <f>IF(A2385="","",BDP(A2385&amp;" US Equity","GICS_SECTOR_NAME"))</f>
        <v/>
      </c>
    </row>
    <row r="2386">
      <c r="A2386">
        <f>'Factor Scores'!A2386</f>
        <v/>
      </c>
      <c r="B2386" s="10">
        <f>IF(A2386="","",0.40*'Factor Scores'!C2386+0.20*'Factor Scores'!E2386+0.20*'Factor Scores'!G2386+0.20*'Factor Scores'!H2386)</f>
        <v/>
      </c>
      <c r="C2386" s="12">
        <f>IF(B2386="","",RANK(B2386,$B$2:$B$2501,0))</f>
        <v/>
      </c>
      <c r="D2386">
        <f>IF(C2386="","",C2386&lt;=25)</f>
        <v/>
      </c>
      <c r="F2386">
        <f>IF(A2386="","",IF(AND(D2386=TRUE,E2386=""),"BUY",IF(AND(D2386=FALSE,E2386&lt;&gt;""),"SELL",IF(AND(D2386=TRUE,E2386&lt;&gt;""),"HOLD",""))))</f>
        <v/>
      </c>
      <c r="G2386" s="12">
        <f>IF(D2386=TRUE,4,0)</f>
        <v/>
      </c>
      <c r="H2386">
        <f>IF(A2386="","",BDP(A2386&amp;" US Equity","GICS_SECTOR_NAME"))</f>
        <v/>
      </c>
    </row>
    <row r="2387">
      <c r="A2387">
        <f>'Factor Scores'!A2387</f>
        <v/>
      </c>
      <c r="B2387" s="10">
        <f>IF(A2387="","",0.40*'Factor Scores'!C2387+0.20*'Factor Scores'!E2387+0.20*'Factor Scores'!G2387+0.20*'Factor Scores'!H2387)</f>
        <v/>
      </c>
      <c r="C2387" s="12">
        <f>IF(B2387="","",RANK(B2387,$B$2:$B$2501,0))</f>
        <v/>
      </c>
      <c r="D2387">
        <f>IF(C2387="","",C2387&lt;=25)</f>
        <v/>
      </c>
      <c r="F2387">
        <f>IF(A2387="","",IF(AND(D2387=TRUE,E2387=""),"BUY",IF(AND(D2387=FALSE,E2387&lt;&gt;""),"SELL",IF(AND(D2387=TRUE,E2387&lt;&gt;""),"HOLD",""))))</f>
        <v/>
      </c>
      <c r="G2387" s="12">
        <f>IF(D2387=TRUE,4,0)</f>
        <v/>
      </c>
      <c r="H2387">
        <f>IF(A2387="","",BDP(A2387&amp;" US Equity","GICS_SECTOR_NAME"))</f>
        <v/>
      </c>
    </row>
    <row r="2388">
      <c r="A2388">
        <f>'Factor Scores'!A2388</f>
        <v/>
      </c>
      <c r="B2388" s="10">
        <f>IF(A2388="","",0.40*'Factor Scores'!C2388+0.20*'Factor Scores'!E2388+0.20*'Factor Scores'!G2388+0.20*'Factor Scores'!H2388)</f>
        <v/>
      </c>
      <c r="C2388" s="12">
        <f>IF(B2388="","",RANK(B2388,$B$2:$B$2501,0))</f>
        <v/>
      </c>
      <c r="D2388">
        <f>IF(C2388="","",C2388&lt;=25)</f>
        <v/>
      </c>
      <c r="F2388">
        <f>IF(A2388="","",IF(AND(D2388=TRUE,E2388=""),"BUY",IF(AND(D2388=FALSE,E2388&lt;&gt;""),"SELL",IF(AND(D2388=TRUE,E2388&lt;&gt;""),"HOLD",""))))</f>
        <v/>
      </c>
      <c r="G2388" s="12">
        <f>IF(D2388=TRUE,4,0)</f>
        <v/>
      </c>
      <c r="H2388">
        <f>IF(A2388="","",BDP(A2388&amp;" US Equity","GICS_SECTOR_NAME"))</f>
        <v/>
      </c>
    </row>
    <row r="2389">
      <c r="A2389">
        <f>'Factor Scores'!A2389</f>
        <v/>
      </c>
      <c r="B2389" s="10">
        <f>IF(A2389="","",0.40*'Factor Scores'!C2389+0.20*'Factor Scores'!E2389+0.20*'Factor Scores'!G2389+0.20*'Factor Scores'!H2389)</f>
        <v/>
      </c>
      <c r="C2389" s="12">
        <f>IF(B2389="","",RANK(B2389,$B$2:$B$2501,0))</f>
        <v/>
      </c>
      <c r="D2389">
        <f>IF(C2389="","",C2389&lt;=25)</f>
        <v/>
      </c>
      <c r="F2389">
        <f>IF(A2389="","",IF(AND(D2389=TRUE,E2389=""),"BUY",IF(AND(D2389=FALSE,E2389&lt;&gt;""),"SELL",IF(AND(D2389=TRUE,E2389&lt;&gt;""),"HOLD",""))))</f>
        <v/>
      </c>
      <c r="G2389" s="12">
        <f>IF(D2389=TRUE,4,0)</f>
        <v/>
      </c>
      <c r="H2389">
        <f>IF(A2389="","",BDP(A2389&amp;" US Equity","GICS_SECTOR_NAME"))</f>
        <v/>
      </c>
    </row>
    <row r="2390">
      <c r="A2390">
        <f>'Factor Scores'!A2390</f>
        <v/>
      </c>
      <c r="B2390" s="10">
        <f>IF(A2390="","",0.40*'Factor Scores'!C2390+0.20*'Factor Scores'!E2390+0.20*'Factor Scores'!G2390+0.20*'Factor Scores'!H2390)</f>
        <v/>
      </c>
      <c r="C2390" s="12">
        <f>IF(B2390="","",RANK(B2390,$B$2:$B$2501,0))</f>
        <v/>
      </c>
      <c r="D2390">
        <f>IF(C2390="","",C2390&lt;=25)</f>
        <v/>
      </c>
      <c r="F2390">
        <f>IF(A2390="","",IF(AND(D2390=TRUE,E2390=""),"BUY",IF(AND(D2390=FALSE,E2390&lt;&gt;""),"SELL",IF(AND(D2390=TRUE,E2390&lt;&gt;""),"HOLD",""))))</f>
        <v/>
      </c>
      <c r="G2390" s="12">
        <f>IF(D2390=TRUE,4,0)</f>
        <v/>
      </c>
      <c r="H2390">
        <f>IF(A2390="","",BDP(A2390&amp;" US Equity","GICS_SECTOR_NAME"))</f>
        <v/>
      </c>
    </row>
    <row r="2391">
      <c r="A2391">
        <f>'Factor Scores'!A2391</f>
        <v/>
      </c>
      <c r="B2391" s="10">
        <f>IF(A2391="","",0.40*'Factor Scores'!C2391+0.20*'Factor Scores'!E2391+0.20*'Factor Scores'!G2391+0.20*'Factor Scores'!H2391)</f>
        <v/>
      </c>
      <c r="C2391" s="12">
        <f>IF(B2391="","",RANK(B2391,$B$2:$B$2501,0))</f>
        <v/>
      </c>
      <c r="D2391">
        <f>IF(C2391="","",C2391&lt;=25)</f>
        <v/>
      </c>
      <c r="F2391">
        <f>IF(A2391="","",IF(AND(D2391=TRUE,E2391=""),"BUY",IF(AND(D2391=FALSE,E2391&lt;&gt;""),"SELL",IF(AND(D2391=TRUE,E2391&lt;&gt;""),"HOLD",""))))</f>
        <v/>
      </c>
      <c r="G2391" s="12">
        <f>IF(D2391=TRUE,4,0)</f>
        <v/>
      </c>
      <c r="H2391">
        <f>IF(A2391="","",BDP(A2391&amp;" US Equity","GICS_SECTOR_NAME"))</f>
        <v/>
      </c>
    </row>
    <row r="2392">
      <c r="A2392">
        <f>'Factor Scores'!A2392</f>
        <v/>
      </c>
      <c r="B2392" s="10">
        <f>IF(A2392="","",0.40*'Factor Scores'!C2392+0.20*'Factor Scores'!E2392+0.20*'Factor Scores'!G2392+0.20*'Factor Scores'!H2392)</f>
        <v/>
      </c>
      <c r="C2392" s="12">
        <f>IF(B2392="","",RANK(B2392,$B$2:$B$2501,0))</f>
        <v/>
      </c>
      <c r="D2392">
        <f>IF(C2392="","",C2392&lt;=25)</f>
        <v/>
      </c>
      <c r="F2392">
        <f>IF(A2392="","",IF(AND(D2392=TRUE,E2392=""),"BUY",IF(AND(D2392=FALSE,E2392&lt;&gt;""),"SELL",IF(AND(D2392=TRUE,E2392&lt;&gt;""),"HOLD",""))))</f>
        <v/>
      </c>
      <c r="G2392" s="12">
        <f>IF(D2392=TRUE,4,0)</f>
        <v/>
      </c>
      <c r="H2392">
        <f>IF(A2392="","",BDP(A2392&amp;" US Equity","GICS_SECTOR_NAME"))</f>
        <v/>
      </c>
    </row>
    <row r="2393">
      <c r="A2393">
        <f>'Factor Scores'!A2393</f>
        <v/>
      </c>
      <c r="B2393" s="10">
        <f>IF(A2393="","",0.40*'Factor Scores'!C2393+0.20*'Factor Scores'!E2393+0.20*'Factor Scores'!G2393+0.20*'Factor Scores'!H2393)</f>
        <v/>
      </c>
      <c r="C2393" s="12">
        <f>IF(B2393="","",RANK(B2393,$B$2:$B$2501,0))</f>
        <v/>
      </c>
      <c r="D2393">
        <f>IF(C2393="","",C2393&lt;=25)</f>
        <v/>
      </c>
      <c r="F2393">
        <f>IF(A2393="","",IF(AND(D2393=TRUE,E2393=""),"BUY",IF(AND(D2393=FALSE,E2393&lt;&gt;""),"SELL",IF(AND(D2393=TRUE,E2393&lt;&gt;""),"HOLD",""))))</f>
        <v/>
      </c>
      <c r="G2393" s="12">
        <f>IF(D2393=TRUE,4,0)</f>
        <v/>
      </c>
      <c r="H2393">
        <f>IF(A2393="","",BDP(A2393&amp;" US Equity","GICS_SECTOR_NAME"))</f>
        <v/>
      </c>
    </row>
    <row r="2394">
      <c r="A2394">
        <f>'Factor Scores'!A2394</f>
        <v/>
      </c>
      <c r="B2394" s="10">
        <f>IF(A2394="","",0.40*'Factor Scores'!C2394+0.20*'Factor Scores'!E2394+0.20*'Factor Scores'!G2394+0.20*'Factor Scores'!H2394)</f>
        <v/>
      </c>
      <c r="C2394" s="12">
        <f>IF(B2394="","",RANK(B2394,$B$2:$B$2501,0))</f>
        <v/>
      </c>
      <c r="D2394">
        <f>IF(C2394="","",C2394&lt;=25)</f>
        <v/>
      </c>
      <c r="F2394">
        <f>IF(A2394="","",IF(AND(D2394=TRUE,E2394=""),"BUY",IF(AND(D2394=FALSE,E2394&lt;&gt;""),"SELL",IF(AND(D2394=TRUE,E2394&lt;&gt;""),"HOLD",""))))</f>
        <v/>
      </c>
      <c r="G2394" s="12">
        <f>IF(D2394=TRUE,4,0)</f>
        <v/>
      </c>
      <c r="H2394">
        <f>IF(A2394="","",BDP(A2394&amp;" US Equity","GICS_SECTOR_NAME"))</f>
        <v/>
      </c>
    </row>
    <row r="2395">
      <c r="A2395">
        <f>'Factor Scores'!A2395</f>
        <v/>
      </c>
      <c r="B2395" s="10">
        <f>IF(A2395="","",0.40*'Factor Scores'!C2395+0.20*'Factor Scores'!E2395+0.20*'Factor Scores'!G2395+0.20*'Factor Scores'!H2395)</f>
        <v/>
      </c>
      <c r="C2395" s="12">
        <f>IF(B2395="","",RANK(B2395,$B$2:$B$2501,0))</f>
        <v/>
      </c>
      <c r="D2395">
        <f>IF(C2395="","",C2395&lt;=25)</f>
        <v/>
      </c>
      <c r="F2395">
        <f>IF(A2395="","",IF(AND(D2395=TRUE,E2395=""),"BUY",IF(AND(D2395=FALSE,E2395&lt;&gt;""),"SELL",IF(AND(D2395=TRUE,E2395&lt;&gt;""),"HOLD",""))))</f>
        <v/>
      </c>
      <c r="G2395" s="12">
        <f>IF(D2395=TRUE,4,0)</f>
        <v/>
      </c>
      <c r="H2395">
        <f>IF(A2395="","",BDP(A2395&amp;" US Equity","GICS_SECTOR_NAME"))</f>
        <v/>
      </c>
    </row>
    <row r="2396">
      <c r="A2396">
        <f>'Factor Scores'!A2396</f>
        <v/>
      </c>
      <c r="B2396" s="10">
        <f>IF(A2396="","",0.40*'Factor Scores'!C2396+0.20*'Factor Scores'!E2396+0.20*'Factor Scores'!G2396+0.20*'Factor Scores'!H2396)</f>
        <v/>
      </c>
      <c r="C2396" s="12">
        <f>IF(B2396="","",RANK(B2396,$B$2:$B$2501,0))</f>
        <v/>
      </c>
      <c r="D2396">
        <f>IF(C2396="","",C2396&lt;=25)</f>
        <v/>
      </c>
      <c r="F2396">
        <f>IF(A2396="","",IF(AND(D2396=TRUE,E2396=""),"BUY",IF(AND(D2396=FALSE,E2396&lt;&gt;""),"SELL",IF(AND(D2396=TRUE,E2396&lt;&gt;""),"HOLD",""))))</f>
        <v/>
      </c>
      <c r="G2396" s="12">
        <f>IF(D2396=TRUE,4,0)</f>
        <v/>
      </c>
      <c r="H2396">
        <f>IF(A2396="","",BDP(A2396&amp;" US Equity","GICS_SECTOR_NAME"))</f>
        <v/>
      </c>
    </row>
    <row r="2397">
      <c r="A2397">
        <f>'Factor Scores'!A2397</f>
        <v/>
      </c>
      <c r="B2397" s="10">
        <f>IF(A2397="","",0.40*'Factor Scores'!C2397+0.20*'Factor Scores'!E2397+0.20*'Factor Scores'!G2397+0.20*'Factor Scores'!H2397)</f>
        <v/>
      </c>
      <c r="C2397" s="12">
        <f>IF(B2397="","",RANK(B2397,$B$2:$B$2501,0))</f>
        <v/>
      </c>
      <c r="D2397">
        <f>IF(C2397="","",C2397&lt;=25)</f>
        <v/>
      </c>
      <c r="F2397">
        <f>IF(A2397="","",IF(AND(D2397=TRUE,E2397=""),"BUY",IF(AND(D2397=FALSE,E2397&lt;&gt;""),"SELL",IF(AND(D2397=TRUE,E2397&lt;&gt;""),"HOLD",""))))</f>
        <v/>
      </c>
      <c r="G2397" s="12">
        <f>IF(D2397=TRUE,4,0)</f>
        <v/>
      </c>
      <c r="H2397">
        <f>IF(A2397="","",BDP(A2397&amp;" US Equity","GICS_SECTOR_NAME"))</f>
        <v/>
      </c>
    </row>
    <row r="2398">
      <c r="A2398">
        <f>'Factor Scores'!A2398</f>
        <v/>
      </c>
      <c r="B2398" s="10">
        <f>IF(A2398="","",0.40*'Factor Scores'!C2398+0.20*'Factor Scores'!E2398+0.20*'Factor Scores'!G2398+0.20*'Factor Scores'!H2398)</f>
        <v/>
      </c>
      <c r="C2398" s="12">
        <f>IF(B2398="","",RANK(B2398,$B$2:$B$2501,0))</f>
        <v/>
      </c>
      <c r="D2398">
        <f>IF(C2398="","",C2398&lt;=25)</f>
        <v/>
      </c>
      <c r="F2398">
        <f>IF(A2398="","",IF(AND(D2398=TRUE,E2398=""),"BUY",IF(AND(D2398=FALSE,E2398&lt;&gt;""),"SELL",IF(AND(D2398=TRUE,E2398&lt;&gt;""),"HOLD",""))))</f>
        <v/>
      </c>
      <c r="G2398" s="12">
        <f>IF(D2398=TRUE,4,0)</f>
        <v/>
      </c>
      <c r="H2398">
        <f>IF(A2398="","",BDP(A2398&amp;" US Equity","GICS_SECTOR_NAME"))</f>
        <v/>
      </c>
    </row>
    <row r="2399">
      <c r="A2399">
        <f>'Factor Scores'!A2399</f>
        <v/>
      </c>
      <c r="B2399" s="10">
        <f>IF(A2399="","",0.40*'Factor Scores'!C2399+0.20*'Factor Scores'!E2399+0.20*'Factor Scores'!G2399+0.20*'Factor Scores'!H2399)</f>
        <v/>
      </c>
      <c r="C2399" s="12">
        <f>IF(B2399="","",RANK(B2399,$B$2:$B$2501,0))</f>
        <v/>
      </c>
      <c r="D2399">
        <f>IF(C2399="","",C2399&lt;=25)</f>
        <v/>
      </c>
      <c r="F2399">
        <f>IF(A2399="","",IF(AND(D2399=TRUE,E2399=""),"BUY",IF(AND(D2399=FALSE,E2399&lt;&gt;""),"SELL",IF(AND(D2399=TRUE,E2399&lt;&gt;""),"HOLD",""))))</f>
        <v/>
      </c>
      <c r="G2399" s="12">
        <f>IF(D2399=TRUE,4,0)</f>
        <v/>
      </c>
      <c r="H2399">
        <f>IF(A2399="","",BDP(A2399&amp;" US Equity","GICS_SECTOR_NAME"))</f>
        <v/>
      </c>
    </row>
    <row r="2400">
      <c r="A2400">
        <f>'Factor Scores'!A2400</f>
        <v/>
      </c>
      <c r="B2400" s="10">
        <f>IF(A2400="","",0.40*'Factor Scores'!C2400+0.20*'Factor Scores'!E2400+0.20*'Factor Scores'!G2400+0.20*'Factor Scores'!H2400)</f>
        <v/>
      </c>
      <c r="C2400" s="12">
        <f>IF(B2400="","",RANK(B2400,$B$2:$B$2501,0))</f>
        <v/>
      </c>
      <c r="D2400">
        <f>IF(C2400="","",C2400&lt;=25)</f>
        <v/>
      </c>
      <c r="F2400">
        <f>IF(A2400="","",IF(AND(D2400=TRUE,E2400=""),"BUY",IF(AND(D2400=FALSE,E2400&lt;&gt;""),"SELL",IF(AND(D2400=TRUE,E2400&lt;&gt;""),"HOLD",""))))</f>
        <v/>
      </c>
      <c r="G2400" s="12">
        <f>IF(D2400=TRUE,4,0)</f>
        <v/>
      </c>
      <c r="H2400">
        <f>IF(A2400="","",BDP(A2400&amp;" US Equity","GICS_SECTOR_NAME"))</f>
        <v/>
      </c>
    </row>
    <row r="2401">
      <c r="A2401">
        <f>'Factor Scores'!A2401</f>
        <v/>
      </c>
      <c r="B2401" s="10">
        <f>IF(A2401="","",0.40*'Factor Scores'!C2401+0.20*'Factor Scores'!E2401+0.20*'Factor Scores'!G2401+0.20*'Factor Scores'!H2401)</f>
        <v/>
      </c>
      <c r="C2401" s="12">
        <f>IF(B2401="","",RANK(B2401,$B$2:$B$2501,0))</f>
        <v/>
      </c>
      <c r="D2401">
        <f>IF(C2401="","",C2401&lt;=25)</f>
        <v/>
      </c>
      <c r="F2401">
        <f>IF(A2401="","",IF(AND(D2401=TRUE,E2401=""),"BUY",IF(AND(D2401=FALSE,E2401&lt;&gt;""),"SELL",IF(AND(D2401=TRUE,E2401&lt;&gt;""),"HOLD",""))))</f>
        <v/>
      </c>
      <c r="G2401" s="12">
        <f>IF(D2401=TRUE,4,0)</f>
        <v/>
      </c>
      <c r="H2401">
        <f>IF(A2401="","",BDP(A2401&amp;" US Equity","GICS_SECTOR_NAME"))</f>
        <v/>
      </c>
    </row>
    <row r="2402">
      <c r="A2402">
        <f>'Factor Scores'!A2402</f>
        <v/>
      </c>
      <c r="B2402" s="10">
        <f>IF(A2402="","",0.40*'Factor Scores'!C2402+0.20*'Factor Scores'!E2402+0.20*'Factor Scores'!G2402+0.20*'Factor Scores'!H2402)</f>
        <v/>
      </c>
      <c r="C2402" s="12">
        <f>IF(B2402="","",RANK(B2402,$B$2:$B$2501,0))</f>
        <v/>
      </c>
      <c r="D2402">
        <f>IF(C2402="","",C2402&lt;=25)</f>
        <v/>
      </c>
      <c r="F2402">
        <f>IF(A2402="","",IF(AND(D2402=TRUE,E2402=""),"BUY",IF(AND(D2402=FALSE,E2402&lt;&gt;""),"SELL",IF(AND(D2402=TRUE,E2402&lt;&gt;""),"HOLD",""))))</f>
        <v/>
      </c>
      <c r="G2402" s="12">
        <f>IF(D2402=TRUE,4,0)</f>
        <v/>
      </c>
      <c r="H2402">
        <f>IF(A2402="","",BDP(A2402&amp;" US Equity","GICS_SECTOR_NAME"))</f>
        <v/>
      </c>
    </row>
    <row r="2403">
      <c r="A2403">
        <f>'Factor Scores'!A2403</f>
        <v/>
      </c>
      <c r="B2403" s="10">
        <f>IF(A2403="","",0.40*'Factor Scores'!C2403+0.20*'Factor Scores'!E2403+0.20*'Factor Scores'!G2403+0.20*'Factor Scores'!H2403)</f>
        <v/>
      </c>
      <c r="C2403" s="12">
        <f>IF(B2403="","",RANK(B2403,$B$2:$B$2501,0))</f>
        <v/>
      </c>
      <c r="D2403">
        <f>IF(C2403="","",C2403&lt;=25)</f>
        <v/>
      </c>
      <c r="F2403">
        <f>IF(A2403="","",IF(AND(D2403=TRUE,E2403=""),"BUY",IF(AND(D2403=FALSE,E2403&lt;&gt;""),"SELL",IF(AND(D2403=TRUE,E2403&lt;&gt;""),"HOLD",""))))</f>
        <v/>
      </c>
      <c r="G2403" s="12">
        <f>IF(D2403=TRUE,4,0)</f>
        <v/>
      </c>
      <c r="H2403">
        <f>IF(A2403="","",BDP(A2403&amp;" US Equity","GICS_SECTOR_NAME"))</f>
        <v/>
      </c>
    </row>
    <row r="2404">
      <c r="A2404">
        <f>'Factor Scores'!A2404</f>
        <v/>
      </c>
      <c r="B2404" s="10">
        <f>IF(A2404="","",0.40*'Factor Scores'!C2404+0.20*'Factor Scores'!E2404+0.20*'Factor Scores'!G2404+0.20*'Factor Scores'!H2404)</f>
        <v/>
      </c>
      <c r="C2404" s="12">
        <f>IF(B2404="","",RANK(B2404,$B$2:$B$2501,0))</f>
        <v/>
      </c>
      <c r="D2404">
        <f>IF(C2404="","",C2404&lt;=25)</f>
        <v/>
      </c>
      <c r="F2404">
        <f>IF(A2404="","",IF(AND(D2404=TRUE,E2404=""),"BUY",IF(AND(D2404=FALSE,E2404&lt;&gt;""),"SELL",IF(AND(D2404=TRUE,E2404&lt;&gt;""),"HOLD",""))))</f>
        <v/>
      </c>
      <c r="G2404" s="12">
        <f>IF(D2404=TRUE,4,0)</f>
        <v/>
      </c>
      <c r="H2404">
        <f>IF(A2404="","",BDP(A2404&amp;" US Equity","GICS_SECTOR_NAME"))</f>
        <v/>
      </c>
    </row>
    <row r="2405">
      <c r="A2405">
        <f>'Factor Scores'!A2405</f>
        <v/>
      </c>
      <c r="B2405" s="10">
        <f>IF(A2405="","",0.40*'Factor Scores'!C2405+0.20*'Factor Scores'!E2405+0.20*'Factor Scores'!G2405+0.20*'Factor Scores'!H2405)</f>
        <v/>
      </c>
      <c r="C2405" s="12">
        <f>IF(B2405="","",RANK(B2405,$B$2:$B$2501,0))</f>
        <v/>
      </c>
      <c r="D2405">
        <f>IF(C2405="","",C2405&lt;=25)</f>
        <v/>
      </c>
      <c r="F2405">
        <f>IF(A2405="","",IF(AND(D2405=TRUE,E2405=""),"BUY",IF(AND(D2405=FALSE,E2405&lt;&gt;""),"SELL",IF(AND(D2405=TRUE,E2405&lt;&gt;""),"HOLD",""))))</f>
        <v/>
      </c>
      <c r="G2405" s="12">
        <f>IF(D2405=TRUE,4,0)</f>
        <v/>
      </c>
      <c r="H2405">
        <f>IF(A2405="","",BDP(A2405&amp;" US Equity","GICS_SECTOR_NAME"))</f>
        <v/>
      </c>
    </row>
    <row r="2406">
      <c r="A2406">
        <f>'Factor Scores'!A2406</f>
        <v/>
      </c>
      <c r="B2406" s="10">
        <f>IF(A2406="","",0.40*'Factor Scores'!C2406+0.20*'Factor Scores'!E2406+0.20*'Factor Scores'!G2406+0.20*'Factor Scores'!H2406)</f>
        <v/>
      </c>
      <c r="C2406" s="12">
        <f>IF(B2406="","",RANK(B2406,$B$2:$B$2501,0))</f>
        <v/>
      </c>
      <c r="D2406">
        <f>IF(C2406="","",C2406&lt;=25)</f>
        <v/>
      </c>
      <c r="F2406">
        <f>IF(A2406="","",IF(AND(D2406=TRUE,E2406=""),"BUY",IF(AND(D2406=FALSE,E2406&lt;&gt;""),"SELL",IF(AND(D2406=TRUE,E2406&lt;&gt;""),"HOLD",""))))</f>
        <v/>
      </c>
      <c r="G2406" s="12">
        <f>IF(D2406=TRUE,4,0)</f>
        <v/>
      </c>
      <c r="H2406">
        <f>IF(A2406="","",BDP(A2406&amp;" US Equity","GICS_SECTOR_NAME"))</f>
        <v/>
      </c>
    </row>
    <row r="2407">
      <c r="A2407">
        <f>'Factor Scores'!A2407</f>
        <v/>
      </c>
      <c r="B2407" s="10">
        <f>IF(A2407="","",0.40*'Factor Scores'!C2407+0.20*'Factor Scores'!E2407+0.20*'Factor Scores'!G2407+0.20*'Factor Scores'!H2407)</f>
        <v/>
      </c>
      <c r="C2407" s="12">
        <f>IF(B2407="","",RANK(B2407,$B$2:$B$2501,0))</f>
        <v/>
      </c>
      <c r="D2407">
        <f>IF(C2407="","",C2407&lt;=25)</f>
        <v/>
      </c>
      <c r="F2407">
        <f>IF(A2407="","",IF(AND(D2407=TRUE,E2407=""),"BUY",IF(AND(D2407=FALSE,E2407&lt;&gt;""),"SELL",IF(AND(D2407=TRUE,E2407&lt;&gt;""),"HOLD",""))))</f>
        <v/>
      </c>
      <c r="G2407" s="12">
        <f>IF(D2407=TRUE,4,0)</f>
        <v/>
      </c>
      <c r="H2407">
        <f>IF(A2407="","",BDP(A2407&amp;" US Equity","GICS_SECTOR_NAME"))</f>
        <v/>
      </c>
    </row>
    <row r="2408">
      <c r="A2408">
        <f>'Factor Scores'!A2408</f>
        <v/>
      </c>
      <c r="B2408" s="10">
        <f>IF(A2408="","",0.40*'Factor Scores'!C2408+0.20*'Factor Scores'!E2408+0.20*'Factor Scores'!G2408+0.20*'Factor Scores'!H2408)</f>
        <v/>
      </c>
      <c r="C2408" s="12">
        <f>IF(B2408="","",RANK(B2408,$B$2:$B$2501,0))</f>
        <v/>
      </c>
      <c r="D2408">
        <f>IF(C2408="","",C2408&lt;=25)</f>
        <v/>
      </c>
      <c r="F2408">
        <f>IF(A2408="","",IF(AND(D2408=TRUE,E2408=""),"BUY",IF(AND(D2408=FALSE,E2408&lt;&gt;""),"SELL",IF(AND(D2408=TRUE,E2408&lt;&gt;""),"HOLD",""))))</f>
        <v/>
      </c>
      <c r="G2408" s="12">
        <f>IF(D2408=TRUE,4,0)</f>
        <v/>
      </c>
      <c r="H2408">
        <f>IF(A2408="","",BDP(A2408&amp;" US Equity","GICS_SECTOR_NAME"))</f>
        <v/>
      </c>
    </row>
    <row r="2409">
      <c r="A2409">
        <f>'Factor Scores'!A2409</f>
        <v/>
      </c>
      <c r="B2409" s="10">
        <f>IF(A2409="","",0.40*'Factor Scores'!C2409+0.20*'Factor Scores'!E2409+0.20*'Factor Scores'!G2409+0.20*'Factor Scores'!H2409)</f>
        <v/>
      </c>
      <c r="C2409" s="12">
        <f>IF(B2409="","",RANK(B2409,$B$2:$B$2501,0))</f>
        <v/>
      </c>
      <c r="D2409">
        <f>IF(C2409="","",C2409&lt;=25)</f>
        <v/>
      </c>
      <c r="F2409">
        <f>IF(A2409="","",IF(AND(D2409=TRUE,E2409=""),"BUY",IF(AND(D2409=FALSE,E2409&lt;&gt;""),"SELL",IF(AND(D2409=TRUE,E2409&lt;&gt;""),"HOLD",""))))</f>
        <v/>
      </c>
      <c r="G2409" s="12">
        <f>IF(D2409=TRUE,4,0)</f>
        <v/>
      </c>
      <c r="H2409">
        <f>IF(A2409="","",BDP(A2409&amp;" US Equity","GICS_SECTOR_NAME"))</f>
        <v/>
      </c>
    </row>
    <row r="2410">
      <c r="A2410">
        <f>'Factor Scores'!A2410</f>
        <v/>
      </c>
      <c r="B2410" s="10">
        <f>IF(A2410="","",0.40*'Factor Scores'!C2410+0.20*'Factor Scores'!E2410+0.20*'Factor Scores'!G2410+0.20*'Factor Scores'!H2410)</f>
        <v/>
      </c>
      <c r="C2410" s="12">
        <f>IF(B2410="","",RANK(B2410,$B$2:$B$2501,0))</f>
        <v/>
      </c>
      <c r="D2410">
        <f>IF(C2410="","",C2410&lt;=25)</f>
        <v/>
      </c>
      <c r="F2410">
        <f>IF(A2410="","",IF(AND(D2410=TRUE,E2410=""),"BUY",IF(AND(D2410=FALSE,E2410&lt;&gt;""),"SELL",IF(AND(D2410=TRUE,E2410&lt;&gt;""),"HOLD",""))))</f>
        <v/>
      </c>
      <c r="G2410" s="12">
        <f>IF(D2410=TRUE,4,0)</f>
        <v/>
      </c>
      <c r="H2410">
        <f>IF(A2410="","",BDP(A2410&amp;" US Equity","GICS_SECTOR_NAME"))</f>
        <v/>
      </c>
    </row>
    <row r="2411">
      <c r="A2411">
        <f>'Factor Scores'!A2411</f>
        <v/>
      </c>
      <c r="B2411" s="10">
        <f>IF(A2411="","",0.40*'Factor Scores'!C2411+0.20*'Factor Scores'!E2411+0.20*'Factor Scores'!G2411+0.20*'Factor Scores'!H2411)</f>
        <v/>
      </c>
      <c r="C2411" s="12">
        <f>IF(B2411="","",RANK(B2411,$B$2:$B$2501,0))</f>
        <v/>
      </c>
      <c r="D2411">
        <f>IF(C2411="","",C2411&lt;=25)</f>
        <v/>
      </c>
      <c r="F2411">
        <f>IF(A2411="","",IF(AND(D2411=TRUE,E2411=""),"BUY",IF(AND(D2411=FALSE,E2411&lt;&gt;""),"SELL",IF(AND(D2411=TRUE,E2411&lt;&gt;""),"HOLD",""))))</f>
        <v/>
      </c>
      <c r="G2411" s="12">
        <f>IF(D2411=TRUE,4,0)</f>
        <v/>
      </c>
      <c r="H2411">
        <f>IF(A2411="","",BDP(A2411&amp;" US Equity","GICS_SECTOR_NAME"))</f>
        <v/>
      </c>
    </row>
    <row r="2412">
      <c r="A2412">
        <f>'Factor Scores'!A2412</f>
        <v/>
      </c>
      <c r="B2412" s="10">
        <f>IF(A2412="","",0.40*'Factor Scores'!C2412+0.20*'Factor Scores'!E2412+0.20*'Factor Scores'!G2412+0.20*'Factor Scores'!H2412)</f>
        <v/>
      </c>
      <c r="C2412" s="12">
        <f>IF(B2412="","",RANK(B2412,$B$2:$B$2501,0))</f>
        <v/>
      </c>
      <c r="D2412">
        <f>IF(C2412="","",C2412&lt;=25)</f>
        <v/>
      </c>
      <c r="F2412">
        <f>IF(A2412="","",IF(AND(D2412=TRUE,E2412=""),"BUY",IF(AND(D2412=FALSE,E2412&lt;&gt;""),"SELL",IF(AND(D2412=TRUE,E2412&lt;&gt;""),"HOLD",""))))</f>
        <v/>
      </c>
      <c r="G2412" s="12">
        <f>IF(D2412=TRUE,4,0)</f>
        <v/>
      </c>
      <c r="H2412">
        <f>IF(A2412="","",BDP(A2412&amp;" US Equity","GICS_SECTOR_NAME"))</f>
        <v/>
      </c>
    </row>
    <row r="2413">
      <c r="A2413">
        <f>'Factor Scores'!A2413</f>
        <v/>
      </c>
      <c r="B2413" s="10">
        <f>IF(A2413="","",0.40*'Factor Scores'!C2413+0.20*'Factor Scores'!E2413+0.20*'Factor Scores'!G2413+0.20*'Factor Scores'!H2413)</f>
        <v/>
      </c>
      <c r="C2413" s="12">
        <f>IF(B2413="","",RANK(B2413,$B$2:$B$2501,0))</f>
        <v/>
      </c>
      <c r="D2413">
        <f>IF(C2413="","",C2413&lt;=25)</f>
        <v/>
      </c>
      <c r="F2413">
        <f>IF(A2413="","",IF(AND(D2413=TRUE,E2413=""),"BUY",IF(AND(D2413=FALSE,E2413&lt;&gt;""),"SELL",IF(AND(D2413=TRUE,E2413&lt;&gt;""),"HOLD",""))))</f>
        <v/>
      </c>
      <c r="G2413" s="12">
        <f>IF(D2413=TRUE,4,0)</f>
        <v/>
      </c>
      <c r="H2413">
        <f>IF(A2413="","",BDP(A2413&amp;" US Equity","GICS_SECTOR_NAME"))</f>
        <v/>
      </c>
    </row>
    <row r="2414">
      <c r="A2414">
        <f>'Factor Scores'!A2414</f>
        <v/>
      </c>
      <c r="B2414" s="10">
        <f>IF(A2414="","",0.40*'Factor Scores'!C2414+0.20*'Factor Scores'!E2414+0.20*'Factor Scores'!G2414+0.20*'Factor Scores'!H2414)</f>
        <v/>
      </c>
      <c r="C2414" s="12">
        <f>IF(B2414="","",RANK(B2414,$B$2:$B$2501,0))</f>
        <v/>
      </c>
      <c r="D2414">
        <f>IF(C2414="","",C2414&lt;=25)</f>
        <v/>
      </c>
      <c r="F2414">
        <f>IF(A2414="","",IF(AND(D2414=TRUE,E2414=""),"BUY",IF(AND(D2414=FALSE,E2414&lt;&gt;""),"SELL",IF(AND(D2414=TRUE,E2414&lt;&gt;""),"HOLD",""))))</f>
        <v/>
      </c>
      <c r="G2414" s="12">
        <f>IF(D2414=TRUE,4,0)</f>
        <v/>
      </c>
      <c r="H2414">
        <f>IF(A2414="","",BDP(A2414&amp;" US Equity","GICS_SECTOR_NAME"))</f>
        <v/>
      </c>
    </row>
    <row r="2415">
      <c r="A2415">
        <f>'Factor Scores'!A2415</f>
        <v/>
      </c>
      <c r="B2415" s="10">
        <f>IF(A2415="","",0.40*'Factor Scores'!C2415+0.20*'Factor Scores'!E2415+0.20*'Factor Scores'!G2415+0.20*'Factor Scores'!H2415)</f>
        <v/>
      </c>
      <c r="C2415" s="12">
        <f>IF(B2415="","",RANK(B2415,$B$2:$B$2501,0))</f>
        <v/>
      </c>
      <c r="D2415">
        <f>IF(C2415="","",C2415&lt;=25)</f>
        <v/>
      </c>
      <c r="F2415">
        <f>IF(A2415="","",IF(AND(D2415=TRUE,E2415=""),"BUY",IF(AND(D2415=FALSE,E2415&lt;&gt;""),"SELL",IF(AND(D2415=TRUE,E2415&lt;&gt;""),"HOLD",""))))</f>
        <v/>
      </c>
      <c r="G2415" s="12">
        <f>IF(D2415=TRUE,4,0)</f>
        <v/>
      </c>
      <c r="H2415">
        <f>IF(A2415="","",BDP(A2415&amp;" US Equity","GICS_SECTOR_NAME"))</f>
        <v/>
      </c>
    </row>
    <row r="2416">
      <c r="A2416">
        <f>'Factor Scores'!A2416</f>
        <v/>
      </c>
      <c r="B2416" s="10">
        <f>IF(A2416="","",0.40*'Factor Scores'!C2416+0.20*'Factor Scores'!E2416+0.20*'Factor Scores'!G2416+0.20*'Factor Scores'!H2416)</f>
        <v/>
      </c>
      <c r="C2416" s="12">
        <f>IF(B2416="","",RANK(B2416,$B$2:$B$2501,0))</f>
        <v/>
      </c>
      <c r="D2416">
        <f>IF(C2416="","",C2416&lt;=25)</f>
        <v/>
      </c>
      <c r="F2416">
        <f>IF(A2416="","",IF(AND(D2416=TRUE,E2416=""),"BUY",IF(AND(D2416=FALSE,E2416&lt;&gt;""),"SELL",IF(AND(D2416=TRUE,E2416&lt;&gt;""),"HOLD",""))))</f>
        <v/>
      </c>
      <c r="G2416" s="12">
        <f>IF(D2416=TRUE,4,0)</f>
        <v/>
      </c>
      <c r="H2416">
        <f>IF(A2416="","",BDP(A2416&amp;" US Equity","GICS_SECTOR_NAME"))</f>
        <v/>
      </c>
    </row>
    <row r="2417">
      <c r="A2417">
        <f>'Factor Scores'!A2417</f>
        <v/>
      </c>
      <c r="B2417" s="10">
        <f>IF(A2417="","",0.40*'Factor Scores'!C2417+0.20*'Factor Scores'!E2417+0.20*'Factor Scores'!G2417+0.20*'Factor Scores'!H2417)</f>
        <v/>
      </c>
      <c r="C2417" s="12">
        <f>IF(B2417="","",RANK(B2417,$B$2:$B$2501,0))</f>
        <v/>
      </c>
      <c r="D2417">
        <f>IF(C2417="","",C2417&lt;=25)</f>
        <v/>
      </c>
      <c r="F2417">
        <f>IF(A2417="","",IF(AND(D2417=TRUE,E2417=""),"BUY",IF(AND(D2417=FALSE,E2417&lt;&gt;""),"SELL",IF(AND(D2417=TRUE,E2417&lt;&gt;""),"HOLD",""))))</f>
        <v/>
      </c>
      <c r="G2417" s="12">
        <f>IF(D2417=TRUE,4,0)</f>
        <v/>
      </c>
      <c r="H2417">
        <f>IF(A2417="","",BDP(A2417&amp;" US Equity","GICS_SECTOR_NAME"))</f>
        <v/>
      </c>
    </row>
    <row r="2418">
      <c r="A2418">
        <f>'Factor Scores'!A2418</f>
        <v/>
      </c>
      <c r="B2418" s="10">
        <f>IF(A2418="","",0.40*'Factor Scores'!C2418+0.20*'Factor Scores'!E2418+0.20*'Factor Scores'!G2418+0.20*'Factor Scores'!H2418)</f>
        <v/>
      </c>
      <c r="C2418" s="12">
        <f>IF(B2418="","",RANK(B2418,$B$2:$B$2501,0))</f>
        <v/>
      </c>
      <c r="D2418">
        <f>IF(C2418="","",C2418&lt;=25)</f>
        <v/>
      </c>
      <c r="F2418">
        <f>IF(A2418="","",IF(AND(D2418=TRUE,E2418=""),"BUY",IF(AND(D2418=FALSE,E2418&lt;&gt;""),"SELL",IF(AND(D2418=TRUE,E2418&lt;&gt;""),"HOLD",""))))</f>
        <v/>
      </c>
      <c r="G2418" s="12">
        <f>IF(D2418=TRUE,4,0)</f>
        <v/>
      </c>
      <c r="H2418">
        <f>IF(A2418="","",BDP(A2418&amp;" US Equity","GICS_SECTOR_NAME"))</f>
        <v/>
      </c>
    </row>
    <row r="2419">
      <c r="A2419">
        <f>'Factor Scores'!A2419</f>
        <v/>
      </c>
      <c r="B2419" s="10">
        <f>IF(A2419="","",0.40*'Factor Scores'!C2419+0.20*'Factor Scores'!E2419+0.20*'Factor Scores'!G2419+0.20*'Factor Scores'!H2419)</f>
        <v/>
      </c>
      <c r="C2419" s="12">
        <f>IF(B2419="","",RANK(B2419,$B$2:$B$2501,0))</f>
        <v/>
      </c>
      <c r="D2419">
        <f>IF(C2419="","",C2419&lt;=25)</f>
        <v/>
      </c>
      <c r="F2419">
        <f>IF(A2419="","",IF(AND(D2419=TRUE,E2419=""),"BUY",IF(AND(D2419=FALSE,E2419&lt;&gt;""),"SELL",IF(AND(D2419=TRUE,E2419&lt;&gt;""),"HOLD",""))))</f>
        <v/>
      </c>
      <c r="G2419" s="12">
        <f>IF(D2419=TRUE,4,0)</f>
        <v/>
      </c>
      <c r="H2419">
        <f>IF(A2419="","",BDP(A2419&amp;" US Equity","GICS_SECTOR_NAME"))</f>
        <v/>
      </c>
    </row>
    <row r="2420">
      <c r="A2420">
        <f>'Factor Scores'!A2420</f>
        <v/>
      </c>
      <c r="B2420" s="10">
        <f>IF(A2420="","",0.40*'Factor Scores'!C2420+0.20*'Factor Scores'!E2420+0.20*'Factor Scores'!G2420+0.20*'Factor Scores'!H2420)</f>
        <v/>
      </c>
      <c r="C2420" s="12">
        <f>IF(B2420="","",RANK(B2420,$B$2:$B$2501,0))</f>
        <v/>
      </c>
      <c r="D2420">
        <f>IF(C2420="","",C2420&lt;=25)</f>
        <v/>
      </c>
      <c r="F2420">
        <f>IF(A2420="","",IF(AND(D2420=TRUE,E2420=""),"BUY",IF(AND(D2420=FALSE,E2420&lt;&gt;""),"SELL",IF(AND(D2420=TRUE,E2420&lt;&gt;""),"HOLD",""))))</f>
        <v/>
      </c>
      <c r="G2420" s="12">
        <f>IF(D2420=TRUE,4,0)</f>
        <v/>
      </c>
      <c r="H2420">
        <f>IF(A2420="","",BDP(A2420&amp;" US Equity","GICS_SECTOR_NAME"))</f>
        <v/>
      </c>
    </row>
    <row r="2421">
      <c r="A2421">
        <f>'Factor Scores'!A2421</f>
        <v/>
      </c>
      <c r="B2421" s="10">
        <f>IF(A2421="","",0.40*'Factor Scores'!C2421+0.20*'Factor Scores'!E2421+0.20*'Factor Scores'!G2421+0.20*'Factor Scores'!H2421)</f>
        <v/>
      </c>
      <c r="C2421" s="12">
        <f>IF(B2421="","",RANK(B2421,$B$2:$B$2501,0))</f>
        <v/>
      </c>
      <c r="D2421">
        <f>IF(C2421="","",C2421&lt;=25)</f>
        <v/>
      </c>
      <c r="F2421">
        <f>IF(A2421="","",IF(AND(D2421=TRUE,E2421=""),"BUY",IF(AND(D2421=FALSE,E2421&lt;&gt;""),"SELL",IF(AND(D2421=TRUE,E2421&lt;&gt;""),"HOLD",""))))</f>
        <v/>
      </c>
      <c r="G2421" s="12">
        <f>IF(D2421=TRUE,4,0)</f>
        <v/>
      </c>
      <c r="H2421">
        <f>IF(A2421="","",BDP(A2421&amp;" US Equity","GICS_SECTOR_NAME"))</f>
        <v/>
      </c>
    </row>
    <row r="2422">
      <c r="A2422">
        <f>'Factor Scores'!A2422</f>
        <v/>
      </c>
      <c r="B2422" s="10">
        <f>IF(A2422="","",0.40*'Factor Scores'!C2422+0.20*'Factor Scores'!E2422+0.20*'Factor Scores'!G2422+0.20*'Factor Scores'!H2422)</f>
        <v/>
      </c>
      <c r="C2422" s="12">
        <f>IF(B2422="","",RANK(B2422,$B$2:$B$2501,0))</f>
        <v/>
      </c>
      <c r="D2422">
        <f>IF(C2422="","",C2422&lt;=25)</f>
        <v/>
      </c>
      <c r="F2422">
        <f>IF(A2422="","",IF(AND(D2422=TRUE,E2422=""),"BUY",IF(AND(D2422=FALSE,E2422&lt;&gt;""),"SELL",IF(AND(D2422=TRUE,E2422&lt;&gt;""),"HOLD",""))))</f>
        <v/>
      </c>
      <c r="G2422" s="12">
        <f>IF(D2422=TRUE,4,0)</f>
        <v/>
      </c>
      <c r="H2422">
        <f>IF(A2422="","",BDP(A2422&amp;" US Equity","GICS_SECTOR_NAME"))</f>
        <v/>
      </c>
    </row>
    <row r="2423">
      <c r="A2423">
        <f>'Factor Scores'!A2423</f>
        <v/>
      </c>
      <c r="B2423" s="10">
        <f>IF(A2423="","",0.40*'Factor Scores'!C2423+0.20*'Factor Scores'!E2423+0.20*'Factor Scores'!G2423+0.20*'Factor Scores'!H2423)</f>
        <v/>
      </c>
      <c r="C2423" s="12">
        <f>IF(B2423="","",RANK(B2423,$B$2:$B$2501,0))</f>
        <v/>
      </c>
      <c r="D2423">
        <f>IF(C2423="","",C2423&lt;=25)</f>
        <v/>
      </c>
      <c r="F2423">
        <f>IF(A2423="","",IF(AND(D2423=TRUE,E2423=""),"BUY",IF(AND(D2423=FALSE,E2423&lt;&gt;""),"SELL",IF(AND(D2423=TRUE,E2423&lt;&gt;""),"HOLD",""))))</f>
        <v/>
      </c>
      <c r="G2423" s="12">
        <f>IF(D2423=TRUE,4,0)</f>
        <v/>
      </c>
      <c r="H2423">
        <f>IF(A2423="","",BDP(A2423&amp;" US Equity","GICS_SECTOR_NAME"))</f>
        <v/>
      </c>
    </row>
    <row r="2424">
      <c r="A2424">
        <f>'Factor Scores'!A2424</f>
        <v/>
      </c>
      <c r="B2424" s="10">
        <f>IF(A2424="","",0.40*'Factor Scores'!C2424+0.20*'Factor Scores'!E2424+0.20*'Factor Scores'!G2424+0.20*'Factor Scores'!H2424)</f>
        <v/>
      </c>
      <c r="C2424" s="12">
        <f>IF(B2424="","",RANK(B2424,$B$2:$B$2501,0))</f>
        <v/>
      </c>
      <c r="D2424">
        <f>IF(C2424="","",C2424&lt;=25)</f>
        <v/>
      </c>
      <c r="F2424">
        <f>IF(A2424="","",IF(AND(D2424=TRUE,E2424=""),"BUY",IF(AND(D2424=FALSE,E2424&lt;&gt;""),"SELL",IF(AND(D2424=TRUE,E2424&lt;&gt;""),"HOLD",""))))</f>
        <v/>
      </c>
      <c r="G2424" s="12">
        <f>IF(D2424=TRUE,4,0)</f>
        <v/>
      </c>
      <c r="H2424">
        <f>IF(A2424="","",BDP(A2424&amp;" US Equity","GICS_SECTOR_NAME"))</f>
        <v/>
      </c>
    </row>
    <row r="2425">
      <c r="A2425">
        <f>'Factor Scores'!A2425</f>
        <v/>
      </c>
      <c r="B2425" s="10">
        <f>IF(A2425="","",0.40*'Factor Scores'!C2425+0.20*'Factor Scores'!E2425+0.20*'Factor Scores'!G2425+0.20*'Factor Scores'!H2425)</f>
        <v/>
      </c>
      <c r="C2425" s="12">
        <f>IF(B2425="","",RANK(B2425,$B$2:$B$2501,0))</f>
        <v/>
      </c>
      <c r="D2425">
        <f>IF(C2425="","",C2425&lt;=25)</f>
        <v/>
      </c>
      <c r="F2425">
        <f>IF(A2425="","",IF(AND(D2425=TRUE,E2425=""),"BUY",IF(AND(D2425=FALSE,E2425&lt;&gt;""),"SELL",IF(AND(D2425=TRUE,E2425&lt;&gt;""),"HOLD",""))))</f>
        <v/>
      </c>
      <c r="G2425" s="12">
        <f>IF(D2425=TRUE,4,0)</f>
        <v/>
      </c>
      <c r="H2425">
        <f>IF(A2425="","",BDP(A2425&amp;" US Equity","GICS_SECTOR_NAME"))</f>
        <v/>
      </c>
    </row>
    <row r="2426">
      <c r="A2426">
        <f>'Factor Scores'!A2426</f>
        <v/>
      </c>
      <c r="B2426" s="10">
        <f>IF(A2426="","",0.40*'Factor Scores'!C2426+0.20*'Factor Scores'!E2426+0.20*'Factor Scores'!G2426+0.20*'Factor Scores'!H2426)</f>
        <v/>
      </c>
      <c r="C2426" s="12">
        <f>IF(B2426="","",RANK(B2426,$B$2:$B$2501,0))</f>
        <v/>
      </c>
      <c r="D2426">
        <f>IF(C2426="","",C2426&lt;=25)</f>
        <v/>
      </c>
      <c r="F2426">
        <f>IF(A2426="","",IF(AND(D2426=TRUE,E2426=""),"BUY",IF(AND(D2426=FALSE,E2426&lt;&gt;""),"SELL",IF(AND(D2426=TRUE,E2426&lt;&gt;""),"HOLD",""))))</f>
        <v/>
      </c>
      <c r="G2426" s="12">
        <f>IF(D2426=TRUE,4,0)</f>
        <v/>
      </c>
      <c r="H2426">
        <f>IF(A2426="","",BDP(A2426&amp;" US Equity","GICS_SECTOR_NAME"))</f>
        <v/>
      </c>
    </row>
    <row r="2427">
      <c r="A2427">
        <f>'Factor Scores'!A2427</f>
        <v/>
      </c>
      <c r="B2427" s="10">
        <f>IF(A2427="","",0.40*'Factor Scores'!C2427+0.20*'Factor Scores'!E2427+0.20*'Factor Scores'!G2427+0.20*'Factor Scores'!H2427)</f>
        <v/>
      </c>
      <c r="C2427" s="12">
        <f>IF(B2427="","",RANK(B2427,$B$2:$B$2501,0))</f>
        <v/>
      </c>
      <c r="D2427">
        <f>IF(C2427="","",C2427&lt;=25)</f>
        <v/>
      </c>
      <c r="F2427">
        <f>IF(A2427="","",IF(AND(D2427=TRUE,E2427=""),"BUY",IF(AND(D2427=FALSE,E2427&lt;&gt;""),"SELL",IF(AND(D2427=TRUE,E2427&lt;&gt;""),"HOLD",""))))</f>
        <v/>
      </c>
      <c r="G2427" s="12">
        <f>IF(D2427=TRUE,4,0)</f>
        <v/>
      </c>
      <c r="H2427">
        <f>IF(A2427="","",BDP(A2427&amp;" US Equity","GICS_SECTOR_NAME"))</f>
        <v/>
      </c>
    </row>
    <row r="2428">
      <c r="A2428">
        <f>'Factor Scores'!A2428</f>
        <v/>
      </c>
      <c r="B2428" s="10">
        <f>IF(A2428="","",0.40*'Factor Scores'!C2428+0.20*'Factor Scores'!E2428+0.20*'Factor Scores'!G2428+0.20*'Factor Scores'!H2428)</f>
        <v/>
      </c>
      <c r="C2428" s="12">
        <f>IF(B2428="","",RANK(B2428,$B$2:$B$2501,0))</f>
        <v/>
      </c>
      <c r="D2428">
        <f>IF(C2428="","",C2428&lt;=25)</f>
        <v/>
      </c>
      <c r="F2428">
        <f>IF(A2428="","",IF(AND(D2428=TRUE,E2428=""),"BUY",IF(AND(D2428=FALSE,E2428&lt;&gt;""),"SELL",IF(AND(D2428=TRUE,E2428&lt;&gt;""),"HOLD",""))))</f>
        <v/>
      </c>
      <c r="G2428" s="12">
        <f>IF(D2428=TRUE,4,0)</f>
        <v/>
      </c>
      <c r="H2428">
        <f>IF(A2428="","",BDP(A2428&amp;" US Equity","GICS_SECTOR_NAME"))</f>
        <v/>
      </c>
    </row>
    <row r="2429">
      <c r="A2429">
        <f>'Factor Scores'!A2429</f>
        <v/>
      </c>
      <c r="B2429" s="10">
        <f>IF(A2429="","",0.40*'Factor Scores'!C2429+0.20*'Factor Scores'!E2429+0.20*'Factor Scores'!G2429+0.20*'Factor Scores'!H2429)</f>
        <v/>
      </c>
      <c r="C2429" s="12">
        <f>IF(B2429="","",RANK(B2429,$B$2:$B$2501,0))</f>
        <v/>
      </c>
      <c r="D2429">
        <f>IF(C2429="","",C2429&lt;=25)</f>
        <v/>
      </c>
      <c r="F2429">
        <f>IF(A2429="","",IF(AND(D2429=TRUE,E2429=""),"BUY",IF(AND(D2429=FALSE,E2429&lt;&gt;""),"SELL",IF(AND(D2429=TRUE,E2429&lt;&gt;""),"HOLD",""))))</f>
        <v/>
      </c>
      <c r="G2429" s="12">
        <f>IF(D2429=TRUE,4,0)</f>
        <v/>
      </c>
      <c r="H2429">
        <f>IF(A2429="","",BDP(A2429&amp;" US Equity","GICS_SECTOR_NAME"))</f>
        <v/>
      </c>
    </row>
    <row r="2430">
      <c r="A2430">
        <f>'Factor Scores'!A2430</f>
        <v/>
      </c>
      <c r="B2430" s="10">
        <f>IF(A2430="","",0.40*'Factor Scores'!C2430+0.20*'Factor Scores'!E2430+0.20*'Factor Scores'!G2430+0.20*'Factor Scores'!H2430)</f>
        <v/>
      </c>
      <c r="C2430" s="12">
        <f>IF(B2430="","",RANK(B2430,$B$2:$B$2501,0))</f>
        <v/>
      </c>
      <c r="D2430">
        <f>IF(C2430="","",C2430&lt;=25)</f>
        <v/>
      </c>
      <c r="F2430">
        <f>IF(A2430="","",IF(AND(D2430=TRUE,E2430=""),"BUY",IF(AND(D2430=FALSE,E2430&lt;&gt;""),"SELL",IF(AND(D2430=TRUE,E2430&lt;&gt;""),"HOLD",""))))</f>
        <v/>
      </c>
      <c r="G2430" s="12">
        <f>IF(D2430=TRUE,4,0)</f>
        <v/>
      </c>
      <c r="H2430">
        <f>IF(A2430="","",BDP(A2430&amp;" US Equity","GICS_SECTOR_NAME"))</f>
        <v/>
      </c>
    </row>
    <row r="2431">
      <c r="A2431">
        <f>'Factor Scores'!A2431</f>
        <v/>
      </c>
      <c r="B2431" s="10">
        <f>IF(A2431="","",0.40*'Factor Scores'!C2431+0.20*'Factor Scores'!E2431+0.20*'Factor Scores'!G2431+0.20*'Factor Scores'!H2431)</f>
        <v/>
      </c>
      <c r="C2431" s="12">
        <f>IF(B2431="","",RANK(B2431,$B$2:$B$2501,0))</f>
        <v/>
      </c>
      <c r="D2431">
        <f>IF(C2431="","",C2431&lt;=25)</f>
        <v/>
      </c>
      <c r="F2431">
        <f>IF(A2431="","",IF(AND(D2431=TRUE,E2431=""),"BUY",IF(AND(D2431=FALSE,E2431&lt;&gt;""),"SELL",IF(AND(D2431=TRUE,E2431&lt;&gt;""),"HOLD",""))))</f>
        <v/>
      </c>
      <c r="G2431" s="12">
        <f>IF(D2431=TRUE,4,0)</f>
        <v/>
      </c>
      <c r="H2431">
        <f>IF(A2431="","",BDP(A2431&amp;" US Equity","GICS_SECTOR_NAME"))</f>
        <v/>
      </c>
    </row>
    <row r="2432">
      <c r="A2432">
        <f>'Factor Scores'!A2432</f>
        <v/>
      </c>
      <c r="B2432" s="10">
        <f>IF(A2432="","",0.40*'Factor Scores'!C2432+0.20*'Factor Scores'!E2432+0.20*'Factor Scores'!G2432+0.20*'Factor Scores'!H2432)</f>
        <v/>
      </c>
      <c r="C2432" s="12">
        <f>IF(B2432="","",RANK(B2432,$B$2:$B$2501,0))</f>
        <v/>
      </c>
      <c r="D2432">
        <f>IF(C2432="","",C2432&lt;=25)</f>
        <v/>
      </c>
      <c r="F2432">
        <f>IF(A2432="","",IF(AND(D2432=TRUE,E2432=""),"BUY",IF(AND(D2432=FALSE,E2432&lt;&gt;""),"SELL",IF(AND(D2432=TRUE,E2432&lt;&gt;""),"HOLD",""))))</f>
        <v/>
      </c>
      <c r="G2432" s="12">
        <f>IF(D2432=TRUE,4,0)</f>
        <v/>
      </c>
      <c r="H2432">
        <f>IF(A2432="","",BDP(A2432&amp;" US Equity","GICS_SECTOR_NAME"))</f>
        <v/>
      </c>
    </row>
    <row r="2433">
      <c r="A2433">
        <f>'Factor Scores'!A2433</f>
        <v/>
      </c>
      <c r="B2433" s="10">
        <f>IF(A2433="","",0.40*'Factor Scores'!C2433+0.20*'Factor Scores'!E2433+0.20*'Factor Scores'!G2433+0.20*'Factor Scores'!H2433)</f>
        <v/>
      </c>
      <c r="C2433" s="12">
        <f>IF(B2433="","",RANK(B2433,$B$2:$B$2501,0))</f>
        <v/>
      </c>
      <c r="D2433">
        <f>IF(C2433="","",C2433&lt;=25)</f>
        <v/>
      </c>
      <c r="F2433">
        <f>IF(A2433="","",IF(AND(D2433=TRUE,E2433=""),"BUY",IF(AND(D2433=FALSE,E2433&lt;&gt;""),"SELL",IF(AND(D2433=TRUE,E2433&lt;&gt;""),"HOLD",""))))</f>
        <v/>
      </c>
      <c r="G2433" s="12">
        <f>IF(D2433=TRUE,4,0)</f>
        <v/>
      </c>
      <c r="H2433">
        <f>IF(A2433="","",BDP(A2433&amp;" US Equity","GICS_SECTOR_NAME"))</f>
        <v/>
      </c>
    </row>
    <row r="2434">
      <c r="A2434">
        <f>'Factor Scores'!A2434</f>
        <v/>
      </c>
      <c r="B2434" s="10">
        <f>IF(A2434="","",0.40*'Factor Scores'!C2434+0.20*'Factor Scores'!E2434+0.20*'Factor Scores'!G2434+0.20*'Factor Scores'!H2434)</f>
        <v/>
      </c>
      <c r="C2434" s="12">
        <f>IF(B2434="","",RANK(B2434,$B$2:$B$2501,0))</f>
        <v/>
      </c>
      <c r="D2434">
        <f>IF(C2434="","",C2434&lt;=25)</f>
        <v/>
      </c>
      <c r="F2434">
        <f>IF(A2434="","",IF(AND(D2434=TRUE,E2434=""),"BUY",IF(AND(D2434=FALSE,E2434&lt;&gt;""),"SELL",IF(AND(D2434=TRUE,E2434&lt;&gt;""),"HOLD",""))))</f>
        <v/>
      </c>
      <c r="G2434" s="12">
        <f>IF(D2434=TRUE,4,0)</f>
        <v/>
      </c>
      <c r="H2434">
        <f>IF(A2434="","",BDP(A2434&amp;" US Equity","GICS_SECTOR_NAME"))</f>
        <v/>
      </c>
    </row>
    <row r="2435">
      <c r="A2435">
        <f>'Factor Scores'!A2435</f>
        <v/>
      </c>
      <c r="B2435" s="10">
        <f>IF(A2435="","",0.40*'Factor Scores'!C2435+0.20*'Factor Scores'!E2435+0.20*'Factor Scores'!G2435+0.20*'Factor Scores'!H2435)</f>
        <v/>
      </c>
      <c r="C2435" s="12">
        <f>IF(B2435="","",RANK(B2435,$B$2:$B$2501,0))</f>
        <v/>
      </c>
      <c r="D2435">
        <f>IF(C2435="","",C2435&lt;=25)</f>
        <v/>
      </c>
      <c r="F2435">
        <f>IF(A2435="","",IF(AND(D2435=TRUE,E2435=""),"BUY",IF(AND(D2435=FALSE,E2435&lt;&gt;""),"SELL",IF(AND(D2435=TRUE,E2435&lt;&gt;""),"HOLD",""))))</f>
        <v/>
      </c>
      <c r="G2435" s="12">
        <f>IF(D2435=TRUE,4,0)</f>
        <v/>
      </c>
      <c r="H2435">
        <f>IF(A2435="","",BDP(A2435&amp;" US Equity","GICS_SECTOR_NAME"))</f>
        <v/>
      </c>
    </row>
    <row r="2436">
      <c r="A2436">
        <f>'Factor Scores'!A2436</f>
        <v/>
      </c>
      <c r="B2436" s="10">
        <f>IF(A2436="","",0.40*'Factor Scores'!C2436+0.20*'Factor Scores'!E2436+0.20*'Factor Scores'!G2436+0.20*'Factor Scores'!H2436)</f>
        <v/>
      </c>
      <c r="C2436" s="12">
        <f>IF(B2436="","",RANK(B2436,$B$2:$B$2501,0))</f>
        <v/>
      </c>
      <c r="D2436">
        <f>IF(C2436="","",C2436&lt;=25)</f>
        <v/>
      </c>
      <c r="F2436">
        <f>IF(A2436="","",IF(AND(D2436=TRUE,E2436=""),"BUY",IF(AND(D2436=FALSE,E2436&lt;&gt;""),"SELL",IF(AND(D2436=TRUE,E2436&lt;&gt;""),"HOLD",""))))</f>
        <v/>
      </c>
      <c r="G2436" s="12">
        <f>IF(D2436=TRUE,4,0)</f>
        <v/>
      </c>
      <c r="H2436">
        <f>IF(A2436="","",BDP(A2436&amp;" US Equity","GICS_SECTOR_NAME"))</f>
        <v/>
      </c>
    </row>
    <row r="2437">
      <c r="A2437">
        <f>'Factor Scores'!A2437</f>
        <v/>
      </c>
      <c r="B2437" s="10">
        <f>IF(A2437="","",0.40*'Factor Scores'!C2437+0.20*'Factor Scores'!E2437+0.20*'Factor Scores'!G2437+0.20*'Factor Scores'!H2437)</f>
        <v/>
      </c>
      <c r="C2437" s="12">
        <f>IF(B2437="","",RANK(B2437,$B$2:$B$2501,0))</f>
        <v/>
      </c>
      <c r="D2437">
        <f>IF(C2437="","",C2437&lt;=25)</f>
        <v/>
      </c>
      <c r="F2437">
        <f>IF(A2437="","",IF(AND(D2437=TRUE,E2437=""),"BUY",IF(AND(D2437=FALSE,E2437&lt;&gt;""),"SELL",IF(AND(D2437=TRUE,E2437&lt;&gt;""),"HOLD",""))))</f>
        <v/>
      </c>
      <c r="G2437" s="12">
        <f>IF(D2437=TRUE,4,0)</f>
        <v/>
      </c>
      <c r="H2437">
        <f>IF(A2437="","",BDP(A2437&amp;" US Equity","GICS_SECTOR_NAME"))</f>
        <v/>
      </c>
    </row>
    <row r="2438">
      <c r="A2438">
        <f>'Factor Scores'!A2438</f>
        <v/>
      </c>
      <c r="B2438" s="10">
        <f>IF(A2438="","",0.40*'Factor Scores'!C2438+0.20*'Factor Scores'!E2438+0.20*'Factor Scores'!G2438+0.20*'Factor Scores'!H2438)</f>
        <v/>
      </c>
      <c r="C2438" s="12">
        <f>IF(B2438="","",RANK(B2438,$B$2:$B$2501,0))</f>
        <v/>
      </c>
      <c r="D2438">
        <f>IF(C2438="","",C2438&lt;=25)</f>
        <v/>
      </c>
      <c r="F2438">
        <f>IF(A2438="","",IF(AND(D2438=TRUE,E2438=""),"BUY",IF(AND(D2438=FALSE,E2438&lt;&gt;""),"SELL",IF(AND(D2438=TRUE,E2438&lt;&gt;""),"HOLD",""))))</f>
        <v/>
      </c>
      <c r="G2438" s="12">
        <f>IF(D2438=TRUE,4,0)</f>
        <v/>
      </c>
      <c r="H2438">
        <f>IF(A2438="","",BDP(A2438&amp;" US Equity","GICS_SECTOR_NAME"))</f>
        <v/>
      </c>
    </row>
    <row r="2439">
      <c r="A2439">
        <f>'Factor Scores'!A2439</f>
        <v/>
      </c>
      <c r="B2439" s="10">
        <f>IF(A2439="","",0.40*'Factor Scores'!C2439+0.20*'Factor Scores'!E2439+0.20*'Factor Scores'!G2439+0.20*'Factor Scores'!H2439)</f>
        <v/>
      </c>
      <c r="C2439" s="12">
        <f>IF(B2439="","",RANK(B2439,$B$2:$B$2501,0))</f>
        <v/>
      </c>
      <c r="D2439">
        <f>IF(C2439="","",C2439&lt;=25)</f>
        <v/>
      </c>
      <c r="F2439">
        <f>IF(A2439="","",IF(AND(D2439=TRUE,E2439=""),"BUY",IF(AND(D2439=FALSE,E2439&lt;&gt;""),"SELL",IF(AND(D2439=TRUE,E2439&lt;&gt;""),"HOLD",""))))</f>
        <v/>
      </c>
      <c r="G2439" s="12">
        <f>IF(D2439=TRUE,4,0)</f>
        <v/>
      </c>
      <c r="H2439">
        <f>IF(A2439="","",BDP(A2439&amp;" US Equity","GICS_SECTOR_NAME"))</f>
        <v/>
      </c>
    </row>
    <row r="2440">
      <c r="A2440">
        <f>'Factor Scores'!A2440</f>
        <v/>
      </c>
      <c r="B2440" s="10">
        <f>IF(A2440="","",0.40*'Factor Scores'!C2440+0.20*'Factor Scores'!E2440+0.20*'Factor Scores'!G2440+0.20*'Factor Scores'!H2440)</f>
        <v/>
      </c>
      <c r="C2440" s="12">
        <f>IF(B2440="","",RANK(B2440,$B$2:$B$2501,0))</f>
        <v/>
      </c>
      <c r="D2440">
        <f>IF(C2440="","",C2440&lt;=25)</f>
        <v/>
      </c>
      <c r="F2440">
        <f>IF(A2440="","",IF(AND(D2440=TRUE,E2440=""),"BUY",IF(AND(D2440=FALSE,E2440&lt;&gt;""),"SELL",IF(AND(D2440=TRUE,E2440&lt;&gt;""),"HOLD",""))))</f>
        <v/>
      </c>
      <c r="G2440" s="12">
        <f>IF(D2440=TRUE,4,0)</f>
        <v/>
      </c>
      <c r="H2440">
        <f>IF(A2440="","",BDP(A2440&amp;" US Equity","GICS_SECTOR_NAME"))</f>
        <v/>
      </c>
    </row>
    <row r="2441">
      <c r="A2441">
        <f>'Factor Scores'!A2441</f>
        <v/>
      </c>
      <c r="B2441" s="10">
        <f>IF(A2441="","",0.40*'Factor Scores'!C2441+0.20*'Factor Scores'!E2441+0.20*'Factor Scores'!G2441+0.20*'Factor Scores'!H2441)</f>
        <v/>
      </c>
      <c r="C2441" s="12">
        <f>IF(B2441="","",RANK(B2441,$B$2:$B$2501,0))</f>
        <v/>
      </c>
      <c r="D2441">
        <f>IF(C2441="","",C2441&lt;=25)</f>
        <v/>
      </c>
      <c r="F2441">
        <f>IF(A2441="","",IF(AND(D2441=TRUE,E2441=""),"BUY",IF(AND(D2441=FALSE,E2441&lt;&gt;""),"SELL",IF(AND(D2441=TRUE,E2441&lt;&gt;""),"HOLD",""))))</f>
        <v/>
      </c>
      <c r="G2441" s="12">
        <f>IF(D2441=TRUE,4,0)</f>
        <v/>
      </c>
      <c r="H2441">
        <f>IF(A2441="","",BDP(A2441&amp;" US Equity","GICS_SECTOR_NAME"))</f>
        <v/>
      </c>
    </row>
    <row r="2442">
      <c r="A2442">
        <f>'Factor Scores'!A2442</f>
        <v/>
      </c>
      <c r="B2442" s="10">
        <f>IF(A2442="","",0.40*'Factor Scores'!C2442+0.20*'Factor Scores'!E2442+0.20*'Factor Scores'!G2442+0.20*'Factor Scores'!H2442)</f>
        <v/>
      </c>
      <c r="C2442" s="12">
        <f>IF(B2442="","",RANK(B2442,$B$2:$B$2501,0))</f>
        <v/>
      </c>
      <c r="D2442">
        <f>IF(C2442="","",C2442&lt;=25)</f>
        <v/>
      </c>
      <c r="F2442">
        <f>IF(A2442="","",IF(AND(D2442=TRUE,E2442=""),"BUY",IF(AND(D2442=FALSE,E2442&lt;&gt;""),"SELL",IF(AND(D2442=TRUE,E2442&lt;&gt;""),"HOLD",""))))</f>
        <v/>
      </c>
      <c r="G2442" s="12">
        <f>IF(D2442=TRUE,4,0)</f>
        <v/>
      </c>
      <c r="H2442">
        <f>IF(A2442="","",BDP(A2442&amp;" US Equity","GICS_SECTOR_NAME"))</f>
        <v/>
      </c>
    </row>
    <row r="2443">
      <c r="A2443">
        <f>'Factor Scores'!A2443</f>
        <v/>
      </c>
      <c r="B2443" s="10">
        <f>IF(A2443="","",0.40*'Factor Scores'!C2443+0.20*'Factor Scores'!E2443+0.20*'Factor Scores'!G2443+0.20*'Factor Scores'!H2443)</f>
        <v/>
      </c>
      <c r="C2443" s="12">
        <f>IF(B2443="","",RANK(B2443,$B$2:$B$2501,0))</f>
        <v/>
      </c>
      <c r="D2443">
        <f>IF(C2443="","",C2443&lt;=25)</f>
        <v/>
      </c>
      <c r="F2443">
        <f>IF(A2443="","",IF(AND(D2443=TRUE,E2443=""),"BUY",IF(AND(D2443=FALSE,E2443&lt;&gt;""),"SELL",IF(AND(D2443=TRUE,E2443&lt;&gt;""),"HOLD",""))))</f>
        <v/>
      </c>
      <c r="G2443" s="12">
        <f>IF(D2443=TRUE,4,0)</f>
        <v/>
      </c>
      <c r="H2443">
        <f>IF(A2443="","",BDP(A2443&amp;" US Equity","GICS_SECTOR_NAME"))</f>
        <v/>
      </c>
    </row>
    <row r="2444">
      <c r="A2444">
        <f>'Factor Scores'!A2444</f>
        <v/>
      </c>
      <c r="B2444" s="10">
        <f>IF(A2444="","",0.40*'Factor Scores'!C2444+0.20*'Factor Scores'!E2444+0.20*'Factor Scores'!G2444+0.20*'Factor Scores'!H2444)</f>
        <v/>
      </c>
      <c r="C2444" s="12">
        <f>IF(B2444="","",RANK(B2444,$B$2:$B$2501,0))</f>
        <v/>
      </c>
      <c r="D2444">
        <f>IF(C2444="","",C2444&lt;=25)</f>
        <v/>
      </c>
      <c r="F2444">
        <f>IF(A2444="","",IF(AND(D2444=TRUE,E2444=""),"BUY",IF(AND(D2444=FALSE,E2444&lt;&gt;""),"SELL",IF(AND(D2444=TRUE,E2444&lt;&gt;""),"HOLD",""))))</f>
        <v/>
      </c>
      <c r="G2444" s="12">
        <f>IF(D2444=TRUE,4,0)</f>
        <v/>
      </c>
      <c r="H2444">
        <f>IF(A2444="","",BDP(A2444&amp;" US Equity","GICS_SECTOR_NAME"))</f>
        <v/>
      </c>
    </row>
    <row r="2445">
      <c r="A2445">
        <f>'Factor Scores'!A2445</f>
        <v/>
      </c>
      <c r="B2445" s="10">
        <f>IF(A2445="","",0.40*'Factor Scores'!C2445+0.20*'Factor Scores'!E2445+0.20*'Factor Scores'!G2445+0.20*'Factor Scores'!H2445)</f>
        <v/>
      </c>
      <c r="C2445" s="12">
        <f>IF(B2445="","",RANK(B2445,$B$2:$B$2501,0))</f>
        <v/>
      </c>
      <c r="D2445">
        <f>IF(C2445="","",C2445&lt;=25)</f>
        <v/>
      </c>
      <c r="F2445">
        <f>IF(A2445="","",IF(AND(D2445=TRUE,E2445=""),"BUY",IF(AND(D2445=FALSE,E2445&lt;&gt;""),"SELL",IF(AND(D2445=TRUE,E2445&lt;&gt;""),"HOLD",""))))</f>
        <v/>
      </c>
      <c r="G2445" s="12">
        <f>IF(D2445=TRUE,4,0)</f>
        <v/>
      </c>
      <c r="H2445">
        <f>IF(A2445="","",BDP(A2445&amp;" US Equity","GICS_SECTOR_NAME"))</f>
        <v/>
      </c>
    </row>
    <row r="2446">
      <c r="A2446">
        <f>'Factor Scores'!A2446</f>
        <v/>
      </c>
      <c r="B2446" s="10">
        <f>IF(A2446="","",0.40*'Factor Scores'!C2446+0.20*'Factor Scores'!E2446+0.20*'Factor Scores'!G2446+0.20*'Factor Scores'!H2446)</f>
        <v/>
      </c>
      <c r="C2446" s="12">
        <f>IF(B2446="","",RANK(B2446,$B$2:$B$2501,0))</f>
        <v/>
      </c>
      <c r="D2446">
        <f>IF(C2446="","",C2446&lt;=25)</f>
        <v/>
      </c>
      <c r="F2446">
        <f>IF(A2446="","",IF(AND(D2446=TRUE,E2446=""),"BUY",IF(AND(D2446=FALSE,E2446&lt;&gt;""),"SELL",IF(AND(D2446=TRUE,E2446&lt;&gt;""),"HOLD",""))))</f>
        <v/>
      </c>
      <c r="G2446" s="12">
        <f>IF(D2446=TRUE,4,0)</f>
        <v/>
      </c>
      <c r="H2446">
        <f>IF(A2446="","",BDP(A2446&amp;" US Equity","GICS_SECTOR_NAME"))</f>
        <v/>
      </c>
    </row>
    <row r="2447">
      <c r="A2447">
        <f>'Factor Scores'!A2447</f>
        <v/>
      </c>
      <c r="B2447" s="10">
        <f>IF(A2447="","",0.40*'Factor Scores'!C2447+0.20*'Factor Scores'!E2447+0.20*'Factor Scores'!G2447+0.20*'Factor Scores'!H2447)</f>
        <v/>
      </c>
      <c r="C2447" s="12">
        <f>IF(B2447="","",RANK(B2447,$B$2:$B$2501,0))</f>
        <v/>
      </c>
      <c r="D2447">
        <f>IF(C2447="","",C2447&lt;=25)</f>
        <v/>
      </c>
      <c r="F2447">
        <f>IF(A2447="","",IF(AND(D2447=TRUE,E2447=""),"BUY",IF(AND(D2447=FALSE,E2447&lt;&gt;""),"SELL",IF(AND(D2447=TRUE,E2447&lt;&gt;""),"HOLD",""))))</f>
        <v/>
      </c>
      <c r="G2447" s="12">
        <f>IF(D2447=TRUE,4,0)</f>
        <v/>
      </c>
      <c r="H2447">
        <f>IF(A2447="","",BDP(A2447&amp;" US Equity","GICS_SECTOR_NAME"))</f>
        <v/>
      </c>
    </row>
    <row r="2448">
      <c r="A2448">
        <f>'Factor Scores'!A2448</f>
        <v/>
      </c>
      <c r="B2448" s="10">
        <f>IF(A2448="","",0.40*'Factor Scores'!C2448+0.20*'Factor Scores'!E2448+0.20*'Factor Scores'!G2448+0.20*'Factor Scores'!H2448)</f>
        <v/>
      </c>
      <c r="C2448" s="12">
        <f>IF(B2448="","",RANK(B2448,$B$2:$B$2501,0))</f>
        <v/>
      </c>
      <c r="D2448">
        <f>IF(C2448="","",C2448&lt;=25)</f>
        <v/>
      </c>
      <c r="F2448">
        <f>IF(A2448="","",IF(AND(D2448=TRUE,E2448=""),"BUY",IF(AND(D2448=FALSE,E2448&lt;&gt;""),"SELL",IF(AND(D2448=TRUE,E2448&lt;&gt;""),"HOLD",""))))</f>
        <v/>
      </c>
      <c r="G2448" s="12">
        <f>IF(D2448=TRUE,4,0)</f>
        <v/>
      </c>
      <c r="H2448">
        <f>IF(A2448="","",BDP(A2448&amp;" US Equity","GICS_SECTOR_NAME"))</f>
        <v/>
      </c>
    </row>
    <row r="2449">
      <c r="A2449">
        <f>'Factor Scores'!A2449</f>
        <v/>
      </c>
      <c r="B2449" s="10">
        <f>IF(A2449="","",0.40*'Factor Scores'!C2449+0.20*'Factor Scores'!E2449+0.20*'Factor Scores'!G2449+0.20*'Factor Scores'!H2449)</f>
        <v/>
      </c>
      <c r="C2449" s="12">
        <f>IF(B2449="","",RANK(B2449,$B$2:$B$2501,0))</f>
        <v/>
      </c>
      <c r="D2449">
        <f>IF(C2449="","",C2449&lt;=25)</f>
        <v/>
      </c>
      <c r="F2449">
        <f>IF(A2449="","",IF(AND(D2449=TRUE,E2449=""),"BUY",IF(AND(D2449=FALSE,E2449&lt;&gt;""),"SELL",IF(AND(D2449=TRUE,E2449&lt;&gt;""),"HOLD",""))))</f>
        <v/>
      </c>
      <c r="G2449" s="12">
        <f>IF(D2449=TRUE,4,0)</f>
        <v/>
      </c>
      <c r="H2449">
        <f>IF(A2449="","",BDP(A2449&amp;" US Equity","GICS_SECTOR_NAME"))</f>
        <v/>
      </c>
    </row>
    <row r="2450">
      <c r="A2450">
        <f>'Factor Scores'!A2450</f>
        <v/>
      </c>
      <c r="B2450" s="10">
        <f>IF(A2450="","",0.40*'Factor Scores'!C2450+0.20*'Factor Scores'!E2450+0.20*'Factor Scores'!G2450+0.20*'Factor Scores'!H2450)</f>
        <v/>
      </c>
      <c r="C2450" s="12">
        <f>IF(B2450="","",RANK(B2450,$B$2:$B$2501,0))</f>
        <v/>
      </c>
      <c r="D2450">
        <f>IF(C2450="","",C2450&lt;=25)</f>
        <v/>
      </c>
      <c r="F2450">
        <f>IF(A2450="","",IF(AND(D2450=TRUE,E2450=""),"BUY",IF(AND(D2450=FALSE,E2450&lt;&gt;""),"SELL",IF(AND(D2450=TRUE,E2450&lt;&gt;""),"HOLD",""))))</f>
        <v/>
      </c>
      <c r="G2450" s="12">
        <f>IF(D2450=TRUE,4,0)</f>
        <v/>
      </c>
      <c r="H2450">
        <f>IF(A2450="","",BDP(A2450&amp;" US Equity","GICS_SECTOR_NAME"))</f>
        <v/>
      </c>
    </row>
    <row r="2451">
      <c r="A2451">
        <f>'Factor Scores'!A2451</f>
        <v/>
      </c>
      <c r="B2451" s="10">
        <f>IF(A2451="","",0.40*'Factor Scores'!C2451+0.20*'Factor Scores'!E2451+0.20*'Factor Scores'!G2451+0.20*'Factor Scores'!H2451)</f>
        <v/>
      </c>
      <c r="C2451" s="12">
        <f>IF(B2451="","",RANK(B2451,$B$2:$B$2501,0))</f>
        <v/>
      </c>
      <c r="D2451">
        <f>IF(C2451="","",C2451&lt;=25)</f>
        <v/>
      </c>
      <c r="F2451">
        <f>IF(A2451="","",IF(AND(D2451=TRUE,E2451=""),"BUY",IF(AND(D2451=FALSE,E2451&lt;&gt;""),"SELL",IF(AND(D2451=TRUE,E2451&lt;&gt;""),"HOLD",""))))</f>
        <v/>
      </c>
      <c r="G2451" s="12">
        <f>IF(D2451=TRUE,4,0)</f>
        <v/>
      </c>
      <c r="H2451">
        <f>IF(A2451="","",BDP(A2451&amp;" US Equity","GICS_SECTOR_NAME"))</f>
        <v/>
      </c>
    </row>
    <row r="2452">
      <c r="A2452">
        <f>'Factor Scores'!A2452</f>
        <v/>
      </c>
      <c r="B2452" s="10">
        <f>IF(A2452="","",0.40*'Factor Scores'!C2452+0.20*'Factor Scores'!E2452+0.20*'Factor Scores'!G2452+0.20*'Factor Scores'!H2452)</f>
        <v/>
      </c>
      <c r="C2452" s="12">
        <f>IF(B2452="","",RANK(B2452,$B$2:$B$2501,0))</f>
        <v/>
      </c>
      <c r="D2452">
        <f>IF(C2452="","",C2452&lt;=25)</f>
        <v/>
      </c>
      <c r="F2452">
        <f>IF(A2452="","",IF(AND(D2452=TRUE,E2452=""),"BUY",IF(AND(D2452=FALSE,E2452&lt;&gt;""),"SELL",IF(AND(D2452=TRUE,E2452&lt;&gt;""),"HOLD",""))))</f>
        <v/>
      </c>
      <c r="G2452" s="12">
        <f>IF(D2452=TRUE,4,0)</f>
        <v/>
      </c>
      <c r="H2452">
        <f>IF(A2452="","",BDP(A2452&amp;" US Equity","GICS_SECTOR_NAME"))</f>
        <v/>
      </c>
    </row>
    <row r="2453">
      <c r="A2453">
        <f>'Factor Scores'!A2453</f>
        <v/>
      </c>
      <c r="B2453" s="10">
        <f>IF(A2453="","",0.40*'Factor Scores'!C2453+0.20*'Factor Scores'!E2453+0.20*'Factor Scores'!G2453+0.20*'Factor Scores'!H2453)</f>
        <v/>
      </c>
      <c r="C2453" s="12">
        <f>IF(B2453="","",RANK(B2453,$B$2:$B$2501,0))</f>
        <v/>
      </c>
      <c r="D2453">
        <f>IF(C2453="","",C2453&lt;=25)</f>
        <v/>
      </c>
      <c r="F2453">
        <f>IF(A2453="","",IF(AND(D2453=TRUE,E2453=""),"BUY",IF(AND(D2453=FALSE,E2453&lt;&gt;""),"SELL",IF(AND(D2453=TRUE,E2453&lt;&gt;""),"HOLD",""))))</f>
        <v/>
      </c>
      <c r="G2453" s="12">
        <f>IF(D2453=TRUE,4,0)</f>
        <v/>
      </c>
      <c r="H2453">
        <f>IF(A2453="","",BDP(A2453&amp;" US Equity","GICS_SECTOR_NAME"))</f>
        <v/>
      </c>
    </row>
    <row r="2454">
      <c r="A2454">
        <f>'Factor Scores'!A2454</f>
        <v/>
      </c>
      <c r="B2454" s="10">
        <f>IF(A2454="","",0.40*'Factor Scores'!C2454+0.20*'Factor Scores'!E2454+0.20*'Factor Scores'!G2454+0.20*'Factor Scores'!H2454)</f>
        <v/>
      </c>
      <c r="C2454" s="12">
        <f>IF(B2454="","",RANK(B2454,$B$2:$B$2501,0))</f>
        <v/>
      </c>
      <c r="D2454">
        <f>IF(C2454="","",C2454&lt;=25)</f>
        <v/>
      </c>
      <c r="F2454">
        <f>IF(A2454="","",IF(AND(D2454=TRUE,E2454=""),"BUY",IF(AND(D2454=FALSE,E2454&lt;&gt;""),"SELL",IF(AND(D2454=TRUE,E2454&lt;&gt;""),"HOLD",""))))</f>
        <v/>
      </c>
      <c r="G2454" s="12">
        <f>IF(D2454=TRUE,4,0)</f>
        <v/>
      </c>
      <c r="H2454">
        <f>IF(A2454="","",BDP(A2454&amp;" US Equity","GICS_SECTOR_NAME"))</f>
        <v/>
      </c>
    </row>
    <row r="2455">
      <c r="A2455">
        <f>'Factor Scores'!A2455</f>
        <v/>
      </c>
      <c r="B2455" s="10">
        <f>IF(A2455="","",0.40*'Factor Scores'!C2455+0.20*'Factor Scores'!E2455+0.20*'Factor Scores'!G2455+0.20*'Factor Scores'!H2455)</f>
        <v/>
      </c>
      <c r="C2455" s="12">
        <f>IF(B2455="","",RANK(B2455,$B$2:$B$2501,0))</f>
        <v/>
      </c>
      <c r="D2455">
        <f>IF(C2455="","",C2455&lt;=25)</f>
        <v/>
      </c>
      <c r="F2455">
        <f>IF(A2455="","",IF(AND(D2455=TRUE,E2455=""),"BUY",IF(AND(D2455=FALSE,E2455&lt;&gt;""),"SELL",IF(AND(D2455=TRUE,E2455&lt;&gt;""),"HOLD",""))))</f>
        <v/>
      </c>
      <c r="G2455" s="12">
        <f>IF(D2455=TRUE,4,0)</f>
        <v/>
      </c>
      <c r="H2455">
        <f>IF(A2455="","",BDP(A2455&amp;" US Equity","GICS_SECTOR_NAME"))</f>
        <v/>
      </c>
    </row>
    <row r="2456">
      <c r="A2456">
        <f>'Factor Scores'!A2456</f>
        <v/>
      </c>
      <c r="B2456" s="10">
        <f>IF(A2456="","",0.40*'Factor Scores'!C2456+0.20*'Factor Scores'!E2456+0.20*'Factor Scores'!G2456+0.20*'Factor Scores'!H2456)</f>
        <v/>
      </c>
      <c r="C2456" s="12">
        <f>IF(B2456="","",RANK(B2456,$B$2:$B$2501,0))</f>
        <v/>
      </c>
      <c r="D2456">
        <f>IF(C2456="","",C2456&lt;=25)</f>
        <v/>
      </c>
      <c r="F2456">
        <f>IF(A2456="","",IF(AND(D2456=TRUE,E2456=""),"BUY",IF(AND(D2456=FALSE,E2456&lt;&gt;""),"SELL",IF(AND(D2456=TRUE,E2456&lt;&gt;""),"HOLD",""))))</f>
        <v/>
      </c>
      <c r="G2456" s="12">
        <f>IF(D2456=TRUE,4,0)</f>
        <v/>
      </c>
      <c r="H2456">
        <f>IF(A2456="","",BDP(A2456&amp;" US Equity","GICS_SECTOR_NAME"))</f>
        <v/>
      </c>
    </row>
    <row r="2457">
      <c r="A2457">
        <f>'Factor Scores'!A2457</f>
        <v/>
      </c>
      <c r="B2457" s="10">
        <f>IF(A2457="","",0.40*'Factor Scores'!C2457+0.20*'Factor Scores'!E2457+0.20*'Factor Scores'!G2457+0.20*'Factor Scores'!H2457)</f>
        <v/>
      </c>
      <c r="C2457" s="12">
        <f>IF(B2457="","",RANK(B2457,$B$2:$B$2501,0))</f>
        <v/>
      </c>
      <c r="D2457">
        <f>IF(C2457="","",C2457&lt;=25)</f>
        <v/>
      </c>
      <c r="F2457">
        <f>IF(A2457="","",IF(AND(D2457=TRUE,E2457=""),"BUY",IF(AND(D2457=FALSE,E2457&lt;&gt;""),"SELL",IF(AND(D2457=TRUE,E2457&lt;&gt;""),"HOLD",""))))</f>
        <v/>
      </c>
      <c r="G2457" s="12">
        <f>IF(D2457=TRUE,4,0)</f>
        <v/>
      </c>
      <c r="H2457">
        <f>IF(A2457="","",BDP(A2457&amp;" US Equity","GICS_SECTOR_NAME"))</f>
        <v/>
      </c>
    </row>
    <row r="2458">
      <c r="A2458">
        <f>'Factor Scores'!A2458</f>
        <v/>
      </c>
      <c r="B2458" s="10">
        <f>IF(A2458="","",0.40*'Factor Scores'!C2458+0.20*'Factor Scores'!E2458+0.20*'Factor Scores'!G2458+0.20*'Factor Scores'!H2458)</f>
        <v/>
      </c>
      <c r="C2458" s="12">
        <f>IF(B2458="","",RANK(B2458,$B$2:$B$2501,0))</f>
        <v/>
      </c>
      <c r="D2458">
        <f>IF(C2458="","",C2458&lt;=25)</f>
        <v/>
      </c>
      <c r="F2458">
        <f>IF(A2458="","",IF(AND(D2458=TRUE,E2458=""),"BUY",IF(AND(D2458=FALSE,E2458&lt;&gt;""),"SELL",IF(AND(D2458=TRUE,E2458&lt;&gt;""),"HOLD",""))))</f>
        <v/>
      </c>
      <c r="G2458" s="12">
        <f>IF(D2458=TRUE,4,0)</f>
        <v/>
      </c>
      <c r="H2458">
        <f>IF(A2458="","",BDP(A2458&amp;" US Equity","GICS_SECTOR_NAME"))</f>
        <v/>
      </c>
    </row>
    <row r="2459">
      <c r="A2459">
        <f>'Factor Scores'!A2459</f>
        <v/>
      </c>
      <c r="B2459" s="10">
        <f>IF(A2459="","",0.40*'Factor Scores'!C2459+0.20*'Factor Scores'!E2459+0.20*'Factor Scores'!G2459+0.20*'Factor Scores'!H2459)</f>
        <v/>
      </c>
      <c r="C2459" s="12">
        <f>IF(B2459="","",RANK(B2459,$B$2:$B$2501,0))</f>
        <v/>
      </c>
      <c r="D2459">
        <f>IF(C2459="","",C2459&lt;=25)</f>
        <v/>
      </c>
      <c r="F2459">
        <f>IF(A2459="","",IF(AND(D2459=TRUE,E2459=""),"BUY",IF(AND(D2459=FALSE,E2459&lt;&gt;""),"SELL",IF(AND(D2459=TRUE,E2459&lt;&gt;""),"HOLD",""))))</f>
        <v/>
      </c>
      <c r="G2459" s="12">
        <f>IF(D2459=TRUE,4,0)</f>
        <v/>
      </c>
      <c r="H2459">
        <f>IF(A2459="","",BDP(A2459&amp;" US Equity","GICS_SECTOR_NAME"))</f>
        <v/>
      </c>
    </row>
    <row r="2460">
      <c r="A2460">
        <f>'Factor Scores'!A2460</f>
        <v/>
      </c>
      <c r="B2460" s="10">
        <f>IF(A2460="","",0.40*'Factor Scores'!C2460+0.20*'Factor Scores'!E2460+0.20*'Factor Scores'!G2460+0.20*'Factor Scores'!H2460)</f>
        <v/>
      </c>
      <c r="C2460" s="12">
        <f>IF(B2460="","",RANK(B2460,$B$2:$B$2501,0))</f>
        <v/>
      </c>
      <c r="D2460">
        <f>IF(C2460="","",C2460&lt;=25)</f>
        <v/>
      </c>
      <c r="F2460">
        <f>IF(A2460="","",IF(AND(D2460=TRUE,E2460=""),"BUY",IF(AND(D2460=FALSE,E2460&lt;&gt;""),"SELL",IF(AND(D2460=TRUE,E2460&lt;&gt;""),"HOLD",""))))</f>
        <v/>
      </c>
      <c r="G2460" s="12">
        <f>IF(D2460=TRUE,4,0)</f>
        <v/>
      </c>
      <c r="H2460">
        <f>IF(A2460="","",BDP(A2460&amp;" US Equity","GICS_SECTOR_NAME"))</f>
        <v/>
      </c>
    </row>
    <row r="2461">
      <c r="A2461">
        <f>'Factor Scores'!A2461</f>
        <v/>
      </c>
      <c r="B2461" s="10">
        <f>IF(A2461="","",0.40*'Factor Scores'!C2461+0.20*'Factor Scores'!E2461+0.20*'Factor Scores'!G2461+0.20*'Factor Scores'!H2461)</f>
        <v/>
      </c>
      <c r="C2461" s="12">
        <f>IF(B2461="","",RANK(B2461,$B$2:$B$2501,0))</f>
        <v/>
      </c>
      <c r="D2461">
        <f>IF(C2461="","",C2461&lt;=25)</f>
        <v/>
      </c>
      <c r="F2461">
        <f>IF(A2461="","",IF(AND(D2461=TRUE,E2461=""),"BUY",IF(AND(D2461=FALSE,E2461&lt;&gt;""),"SELL",IF(AND(D2461=TRUE,E2461&lt;&gt;""),"HOLD",""))))</f>
        <v/>
      </c>
      <c r="G2461" s="12">
        <f>IF(D2461=TRUE,4,0)</f>
        <v/>
      </c>
      <c r="H2461">
        <f>IF(A2461="","",BDP(A2461&amp;" US Equity","GICS_SECTOR_NAME"))</f>
        <v/>
      </c>
    </row>
    <row r="2462">
      <c r="A2462">
        <f>'Factor Scores'!A2462</f>
        <v/>
      </c>
      <c r="B2462" s="10">
        <f>IF(A2462="","",0.40*'Factor Scores'!C2462+0.20*'Factor Scores'!E2462+0.20*'Factor Scores'!G2462+0.20*'Factor Scores'!H2462)</f>
        <v/>
      </c>
      <c r="C2462" s="12">
        <f>IF(B2462="","",RANK(B2462,$B$2:$B$2501,0))</f>
        <v/>
      </c>
      <c r="D2462">
        <f>IF(C2462="","",C2462&lt;=25)</f>
        <v/>
      </c>
      <c r="F2462">
        <f>IF(A2462="","",IF(AND(D2462=TRUE,E2462=""),"BUY",IF(AND(D2462=FALSE,E2462&lt;&gt;""),"SELL",IF(AND(D2462=TRUE,E2462&lt;&gt;""),"HOLD",""))))</f>
        <v/>
      </c>
      <c r="G2462" s="12">
        <f>IF(D2462=TRUE,4,0)</f>
        <v/>
      </c>
      <c r="H2462">
        <f>IF(A2462="","",BDP(A2462&amp;" US Equity","GICS_SECTOR_NAME"))</f>
        <v/>
      </c>
    </row>
    <row r="2463">
      <c r="A2463">
        <f>'Factor Scores'!A2463</f>
        <v/>
      </c>
      <c r="B2463" s="10">
        <f>IF(A2463="","",0.40*'Factor Scores'!C2463+0.20*'Factor Scores'!E2463+0.20*'Factor Scores'!G2463+0.20*'Factor Scores'!H2463)</f>
        <v/>
      </c>
      <c r="C2463" s="12">
        <f>IF(B2463="","",RANK(B2463,$B$2:$B$2501,0))</f>
        <v/>
      </c>
      <c r="D2463">
        <f>IF(C2463="","",C2463&lt;=25)</f>
        <v/>
      </c>
      <c r="F2463">
        <f>IF(A2463="","",IF(AND(D2463=TRUE,E2463=""),"BUY",IF(AND(D2463=FALSE,E2463&lt;&gt;""),"SELL",IF(AND(D2463=TRUE,E2463&lt;&gt;""),"HOLD",""))))</f>
        <v/>
      </c>
      <c r="G2463" s="12">
        <f>IF(D2463=TRUE,4,0)</f>
        <v/>
      </c>
      <c r="H2463">
        <f>IF(A2463="","",BDP(A2463&amp;" US Equity","GICS_SECTOR_NAME"))</f>
        <v/>
      </c>
    </row>
    <row r="2464">
      <c r="A2464">
        <f>'Factor Scores'!A2464</f>
        <v/>
      </c>
      <c r="B2464" s="10">
        <f>IF(A2464="","",0.40*'Factor Scores'!C2464+0.20*'Factor Scores'!E2464+0.20*'Factor Scores'!G2464+0.20*'Factor Scores'!H2464)</f>
        <v/>
      </c>
      <c r="C2464" s="12">
        <f>IF(B2464="","",RANK(B2464,$B$2:$B$2501,0))</f>
        <v/>
      </c>
      <c r="D2464">
        <f>IF(C2464="","",C2464&lt;=25)</f>
        <v/>
      </c>
      <c r="F2464">
        <f>IF(A2464="","",IF(AND(D2464=TRUE,E2464=""),"BUY",IF(AND(D2464=FALSE,E2464&lt;&gt;""),"SELL",IF(AND(D2464=TRUE,E2464&lt;&gt;""),"HOLD",""))))</f>
        <v/>
      </c>
      <c r="G2464" s="12">
        <f>IF(D2464=TRUE,4,0)</f>
        <v/>
      </c>
      <c r="H2464">
        <f>IF(A2464="","",BDP(A2464&amp;" US Equity","GICS_SECTOR_NAME"))</f>
        <v/>
      </c>
    </row>
    <row r="2465">
      <c r="A2465">
        <f>'Factor Scores'!A2465</f>
        <v/>
      </c>
      <c r="B2465" s="10">
        <f>IF(A2465="","",0.40*'Factor Scores'!C2465+0.20*'Factor Scores'!E2465+0.20*'Factor Scores'!G2465+0.20*'Factor Scores'!H2465)</f>
        <v/>
      </c>
      <c r="C2465" s="12">
        <f>IF(B2465="","",RANK(B2465,$B$2:$B$2501,0))</f>
        <v/>
      </c>
      <c r="D2465">
        <f>IF(C2465="","",C2465&lt;=25)</f>
        <v/>
      </c>
      <c r="F2465">
        <f>IF(A2465="","",IF(AND(D2465=TRUE,E2465=""),"BUY",IF(AND(D2465=FALSE,E2465&lt;&gt;""),"SELL",IF(AND(D2465=TRUE,E2465&lt;&gt;""),"HOLD",""))))</f>
        <v/>
      </c>
      <c r="G2465" s="12">
        <f>IF(D2465=TRUE,4,0)</f>
        <v/>
      </c>
      <c r="H2465">
        <f>IF(A2465="","",BDP(A2465&amp;" US Equity","GICS_SECTOR_NAME"))</f>
        <v/>
      </c>
    </row>
    <row r="2466">
      <c r="A2466">
        <f>'Factor Scores'!A2466</f>
        <v/>
      </c>
      <c r="B2466" s="10">
        <f>IF(A2466="","",0.40*'Factor Scores'!C2466+0.20*'Factor Scores'!E2466+0.20*'Factor Scores'!G2466+0.20*'Factor Scores'!H2466)</f>
        <v/>
      </c>
      <c r="C2466" s="12">
        <f>IF(B2466="","",RANK(B2466,$B$2:$B$2501,0))</f>
        <v/>
      </c>
      <c r="D2466">
        <f>IF(C2466="","",C2466&lt;=25)</f>
        <v/>
      </c>
      <c r="F2466">
        <f>IF(A2466="","",IF(AND(D2466=TRUE,E2466=""),"BUY",IF(AND(D2466=FALSE,E2466&lt;&gt;""),"SELL",IF(AND(D2466=TRUE,E2466&lt;&gt;""),"HOLD",""))))</f>
        <v/>
      </c>
      <c r="G2466" s="12">
        <f>IF(D2466=TRUE,4,0)</f>
        <v/>
      </c>
      <c r="H2466">
        <f>IF(A2466="","",BDP(A2466&amp;" US Equity","GICS_SECTOR_NAME"))</f>
        <v/>
      </c>
    </row>
    <row r="2467">
      <c r="A2467">
        <f>'Factor Scores'!A2467</f>
        <v/>
      </c>
      <c r="B2467" s="10">
        <f>IF(A2467="","",0.40*'Factor Scores'!C2467+0.20*'Factor Scores'!E2467+0.20*'Factor Scores'!G2467+0.20*'Factor Scores'!H2467)</f>
        <v/>
      </c>
      <c r="C2467" s="12">
        <f>IF(B2467="","",RANK(B2467,$B$2:$B$2501,0))</f>
        <v/>
      </c>
      <c r="D2467">
        <f>IF(C2467="","",C2467&lt;=25)</f>
        <v/>
      </c>
      <c r="F2467">
        <f>IF(A2467="","",IF(AND(D2467=TRUE,E2467=""),"BUY",IF(AND(D2467=FALSE,E2467&lt;&gt;""),"SELL",IF(AND(D2467=TRUE,E2467&lt;&gt;""),"HOLD",""))))</f>
        <v/>
      </c>
      <c r="G2467" s="12">
        <f>IF(D2467=TRUE,4,0)</f>
        <v/>
      </c>
      <c r="H2467">
        <f>IF(A2467="","",BDP(A2467&amp;" US Equity","GICS_SECTOR_NAME"))</f>
        <v/>
      </c>
    </row>
    <row r="2468">
      <c r="A2468">
        <f>'Factor Scores'!A2468</f>
        <v/>
      </c>
      <c r="B2468" s="10">
        <f>IF(A2468="","",0.40*'Factor Scores'!C2468+0.20*'Factor Scores'!E2468+0.20*'Factor Scores'!G2468+0.20*'Factor Scores'!H2468)</f>
        <v/>
      </c>
      <c r="C2468" s="12">
        <f>IF(B2468="","",RANK(B2468,$B$2:$B$2501,0))</f>
        <v/>
      </c>
      <c r="D2468">
        <f>IF(C2468="","",C2468&lt;=25)</f>
        <v/>
      </c>
      <c r="F2468">
        <f>IF(A2468="","",IF(AND(D2468=TRUE,E2468=""),"BUY",IF(AND(D2468=FALSE,E2468&lt;&gt;""),"SELL",IF(AND(D2468=TRUE,E2468&lt;&gt;""),"HOLD",""))))</f>
        <v/>
      </c>
      <c r="G2468" s="12">
        <f>IF(D2468=TRUE,4,0)</f>
        <v/>
      </c>
      <c r="H2468">
        <f>IF(A2468="","",BDP(A2468&amp;" US Equity","GICS_SECTOR_NAME"))</f>
        <v/>
      </c>
    </row>
    <row r="2469">
      <c r="A2469">
        <f>'Factor Scores'!A2469</f>
        <v/>
      </c>
      <c r="B2469" s="10">
        <f>IF(A2469="","",0.40*'Factor Scores'!C2469+0.20*'Factor Scores'!E2469+0.20*'Factor Scores'!G2469+0.20*'Factor Scores'!H2469)</f>
        <v/>
      </c>
      <c r="C2469" s="12">
        <f>IF(B2469="","",RANK(B2469,$B$2:$B$2501,0))</f>
        <v/>
      </c>
      <c r="D2469">
        <f>IF(C2469="","",C2469&lt;=25)</f>
        <v/>
      </c>
      <c r="F2469">
        <f>IF(A2469="","",IF(AND(D2469=TRUE,E2469=""),"BUY",IF(AND(D2469=FALSE,E2469&lt;&gt;""),"SELL",IF(AND(D2469=TRUE,E2469&lt;&gt;""),"HOLD",""))))</f>
        <v/>
      </c>
      <c r="G2469" s="12">
        <f>IF(D2469=TRUE,4,0)</f>
        <v/>
      </c>
      <c r="H2469">
        <f>IF(A2469="","",BDP(A2469&amp;" US Equity","GICS_SECTOR_NAME"))</f>
        <v/>
      </c>
    </row>
    <row r="2470">
      <c r="A2470">
        <f>'Factor Scores'!A2470</f>
        <v/>
      </c>
      <c r="B2470" s="10">
        <f>IF(A2470="","",0.40*'Factor Scores'!C2470+0.20*'Factor Scores'!E2470+0.20*'Factor Scores'!G2470+0.20*'Factor Scores'!H2470)</f>
        <v/>
      </c>
      <c r="C2470" s="12">
        <f>IF(B2470="","",RANK(B2470,$B$2:$B$2501,0))</f>
        <v/>
      </c>
      <c r="D2470">
        <f>IF(C2470="","",C2470&lt;=25)</f>
        <v/>
      </c>
      <c r="F2470">
        <f>IF(A2470="","",IF(AND(D2470=TRUE,E2470=""),"BUY",IF(AND(D2470=FALSE,E2470&lt;&gt;""),"SELL",IF(AND(D2470=TRUE,E2470&lt;&gt;""),"HOLD",""))))</f>
        <v/>
      </c>
      <c r="G2470" s="12">
        <f>IF(D2470=TRUE,4,0)</f>
        <v/>
      </c>
      <c r="H2470">
        <f>IF(A2470="","",BDP(A2470&amp;" US Equity","GICS_SECTOR_NAME"))</f>
        <v/>
      </c>
    </row>
    <row r="2471">
      <c r="A2471">
        <f>'Factor Scores'!A2471</f>
        <v/>
      </c>
      <c r="B2471" s="10">
        <f>IF(A2471="","",0.40*'Factor Scores'!C2471+0.20*'Factor Scores'!E2471+0.20*'Factor Scores'!G2471+0.20*'Factor Scores'!H2471)</f>
        <v/>
      </c>
      <c r="C2471" s="12">
        <f>IF(B2471="","",RANK(B2471,$B$2:$B$2501,0))</f>
        <v/>
      </c>
      <c r="D2471">
        <f>IF(C2471="","",C2471&lt;=25)</f>
        <v/>
      </c>
      <c r="F2471">
        <f>IF(A2471="","",IF(AND(D2471=TRUE,E2471=""),"BUY",IF(AND(D2471=FALSE,E2471&lt;&gt;""),"SELL",IF(AND(D2471=TRUE,E2471&lt;&gt;""),"HOLD",""))))</f>
        <v/>
      </c>
      <c r="G2471" s="12">
        <f>IF(D2471=TRUE,4,0)</f>
        <v/>
      </c>
      <c r="H2471">
        <f>IF(A2471="","",BDP(A2471&amp;" US Equity","GICS_SECTOR_NAME"))</f>
        <v/>
      </c>
    </row>
    <row r="2472">
      <c r="A2472">
        <f>'Factor Scores'!A2472</f>
        <v/>
      </c>
      <c r="B2472" s="10">
        <f>IF(A2472="","",0.40*'Factor Scores'!C2472+0.20*'Factor Scores'!E2472+0.20*'Factor Scores'!G2472+0.20*'Factor Scores'!H2472)</f>
        <v/>
      </c>
      <c r="C2472" s="12">
        <f>IF(B2472="","",RANK(B2472,$B$2:$B$2501,0))</f>
        <v/>
      </c>
      <c r="D2472">
        <f>IF(C2472="","",C2472&lt;=25)</f>
        <v/>
      </c>
      <c r="F2472">
        <f>IF(A2472="","",IF(AND(D2472=TRUE,E2472=""),"BUY",IF(AND(D2472=FALSE,E2472&lt;&gt;""),"SELL",IF(AND(D2472=TRUE,E2472&lt;&gt;""),"HOLD",""))))</f>
        <v/>
      </c>
      <c r="G2472" s="12">
        <f>IF(D2472=TRUE,4,0)</f>
        <v/>
      </c>
      <c r="H2472">
        <f>IF(A2472="","",BDP(A2472&amp;" US Equity","GICS_SECTOR_NAME"))</f>
        <v/>
      </c>
    </row>
    <row r="2473">
      <c r="A2473">
        <f>'Factor Scores'!A2473</f>
        <v/>
      </c>
      <c r="B2473" s="10">
        <f>IF(A2473="","",0.40*'Factor Scores'!C2473+0.20*'Factor Scores'!E2473+0.20*'Factor Scores'!G2473+0.20*'Factor Scores'!H2473)</f>
        <v/>
      </c>
      <c r="C2473" s="12">
        <f>IF(B2473="","",RANK(B2473,$B$2:$B$2501,0))</f>
        <v/>
      </c>
      <c r="D2473">
        <f>IF(C2473="","",C2473&lt;=25)</f>
        <v/>
      </c>
      <c r="F2473">
        <f>IF(A2473="","",IF(AND(D2473=TRUE,E2473=""),"BUY",IF(AND(D2473=FALSE,E2473&lt;&gt;""),"SELL",IF(AND(D2473=TRUE,E2473&lt;&gt;""),"HOLD",""))))</f>
        <v/>
      </c>
      <c r="G2473" s="12">
        <f>IF(D2473=TRUE,4,0)</f>
        <v/>
      </c>
      <c r="H2473">
        <f>IF(A2473="","",BDP(A2473&amp;" US Equity","GICS_SECTOR_NAME"))</f>
        <v/>
      </c>
    </row>
    <row r="2474">
      <c r="A2474">
        <f>'Factor Scores'!A2474</f>
        <v/>
      </c>
      <c r="B2474" s="10">
        <f>IF(A2474="","",0.40*'Factor Scores'!C2474+0.20*'Factor Scores'!E2474+0.20*'Factor Scores'!G2474+0.20*'Factor Scores'!H2474)</f>
        <v/>
      </c>
      <c r="C2474" s="12">
        <f>IF(B2474="","",RANK(B2474,$B$2:$B$2501,0))</f>
        <v/>
      </c>
      <c r="D2474">
        <f>IF(C2474="","",C2474&lt;=25)</f>
        <v/>
      </c>
      <c r="F2474">
        <f>IF(A2474="","",IF(AND(D2474=TRUE,E2474=""),"BUY",IF(AND(D2474=FALSE,E2474&lt;&gt;""),"SELL",IF(AND(D2474=TRUE,E2474&lt;&gt;""),"HOLD",""))))</f>
        <v/>
      </c>
      <c r="G2474" s="12">
        <f>IF(D2474=TRUE,4,0)</f>
        <v/>
      </c>
      <c r="H2474">
        <f>IF(A2474="","",BDP(A2474&amp;" US Equity","GICS_SECTOR_NAME"))</f>
        <v/>
      </c>
    </row>
    <row r="2475">
      <c r="A2475">
        <f>'Factor Scores'!A2475</f>
        <v/>
      </c>
      <c r="B2475" s="10">
        <f>IF(A2475="","",0.40*'Factor Scores'!C2475+0.20*'Factor Scores'!E2475+0.20*'Factor Scores'!G2475+0.20*'Factor Scores'!H2475)</f>
        <v/>
      </c>
      <c r="C2475" s="12">
        <f>IF(B2475="","",RANK(B2475,$B$2:$B$2501,0))</f>
        <v/>
      </c>
      <c r="D2475">
        <f>IF(C2475="","",C2475&lt;=25)</f>
        <v/>
      </c>
      <c r="F2475">
        <f>IF(A2475="","",IF(AND(D2475=TRUE,E2475=""),"BUY",IF(AND(D2475=FALSE,E2475&lt;&gt;""),"SELL",IF(AND(D2475=TRUE,E2475&lt;&gt;""),"HOLD",""))))</f>
        <v/>
      </c>
      <c r="G2475" s="12">
        <f>IF(D2475=TRUE,4,0)</f>
        <v/>
      </c>
      <c r="H2475">
        <f>IF(A2475="","",BDP(A2475&amp;" US Equity","GICS_SECTOR_NAME"))</f>
        <v/>
      </c>
    </row>
    <row r="2476">
      <c r="A2476">
        <f>'Factor Scores'!A2476</f>
        <v/>
      </c>
      <c r="B2476" s="10">
        <f>IF(A2476="","",0.40*'Factor Scores'!C2476+0.20*'Factor Scores'!E2476+0.20*'Factor Scores'!G2476+0.20*'Factor Scores'!H2476)</f>
        <v/>
      </c>
      <c r="C2476" s="12">
        <f>IF(B2476="","",RANK(B2476,$B$2:$B$2501,0))</f>
        <v/>
      </c>
      <c r="D2476">
        <f>IF(C2476="","",C2476&lt;=25)</f>
        <v/>
      </c>
      <c r="F2476">
        <f>IF(A2476="","",IF(AND(D2476=TRUE,E2476=""),"BUY",IF(AND(D2476=FALSE,E2476&lt;&gt;""),"SELL",IF(AND(D2476=TRUE,E2476&lt;&gt;""),"HOLD",""))))</f>
        <v/>
      </c>
      <c r="G2476" s="12">
        <f>IF(D2476=TRUE,4,0)</f>
        <v/>
      </c>
      <c r="H2476">
        <f>IF(A2476="","",BDP(A2476&amp;" US Equity","GICS_SECTOR_NAME"))</f>
        <v/>
      </c>
    </row>
    <row r="2477">
      <c r="A2477">
        <f>'Factor Scores'!A2477</f>
        <v/>
      </c>
      <c r="B2477" s="10">
        <f>IF(A2477="","",0.40*'Factor Scores'!C2477+0.20*'Factor Scores'!E2477+0.20*'Factor Scores'!G2477+0.20*'Factor Scores'!H2477)</f>
        <v/>
      </c>
      <c r="C2477" s="12">
        <f>IF(B2477="","",RANK(B2477,$B$2:$B$2501,0))</f>
        <v/>
      </c>
      <c r="D2477">
        <f>IF(C2477="","",C2477&lt;=25)</f>
        <v/>
      </c>
      <c r="F2477">
        <f>IF(A2477="","",IF(AND(D2477=TRUE,E2477=""),"BUY",IF(AND(D2477=FALSE,E2477&lt;&gt;""),"SELL",IF(AND(D2477=TRUE,E2477&lt;&gt;""),"HOLD",""))))</f>
        <v/>
      </c>
      <c r="G2477" s="12">
        <f>IF(D2477=TRUE,4,0)</f>
        <v/>
      </c>
      <c r="H2477">
        <f>IF(A2477="","",BDP(A2477&amp;" US Equity","GICS_SECTOR_NAME"))</f>
        <v/>
      </c>
    </row>
    <row r="2478">
      <c r="A2478">
        <f>'Factor Scores'!A2478</f>
        <v/>
      </c>
      <c r="B2478" s="10">
        <f>IF(A2478="","",0.40*'Factor Scores'!C2478+0.20*'Factor Scores'!E2478+0.20*'Factor Scores'!G2478+0.20*'Factor Scores'!H2478)</f>
        <v/>
      </c>
      <c r="C2478" s="12">
        <f>IF(B2478="","",RANK(B2478,$B$2:$B$2501,0))</f>
        <v/>
      </c>
      <c r="D2478">
        <f>IF(C2478="","",C2478&lt;=25)</f>
        <v/>
      </c>
      <c r="F2478">
        <f>IF(A2478="","",IF(AND(D2478=TRUE,E2478=""),"BUY",IF(AND(D2478=FALSE,E2478&lt;&gt;""),"SELL",IF(AND(D2478=TRUE,E2478&lt;&gt;""),"HOLD",""))))</f>
        <v/>
      </c>
      <c r="G2478" s="12">
        <f>IF(D2478=TRUE,4,0)</f>
        <v/>
      </c>
      <c r="H2478">
        <f>IF(A2478="","",BDP(A2478&amp;" US Equity","GICS_SECTOR_NAME"))</f>
        <v/>
      </c>
    </row>
    <row r="2479">
      <c r="A2479">
        <f>'Factor Scores'!A2479</f>
        <v/>
      </c>
      <c r="B2479" s="10">
        <f>IF(A2479="","",0.40*'Factor Scores'!C2479+0.20*'Factor Scores'!E2479+0.20*'Factor Scores'!G2479+0.20*'Factor Scores'!H2479)</f>
        <v/>
      </c>
      <c r="C2479" s="12">
        <f>IF(B2479="","",RANK(B2479,$B$2:$B$2501,0))</f>
        <v/>
      </c>
      <c r="D2479">
        <f>IF(C2479="","",C2479&lt;=25)</f>
        <v/>
      </c>
      <c r="F2479">
        <f>IF(A2479="","",IF(AND(D2479=TRUE,E2479=""),"BUY",IF(AND(D2479=FALSE,E2479&lt;&gt;""),"SELL",IF(AND(D2479=TRUE,E2479&lt;&gt;""),"HOLD",""))))</f>
        <v/>
      </c>
      <c r="G2479" s="12">
        <f>IF(D2479=TRUE,4,0)</f>
        <v/>
      </c>
      <c r="H2479">
        <f>IF(A2479="","",BDP(A2479&amp;" US Equity","GICS_SECTOR_NAME"))</f>
        <v/>
      </c>
    </row>
    <row r="2480">
      <c r="A2480">
        <f>'Factor Scores'!A2480</f>
        <v/>
      </c>
      <c r="B2480" s="10">
        <f>IF(A2480="","",0.40*'Factor Scores'!C2480+0.20*'Factor Scores'!E2480+0.20*'Factor Scores'!G2480+0.20*'Factor Scores'!H2480)</f>
        <v/>
      </c>
      <c r="C2480" s="12">
        <f>IF(B2480="","",RANK(B2480,$B$2:$B$2501,0))</f>
        <v/>
      </c>
      <c r="D2480">
        <f>IF(C2480="","",C2480&lt;=25)</f>
        <v/>
      </c>
      <c r="F2480">
        <f>IF(A2480="","",IF(AND(D2480=TRUE,E2480=""),"BUY",IF(AND(D2480=FALSE,E2480&lt;&gt;""),"SELL",IF(AND(D2480=TRUE,E2480&lt;&gt;""),"HOLD",""))))</f>
        <v/>
      </c>
      <c r="G2480" s="12">
        <f>IF(D2480=TRUE,4,0)</f>
        <v/>
      </c>
      <c r="H2480">
        <f>IF(A2480="","",BDP(A2480&amp;" US Equity","GICS_SECTOR_NAME"))</f>
        <v/>
      </c>
    </row>
    <row r="2481">
      <c r="A2481">
        <f>'Factor Scores'!A2481</f>
        <v/>
      </c>
      <c r="B2481" s="10">
        <f>IF(A2481="","",0.40*'Factor Scores'!C2481+0.20*'Factor Scores'!E2481+0.20*'Factor Scores'!G2481+0.20*'Factor Scores'!H2481)</f>
        <v/>
      </c>
      <c r="C2481" s="12">
        <f>IF(B2481="","",RANK(B2481,$B$2:$B$2501,0))</f>
        <v/>
      </c>
      <c r="D2481">
        <f>IF(C2481="","",C2481&lt;=25)</f>
        <v/>
      </c>
      <c r="F2481">
        <f>IF(A2481="","",IF(AND(D2481=TRUE,E2481=""),"BUY",IF(AND(D2481=FALSE,E2481&lt;&gt;""),"SELL",IF(AND(D2481=TRUE,E2481&lt;&gt;""),"HOLD",""))))</f>
        <v/>
      </c>
      <c r="G2481" s="12">
        <f>IF(D2481=TRUE,4,0)</f>
        <v/>
      </c>
      <c r="H2481">
        <f>IF(A2481="","",BDP(A2481&amp;" US Equity","GICS_SECTOR_NAME"))</f>
        <v/>
      </c>
    </row>
    <row r="2482">
      <c r="A2482">
        <f>'Factor Scores'!A2482</f>
        <v/>
      </c>
      <c r="B2482" s="10">
        <f>IF(A2482="","",0.40*'Factor Scores'!C2482+0.20*'Factor Scores'!E2482+0.20*'Factor Scores'!G2482+0.20*'Factor Scores'!H2482)</f>
        <v/>
      </c>
      <c r="C2482" s="12">
        <f>IF(B2482="","",RANK(B2482,$B$2:$B$2501,0))</f>
        <v/>
      </c>
      <c r="D2482">
        <f>IF(C2482="","",C2482&lt;=25)</f>
        <v/>
      </c>
      <c r="F2482">
        <f>IF(A2482="","",IF(AND(D2482=TRUE,E2482=""),"BUY",IF(AND(D2482=FALSE,E2482&lt;&gt;""),"SELL",IF(AND(D2482=TRUE,E2482&lt;&gt;""),"HOLD",""))))</f>
        <v/>
      </c>
      <c r="G2482" s="12">
        <f>IF(D2482=TRUE,4,0)</f>
        <v/>
      </c>
      <c r="H2482">
        <f>IF(A2482="","",BDP(A2482&amp;" US Equity","GICS_SECTOR_NAME"))</f>
        <v/>
      </c>
    </row>
    <row r="2483">
      <c r="A2483">
        <f>'Factor Scores'!A2483</f>
        <v/>
      </c>
      <c r="B2483" s="10">
        <f>IF(A2483="","",0.40*'Factor Scores'!C2483+0.20*'Factor Scores'!E2483+0.20*'Factor Scores'!G2483+0.20*'Factor Scores'!H2483)</f>
        <v/>
      </c>
      <c r="C2483" s="12">
        <f>IF(B2483="","",RANK(B2483,$B$2:$B$2501,0))</f>
        <v/>
      </c>
      <c r="D2483">
        <f>IF(C2483="","",C2483&lt;=25)</f>
        <v/>
      </c>
      <c r="F2483">
        <f>IF(A2483="","",IF(AND(D2483=TRUE,E2483=""),"BUY",IF(AND(D2483=FALSE,E2483&lt;&gt;""),"SELL",IF(AND(D2483=TRUE,E2483&lt;&gt;""),"HOLD",""))))</f>
        <v/>
      </c>
      <c r="G2483" s="12">
        <f>IF(D2483=TRUE,4,0)</f>
        <v/>
      </c>
      <c r="H2483">
        <f>IF(A2483="","",BDP(A2483&amp;" US Equity","GICS_SECTOR_NAME"))</f>
        <v/>
      </c>
    </row>
    <row r="2484">
      <c r="A2484">
        <f>'Factor Scores'!A2484</f>
        <v/>
      </c>
      <c r="B2484" s="10">
        <f>IF(A2484="","",0.40*'Factor Scores'!C2484+0.20*'Factor Scores'!E2484+0.20*'Factor Scores'!G2484+0.20*'Factor Scores'!H2484)</f>
        <v/>
      </c>
      <c r="C2484" s="12">
        <f>IF(B2484="","",RANK(B2484,$B$2:$B$2501,0))</f>
        <v/>
      </c>
      <c r="D2484">
        <f>IF(C2484="","",C2484&lt;=25)</f>
        <v/>
      </c>
      <c r="F2484">
        <f>IF(A2484="","",IF(AND(D2484=TRUE,E2484=""),"BUY",IF(AND(D2484=FALSE,E2484&lt;&gt;""),"SELL",IF(AND(D2484=TRUE,E2484&lt;&gt;""),"HOLD",""))))</f>
        <v/>
      </c>
      <c r="G2484" s="12">
        <f>IF(D2484=TRUE,4,0)</f>
        <v/>
      </c>
      <c r="H2484">
        <f>IF(A2484="","",BDP(A2484&amp;" US Equity","GICS_SECTOR_NAME"))</f>
        <v/>
      </c>
    </row>
    <row r="2485">
      <c r="A2485">
        <f>'Factor Scores'!A2485</f>
        <v/>
      </c>
      <c r="B2485" s="10">
        <f>IF(A2485="","",0.40*'Factor Scores'!C2485+0.20*'Factor Scores'!E2485+0.20*'Factor Scores'!G2485+0.20*'Factor Scores'!H2485)</f>
        <v/>
      </c>
      <c r="C2485" s="12">
        <f>IF(B2485="","",RANK(B2485,$B$2:$B$2501,0))</f>
        <v/>
      </c>
      <c r="D2485">
        <f>IF(C2485="","",C2485&lt;=25)</f>
        <v/>
      </c>
      <c r="F2485">
        <f>IF(A2485="","",IF(AND(D2485=TRUE,E2485=""),"BUY",IF(AND(D2485=FALSE,E2485&lt;&gt;""),"SELL",IF(AND(D2485=TRUE,E2485&lt;&gt;""),"HOLD",""))))</f>
        <v/>
      </c>
      <c r="G2485" s="12">
        <f>IF(D2485=TRUE,4,0)</f>
        <v/>
      </c>
      <c r="H2485">
        <f>IF(A2485="","",BDP(A2485&amp;" US Equity","GICS_SECTOR_NAME"))</f>
        <v/>
      </c>
    </row>
    <row r="2486">
      <c r="A2486">
        <f>'Factor Scores'!A2486</f>
        <v/>
      </c>
      <c r="B2486" s="10">
        <f>IF(A2486="","",0.40*'Factor Scores'!C2486+0.20*'Factor Scores'!E2486+0.20*'Factor Scores'!G2486+0.20*'Factor Scores'!H2486)</f>
        <v/>
      </c>
      <c r="C2486" s="12">
        <f>IF(B2486="","",RANK(B2486,$B$2:$B$2501,0))</f>
        <v/>
      </c>
      <c r="D2486">
        <f>IF(C2486="","",C2486&lt;=25)</f>
        <v/>
      </c>
      <c r="F2486">
        <f>IF(A2486="","",IF(AND(D2486=TRUE,E2486=""),"BUY",IF(AND(D2486=FALSE,E2486&lt;&gt;""),"SELL",IF(AND(D2486=TRUE,E2486&lt;&gt;""),"HOLD",""))))</f>
        <v/>
      </c>
      <c r="G2486" s="12">
        <f>IF(D2486=TRUE,4,0)</f>
        <v/>
      </c>
      <c r="H2486">
        <f>IF(A2486="","",BDP(A2486&amp;" US Equity","GICS_SECTOR_NAME"))</f>
        <v/>
      </c>
    </row>
    <row r="2487">
      <c r="A2487">
        <f>'Factor Scores'!A2487</f>
        <v/>
      </c>
      <c r="B2487" s="10">
        <f>IF(A2487="","",0.40*'Factor Scores'!C2487+0.20*'Factor Scores'!E2487+0.20*'Factor Scores'!G2487+0.20*'Factor Scores'!H2487)</f>
        <v/>
      </c>
      <c r="C2487" s="12">
        <f>IF(B2487="","",RANK(B2487,$B$2:$B$2501,0))</f>
        <v/>
      </c>
      <c r="D2487">
        <f>IF(C2487="","",C2487&lt;=25)</f>
        <v/>
      </c>
      <c r="F2487">
        <f>IF(A2487="","",IF(AND(D2487=TRUE,E2487=""),"BUY",IF(AND(D2487=FALSE,E2487&lt;&gt;""),"SELL",IF(AND(D2487=TRUE,E2487&lt;&gt;""),"HOLD",""))))</f>
        <v/>
      </c>
      <c r="G2487" s="12">
        <f>IF(D2487=TRUE,4,0)</f>
        <v/>
      </c>
      <c r="H2487">
        <f>IF(A2487="","",BDP(A2487&amp;" US Equity","GICS_SECTOR_NAME"))</f>
        <v/>
      </c>
    </row>
    <row r="2488">
      <c r="A2488">
        <f>'Factor Scores'!A2488</f>
        <v/>
      </c>
      <c r="B2488" s="10">
        <f>IF(A2488="","",0.40*'Factor Scores'!C2488+0.20*'Factor Scores'!E2488+0.20*'Factor Scores'!G2488+0.20*'Factor Scores'!H2488)</f>
        <v/>
      </c>
      <c r="C2488" s="12">
        <f>IF(B2488="","",RANK(B2488,$B$2:$B$2501,0))</f>
        <v/>
      </c>
      <c r="D2488">
        <f>IF(C2488="","",C2488&lt;=25)</f>
        <v/>
      </c>
      <c r="F2488">
        <f>IF(A2488="","",IF(AND(D2488=TRUE,E2488=""),"BUY",IF(AND(D2488=FALSE,E2488&lt;&gt;""),"SELL",IF(AND(D2488=TRUE,E2488&lt;&gt;""),"HOLD",""))))</f>
        <v/>
      </c>
      <c r="G2488" s="12">
        <f>IF(D2488=TRUE,4,0)</f>
        <v/>
      </c>
      <c r="H2488">
        <f>IF(A2488="","",BDP(A2488&amp;" US Equity","GICS_SECTOR_NAME"))</f>
        <v/>
      </c>
    </row>
    <row r="2489">
      <c r="A2489">
        <f>'Factor Scores'!A2489</f>
        <v/>
      </c>
      <c r="B2489" s="10">
        <f>IF(A2489="","",0.40*'Factor Scores'!C2489+0.20*'Factor Scores'!E2489+0.20*'Factor Scores'!G2489+0.20*'Factor Scores'!H2489)</f>
        <v/>
      </c>
      <c r="C2489" s="12">
        <f>IF(B2489="","",RANK(B2489,$B$2:$B$2501,0))</f>
        <v/>
      </c>
      <c r="D2489">
        <f>IF(C2489="","",C2489&lt;=25)</f>
        <v/>
      </c>
      <c r="F2489">
        <f>IF(A2489="","",IF(AND(D2489=TRUE,E2489=""),"BUY",IF(AND(D2489=FALSE,E2489&lt;&gt;""),"SELL",IF(AND(D2489=TRUE,E2489&lt;&gt;""),"HOLD",""))))</f>
        <v/>
      </c>
      <c r="G2489" s="12">
        <f>IF(D2489=TRUE,4,0)</f>
        <v/>
      </c>
      <c r="H2489">
        <f>IF(A2489="","",BDP(A2489&amp;" US Equity","GICS_SECTOR_NAME"))</f>
        <v/>
      </c>
    </row>
    <row r="2490">
      <c r="A2490">
        <f>'Factor Scores'!A2490</f>
        <v/>
      </c>
      <c r="B2490" s="10">
        <f>IF(A2490="","",0.40*'Factor Scores'!C2490+0.20*'Factor Scores'!E2490+0.20*'Factor Scores'!G2490+0.20*'Factor Scores'!H2490)</f>
        <v/>
      </c>
      <c r="C2490" s="12">
        <f>IF(B2490="","",RANK(B2490,$B$2:$B$2501,0))</f>
        <v/>
      </c>
      <c r="D2490">
        <f>IF(C2490="","",C2490&lt;=25)</f>
        <v/>
      </c>
      <c r="F2490">
        <f>IF(A2490="","",IF(AND(D2490=TRUE,E2490=""),"BUY",IF(AND(D2490=FALSE,E2490&lt;&gt;""),"SELL",IF(AND(D2490=TRUE,E2490&lt;&gt;""),"HOLD",""))))</f>
        <v/>
      </c>
      <c r="G2490" s="12">
        <f>IF(D2490=TRUE,4,0)</f>
        <v/>
      </c>
      <c r="H2490">
        <f>IF(A2490="","",BDP(A2490&amp;" US Equity","GICS_SECTOR_NAME"))</f>
        <v/>
      </c>
    </row>
    <row r="2491">
      <c r="A2491">
        <f>'Factor Scores'!A2491</f>
        <v/>
      </c>
      <c r="B2491" s="10">
        <f>IF(A2491="","",0.40*'Factor Scores'!C2491+0.20*'Factor Scores'!E2491+0.20*'Factor Scores'!G2491+0.20*'Factor Scores'!H2491)</f>
        <v/>
      </c>
      <c r="C2491" s="12">
        <f>IF(B2491="","",RANK(B2491,$B$2:$B$2501,0))</f>
        <v/>
      </c>
      <c r="D2491">
        <f>IF(C2491="","",C2491&lt;=25)</f>
        <v/>
      </c>
      <c r="F2491">
        <f>IF(A2491="","",IF(AND(D2491=TRUE,E2491=""),"BUY",IF(AND(D2491=FALSE,E2491&lt;&gt;""),"SELL",IF(AND(D2491=TRUE,E2491&lt;&gt;""),"HOLD",""))))</f>
        <v/>
      </c>
      <c r="G2491" s="12">
        <f>IF(D2491=TRUE,4,0)</f>
        <v/>
      </c>
      <c r="H2491">
        <f>IF(A2491="","",BDP(A2491&amp;" US Equity","GICS_SECTOR_NAME"))</f>
        <v/>
      </c>
    </row>
    <row r="2492">
      <c r="A2492">
        <f>'Factor Scores'!A2492</f>
        <v/>
      </c>
      <c r="B2492" s="10">
        <f>IF(A2492="","",0.40*'Factor Scores'!C2492+0.20*'Factor Scores'!E2492+0.20*'Factor Scores'!G2492+0.20*'Factor Scores'!H2492)</f>
        <v/>
      </c>
      <c r="C2492" s="12">
        <f>IF(B2492="","",RANK(B2492,$B$2:$B$2501,0))</f>
        <v/>
      </c>
      <c r="D2492">
        <f>IF(C2492="","",C2492&lt;=25)</f>
        <v/>
      </c>
      <c r="F2492">
        <f>IF(A2492="","",IF(AND(D2492=TRUE,E2492=""),"BUY",IF(AND(D2492=FALSE,E2492&lt;&gt;""),"SELL",IF(AND(D2492=TRUE,E2492&lt;&gt;""),"HOLD",""))))</f>
        <v/>
      </c>
      <c r="G2492" s="12">
        <f>IF(D2492=TRUE,4,0)</f>
        <v/>
      </c>
      <c r="H2492">
        <f>IF(A2492="","",BDP(A2492&amp;" US Equity","GICS_SECTOR_NAME"))</f>
        <v/>
      </c>
    </row>
    <row r="2493">
      <c r="A2493">
        <f>'Factor Scores'!A2493</f>
        <v/>
      </c>
      <c r="B2493" s="10">
        <f>IF(A2493="","",0.40*'Factor Scores'!C2493+0.20*'Factor Scores'!E2493+0.20*'Factor Scores'!G2493+0.20*'Factor Scores'!H2493)</f>
        <v/>
      </c>
      <c r="C2493" s="12">
        <f>IF(B2493="","",RANK(B2493,$B$2:$B$2501,0))</f>
        <v/>
      </c>
      <c r="D2493">
        <f>IF(C2493="","",C2493&lt;=25)</f>
        <v/>
      </c>
      <c r="F2493">
        <f>IF(A2493="","",IF(AND(D2493=TRUE,E2493=""),"BUY",IF(AND(D2493=FALSE,E2493&lt;&gt;""),"SELL",IF(AND(D2493=TRUE,E2493&lt;&gt;""),"HOLD",""))))</f>
        <v/>
      </c>
      <c r="G2493" s="12">
        <f>IF(D2493=TRUE,4,0)</f>
        <v/>
      </c>
      <c r="H2493">
        <f>IF(A2493="","",BDP(A2493&amp;" US Equity","GICS_SECTOR_NAME"))</f>
        <v/>
      </c>
    </row>
    <row r="2494">
      <c r="A2494">
        <f>'Factor Scores'!A2494</f>
        <v/>
      </c>
      <c r="B2494" s="10">
        <f>IF(A2494="","",0.40*'Factor Scores'!C2494+0.20*'Factor Scores'!E2494+0.20*'Factor Scores'!G2494+0.20*'Factor Scores'!H2494)</f>
        <v/>
      </c>
      <c r="C2494" s="12">
        <f>IF(B2494="","",RANK(B2494,$B$2:$B$2501,0))</f>
        <v/>
      </c>
      <c r="D2494">
        <f>IF(C2494="","",C2494&lt;=25)</f>
        <v/>
      </c>
      <c r="F2494">
        <f>IF(A2494="","",IF(AND(D2494=TRUE,E2494=""),"BUY",IF(AND(D2494=FALSE,E2494&lt;&gt;""),"SELL",IF(AND(D2494=TRUE,E2494&lt;&gt;""),"HOLD",""))))</f>
        <v/>
      </c>
      <c r="G2494" s="12">
        <f>IF(D2494=TRUE,4,0)</f>
        <v/>
      </c>
      <c r="H2494">
        <f>IF(A2494="","",BDP(A2494&amp;" US Equity","GICS_SECTOR_NAME"))</f>
        <v/>
      </c>
    </row>
    <row r="2495">
      <c r="A2495">
        <f>'Factor Scores'!A2495</f>
        <v/>
      </c>
      <c r="B2495" s="10">
        <f>IF(A2495="","",0.40*'Factor Scores'!C2495+0.20*'Factor Scores'!E2495+0.20*'Factor Scores'!G2495+0.20*'Factor Scores'!H2495)</f>
        <v/>
      </c>
      <c r="C2495" s="12">
        <f>IF(B2495="","",RANK(B2495,$B$2:$B$2501,0))</f>
        <v/>
      </c>
      <c r="D2495">
        <f>IF(C2495="","",C2495&lt;=25)</f>
        <v/>
      </c>
      <c r="F2495">
        <f>IF(A2495="","",IF(AND(D2495=TRUE,E2495=""),"BUY",IF(AND(D2495=FALSE,E2495&lt;&gt;""),"SELL",IF(AND(D2495=TRUE,E2495&lt;&gt;""),"HOLD",""))))</f>
        <v/>
      </c>
      <c r="G2495" s="12">
        <f>IF(D2495=TRUE,4,0)</f>
        <v/>
      </c>
      <c r="H2495">
        <f>IF(A2495="","",BDP(A2495&amp;" US Equity","GICS_SECTOR_NAME"))</f>
        <v/>
      </c>
    </row>
    <row r="2496">
      <c r="A2496">
        <f>'Factor Scores'!A2496</f>
        <v/>
      </c>
      <c r="B2496" s="10">
        <f>IF(A2496="","",0.40*'Factor Scores'!C2496+0.20*'Factor Scores'!E2496+0.20*'Factor Scores'!G2496+0.20*'Factor Scores'!H2496)</f>
        <v/>
      </c>
      <c r="C2496" s="12">
        <f>IF(B2496="","",RANK(B2496,$B$2:$B$2501,0))</f>
        <v/>
      </c>
      <c r="D2496">
        <f>IF(C2496="","",C2496&lt;=25)</f>
        <v/>
      </c>
      <c r="F2496">
        <f>IF(A2496="","",IF(AND(D2496=TRUE,E2496=""),"BUY",IF(AND(D2496=FALSE,E2496&lt;&gt;""),"SELL",IF(AND(D2496=TRUE,E2496&lt;&gt;""),"HOLD",""))))</f>
        <v/>
      </c>
      <c r="G2496" s="12">
        <f>IF(D2496=TRUE,4,0)</f>
        <v/>
      </c>
      <c r="H2496">
        <f>IF(A2496="","",BDP(A2496&amp;" US Equity","GICS_SECTOR_NAME"))</f>
        <v/>
      </c>
    </row>
    <row r="2497">
      <c r="A2497">
        <f>'Factor Scores'!A2497</f>
        <v/>
      </c>
      <c r="B2497" s="10">
        <f>IF(A2497="","",0.40*'Factor Scores'!C2497+0.20*'Factor Scores'!E2497+0.20*'Factor Scores'!G2497+0.20*'Factor Scores'!H2497)</f>
        <v/>
      </c>
      <c r="C2497" s="12">
        <f>IF(B2497="","",RANK(B2497,$B$2:$B$2501,0))</f>
        <v/>
      </c>
      <c r="D2497">
        <f>IF(C2497="","",C2497&lt;=25)</f>
        <v/>
      </c>
      <c r="F2497">
        <f>IF(A2497="","",IF(AND(D2497=TRUE,E2497=""),"BUY",IF(AND(D2497=FALSE,E2497&lt;&gt;""),"SELL",IF(AND(D2497=TRUE,E2497&lt;&gt;""),"HOLD",""))))</f>
        <v/>
      </c>
      <c r="G2497" s="12">
        <f>IF(D2497=TRUE,4,0)</f>
        <v/>
      </c>
      <c r="H2497">
        <f>IF(A2497="","",BDP(A2497&amp;" US Equity","GICS_SECTOR_NAME"))</f>
        <v/>
      </c>
    </row>
    <row r="2498">
      <c r="A2498">
        <f>'Factor Scores'!A2498</f>
        <v/>
      </c>
      <c r="B2498" s="10">
        <f>IF(A2498="","",0.40*'Factor Scores'!C2498+0.20*'Factor Scores'!E2498+0.20*'Factor Scores'!G2498+0.20*'Factor Scores'!H2498)</f>
        <v/>
      </c>
      <c r="C2498" s="12">
        <f>IF(B2498="","",RANK(B2498,$B$2:$B$2501,0))</f>
        <v/>
      </c>
      <c r="D2498">
        <f>IF(C2498="","",C2498&lt;=25)</f>
        <v/>
      </c>
      <c r="F2498">
        <f>IF(A2498="","",IF(AND(D2498=TRUE,E2498=""),"BUY",IF(AND(D2498=FALSE,E2498&lt;&gt;""),"SELL",IF(AND(D2498=TRUE,E2498&lt;&gt;""),"HOLD",""))))</f>
        <v/>
      </c>
      <c r="G2498" s="12">
        <f>IF(D2498=TRUE,4,0)</f>
        <v/>
      </c>
      <c r="H2498">
        <f>IF(A2498="","",BDP(A2498&amp;" US Equity","GICS_SECTOR_NAME"))</f>
        <v/>
      </c>
    </row>
    <row r="2499">
      <c r="A2499">
        <f>'Factor Scores'!A2499</f>
        <v/>
      </c>
      <c r="B2499" s="10">
        <f>IF(A2499="","",0.40*'Factor Scores'!C2499+0.20*'Factor Scores'!E2499+0.20*'Factor Scores'!G2499+0.20*'Factor Scores'!H2499)</f>
        <v/>
      </c>
      <c r="C2499" s="12">
        <f>IF(B2499="","",RANK(B2499,$B$2:$B$2501,0))</f>
        <v/>
      </c>
      <c r="D2499">
        <f>IF(C2499="","",C2499&lt;=25)</f>
        <v/>
      </c>
      <c r="F2499">
        <f>IF(A2499="","",IF(AND(D2499=TRUE,E2499=""),"BUY",IF(AND(D2499=FALSE,E2499&lt;&gt;""),"SELL",IF(AND(D2499=TRUE,E2499&lt;&gt;""),"HOLD",""))))</f>
        <v/>
      </c>
      <c r="G2499" s="12">
        <f>IF(D2499=TRUE,4,0)</f>
        <v/>
      </c>
      <c r="H2499">
        <f>IF(A2499="","",BDP(A2499&amp;" US Equity","GICS_SECTOR_NAME"))</f>
        <v/>
      </c>
    </row>
    <row r="2500">
      <c r="A2500">
        <f>'Factor Scores'!A2500</f>
        <v/>
      </c>
      <c r="B2500" s="10">
        <f>IF(A2500="","",0.40*'Factor Scores'!C2500+0.20*'Factor Scores'!E2500+0.20*'Factor Scores'!G2500+0.20*'Factor Scores'!H2500)</f>
        <v/>
      </c>
      <c r="C2500" s="12">
        <f>IF(B2500="","",RANK(B2500,$B$2:$B$2501,0))</f>
        <v/>
      </c>
      <c r="D2500">
        <f>IF(C2500="","",C2500&lt;=25)</f>
        <v/>
      </c>
      <c r="F2500">
        <f>IF(A2500="","",IF(AND(D2500=TRUE,E2500=""),"BUY",IF(AND(D2500=FALSE,E2500&lt;&gt;""),"SELL",IF(AND(D2500=TRUE,E2500&lt;&gt;""),"HOLD",""))))</f>
        <v/>
      </c>
      <c r="G2500" s="12">
        <f>IF(D2500=TRUE,4,0)</f>
        <v/>
      </c>
      <c r="H2500">
        <f>IF(A2500="","",BDP(A2500&amp;" US Equity","GICS_SECTOR_NAME"))</f>
        <v/>
      </c>
    </row>
    <row r="2501">
      <c r="A2501">
        <f>'Factor Scores'!A2501</f>
        <v/>
      </c>
      <c r="B2501" s="10">
        <f>IF(A2501="","",0.40*'Factor Scores'!C2501+0.20*'Factor Scores'!E2501+0.20*'Factor Scores'!G2501+0.20*'Factor Scores'!H2501)</f>
        <v/>
      </c>
      <c r="C2501" s="12">
        <f>IF(B2501="","",RANK(B2501,$B$2:$B$2501,0))</f>
        <v/>
      </c>
      <c r="D2501">
        <f>IF(C2501="","",C2501&lt;=25)</f>
        <v/>
      </c>
      <c r="F2501">
        <f>IF(A2501="","",IF(AND(D2501=TRUE,E2501=""),"BUY",IF(AND(D2501=FALSE,E2501&lt;&gt;""),"SELL",IF(AND(D2501=TRUE,E2501&lt;&gt;""),"HOLD",""))))</f>
        <v/>
      </c>
      <c r="G2501" s="12">
        <f>IF(D2501=TRUE,4,0)</f>
        <v/>
      </c>
      <c r="H2501">
        <f>IF(A2501="","",BDP(A2501&amp;" US Equity","GICS_SECTOR_NAME"))</f>
        <v/>
      </c>
    </row>
  </sheetData>
  <conditionalFormatting sqref="D2:D2501">
    <cfRule type="expression" priority="1" dxfId="0">
      <formula>D2=TRUE</formula>
    </cfRule>
    <cfRule type="expression" priority="2" dxfId="1">
      <formula>D2=FALSE</formula>
    </cfRule>
  </conditionalFormatting>
  <conditionalFormatting sqref="F2:F2501">
    <cfRule type="cellIs" priority="3" operator="equal" dxfId="2">
      <formula>"BUY"</formula>
    </cfRule>
    <cfRule type="cellIs" priority="4" operator="equal" dxfId="3">
      <formula>"SELL"</formula>
    </cfRule>
    <cfRule type="cellIs" priority="5" operator="equal" dxfId="4">
      <formula>"HOLD"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2026-02-27T21:37:30Z</dcterms:created>
  <dcterms:modified xsi:type="dcterms:W3CDTF">2026-02-27T21:37:31Z</dcterms:modified>
</cp:coreProperties>
</file>